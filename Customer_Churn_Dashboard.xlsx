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BA class\BA_Dashboard churn\"/>
    </mc:Choice>
  </mc:AlternateContent>
  <xr:revisionPtr revIDLastSave="0" documentId="13_ncr:1_{CD1D856C-B8F8-4F68-AA19-711F4CFA2C5A}" xr6:coauthVersionLast="47" xr6:coauthVersionMax="47" xr10:uidLastSave="{00000000-0000-0000-0000-000000000000}"/>
  <bookViews>
    <workbookView xWindow="-108" yWindow="-108" windowWidth="23256" windowHeight="13176" tabRatio="500" firstSheet="1" activeTab="5" xr2:uid="{00000000-000D-0000-FFFF-FFFF00000000}"/>
  </bookViews>
  <sheets>
    <sheet name="README" sheetId="1" r:id="rId1"/>
    <sheet name="Raw Data" sheetId="2" r:id="rId2"/>
    <sheet name="Lookup Tables" sheetId="3" r:id="rId3"/>
    <sheet name="Cleaned Data" sheetId="4" r:id="rId4"/>
    <sheet name="Summary Calculations" sheetId="5" r:id="rId5"/>
    <sheet name="Dashboard" sheetId="6" r:id="rId6"/>
  </sheets>
  <definedNames>
    <definedName name="_xlnm.Print_Area" localSheetId="5">Dashboard!$A$1:$AC$100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1501" i="4" l="1"/>
  <c r="V1501" i="4"/>
  <c r="T1501" i="4"/>
  <c r="S1501" i="4"/>
  <c r="R1501" i="4"/>
  <c r="Q1501" i="4"/>
  <c r="P1501" i="4"/>
  <c r="O1501" i="4"/>
  <c r="W1501" i="4" s="1"/>
  <c r="N1501" i="4"/>
  <c r="M1501" i="4"/>
  <c r="L1501" i="4"/>
  <c r="K1501" i="4"/>
  <c r="J1501" i="4"/>
  <c r="I1501" i="4"/>
  <c r="H1501" i="4"/>
  <c r="G1501" i="4"/>
  <c r="F1501" i="4"/>
  <c r="E1501" i="4"/>
  <c r="U1501" i="4" s="1"/>
  <c r="D1501" i="4"/>
  <c r="C1501" i="4"/>
  <c r="B1501" i="4"/>
  <c r="A1501" i="4"/>
  <c r="X1500" i="4"/>
  <c r="W1500" i="4"/>
  <c r="V1500" i="4"/>
  <c r="T1500" i="4"/>
  <c r="S1500" i="4"/>
  <c r="R1500" i="4"/>
  <c r="Q1500" i="4"/>
  <c r="P1500" i="4"/>
  <c r="O1500" i="4"/>
  <c r="N1500" i="4"/>
  <c r="M1500" i="4"/>
  <c r="L1500" i="4"/>
  <c r="K1500" i="4"/>
  <c r="J1500" i="4"/>
  <c r="I1500" i="4"/>
  <c r="H1500" i="4"/>
  <c r="G1500" i="4"/>
  <c r="F1500" i="4"/>
  <c r="E1500" i="4"/>
  <c r="U1500" i="4" s="1"/>
  <c r="D1500" i="4"/>
  <c r="C1500" i="4"/>
  <c r="B1500" i="4"/>
  <c r="A1500" i="4"/>
  <c r="X1499" i="4"/>
  <c r="T1499" i="4"/>
  <c r="S1499" i="4"/>
  <c r="R1499" i="4"/>
  <c r="Q1499" i="4"/>
  <c r="P1499" i="4"/>
  <c r="O1499" i="4"/>
  <c r="W1499" i="4" s="1"/>
  <c r="N1499" i="4"/>
  <c r="M1499" i="4"/>
  <c r="L1499" i="4"/>
  <c r="K1499" i="4"/>
  <c r="J1499" i="4"/>
  <c r="I1499" i="4"/>
  <c r="H1499" i="4"/>
  <c r="G1499" i="4"/>
  <c r="F1499" i="4"/>
  <c r="E1499" i="4"/>
  <c r="U1499" i="4" s="1"/>
  <c r="D1499" i="4"/>
  <c r="C1499" i="4"/>
  <c r="V1499" i="4" s="1"/>
  <c r="B1499" i="4"/>
  <c r="A1499" i="4"/>
  <c r="X1498" i="4"/>
  <c r="V1498" i="4"/>
  <c r="T1498" i="4"/>
  <c r="S1498" i="4"/>
  <c r="R1498" i="4"/>
  <c r="Q1498" i="4"/>
  <c r="P1498" i="4"/>
  <c r="O1498" i="4"/>
  <c r="N1498" i="4"/>
  <c r="M1498" i="4"/>
  <c r="L1498" i="4"/>
  <c r="W1498" i="4" s="1"/>
  <c r="K1498" i="4"/>
  <c r="J1498" i="4"/>
  <c r="I1498" i="4"/>
  <c r="H1498" i="4"/>
  <c r="G1498" i="4"/>
  <c r="F1498" i="4"/>
  <c r="E1498" i="4"/>
  <c r="U1498" i="4" s="1"/>
  <c r="D1498" i="4"/>
  <c r="C1498" i="4"/>
  <c r="B1498" i="4"/>
  <c r="A1498" i="4"/>
  <c r="X1497" i="4"/>
  <c r="T1497" i="4"/>
  <c r="S1497" i="4"/>
  <c r="R1497" i="4"/>
  <c r="Q1497" i="4"/>
  <c r="P1497" i="4"/>
  <c r="O1497" i="4"/>
  <c r="W1497" i="4" s="1"/>
  <c r="N1497" i="4"/>
  <c r="M1497" i="4"/>
  <c r="L1497" i="4"/>
  <c r="K1497" i="4"/>
  <c r="J1497" i="4"/>
  <c r="I1497" i="4"/>
  <c r="H1497" i="4"/>
  <c r="G1497" i="4"/>
  <c r="F1497" i="4"/>
  <c r="E1497" i="4"/>
  <c r="U1497" i="4" s="1"/>
  <c r="D1497" i="4"/>
  <c r="C1497" i="4"/>
  <c r="V1497" i="4" s="1"/>
  <c r="B1497" i="4"/>
  <c r="A1497" i="4"/>
  <c r="X1496" i="4"/>
  <c r="V1496" i="4"/>
  <c r="T1496" i="4"/>
  <c r="S1496" i="4"/>
  <c r="R1496" i="4"/>
  <c r="Q1496" i="4"/>
  <c r="P1496" i="4"/>
  <c r="O1496" i="4"/>
  <c r="W1496" i="4" s="1"/>
  <c r="N1496" i="4"/>
  <c r="M1496" i="4"/>
  <c r="L1496" i="4"/>
  <c r="K1496" i="4"/>
  <c r="J1496" i="4"/>
  <c r="I1496" i="4"/>
  <c r="H1496" i="4"/>
  <c r="G1496" i="4"/>
  <c r="F1496" i="4"/>
  <c r="E1496" i="4"/>
  <c r="U1496" i="4" s="1"/>
  <c r="D1496" i="4"/>
  <c r="C1496" i="4"/>
  <c r="B1496" i="4"/>
  <c r="A1496" i="4"/>
  <c r="X1495" i="4"/>
  <c r="T1495" i="4"/>
  <c r="S1495" i="4"/>
  <c r="R1495" i="4"/>
  <c r="Q1495" i="4"/>
  <c r="P1495" i="4"/>
  <c r="O1495" i="4"/>
  <c r="W1495" i="4" s="1"/>
  <c r="N1495" i="4"/>
  <c r="M1495" i="4"/>
  <c r="L1495" i="4"/>
  <c r="K1495" i="4"/>
  <c r="J1495" i="4"/>
  <c r="I1495" i="4"/>
  <c r="H1495" i="4"/>
  <c r="G1495" i="4"/>
  <c r="F1495" i="4"/>
  <c r="E1495" i="4"/>
  <c r="U1495" i="4" s="1"/>
  <c r="D1495" i="4"/>
  <c r="C1495" i="4"/>
  <c r="V1495" i="4" s="1"/>
  <c r="B1495" i="4"/>
  <c r="A1495" i="4"/>
  <c r="X1494" i="4"/>
  <c r="V1494" i="4"/>
  <c r="T1494" i="4"/>
  <c r="S1494" i="4"/>
  <c r="R1494" i="4"/>
  <c r="Q1494" i="4"/>
  <c r="P1494" i="4"/>
  <c r="O1494" i="4"/>
  <c r="W1494" i="4" s="1"/>
  <c r="N1494" i="4"/>
  <c r="M1494" i="4"/>
  <c r="L1494" i="4"/>
  <c r="K1494" i="4"/>
  <c r="J1494" i="4"/>
  <c r="I1494" i="4"/>
  <c r="H1494" i="4"/>
  <c r="G1494" i="4"/>
  <c r="F1494" i="4"/>
  <c r="E1494" i="4"/>
  <c r="U1494" i="4" s="1"/>
  <c r="D1494" i="4"/>
  <c r="C1494" i="4"/>
  <c r="B1494" i="4"/>
  <c r="A1494" i="4"/>
  <c r="X1493" i="4"/>
  <c r="W1493" i="4"/>
  <c r="T1493" i="4"/>
  <c r="S1493" i="4"/>
  <c r="R1493" i="4"/>
  <c r="Q1493" i="4"/>
  <c r="P1493" i="4"/>
  <c r="O1493" i="4"/>
  <c r="N1493" i="4"/>
  <c r="M1493" i="4"/>
  <c r="L1493" i="4"/>
  <c r="K1493" i="4"/>
  <c r="J1493" i="4"/>
  <c r="I1493" i="4"/>
  <c r="H1493" i="4"/>
  <c r="G1493" i="4"/>
  <c r="F1493" i="4"/>
  <c r="E1493" i="4"/>
  <c r="U1493" i="4" s="1"/>
  <c r="D1493" i="4"/>
  <c r="C1493" i="4"/>
  <c r="V1493" i="4" s="1"/>
  <c r="B1493" i="4"/>
  <c r="A1493" i="4"/>
  <c r="X1492" i="4"/>
  <c r="V1492" i="4"/>
  <c r="T1492" i="4"/>
  <c r="S1492" i="4"/>
  <c r="R1492" i="4"/>
  <c r="Q1492" i="4"/>
  <c r="P1492" i="4"/>
  <c r="O1492" i="4"/>
  <c r="W1492" i="4" s="1"/>
  <c r="N1492" i="4"/>
  <c r="M1492" i="4"/>
  <c r="L1492" i="4"/>
  <c r="K1492" i="4"/>
  <c r="J1492" i="4"/>
  <c r="I1492" i="4"/>
  <c r="H1492" i="4"/>
  <c r="G1492" i="4"/>
  <c r="F1492" i="4"/>
  <c r="E1492" i="4"/>
  <c r="U1492" i="4" s="1"/>
  <c r="D1492" i="4"/>
  <c r="C1492" i="4"/>
  <c r="B1492" i="4"/>
  <c r="A1492" i="4"/>
  <c r="X1491" i="4"/>
  <c r="W1491" i="4"/>
  <c r="V1491" i="4"/>
  <c r="T1491" i="4"/>
  <c r="S1491" i="4"/>
  <c r="R1491" i="4"/>
  <c r="Q1491" i="4"/>
  <c r="P1491" i="4"/>
  <c r="O1491" i="4"/>
  <c r="N1491" i="4"/>
  <c r="M1491" i="4"/>
  <c r="L1491" i="4"/>
  <c r="K1491" i="4"/>
  <c r="J1491" i="4"/>
  <c r="I1491" i="4"/>
  <c r="H1491" i="4"/>
  <c r="G1491" i="4"/>
  <c r="F1491" i="4"/>
  <c r="E1491" i="4"/>
  <c r="U1491" i="4" s="1"/>
  <c r="D1491" i="4"/>
  <c r="C1491" i="4"/>
  <c r="B1491" i="4"/>
  <c r="A1491" i="4"/>
  <c r="X1490" i="4"/>
  <c r="V1490" i="4"/>
  <c r="T1490" i="4"/>
  <c r="S1490" i="4"/>
  <c r="R1490" i="4"/>
  <c r="Q1490" i="4"/>
  <c r="P1490" i="4"/>
  <c r="O1490" i="4"/>
  <c r="W1490" i="4" s="1"/>
  <c r="N1490" i="4"/>
  <c r="M1490" i="4"/>
  <c r="L1490" i="4"/>
  <c r="K1490" i="4"/>
  <c r="J1490" i="4"/>
  <c r="I1490" i="4"/>
  <c r="H1490" i="4"/>
  <c r="G1490" i="4"/>
  <c r="F1490" i="4"/>
  <c r="E1490" i="4"/>
  <c r="U1490" i="4" s="1"/>
  <c r="D1490" i="4"/>
  <c r="C1490" i="4"/>
  <c r="B1490" i="4"/>
  <c r="A1490" i="4"/>
  <c r="X1489" i="4"/>
  <c r="W1489" i="4"/>
  <c r="V1489" i="4"/>
  <c r="T1489" i="4"/>
  <c r="S1489" i="4"/>
  <c r="R1489" i="4"/>
  <c r="Q1489" i="4"/>
  <c r="P1489" i="4"/>
  <c r="O1489" i="4"/>
  <c r="N1489" i="4"/>
  <c r="M1489" i="4"/>
  <c r="L1489" i="4"/>
  <c r="K1489" i="4"/>
  <c r="J1489" i="4"/>
  <c r="I1489" i="4"/>
  <c r="H1489" i="4"/>
  <c r="G1489" i="4"/>
  <c r="F1489" i="4"/>
  <c r="E1489" i="4"/>
  <c r="U1489" i="4" s="1"/>
  <c r="D1489" i="4"/>
  <c r="C1489" i="4"/>
  <c r="B1489" i="4"/>
  <c r="A1489" i="4"/>
  <c r="X1488" i="4"/>
  <c r="V1488" i="4"/>
  <c r="T1488" i="4"/>
  <c r="S1488" i="4"/>
  <c r="R1488" i="4"/>
  <c r="Q1488" i="4"/>
  <c r="P1488" i="4"/>
  <c r="O1488" i="4"/>
  <c r="W1488" i="4" s="1"/>
  <c r="N1488" i="4"/>
  <c r="M1488" i="4"/>
  <c r="L1488" i="4"/>
  <c r="K1488" i="4"/>
  <c r="J1488" i="4"/>
  <c r="I1488" i="4"/>
  <c r="H1488" i="4"/>
  <c r="G1488" i="4"/>
  <c r="F1488" i="4"/>
  <c r="E1488" i="4"/>
  <c r="U1488" i="4" s="1"/>
  <c r="D1488" i="4"/>
  <c r="C1488" i="4"/>
  <c r="B1488" i="4"/>
  <c r="A1488" i="4"/>
  <c r="X1487" i="4"/>
  <c r="W1487" i="4"/>
  <c r="V1487" i="4"/>
  <c r="T1487" i="4"/>
  <c r="S1487" i="4"/>
  <c r="R1487" i="4"/>
  <c r="Q1487" i="4"/>
  <c r="P1487" i="4"/>
  <c r="O1487" i="4"/>
  <c r="N1487" i="4"/>
  <c r="M1487" i="4"/>
  <c r="L1487" i="4"/>
  <c r="K1487" i="4"/>
  <c r="J1487" i="4"/>
  <c r="I1487" i="4"/>
  <c r="H1487" i="4"/>
  <c r="G1487" i="4"/>
  <c r="F1487" i="4"/>
  <c r="E1487" i="4"/>
  <c r="U1487" i="4" s="1"/>
  <c r="D1487" i="4"/>
  <c r="C1487" i="4"/>
  <c r="B1487" i="4"/>
  <c r="A1487" i="4"/>
  <c r="X1486" i="4"/>
  <c r="V1486" i="4"/>
  <c r="T1486" i="4"/>
  <c r="S1486" i="4"/>
  <c r="R1486" i="4"/>
  <c r="Q1486" i="4"/>
  <c r="P1486" i="4"/>
  <c r="O1486" i="4"/>
  <c r="N1486" i="4"/>
  <c r="M1486" i="4"/>
  <c r="L1486" i="4"/>
  <c r="W1486" i="4" s="1"/>
  <c r="K1486" i="4"/>
  <c r="J1486" i="4"/>
  <c r="I1486" i="4"/>
  <c r="H1486" i="4"/>
  <c r="G1486" i="4"/>
  <c r="F1486" i="4"/>
  <c r="E1486" i="4"/>
  <c r="U1486" i="4" s="1"/>
  <c r="D1486" i="4"/>
  <c r="C1486" i="4"/>
  <c r="B1486" i="4"/>
  <c r="A1486" i="4"/>
  <c r="X1485" i="4"/>
  <c r="T1485" i="4"/>
  <c r="S1485" i="4"/>
  <c r="R1485" i="4"/>
  <c r="Q1485" i="4"/>
  <c r="P1485" i="4"/>
  <c r="O1485" i="4"/>
  <c r="N1485" i="4"/>
  <c r="M1485" i="4"/>
  <c r="L1485" i="4"/>
  <c r="K1485" i="4"/>
  <c r="J1485" i="4"/>
  <c r="I1485" i="4"/>
  <c r="H1485" i="4"/>
  <c r="G1485" i="4"/>
  <c r="F1485" i="4"/>
  <c r="E1485" i="4"/>
  <c r="U1485" i="4" s="1"/>
  <c r="D1485" i="4"/>
  <c r="C1485" i="4"/>
  <c r="V1485" i="4" s="1"/>
  <c r="B1485" i="4"/>
  <c r="A1485" i="4"/>
  <c r="X1484" i="4"/>
  <c r="V1484" i="4"/>
  <c r="T1484" i="4"/>
  <c r="S1484" i="4"/>
  <c r="R1484" i="4"/>
  <c r="Q1484" i="4"/>
  <c r="P1484" i="4"/>
  <c r="O1484" i="4"/>
  <c r="N1484" i="4"/>
  <c r="M1484" i="4"/>
  <c r="L1484" i="4"/>
  <c r="W1484" i="4" s="1"/>
  <c r="K1484" i="4"/>
  <c r="J1484" i="4"/>
  <c r="I1484" i="4"/>
  <c r="H1484" i="4"/>
  <c r="G1484" i="4"/>
  <c r="F1484" i="4"/>
  <c r="E1484" i="4"/>
  <c r="U1484" i="4" s="1"/>
  <c r="D1484" i="4"/>
  <c r="C1484" i="4"/>
  <c r="B1484" i="4"/>
  <c r="A1484" i="4"/>
  <c r="X1483" i="4"/>
  <c r="T1483" i="4"/>
  <c r="S1483" i="4"/>
  <c r="R1483" i="4"/>
  <c r="Q1483" i="4"/>
  <c r="P1483" i="4"/>
  <c r="O1483" i="4"/>
  <c r="W1483" i="4" s="1"/>
  <c r="N1483" i="4"/>
  <c r="M1483" i="4"/>
  <c r="L1483" i="4"/>
  <c r="K1483" i="4"/>
  <c r="J1483" i="4"/>
  <c r="I1483" i="4"/>
  <c r="H1483" i="4"/>
  <c r="G1483" i="4"/>
  <c r="F1483" i="4"/>
  <c r="E1483" i="4"/>
  <c r="U1483" i="4" s="1"/>
  <c r="D1483" i="4"/>
  <c r="C1483" i="4"/>
  <c r="V1483" i="4" s="1"/>
  <c r="B1483" i="4"/>
  <c r="A1483" i="4"/>
  <c r="X1482" i="4"/>
  <c r="V1482" i="4"/>
  <c r="T1482" i="4"/>
  <c r="S1482" i="4"/>
  <c r="R1482" i="4"/>
  <c r="Q1482" i="4"/>
  <c r="P1482" i="4"/>
  <c r="O1482" i="4"/>
  <c r="N1482" i="4"/>
  <c r="M1482" i="4"/>
  <c r="L1482" i="4"/>
  <c r="W1482" i="4" s="1"/>
  <c r="K1482" i="4"/>
  <c r="J1482" i="4"/>
  <c r="I1482" i="4"/>
  <c r="H1482" i="4"/>
  <c r="G1482" i="4"/>
  <c r="F1482" i="4"/>
  <c r="E1482" i="4"/>
  <c r="U1482" i="4" s="1"/>
  <c r="D1482" i="4"/>
  <c r="C1482" i="4"/>
  <c r="B1482" i="4"/>
  <c r="A1482" i="4"/>
  <c r="X1481" i="4"/>
  <c r="T1481" i="4"/>
  <c r="S1481" i="4"/>
  <c r="R1481" i="4"/>
  <c r="Q1481" i="4"/>
  <c r="P1481" i="4"/>
  <c r="O1481" i="4"/>
  <c r="W1481" i="4" s="1"/>
  <c r="N1481" i="4"/>
  <c r="M1481" i="4"/>
  <c r="L1481" i="4"/>
  <c r="K1481" i="4"/>
  <c r="J1481" i="4"/>
  <c r="I1481" i="4"/>
  <c r="H1481" i="4"/>
  <c r="G1481" i="4"/>
  <c r="F1481" i="4"/>
  <c r="E1481" i="4"/>
  <c r="U1481" i="4" s="1"/>
  <c r="D1481" i="4"/>
  <c r="C1481" i="4"/>
  <c r="V1481" i="4" s="1"/>
  <c r="B1481" i="4"/>
  <c r="A1481" i="4"/>
  <c r="X1480" i="4"/>
  <c r="V1480" i="4"/>
  <c r="T1480" i="4"/>
  <c r="S1480" i="4"/>
  <c r="R1480" i="4"/>
  <c r="Q1480" i="4"/>
  <c r="P1480" i="4"/>
  <c r="O1480" i="4"/>
  <c r="N1480" i="4"/>
  <c r="M1480" i="4"/>
  <c r="L1480" i="4"/>
  <c r="W1480" i="4" s="1"/>
  <c r="K1480" i="4"/>
  <c r="J1480" i="4"/>
  <c r="I1480" i="4"/>
  <c r="H1480" i="4"/>
  <c r="G1480" i="4"/>
  <c r="F1480" i="4"/>
  <c r="E1480" i="4"/>
  <c r="U1480" i="4" s="1"/>
  <c r="D1480" i="4"/>
  <c r="C1480" i="4"/>
  <c r="B1480" i="4"/>
  <c r="A1480" i="4"/>
  <c r="X1479" i="4"/>
  <c r="T1479" i="4"/>
  <c r="S1479" i="4"/>
  <c r="R1479" i="4"/>
  <c r="Q1479" i="4"/>
  <c r="P1479" i="4"/>
  <c r="O1479" i="4"/>
  <c r="W1479" i="4" s="1"/>
  <c r="N1479" i="4"/>
  <c r="M1479" i="4"/>
  <c r="L1479" i="4"/>
  <c r="K1479" i="4"/>
  <c r="J1479" i="4"/>
  <c r="I1479" i="4"/>
  <c r="H1479" i="4"/>
  <c r="G1479" i="4"/>
  <c r="F1479" i="4"/>
  <c r="E1479" i="4"/>
  <c r="U1479" i="4" s="1"/>
  <c r="D1479" i="4"/>
  <c r="C1479" i="4"/>
  <c r="V1479" i="4" s="1"/>
  <c r="B1479" i="4"/>
  <c r="A1479" i="4"/>
  <c r="X1478" i="4"/>
  <c r="W1478" i="4"/>
  <c r="V1478" i="4"/>
  <c r="T1478" i="4"/>
  <c r="S1478" i="4"/>
  <c r="R1478" i="4"/>
  <c r="Q1478" i="4"/>
  <c r="P1478" i="4"/>
  <c r="O1478" i="4"/>
  <c r="N1478" i="4"/>
  <c r="M1478" i="4"/>
  <c r="L1478" i="4"/>
  <c r="K1478" i="4"/>
  <c r="J1478" i="4"/>
  <c r="I1478" i="4"/>
  <c r="H1478" i="4"/>
  <c r="G1478" i="4"/>
  <c r="F1478" i="4"/>
  <c r="E1478" i="4"/>
  <c r="U1478" i="4" s="1"/>
  <c r="D1478" i="4"/>
  <c r="C1478" i="4"/>
  <c r="B1478" i="4"/>
  <c r="A1478" i="4"/>
  <c r="X1477" i="4"/>
  <c r="T1477" i="4"/>
  <c r="S1477" i="4"/>
  <c r="R1477" i="4"/>
  <c r="Q1477" i="4"/>
  <c r="P1477" i="4"/>
  <c r="O1477" i="4"/>
  <c r="W1477" i="4" s="1"/>
  <c r="N1477" i="4"/>
  <c r="M1477" i="4"/>
  <c r="L1477" i="4"/>
  <c r="K1477" i="4"/>
  <c r="J1477" i="4"/>
  <c r="I1477" i="4"/>
  <c r="H1477" i="4"/>
  <c r="G1477" i="4"/>
  <c r="F1477" i="4"/>
  <c r="E1477" i="4"/>
  <c r="U1477" i="4" s="1"/>
  <c r="D1477" i="4"/>
  <c r="C1477" i="4"/>
  <c r="V1477" i="4" s="1"/>
  <c r="B1477" i="4"/>
  <c r="A1477" i="4"/>
  <c r="X1476" i="4"/>
  <c r="W1476" i="4"/>
  <c r="V1476" i="4"/>
  <c r="T1476" i="4"/>
  <c r="S1476" i="4"/>
  <c r="R1476" i="4"/>
  <c r="Q1476" i="4"/>
  <c r="P1476" i="4"/>
  <c r="O1476" i="4"/>
  <c r="N1476" i="4"/>
  <c r="M1476" i="4"/>
  <c r="L1476" i="4"/>
  <c r="K1476" i="4"/>
  <c r="J1476" i="4"/>
  <c r="I1476" i="4"/>
  <c r="H1476" i="4"/>
  <c r="G1476" i="4"/>
  <c r="F1476" i="4"/>
  <c r="E1476" i="4"/>
  <c r="U1476" i="4" s="1"/>
  <c r="D1476" i="4"/>
  <c r="C1476" i="4"/>
  <c r="B1476" i="4"/>
  <c r="A1476" i="4"/>
  <c r="X1475" i="4"/>
  <c r="V1475" i="4"/>
  <c r="T1475" i="4"/>
  <c r="S1475" i="4"/>
  <c r="R1475" i="4"/>
  <c r="Q1475" i="4"/>
  <c r="P1475" i="4"/>
  <c r="O1475" i="4"/>
  <c r="W1475" i="4" s="1"/>
  <c r="N1475" i="4"/>
  <c r="M1475" i="4"/>
  <c r="L1475" i="4"/>
  <c r="K1475" i="4"/>
  <c r="J1475" i="4"/>
  <c r="I1475" i="4"/>
  <c r="H1475" i="4"/>
  <c r="G1475" i="4"/>
  <c r="F1475" i="4"/>
  <c r="E1475" i="4"/>
  <c r="U1475" i="4" s="1"/>
  <c r="D1475" i="4"/>
  <c r="C1475" i="4"/>
  <c r="B1475" i="4"/>
  <c r="A1475" i="4"/>
  <c r="X1474" i="4"/>
  <c r="W1474" i="4"/>
  <c r="V1474" i="4"/>
  <c r="T1474" i="4"/>
  <c r="S1474" i="4"/>
  <c r="R1474" i="4"/>
  <c r="Q1474" i="4"/>
  <c r="P1474" i="4"/>
  <c r="O1474" i="4"/>
  <c r="N1474" i="4"/>
  <c r="M1474" i="4"/>
  <c r="L1474" i="4"/>
  <c r="K1474" i="4"/>
  <c r="J1474" i="4"/>
  <c r="I1474" i="4"/>
  <c r="H1474" i="4"/>
  <c r="G1474" i="4"/>
  <c r="F1474" i="4"/>
  <c r="E1474" i="4"/>
  <c r="U1474" i="4" s="1"/>
  <c r="D1474" i="4"/>
  <c r="C1474" i="4"/>
  <c r="B1474" i="4"/>
  <c r="A1474" i="4"/>
  <c r="X1473" i="4"/>
  <c r="T1473" i="4"/>
  <c r="S1473" i="4"/>
  <c r="R1473" i="4"/>
  <c r="Q1473" i="4"/>
  <c r="P1473" i="4"/>
  <c r="O1473" i="4"/>
  <c r="W1473" i="4" s="1"/>
  <c r="N1473" i="4"/>
  <c r="M1473" i="4"/>
  <c r="L1473" i="4"/>
  <c r="K1473" i="4"/>
  <c r="J1473" i="4"/>
  <c r="I1473" i="4"/>
  <c r="H1473" i="4"/>
  <c r="G1473" i="4"/>
  <c r="F1473" i="4"/>
  <c r="E1473" i="4"/>
  <c r="U1473" i="4" s="1"/>
  <c r="D1473" i="4"/>
  <c r="C1473" i="4"/>
  <c r="V1473" i="4" s="1"/>
  <c r="B1473" i="4"/>
  <c r="A1473" i="4"/>
  <c r="X1472" i="4"/>
  <c r="V1472" i="4"/>
  <c r="T1472" i="4"/>
  <c r="S1472" i="4"/>
  <c r="R1472" i="4"/>
  <c r="Q1472" i="4"/>
  <c r="P1472" i="4"/>
  <c r="O1472" i="4"/>
  <c r="W1472" i="4" s="1"/>
  <c r="N1472" i="4"/>
  <c r="M1472" i="4"/>
  <c r="L1472" i="4"/>
  <c r="K1472" i="4"/>
  <c r="J1472" i="4"/>
  <c r="I1472" i="4"/>
  <c r="H1472" i="4"/>
  <c r="G1472" i="4"/>
  <c r="F1472" i="4"/>
  <c r="E1472" i="4"/>
  <c r="U1472" i="4" s="1"/>
  <c r="D1472" i="4"/>
  <c r="C1472" i="4"/>
  <c r="B1472" i="4"/>
  <c r="A1472" i="4"/>
  <c r="X1471" i="4"/>
  <c r="W1471" i="4"/>
  <c r="T1471" i="4"/>
  <c r="S1471" i="4"/>
  <c r="R1471" i="4"/>
  <c r="Q1471" i="4"/>
  <c r="P1471" i="4"/>
  <c r="O1471" i="4"/>
  <c r="N1471" i="4"/>
  <c r="M1471" i="4"/>
  <c r="L1471" i="4"/>
  <c r="K1471" i="4"/>
  <c r="J1471" i="4"/>
  <c r="I1471" i="4"/>
  <c r="H1471" i="4"/>
  <c r="G1471" i="4"/>
  <c r="F1471" i="4"/>
  <c r="E1471" i="4"/>
  <c r="U1471" i="4" s="1"/>
  <c r="D1471" i="4"/>
  <c r="C1471" i="4"/>
  <c r="V1471" i="4" s="1"/>
  <c r="B1471" i="4"/>
  <c r="A1471" i="4"/>
  <c r="X1470" i="4"/>
  <c r="V1470" i="4"/>
  <c r="T1470" i="4"/>
  <c r="S1470" i="4"/>
  <c r="R1470" i="4"/>
  <c r="Q1470" i="4"/>
  <c r="P1470" i="4"/>
  <c r="O1470" i="4"/>
  <c r="W1470" i="4" s="1"/>
  <c r="N1470" i="4"/>
  <c r="M1470" i="4"/>
  <c r="L1470" i="4"/>
  <c r="K1470" i="4"/>
  <c r="J1470" i="4"/>
  <c r="I1470" i="4"/>
  <c r="H1470" i="4"/>
  <c r="G1470" i="4"/>
  <c r="F1470" i="4"/>
  <c r="E1470" i="4"/>
  <c r="U1470" i="4" s="1"/>
  <c r="D1470" i="4"/>
  <c r="C1470" i="4"/>
  <c r="B1470" i="4"/>
  <c r="A1470" i="4"/>
  <c r="X1469" i="4"/>
  <c r="V1469" i="4"/>
  <c r="T1469" i="4"/>
  <c r="S1469" i="4"/>
  <c r="R1469" i="4"/>
  <c r="Q1469" i="4"/>
  <c r="P1469" i="4"/>
  <c r="O1469" i="4"/>
  <c r="W1469" i="4" s="1"/>
  <c r="N1469" i="4"/>
  <c r="M1469" i="4"/>
  <c r="L1469" i="4"/>
  <c r="K1469" i="4"/>
  <c r="J1469" i="4"/>
  <c r="I1469" i="4"/>
  <c r="H1469" i="4"/>
  <c r="G1469" i="4"/>
  <c r="F1469" i="4"/>
  <c r="E1469" i="4"/>
  <c r="U1469" i="4" s="1"/>
  <c r="D1469" i="4"/>
  <c r="C1469" i="4"/>
  <c r="B1469" i="4"/>
  <c r="A1469" i="4"/>
  <c r="X1468" i="4"/>
  <c r="W1468" i="4"/>
  <c r="V1468" i="4"/>
  <c r="T1468" i="4"/>
  <c r="S1468" i="4"/>
  <c r="R1468" i="4"/>
  <c r="Q1468" i="4"/>
  <c r="P1468" i="4"/>
  <c r="O1468" i="4"/>
  <c r="N1468" i="4"/>
  <c r="M1468" i="4"/>
  <c r="L1468" i="4"/>
  <c r="K1468" i="4"/>
  <c r="J1468" i="4"/>
  <c r="I1468" i="4"/>
  <c r="H1468" i="4"/>
  <c r="G1468" i="4"/>
  <c r="F1468" i="4"/>
  <c r="E1468" i="4"/>
  <c r="U1468" i="4" s="1"/>
  <c r="D1468" i="4"/>
  <c r="C1468" i="4"/>
  <c r="B1468" i="4"/>
  <c r="A1468" i="4"/>
  <c r="X1467" i="4"/>
  <c r="T1467" i="4"/>
  <c r="S1467" i="4"/>
  <c r="W1467" i="4" s="1"/>
  <c r="R1467" i="4"/>
  <c r="Q1467" i="4"/>
  <c r="P1467" i="4"/>
  <c r="O1467" i="4"/>
  <c r="N1467" i="4"/>
  <c r="M1467" i="4"/>
  <c r="L1467" i="4"/>
  <c r="K1467" i="4"/>
  <c r="J1467" i="4"/>
  <c r="I1467" i="4"/>
  <c r="H1467" i="4"/>
  <c r="G1467" i="4"/>
  <c r="F1467" i="4"/>
  <c r="E1467" i="4"/>
  <c r="U1467" i="4" s="1"/>
  <c r="D1467" i="4"/>
  <c r="C1467" i="4"/>
  <c r="V1467" i="4" s="1"/>
  <c r="B1467" i="4"/>
  <c r="A1467" i="4"/>
  <c r="X1466" i="4"/>
  <c r="V1466" i="4"/>
  <c r="T1466" i="4"/>
  <c r="S1466" i="4"/>
  <c r="R1466" i="4"/>
  <c r="Q1466" i="4"/>
  <c r="P1466" i="4"/>
  <c r="O1466" i="4"/>
  <c r="W1466" i="4" s="1"/>
  <c r="N1466" i="4"/>
  <c r="M1466" i="4"/>
  <c r="L1466" i="4"/>
  <c r="K1466" i="4"/>
  <c r="J1466" i="4"/>
  <c r="I1466" i="4"/>
  <c r="H1466" i="4"/>
  <c r="G1466" i="4"/>
  <c r="F1466" i="4"/>
  <c r="E1466" i="4"/>
  <c r="U1466" i="4" s="1"/>
  <c r="D1466" i="4"/>
  <c r="C1466" i="4"/>
  <c r="B1466" i="4"/>
  <c r="A1466" i="4"/>
  <c r="X1465" i="4"/>
  <c r="T1465" i="4"/>
  <c r="S1465" i="4"/>
  <c r="R1465" i="4"/>
  <c r="Q1465" i="4"/>
  <c r="P1465" i="4"/>
  <c r="O1465" i="4"/>
  <c r="N1465" i="4"/>
  <c r="M1465" i="4"/>
  <c r="L1465" i="4"/>
  <c r="K1465" i="4"/>
  <c r="J1465" i="4"/>
  <c r="I1465" i="4"/>
  <c r="H1465" i="4"/>
  <c r="G1465" i="4"/>
  <c r="F1465" i="4"/>
  <c r="E1465" i="4"/>
  <c r="U1465" i="4" s="1"/>
  <c r="D1465" i="4"/>
  <c r="C1465" i="4"/>
  <c r="V1465" i="4" s="1"/>
  <c r="B1465" i="4"/>
  <c r="A1465" i="4"/>
  <c r="X1464" i="4"/>
  <c r="V1464" i="4"/>
  <c r="T1464" i="4"/>
  <c r="S1464" i="4"/>
  <c r="R1464" i="4"/>
  <c r="Q1464" i="4"/>
  <c r="P1464" i="4"/>
  <c r="O1464" i="4"/>
  <c r="N1464" i="4"/>
  <c r="M1464" i="4"/>
  <c r="L1464" i="4"/>
  <c r="W1464" i="4" s="1"/>
  <c r="K1464" i="4"/>
  <c r="J1464" i="4"/>
  <c r="I1464" i="4"/>
  <c r="H1464" i="4"/>
  <c r="G1464" i="4"/>
  <c r="F1464" i="4"/>
  <c r="E1464" i="4"/>
  <c r="U1464" i="4" s="1"/>
  <c r="D1464" i="4"/>
  <c r="C1464" i="4"/>
  <c r="B1464" i="4"/>
  <c r="A1464" i="4"/>
  <c r="X1463" i="4"/>
  <c r="T1463" i="4"/>
  <c r="S1463" i="4"/>
  <c r="R1463" i="4"/>
  <c r="Q1463" i="4"/>
  <c r="P1463" i="4"/>
  <c r="O1463" i="4"/>
  <c r="W1463" i="4" s="1"/>
  <c r="N1463" i="4"/>
  <c r="M1463" i="4"/>
  <c r="L1463" i="4"/>
  <c r="K1463" i="4"/>
  <c r="J1463" i="4"/>
  <c r="I1463" i="4"/>
  <c r="H1463" i="4"/>
  <c r="G1463" i="4"/>
  <c r="F1463" i="4"/>
  <c r="E1463" i="4"/>
  <c r="U1463" i="4" s="1"/>
  <c r="D1463" i="4"/>
  <c r="C1463" i="4"/>
  <c r="V1463" i="4" s="1"/>
  <c r="B1463" i="4"/>
  <c r="A1463" i="4"/>
  <c r="X1462" i="4"/>
  <c r="V1462" i="4"/>
  <c r="T1462" i="4"/>
  <c r="S1462" i="4"/>
  <c r="R1462" i="4"/>
  <c r="Q1462" i="4"/>
  <c r="P1462" i="4"/>
  <c r="O1462" i="4"/>
  <c r="W1462" i="4" s="1"/>
  <c r="N1462" i="4"/>
  <c r="M1462" i="4"/>
  <c r="L1462" i="4"/>
  <c r="K1462" i="4"/>
  <c r="J1462" i="4"/>
  <c r="I1462" i="4"/>
  <c r="H1462" i="4"/>
  <c r="G1462" i="4"/>
  <c r="F1462" i="4"/>
  <c r="E1462" i="4"/>
  <c r="U1462" i="4" s="1"/>
  <c r="D1462" i="4"/>
  <c r="C1462" i="4"/>
  <c r="B1462" i="4"/>
  <c r="A1462" i="4"/>
  <c r="X1461" i="4"/>
  <c r="W1461" i="4"/>
  <c r="T1461" i="4"/>
  <c r="S1461" i="4"/>
  <c r="R1461" i="4"/>
  <c r="Q1461" i="4"/>
  <c r="P1461" i="4"/>
  <c r="O1461" i="4"/>
  <c r="N1461" i="4"/>
  <c r="M1461" i="4"/>
  <c r="L1461" i="4"/>
  <c r="K1461" i="4"/>
  <c r="J1461" i="4"/>
  <c r="I1461" i="4"/>
  <c r="H1461" i="4"/>
  <c r="G1461" i="4"/>
  <c r="F1461" i="4"/>
  <c r="E1461" i="4"/>
  <c r="U1461" i="4" s="1"/>
  <c r="D1461" i="4"/>
  <c r="C1461" i="4"/>
  <c r="V1461" i="4" s="1"/>
  <c r="B1461" i="4"/>
  <c r="A1461" i="4"/>
  <c r="X1460" i="4"/>
  <c r="V1460" i="4"/>
  <c r="T1460" i="4"/>
  <c r="S1460" i="4"/>
  <c r="R1460" i="4"/>
  <c r="Q1460" i="4"/>
  <c r="P1460" i="4"/>
  <c r="O1460" i="4"/>
  <c r="W1460" i="4" s="1"/>
  <c r="N1460" i="4"/>
  <c r="M1460" i="4"/>
  <c r="L1460" i="4"/>
  <c r="K1460" i="4"/>
  <c r="J1460" i="4"/>
  <c r="I1460" i="4"/>
  <c r="H1460" i="4"/>
  <c r="G1460" i="4"/>
  <c r="F1460" i="4"/>
  <c r="E1460" i="4"/>
  <c r="U1460" i="4" s="1"/>
  <c r="D1460" i="4"/>
  <c r="C1460" i="4"/>
  <c r="B1460" i="4"/>
  <c r="A1460" i="4"/>
  <c r="X1459" i="4"/>
  <c r="V1459" i="4"/>
  <c r="T1459" i="4"/>
  <c r="S1459" i="4"/>
  <c r="R1459" i="4"/>
  <c r="Q1459" i="4"/>
  <c r="P1459" i="4"/>
  <c r="O1459" i="4"/>
  <c r="W1459" i="4" s="1"/>
  <c r="N1459" i="4"/>
  <c r="M1459" i="4"/>
  <c r="L1459" i="4"/>
  <c r="K1459" i="4"/>
  <c r="J1459" i="4"/>
  <c r="I1459" i="4"/>
  <c r="H1459" i="4"/>
  <c r="G1459" i="4"/>
  <c r="F1459" i="4"/>
  <c r="E1459" i="4"/>
  <c r="U1459" i="4" s="1"/>
  <c r="D1459" i="4"/>
  <c r="C1459" i="4"/>
  <c r="B1459" i="4"/>
  <c r="A1459" i="4"/>
  <c r="X1458" i="4"/>
  <c r="V1458" i="4"/>
  <c r="T1458" i="4"/>
  <c r="S1458" i="4"/>
  <c r="R1458" i="4"/>
  <c r="Q1458" i="4"/>
  <c r="P1458" i="4"/>
  <c r="O1458" i="4"/>
  <c r="W1458" i="4" s="1"/>
  <c r="N1458" i="4"/>
  <c r="M1458" i="4"/>
  <c r="L1458" i="4"/>
  <c r="K1458" i="4"/>
  <c r="J1458" i="4"/>
  <c r="I1458" i="4"/>
  <c r="H1458" i="4"/>
  <c r="G1458" i="4"/>
  <c r="F1458" i="4"/>
  <c r="E1458" i="4"/>
  <c r="U1458" i="4" s="1"/>
  <c r="D1458" i="4"/>
  <c r="C1458" i="4"/>
  <c r="B1458" i="4"/>
  <c r="A1458" i="4"/>
  <c r="X1457" i="4"/>
  <c r="W1457" i="4"/>
  <c r="V1457" i="4"/>
  <c r="T1457" i="4"/>
  <c r="S1457" i="4"/>
  <c r="R1457" i="4"/>
  <c r="Q1457" i="4"/>
  <c r="P1457" i="4"/>
  <c r="O1457" i="4"/>
  <c r="N1457" i="4"/>
  <c r="M1457" i="4"/>
  <c r="L1457" i="4"/>
  <c r="K1457" i="4"/>
  <c r="J1457" i="4"/>
  <c r="I1457" i="4"/>
  <c r="H1457" i="4"/>
  <c r="G1457" i="4"/>
  <c r="F1457" i="4"/>
  <c r="E1457" i="4"/>
  <c r="U1457" i="4" s="1"/>
  <c r="D1457" i="4"/>
  <c r="C1457" i="4"/>
  <c r="B1457" i="4"/>
  <c r="A1457" i="4"/>
  <c r="X1456" i="4"/>
  <c r="V1456" i="4"/>
  <c r="T1456" i="4"/>
  <c r="S1456" i="4"/>
  <c r="R1456" i="4"/>
  <c r="Q1456" i="4"/>
  <c r="P1456" i="4"/>
  <c r="O1456" i="4"/>
  <c r="W1456" i="4" s="1"/>
  <c r="N1456" i="4"/>
  <c r="M1456" i="4"/>
  <c r="L1456" i="4"/>
  <c r="K1456" i="4"/>
  <c r="J1456" i="4"/>
  <c r="I1456" i="4"/>
  <c r="H1456" i="4"/>
  <c r="G1456" i="4"/>
  <c r="F1456" i="4"/>
  <c r="E1456" i="4"/>
  <c r="U1456" i="4" s="1"/>
  <c r="D1456" i="4"/>
  <c r="C1456" i="4"/>
  <c r="B1456" i="4"/>
  <c r="A1456" i="4"/>
  <c r="X1455" i="4"/>
  <c r="W1455" i="4"/>
  <c r="V1455" i="4"/>
  <c r="T1455" i="4"/>
  <c r="S1455" i="4"/>
  <c r="R1455" i="4"/>
  <c r="Q1455" i="4"/>
  <c r="P1455" i="4"/>
  <c r="O1455" i="4"/>
  <c r="N1455" i="4"/>
  <c r="M1455" i="4"/>
  <c r="L1455" i="4"/>
  <c r="K1455" i="4"/>
  <c r="J1455" i="4"/>
  <c r="I1455" i="4"/>
  <c r="H1455" i="4"/>
  <c r="G1455" i="4"/>
  <c r="F1455" i="4"/>
  <c r="E1455" i="4"/>
  <c r="U1455" i="4" s="1"/>
  <c r="D1455" i="4"/>
  <c r="C1455" i="4"/>
  <c r="B1455" i="4"/>
  <c r="A1455" i="4"/>
  <c r="X1454" i="4"/>
  <c r="V1454" i="4"/>
  <c r="T1454" i="4"/>
  <c r="S1454" i="4"/>
  <c r="R1454" i="4"/>
  <c r="Q1454" i="4"/>
  <c r="P1454" i="4"/>
  <c r="O1454" i="4"/>
  <c r="N1454" i="4"/>
  <c r="M1454" i="4"/>
  <c r="L1454" i="4"/>
  <c r="W1454" i="4" s="1"/>
  <c r="K1454" i="4"/>
  <c r="J1454" i="4"/>
  <c r="I1454" i="4"/>
  <c r="H1454" i="4"/>
  <c r="G1454" i="4"/>
  <c r="F1454" i="4"/>
  <c r="E1454" i="4"/>
  <c r="U1454" i="4" s="1"/>
  <c r="D1454" i="4"/>
  <c r="C1454" i="4"/>
  <c r="B1454" i="4"/>
  <c r="A1454" i="4"/>
  <c r="X1453" i="4"/>
  <c r="T1453" i="4"/>
  <c r="S1453" i="4"/>
  <c r="R1453" i="4"/>
  <c r="Q1453" i="4"/>
  <c r="P1453" i="4"/>
  <c r="O1453" i="4"/>
  <c r="N1453" i="4"/>
  <c r="M1453" i="4"/>
  <c r="L1453" i="4"/>
  <c r="K1453" i="4"/>
  <c r="J1453" i="4"/>
  <c r="I1453" i="4"/>
  <c r="H1453" i="4"/>
  <c r="G1453" i="4"/>
  <c r="F1453" i="4"/>
  <c r="E1453" i="4"/>
  <c r="U1453" i="4" s="1"/>
  <c r="D1453" i="4"/>
  <c r="C1453" i="4"/>
  <c r="V1453" i="4" s="1"/>
  <c r="B1453" i="4"/>
  <c r="A1453" i="4"/>
  <c r="X1452" i="4"/>
  <c r="V1452" i="4"/>
  <c r="T1452" i="4"/>
  <c r="S1452" i="4"/>
  <c r="R1452" i="4"/>
  <c r="Q1452" i="4"/>
  <c r="P1452" i="4"/>
  <c r="O1452" i="4"/>
  <c r="N1452" i="4"/>
  <c r="M1452" i="4"/>
  <c r="L1452" i="4"/>
  <c r="K1452" i="4"/>
  <c r="J1452" i="4"/>
  <c r="I1452" i="4"/>
  <c r="H1452" i="4"/>
  <c r="G1452" i="4"/>
  <c r="F1452" i="4"/>
  <c r="E1452" i="4"/>
  <c r="U1452" i="4" s="1"/>
  <c r="D1452" i="4"/>
  <c r="C1452" i="4"/>
  <c r="B1452" i="4"/>
  <c r="A1452" i="4"/>
  <c r="X1451" i="4"/>
  <c r="T1451" i="4"/>
  <c r="S1451" i="4"/>
  <c r="W1451" i="4" s="1"/>
  <c r="R1451" i="4"/>
  <c r="Q1451" i="4"/>
  <c r="P1451" i="4"/>
  <c r="O1451" i="4"/>
  <c r="N1451" i="4"/>
  <c r="M1451" i="4"/>
  <c r="L1451" i="4"/>
  <c r="K1451" i="4"/>
  <c r="J1451" i="4"/>
  <c r="I1451" i="4"/>
  <c r="H1451" i="4"/>
  <c r="G1451" i="4"/>
  <c r="F1451" i="4"/>
  <c r="E1451" i="4"/>
  <c r="U1451" i="4" s="1"/>
  <c r="D1451" i="4"/>
  <c r="C1451" i="4"/>
  <c r="V1451" i="4" s="1"/>
  <c r="B1451" i="4"/>
  <c r="A1451" i="4"/>
  <c r="X1450" i="4"/>
  <c r="V1450" i="4"/>
  <c r="T1450" i="4"/>
  <c r="S1450" i="4"/>
  <c r="R1450" i="4"/>
  <c r="Q1450" i="4"/>
  <c r="P1450" i="4"/>
  <c r="O1450" i="4"/>
  <c r="N1450" i="4"/>
  <c r="M1450" i="4"/>
  <c r="L1450" i="4"/>
  <c r="W1450" i="4" s="1"/>
  <c r="K1450" i="4"/>
  <c r="J1450" i="4"/>
  <c r="I1450" i="4"/>
  <c r="H1450" i="4"/>
  <c r="G1450" i="4"/>
  <c r="F1450" i="4"/>
  <c r="E1450" i="4"/>
  <c r="U1450" i="4" s="1"/>
  <c r="D1450" i="4"/>
  <c r="C1450" i="4"/>
  <c r="B1450" i="4"/>
  <c r="A1450" i="4"/>
  <c r="X1449" i="4"/>
  <c r="T1449" i="4"/>
  <c r="S1449" i="4"/>
  <c r="R1449" i="4"/>
  <c r="Q1449" i="4"/>
  <c r="P1449" i="4"/>
  <c r="O1449" i="4"/>
  <c r="W1449" i="4" s="1"/>
  <c r="N1449" i="4"/>
  <c r="M1449" i="4"/>
  <c r="L1449" i="4"/>
  <c r="K1449" i="4"/>
  <c r="J1449" i="4"/>
  <c r="I1449" i="4"/>
  <c r="H1449" i="4"/>
  <c r="G1449" i="4"/>
  <c r="F1449" i="4"/>
  <c r="E1449" i="4"/>
  <c r="U1449" i="4" s="1"/>
  <c r="D1449" i="4"/>
  <c r="C1449" i="4"/>
  <c r="V1449" i="4" s="1"/>
  <c r="B1449" i="4"/>
  <c r="A1449" i="4"/>
  <c r="X1448" i="4"/>
  <c r="V1448" i="4"/>
  <c r="T1448" i="4"/>
  <c r="S1448" i="4"/>
  <c r="R1448" i="4"/>
  <c r="Q1448" i="4"/>
  <c r="P1448" i="4"/>
  <c r="O1448" i="4"/>
  <c r="W1448" i="4" s="1"/>
  <c r="N1448" i="4"/>
  <c r="M1448" i="4"/>
  <c r="L1448" i="4"/>
  <c r="K1448" i="4"/>
  <c r="J1448" i="4"/>
  <c r="I1448" i="4"/>
  <c r="H1448" i="4"/>
  <c r="G1448" i="4"/>
  <c r="F1448" i="4"/>
  <c r="E1448" i="4"/>
  <c r="U1448" i="4" s="1"/>
  <c r="D1448" i="4"/>
  <c r="C1448" i="4"/>
  <c r="B1448" i="4"/>
  <c r="A1448" i="4"/>
  <c r="X1447" i="4"/>
  <c r="T1447" i="4"/>
  <c r="S1447" i="4"/>
  <c r="R1447" i="4"/>
  <c r="Q1447" i="4"/>
  <c r="P1447" i="4"/>
  <c r="O1447" i="4"/>
  <c r="W1447" i="4" s="1"/>
  <c r="N1447" i="4"/>
  <c r="M1447" i="4"/>
  <c r="L1447" i="4"/>
  <c r="K1447" i="4"/>
  <c r="J1447" i="4"/>
  <c r="I1447" i="4"/>
  <c r="H1447" i="4"/>
  <c r="G1447" i="4"/>
  <c r="F1447" i="4"/>
  <c r="E1447" i="4"/>
  <c r="U1447" i="4" s="1"/>
  <c r="D1447" i="4"/>
  <c r="C1447" i="4"/>
  <c r="V1447" i="4" s="1"/>
  <c r="B1447" i="4"/>
  <c r="A1447" i="4"/>
  <c r="X1446" i="4"/>
  <c r="V1446" i="4"/>
  <c r="T1446" i="4"/>
  <c r="S1446" i="4"/>
  <c r="R1446" i="4"/>
  <c r="Q1446" i="4"/>
  <c r="P1446" i="4"/>
  <c r="O1446" i="4"/>
  <c r="N1446" i="4"/>
  <c r="M1446" i="4"/>
  <c r="L1446" i="4"/>
  <c r="W1446" i="4" s="1"/>
  <c r="K1446" i="4"/>
  <c r="J1446" i="4"/>
  <c r="I1446" i="4"/>
  <c r="H1446" i="4"/>
  <c r="G1446" i="4"/>
  <c r="F1446" i="4"/>
  <c r="E1446" i="4"/>
  <c r="U1446" i="4" s="1"/>
  <c r="D1446" i="4"/>
  <c r="C1446" i="4"/>
  <c r="B1446" i="4"/>
  <c r="A1446" i="4"/>
  <c r="X1445" i="4"/>
  <c r="T1445" i="4"/>
  <c r="S1445" i="4"/>
  <c r="R1445" i="4"/>
  <c r="Q1445" i="4"/>
  <c r="P1445" i="4"/>
  <c r="O1445" i="4"/>
  <c r="N1445" i="4"/>
  <c r="M1445" i="4"/>
  <c r="L1445" i="4"/>
  <c r="K1445" i="4"/>
  <c r="J1445" i="4"/>
  <c r="I1445" i="4"/>
  <c r="H1445" i="4"/>
  <c r="G1445" i="4"/>
  <c r="F1445" i="4"/>
  <c r="E1445" i="4"/>
  <c r="U1445" i="4" s="1"/>
  <c r="D1445" i="4"/>
  <c r="C1445" i="4"/>
  <c r="V1445" i="4" s="1"/>
  <c r="B1445" i="4"/>
  <c r="A1445" i="4"/>
  <c r="X1444" i="4"/>
  <c r="W1444" i="4"/>
  <c r="V1444" i="4"/>
  <c r="T1444" i="4"/>
  <c r="S1444" i="4"/>
  <c r="R1444" i="4"/>
  <c r="Q1444" i="4"/>
  <c r="P1444" i="4"/>
  <c r="O1444" i="4"/>
  <c r="N1444" i="4"/>
  <c r="M1444" i="4"/>
  <c r="L1444" i="4"/>
  <c r="K1444" i="4"/>
  <c r="J1444" i="4"/>
  <c r="I1444" i="4"/>
  <c r="H1444" i="4"/>
  <c r="G1444" i="4"/>
  <c r="F1444" i="4"/>
  <c r="E1444" i="4"/>
  <c r="U1444" i="4" s="1"/>
  <c r="D1444" i="4"/>
  <c r="C1444" i="4"/>
  <c r="B1444" i="4"/>
  <c r="A1444" i="4"/>
  <c r="X1443" i="4"/>
  <c r="V1443" i="4"/>
  <c r="T1443" i="4"/>
  <c r="S1443" i="4"/>
  <c r="R1443" i="4"/>
  <c r="Q1443" i="4"/>
  <c r="P1443" i="4"/>
  <c r="O1443" i="4"/>
  <c r="W1443" i="4" s="1"/>
  <c r="N1443" i="4"/>
  <c r="M1443" i="4"/>
  <c r="L1443" i="4"/>
  <c r="K1443" i="4"/>
  <c r="J1443" i="4"/>
  <c r="I1443" i="4"/>
  <c r="H1443" i="4"/>
  <c r="G1443" i="4"/>
  <c r="F1443" i="4"/>
  <c r="E1443" i="4"/>
  <c r="U1443" i="4" s="1"/>
  <c r="D1443" i="4"/>
  <c r="C1443" i="4"/>
  <c r="B1443" i="4"/>
  <c r="A1443" i="4"/>
  <c r="X1442" i="4"/>
  <c r="W1442" i="4"/>
  <c r="V1442" i="4"/>
  <c r="T1442" i="4"/>
  <c r="S1442" i="4"/>
  <c r="R1442" i="4"/>
  <c r="Q1442" i="4"/>
  <c r="P1442" i="4"/>
  <c r="O1442" i="4"/>
  <c r="N1442" i="4"/>
  <c r="M1442" i="4"/>
  <c r="L1442" i="4"/>
  <c r="K1442" i="4"/>
  <c r="J1442" i="4"/>
  <c r="I1442" i="4"/>
  <c r="H1442" i="4"/>
  <c r="G1442" i="4"/>
  <c r="F1442" i="4"/>
  <c r="E1442" i="4"/>
  <c r="U1442" i="4" s="1"/>
  <c r="D1442" i="4"/>
  <c r="C1442" i="4"/>
  <c r="B1442" i="4"/>
  <c r="A1442" i="4"/>
  <c r="X1441" i="4"/>
  <c r="T1441" i="4"/>
  <c r="S1441" i="4"/>
  <c r="R1441" i="4"/>
  <c r="Q1441" i="4"/>
  <c r="P1441" i="4"/>
  <c r="O1441" i="4"/>
  <c r="W1441" i="4" s="1"/>
  <c r="N1441" i="4"/>
  <c r="M1441" i="4"/>
  <c r="L1441" i="4"/>
  <c r="K1441" i="4"/>
  <c r="J1441" i="4"/>
  <c r="I1441" i="4"/>
  <c r="H1441" i="4"/>
  <c r="G1441" i="4"/>
  <c r="F1441" i="4"/>
  <c r="E1441" i="4"/>
  <c r="U1441" i="4" s="1"/>
  <c r="D1441" i="4"/>
  <c r="C1441" i="4"/>
  <c r="V1441" i="4" s="1"/>
  <c r="B1441" i="4"/>
  <c r="A1441" i="4"/>
  <c r="X1440" i="4"/>
  <c r="W1440" i="4"/>
  <c r="V1440" i="4"/>
  <c r="T1440" i="4"/>
  <c r="S1440" i="4"/>
  <c r="R1440" i="4"/>
  <c r="Q1440" i="4"/>
  <c r="P1440" i="4"/>
  <c r="O1440" i="4"/>
  <c r="N1440" i="4"/>
  <c r="M1440" i="4"/>
  <c r="L1440" i="4"/>
  <c r="K1440" i="4"/>
  <c r="J1440" i="4"/>
  <c r="I1440" i="4"/>
  <c r="H1440" i="4"/>
  <c r="G1440" i="4"/>
  <c r="F1440" i="4"/>
  <c r="E1440" i="4"/>
  <c r="U1440" i="4" s="1"/>
  <c r="D1440" i="4"/>
  <c r="C1440" i="4"/>
  <c r="B1440" i="4"/>
  <c r="A1440" i="4"/>
  <c r="X1439" i="4"/>
  <c r="W1439" i="4"/>
  <c r="V1439" i="4"/>
  <c r="T1439" i="4"/>
  <c r="S1439" i="4"/>
  <c r="R1439" i="4"/>
  <c r="Q1439" i="4"/>
  <c r="P1439" i="4"/>
  <c r="O1439" i="4"/>
  <c r="N1439" i="4"/>
  <c r="M1439" i="4"/>
  <c r="L1439" i="4"/>
  <c r="K1439" i="4"/>
  <c r="J1439" i="4"/>
  <c r="I1439" i="4"/>
  <c r="H1439" i="4"/>
  <c r="G1439" i="4"/>
  <c r="F1439" i="4"/>
  <c r="E1439" i="4"/>
  <c r="U1439" i="4" s="1"/>
  <c r="D1439" i="4"/>
  <c r="C1439" i="4"/>
  <c r="B1439" i="4"/>
  <c r="A1439" i="4"/>
  <c r="X1438" i="4"/>
  <c r="V1438" i="4"/>
  <c r="T1438" i="4"/>
  <c r="S1438" i="4"/>
  <c r="R1438" i="4"/>
  <c r="Q1438" i="4"/>
  <c r="P1438" i="4"/>
  <c r="O1438" i="4"/>
  <c r="W1438" i="4" s="1"/>
  <c r="N1438" i="4"/>
  <c r="M1438" i="4"/>
  <c r="L1438" i="4"/>
  <c r="K1438" i="4"/>
  <c r="J1438" i="4"/>
  <c r="I1438" i="4"/>
  <c r="H1438" i="4"/>
  <c r="G1438" i="4"/>
  <c r="F1438" i="4"/>
  <c r="E1438" i="4"/>
  <c r="U1438" i="4" s="1"/>
  <c r="D1438" i="4"/>
  <c r="C1438" i="4"/>
  <c r="B1438" i="4"/>
  <c r="A1438" i="4"/>
  <c r="X1437" i="4"/>
  <c r="V1437" i="4"/>
  <c r="T1437" i="4"/>
  <c r="S1437" i="4"/>
  <c r="R1437" i="4"/>
  <c r="Q1437" i="4"/>
  <c r="P1437" i="4"/>
  <c r="O1437" i="4"/>
  <c r="W1437" i="4" s="1"/>
  <c r="N1437" i="4"/>
  <c r="M1437" i="4"/>
  <c r="L1437" i="4"/>
  <c r="K1437" i="4"/>
  <c r="J1437" i="4"/>
  <c r="I1437" i="4"/>
  <c r="H1437" i="4"/>
  <c r="G1437" i="4"/>
  <c r="F1437" i="4"/>
  <c r="E1437" i="4"/>
  <c r="U1437" i="4" s="1"/>
  <c r="D1437" i="4"/>
  <c r="C1437" i="4"/>
  <c r="B1437" i="4"/>
  <c r="A1437" i="4"/>
  <c r="X1436" i="4"/>
  <c r="W1436" i="4"/>
  <c r="V1436" i="4"/>
  <c r="T1436" i="4"/>
  <c r="S1436" i="4"/>
  <c r="R1436" i="4"/>
  <c r="Q1436" i="4"/>
  <c r="P1436" i="4"/>
  <c r="O1436" i="4"/>
  <c r="N1436" i="4"/>
  <c r="M1436" i="4"/>
  <c r="L1436" i="4"/>
  <c r="K1436" i="4"/>
  <c r="J1436" i="4"/>
  <c r="I1436" i="4"/>
  <c r="H1436" i="4"/>
  <c r="G1436" i="4"/>
  <c r="F1436" i="4"/>
  <c r="E1436" i="4"/>
  <c r="U1436" i="4" s="1"/>
  <c r="D1436" i="4"/>
  <c r="C1436" i="4"/>
  <c r="B1436" i="4"/>
  <c r="A1436" i="4"/>
  <c r="X1435" i="4"/>
  <c r="T1435" i="4"/>
  <c r="S1435" i="4"/>
  <c r="W1435" i="4" s="1"/>
  <c r="R1435" i="4"/>
  <c r="Q1435" i="4"/>
  <c r="P1435" i="4"/>
  <c r="O1435" i="4"/>
  <c r="N1435" i="4"/>
  <c r="M1435" i="4"/>
  <c r="L1435" i="4"/>
  <c r="K1435" i="4"/>
  <c r="J1435" i="4"/>
  <c r="I1435" i="4"/>
  <c r="H1435" i="4"/>
  <c r="G1435" i="4"/>
  <c r="F1435" i="4"/>
  <c r="E1435" i="4"/>
  <c r="U1435" i="4" s="1"/>
  <c r="D1435" i="4"/>
  <c r="C1435" i="4"/>
  <c r="V1435" i="4" s="1"/>
  <c r="B1435" i="4"/>
  <c r="A1435" i="4"/>
  <c r="X1434" i="4"/>
  <c r="V1434" i="4"/>
  <c r="T1434" i="4"/>
  <c r="S1434" i="4"/>
  <c r="R1434" i="4"/>
  <c r="Q1434" i="4"/>
  <c r="P1434" i="4"/>
  <c r="O1434" i="4"/>
  <c r="N1434" i="4"/>
  <c r="M1434" i="4"/>
  <c r="L1434" i="4"/>
  <c r="K1434" i="4"/>
  <c r="J1434" i="4"/>
  <c r="I1434" i="4"/>
  <c r="H1434" i="4"/>
  <c r="G1434" i="4"/>
  <c r="F1434" i="4"/>
  <c r="E1434" i="4"/>
  <c r="U1434" i="4" s="1"/>
  <c r="D1434" i="4"/>
  <c r="C1434" i="4"/>
  <c r="B1434" i="4"/>
  <c r="A1434" i="4"/>
  <c r="X1433" i="4"/>
  <c r="T1433" i="4"/>
  <c r="S1433" i="4"/>
  <c r="R1433" i="4"/>
  <c r="Q1433" i="4"/>
  <c r="P1433" i="4"/>
  <c r="O1433" i="4"/>
  <c r="N1433" i="4"/>
  <c r="M1433" i="4"/>
  <c r="L1433" i="4"/>
  <c r="K1433" i="4"/>
  <c r="J1433" i="4"/>
  <c r="I1433" i="4"/>
  <c r="H1433" i="4"/>
  <c r="G1433" i="4"/>
  <c r="F1433" i="4"/>
  <c r="E1433" i="4"/>
  <c r="U1433" i="4" s="1"/>
  <c r="D1433" i="4"/>
  <c r="C1433" i="4"/>
  <c r="V1433" i="4" s="1"/>
  <c r="B1433" i="4"/>
  <c r="A1433" i="4"/>
  <c r="X1432" i="4"/>
  <c r="V1432" i="4"/>
  <c r="T1432" i="4"/>
  <c r="S1432" i="4"/>
  <c r="R1432" i="4"/>
  <c r="Q1432" i="4"/>
  <c r="P1432" i="4"/>
  <c r="O1432" i="4"/>
  <c r="N1432" i="4"/>
  <c r="M1432" i="4"/>
  <c r="L1432" i="4"/>
  <c r="W1432" i="4" s="1"/>
  <c r="K1432" i="4"/>
  <c r="J1432" i="4"/>
  <c r="I1432" i="4"/>
  <c r="H1432" i="4"/>
  <c r="G1432" i="4"/>
  <c r="F1432" i="4"/>
  <c r="E1432" i="4"/>
  <c r="U1432" i="4" s="1"/>
  <c r="D1432" i="4"/>
  <c r="C1432" i="4"/>
  <c r="B1432" i="4"/>
  <c r="A1432" i="4"/>
  <c r="X1431" i="4"/>
  <c r="T1431" i="4"/>
  <c r="S1431" i="4"/>
  <c r="R1431" i="4"/>
  <c r="Q1431" i="4"/>
  <c r="P1431" i="4"/>
  <c r="O1431" i="4"/>
  <c r="W1431" i="4" s="1"/>
  <c r="N1431" i="4"/>
  <c r="M1431" i="4"/>
  <c r="L1431" i="4"/>
  <c r="K1431" i="4"/>
  <c r="J1431" i="4"/>
  <c r="I1431" i="4"/>
  <c r="H1431" i="4"/>
  <c r="G1431" i="4"/>
  <c r="F1431" i="4"/>
  <c r="E1431" i="4"/>
  <c r="U1431" i="4" s="1"/>
  <c r="D1431" i="4"/>
  <c r="C1431" i="4"/>
  <c r="V1431" i="4" s="1"/>
  <c r="B1431" i="4"/>
  <c r="A1431" i="4"/>
  <c r="X1430" i="4"/>
  <c r="V1430" i="4"/>
  <c r="T1430" i="4"/>
  <c r="S1430" i="4"/>
  <c r="R1430" i="4"/>
  <c r="Q1430" i="4"/>
  <c r="P1430" i="4"/>
  <c r="O1430" i="4"/>
  <c r="W1430" i="4" s="1"/>
  <c r="N1430" i="4"/>
  <c r="M1430" i="4"/>
  <c r="L1430" i="4"/>
  <c r="K1430" i="4"/>
  <c r="J1430" i="4"/>
  <c r="I1430" i="4"/>
  <c r="H1430" i="4"/>
  <c r="G1430" i="4"/>
  <c r="F1430" i="4"/>
  <c r="E1430" i="4"/>
  <c r="U1430" i="4" s="1"/>
  <c r="D1430" i="4"/>
  <c r="C1430" i="4"/>
  <c r="B1430" i="4"/>
  <c r="A1430" i="4"/>
  <c r="X1429" i="4"/>
  <c r="W1429" i="4"/>
  <c r="T1429" i="4"/>
  <c r="S1429" i="4"/>
  <c r="R1429" i="4"/>
  <c r="Q1429" i="4"/>
  <c r="P1429" i="4"/>
  <c r="O1429" i="4"/>
  <c r="N1429" i="4"/>
  <c r="M1429" i="4"/>
  <c r="L1429" i="4"/>
  <c r="K1429" i="4"/>
  <c r="J1429" i="4"/>
  <c r="I1429" i="4"/>
  <c r="H1429" i="4"/>
  <c r="G1429" i="4"/>
  <c r="F1429" i="4"/>
  <c r="E1429" i="4"/>
  <c r="U1429" i="4" s="1"/>
  <c r="D1429" i="4"/>
  <c r="C1429" i="4"/>
  <c r="V1429" i="4" s="1"/>
  <c r="B1429" i="4"/>
  <c r="A1429" i="4"/>
  <c r="X1428" i="4"/>
  <c r="V1428" i="4"/>
  <c r="T1428" i="4"/>
  <c r="S1428" i="4"/>
  <c r="R1428" i="4"/>
  <c r="Q1428" i="4"/>
  <c r="P1428" i="4"/>
  <c r="O1428" i="4"/>
  <c r="W1428" i="4" s="1"/>
  <c r="N1428" i="4"/>
  <c r="M1428" i="4"/>
  <c r="L1428" i="4"/>
  <c r="K1428" i="4"/>
  <c r="J1428" i="4"/>
  <c r="I1428" i="4"/>
  <c r="H1428" i="4"/>
  <c r="G1428" i="4"/>
  <c r="F1428" i="4"/>
  <c r="E1428" i="4"/>
  <c r="U1428" i="4" s="1"/>
  <c r="D1428" i="4"/>
  <c r="C1428" i="4"/>
  <c r="B1428" i="4"/>
  <c r="A1428" i="4"/>
  <c r="X1427" i="4"/>
  <c r="W1427" i="4"/>
  <c r="V1427" i="4"/>
  <c r="T1427" i="4"/>
  <c r="S1427" i="4"/>
  <c r="R1427" i="4"/>
  <c r="Q1427" i="4"/>
  <c r="P1427" i="4"/>
  <c r="O1427" i="4"/>
  <c r="N1427" i="4"/>
  <c r="M1427" i="4"/>
  <c r="L1427" i="4"/>
  <c r="K1427" i="4"/>
  <c r="J1427" i="4"/>
  <c r="I1427" i="4"/>
  <c r="H1427" i="4"/>
  <c r="G1427" i="4"/>
  <c r="F1427" i="4"/>
  <c r="E1427" i="4"/>
  <c r="U1427" i="4" s="1"/>
  <c r="D1427" i="4"/>
  <c r="C1427" i="4"/>
  <c r="B1427" i="4"/>
  <c r="A1427" i="4"/>
  <c r="X1426" i="4"/>
  <c r="V1426" i="4"/>
  <c r="T1426" i="4"/>
  <c r="S1426" i="4"/>
  <c r="R1426" i="4"/>
  <c r="Q1426" i="4"/>
  <c r="P1426" i="4"/>
  <c r="O1426" i="4"/>
  <c r="W1426" i="4" s="1"/>
  <c r="N1426" i="4"/>
  <c r="M1426" i="4"/>
  <c r="L1426" i="4"/>
  <c r="K1426" i="4"/>
  <c r="J1426" i="4"/>
  <c r="I1426" i="4"/>
  <c r="H1426" i="4"/>
  <c r="G1426" i="4"/>
  <c r="F1426" i="4"/>
  <c r="E1426" i="4"/>
  <c r="U1426" i="4" s="1"/>
  <c r="D1426" i="4"/>
  <c r="C1426" i="4"/>
  <c r="B1426" i="4"/>
  <c r="A1426" i="4"/>
  <c r="X1425" i="4"/>
  <c r="W1425" i="4"/>
  <c r="V1425" i="4"/>
  <c r="T1425" i="4"/>
  <c r="S1425" i="4"/>
  <c r="R1425" i="4"/>
  <c r="Q1425" i="4"/>
  <c r="P1425" i="4"/>
  <c r="O1425" i="4"/>
  <c r="N1425" i="4"/>
  <c r="M1425" i="4"/>
  <c r="L1425" i="4"/>
  <c r="K1425" i="4"/>
  <c r="J1425" i="4"/>
  <c r="I1425" i="4"/>
  <c r="H1425" i="4"/>
  <c r="G1425" i="4"/>
  <c r="F1425" i="4"/>
  <c r="E1425" i="4"/>
  <c r="U1425" i="4" s="1"/>
  <c r="D1425" i="4"/>
  <c r="C1425" i="4"/>
  <c r="B1425" i="4"/>
  <c r="A1425" i="4"/>
  <c r="X1424" i="4"/>
  <c r="V1424" i="4"/>
  <c r="T1424" i="4"/>
  <c r="S1424" i="4"/>
  <c r="R1424" i="4"/>
  <c r="Q1424" i="4"/>
  <c r="P1424" i="4"/>
  <c r="O1424" i="4"/>
  <c r="N1424" i="4"/>
  <c r="M1424" i="4"/>
  <c r="L1424" i="4"/>
  <c r="K1424" i="4"/>
  <c r="J1424" i="4"/>
  <c r="I1424" i="4"/>
  <c r="H1424" i="4"/>
  <c r="G1424" i="4"/>
  <c r="F1424" i="4"/>
  <c r="E1424" i="4"/>
  <c r="U1424" i="4" s="1"/>
  <c r="D1424" i="4"/>
  <c r="C1424" i="4"/>
  <c r="B1424" i="4"/>
  <c r="A1424" i="4"/>
  <c r="X1423" i="4"/>
  <c r="T1423" i="4"/>
  <c r="S1423" i="4"/>
  <c r="W1423" i="4" s="1"/>
  <c r="R1423" i="4"/>
  <c r="Q1423" i="4"/>
  <c r="P1423" i="4"/>
  <c r="O1423" i="4"/>
  <c r="N1423" i="4"/>
  <c r="M1423" i="4"/>
  <c r="L1423" i="4"/>
  <c r="K1423" i="4"/>
  <c r="J1423" i="4"/>
  <c r="I1423" i="4"/>
  <c r="H1423" i="4"/>
  <c r="G1423" i="4"/>
  <c r="F1423" i="4"/>
  <c r="E1423" i="4"/>
  <c r="U1423" i="4" s="1"/>
  <c r="D1423" i="4"/>
  <c r="C1423" i="4"/>
  <c r="V1423" i="4" s="1"/>
  <c r="B1423" i="4"/>
  <c r="A1423" i="4"/>
  <c r="X1422" i="4"/>
  <c r="V1422" i="4"/>
  <c r="T1422" i="4"/>
  <c r="S1422" i="4"/>
  <c r="R1422" i="4"/>
  <c r="Q1422" i="4"/>
  <c r="P1422" i="4"/>
  <c r="O1422" i="4"/>
  <c r="N1422" i="4"/>
  <c r="M1422" i="4"/>
  <c r="L1422" i="4"/>
  <c r="W1422" i="4" s="1"/>
  <c r="K1422" i="4"/>
  <c r="J1422" i="4"/>
  <c r="I1422" i="4"/>
  <c r="H1422" i="4"/>
  <c r="G1422" i="4"/>
  <c r="F1422" i="4"/>
  <c r="E1422" i="4"/>
  <c r="U1422" i="4" s="1"/>
  <c r="D1422" i="4"/>
  <c r="C1422" i="4"/>
  <c r="B1422" i="4"/>
  <c r="A1422" i="4"/>
  <c r="X1421" i="4"/>
  <c r="T1421" i="4"/>
  <c r="S1421" i="4"/>
  <c r="R1421" i="4"/>
  <c r="Q1421" i="4"/>
  <c r="P1421" i="4"/>
  <c r="O1421" i="4"/>
  <c r="W1421" i="4" s="1"/>
  <c r="N1421" i="4"/>
  <c r="M1421" i="4"/>
  <c r="L1421" i="4"/>
  <c r="K1421" i="4"/>
  <c r="J1421" i="4"/>
  <c r="I1421" i="4"/>
  <c r="H1421" i="4"/>
  <c r="G1421" i="4"/>
  <c r="F1421" i="4"/>
  <c r="E1421" i="4"/>
  <c r="U1421" i="4" s="1"/>
  <c r="D1421" i="4"/>
  <c r="C1421" i="4"/>
  <c r="V1421" i="4" s="1"/>
  <c r="B1421" i="4"/>
  <c r="A1421" i="4"/>
  <c r="X1420" i="4"/>
  <c r="V1420" i="4"/>
  <c r="T1420" i="4"/>
  <c r="S1420" i="4"/>
  <c r="R1420" i="4"/>
  <c r="Q1420" i="4"/>
  <c r="P1420" i="4"/>
  <c r="O1420" i="4"/>
  <c r="W1420" i="4" s="1"/>
  <c r="N1420" i="4"/>
  <c r="M1420" i="4"/>
  <c r="L1420" i="4"/>
  <c r="K1420" i="4"/>
  <c r="J1420" i="4"/>
  <c r="I1420" i="4"/>
  <c r="H1420" i="4"/>
  <c r="G1420" i="4"/>
  <c r="F1420" i="4"/>
  <c r="E1420" i="4"/>
  <c r="U1420" i="4" s="1"/>
  <c r="D1420" i="4"/>
  <c r="C1420" i="4"/>
  <c r="B1420" i="4"/>
  <c r="A1420" i="4"/>
  <c r="X1419" i="4"/>
  <c r="W1419" i="4"/>
  <c r="T1419" i="4"/>
  <c r="S1419" i="4"/>
  <c r="R1419" i="4"/>
  <c r="Q1419" i="4"/>
  <c r="P1419" i="4"/>
  <c r="O1419" i="4"/>
  <c r="N1419" i="4"/>
  <c r="M1419" i="4"/>
  <c r="L1419" i="4"/>
  <c r="K1419" i="4"/>
  <c r="J1419" i="4"/>
  <c r="I1419" i="4"/>
  <c r="H1419" i="4"/>
  <c r="G1419" i="4"/>
  <c r="F1419" i="4"/>
  <c r="E1419" i="4"/>
  <c r="U1419" i="4" s="1"/>
  <c r="D1419" i="4"/>
  <c r="C1419" i="4"/>
  <c r="V1419" i="4" s="1"/>
  <c r="B1419" i="4"/>
  <c r="A1419" i="4"/>
  <c r="X1418" i="4"/>
  <c r="V1418" i="4"/>
  <c r="T1418" i="4"/>
  <c r="S1418" i="4"/>
  <c r="R1418" i="4"/>
  <c r="Q1418" i="4"/>
  <c r="P1418" i="4"/>
  <c r="O1418" i="4"/>
  <c r="N1418" i="4"/>
  <c r="M1418" i="4"/>
  <c r="L1418" i="4"/>
  <c r="W1418" i="4" s="1"/>
  <c r="K1418" i="4"/>
  <c r="J1418" i="4"/>
  <c r="I1418" i="4"/>
  <c r="H1418" i="4"/>
  <c r="G1418" i="4"/>
  <c r="F1418" i="4"/>
  <c r="E1418" i="4"/>
  <c r="U1418" i="4" s="1"/>
  <c r="D1418" i="4"/>
  <c r="C1418" i="4"/>
  <c r="B1418" i="4"/>
  <c r="A1418" i="4"/>
  <c r="X1417" i="4"/>
  <c r="V1417" i="4"/>
  <c r="T1417" i="4"/>
  <c r="S1417" i="4"/>
  <c r="R1417" i="4"/>
  <c r="Q1417" i="4"/>
  <c r="P1417" i="4"/>
  <c r="O1417" i="4"/>
  <c r="W1417" i="4" s="1"/>
  <c r="N1417" i="4"/>
  <c r="M1417" i="4"/>
  <c r="L1417" i="4"/>
  <c r="K1417" i="4"/>
  <c r="J1417" i="4"/>
  <c r="I1417" i="4"/>
  <c r="H1417" i="4"/>
  <c r="G1417" i="4"/>
  <c r="F1417" i="4"/>
  <c r="E1417" i="4"/>
  <c r="U1417" i="4" s="1"/>
  <c r="D1417" i="4"/>
  <c r="C1417" i="4"/>
  <c r="B1417" i="4"/>
  <c r="A1417" i="4"/>
  <c r="X1416" i="4"/>
  <c r="V1416" i="4"/>
  <c r="T1416" i="4"/>
  <c r="S1416" i="4"/>
  <c r="R1416" i="4"/>
  <c r="Q1416" i="4"/>
  <c r="P1416" i="4"/>
  <c r="O1416" i="4"/>
  <c r="W1416" i="4" s="1"/>
  <c r="N1416" i="4"/>
  <c r="M1416" i="4"/>
  <c r="L1416" i="4"/>
  <c r="K1416" i="4"/>
  <c r="J1416" i="4"/>
  <c r="I1416" i="4"/>
  <c r="H1416" i="4"/>
  <c r="G1416" i="4"/>
  <c r="F1416" i="4"/>
  <c r="E1416" i="4"/>
  <c r="U1416" i="4" s="1"/>
  <c r="D1416" i="4"/>
  <c r="C1416" i="4"/>
  <c r="B1416" i="4"/>
  <c r="A1416" i="4"/>
  <c r="X1415" i="4"/>
  <c r="T1415" i="4"/>
  <c r="S1415" i="4"/>
  <c r="R1415" i="4"/>
  <c r="Q1415" i="4"/>
  <c r="P1415" i="4"/>
  <c r="O1415" i="4"/>
  <c r="W1415" i="4" s="1"/>
  <c r="N1415" i="4"/>
  <c r="M1415" i="4"/>
  <c r="L1415" i="4"/>
  <c r="K1415" i="4"/>
  <c r="J1415" i="4"/>
  <c r="I1415" i="4"/>
  <c r="H1415" i="4"/>
  <c r="G1415" i="4"/>
  <c r="F1415" i="4"/>
  <c r="E1415" i="4"/>
  <c r="U1415" i="4" s="1"/>
  <c r="D1415" i="4"/>
  <c r="C1415" i="4"/>
  <c r="V1415" i="4" s="1"/>
  <c r="B1415" i="4"/>
  <c r="A1415" i="4"/>
  <c r="X1414" i="4"/>
  <c r="W1414" i="4"/>
  <c r="V1414" i="4"/>
  <c r="T1414" i="4"/>
  <c r="S1414" i="4"/>
  <c r="R1414" i="4"/>
  <c r="Q1414" i="4"/>
  <c r="P1414" i="4"/>
  <c r="O1414" i="4"/>
  <c r="N1414" i="4"/>
  <c r="M1414" i="4"/>
  <c r="L1414" i="4"/>
  <c r="K1414" i="4"/>
  <c r="J1414" i="4"/>
  <c r="I1414" i="4"/>
  <c r="H1414" i="4"/>
  <c r="G1414" i="4"/>
  <c r="F1414" i="4"/>
  <c r="E1414" i="4"/>
  <c r="U1414" i="4" s="1"/>
  <c r="D1414" i="4"/>
  <c r="C1414" i="4"/>
  <c r="B1414" i="4"/>
  <c r="A1414" i="4"/>
  <c r="X1413" i="4"/>
  <c r="T1413" i="4"/>
  <c r="S1413" i="4"/>
  <c r="R1413" i="4"/>
  <c r="Q1413" i="4"/>
  <c r="P1413" i="4"/>
  <c r="O1413" i="4"/>
  <c r="W1413" i="4" s="1"/>
  <c r="N1413" i="4"/>
  <c r="M1413" i="4"/>
  <c r="L1413" i="4"/>
  <c r="K1413" i="4"/>
  <c r="J1413" i="4"/>
  <c r="I1413" i="4"/>
  <c r="H1413" i="4"/>
  <c r="G1413" i="4"/>
  <c r="F1413" i="4"/>
  <c r="E1413" i="4"/>
  <c r="U1413" i="4" s="1"/>
  <c r="D1413" i="4"/>
  <c r="C1413" i="4"/>
  <c r="V1413" i="4" s="1"/>
  <c r="B1413" i="4"/>
  <c r="A1413" i="4"/>
  <c r="X1412" i="4"/>
  <c r="W1412" i="4"/>
  <c r="V1412" i="4"/>
  <c r="T1412" i="4"/>
  <c r="S1412" i="4"/>
  <c r="R1412" i="4"/>
  <c r="Q1412" i="4"/>
  <c r="P1412" i="4"/>
  <c r="O1412" i="4"/>
  <c r="N1412" i="4"/>
  <c r="M1412" i="4"/>
  <c r="L1412" i="4"/>
  <c r="K1412" i="4"/>
  <c r="J1412" i="4"/>
  <c r="I1412" i="4"/>
  <c r="H1412" i="4"/>
  <c r="G1412" i="4"/>
  <c r="F1412" i="4"/>
  <c r="E1412" i="4"/>
  <c r="U1412" i="4" s="1"/>
  <c r="D1412" i="4"/>
  <c r="C1412" i="4"/>
  <c r="B1412" i="4"/>
  <c r="A1412" i="4"/>
  <c r="X1411" i="4"/>
  <c r="V1411" i="4"/>
  <c r="T1411" i="4"/>
  <c r="S1411" i="4"/>
  <c r="R1411" i="4"/>
  <c r="Q1411" i="4"/>
  <c r="P1411" i="4"/>
  <c r="O1411" i="4"/>
  <c r="W1411" i="4" s="1"/>
  <c r="N1411" i="4"/>
  <c r="M1411" i="4"/>
  <c r="L1411" i="4"/>
  <c r="K1411" i="4"/>
  <c r="J1411" i="4"/>
  <c r="I1411" i="4"/>
  <c r="H1411" i="4"/>
  <c r="G1411" i="4"/>
  <c r="F1411" i="4"/>
  <c r="E1411" i="4"/>
  <c r="U1411" i="4" s="1"/>
  <c r="D1411" i="4"/>
  <c r="C1411" i="4"/>
  <c r="B1411" i="4"/>
  <c r="A1411" i="4"/>
  <c r="X1410" i="4"/>
  <c r="W1410" i="4"/>
  <c r="V1410" i="4"/>
  <c r="T1410" i="4"/>
  <c r="S1410" i="4"/>
  <c r="R1410" i="4"/>
  <c r="Q1410" i="4"/>
  <c r="P1410" i="4"/>
  <c r="O1410" i="4"/>
  <c r="N1410" i="4"/>
  <c r="M1410" i="4"/>
  <c r="L1410" i="4"/>
  <c r="K1410" i="4"/>
  <c r="J1410" i="4"/>
  <c r="I1410" i="4"/>
  <c r="H1410" i="4"/>
  <c r="G1410" i="4"/>
  <c r="F1410" i="4"/>
  <c r="E1410" i="4"/>
  <c r="U1410" i="4" s="1"/>
  <c r="D1410" i="4"/>
  <c r="C1410" i="4"/>
  <c r="B1410" i="4"/>
  <c r="A1410" i="4"/>
  <c r="X1409" i="4"/>
  <c r="W1409" i="4"/>
  <c r="T1409" i="4"/>
  <c r="S1409" i="4"/>
  <c r="R1409" i="4"/>
  <c r="Q1409" i="4"/>
  <c r="P1409" i="4"/>
  <c r="O1409" i="4"/>
  <c r="N1409" i="4"/>
  <c r="M1409" i="4"/>
  <c r="L1409" i="4"/>
  <c r="K1409" i="4"/>
  <c r="J1409" i="4"/>
  <c r="I1409" i="4"/>
  <c r="H1409" i="4"/>
  <c r="G1409" i="4"/>
  <c r="F1409" i="4"/>
  <c r="E1409" i="4"/>
  <c r="U1409" i="4" s="1"/>
  <c r="D1409" i="4"/>
  <c r="C1409" i="4"/>
  <c r="V1409" i="4" s="1"/>
  <c r="B1409" i="4"/>
  <c r="A1409" i="4"/>
  <c r="X1408" i="4"/>
  <c r="V1408" i="4"/>
  <c r="T1408" i="4"/>
  <c r="S1408" i="4"/>
  <c r="R1408" i="4"/>
  <c r="Q1408" i="4"/>
  <c r="P1408" i="4"/>
  <c r="O1408" i="4"/>
  <c r="W1408" i="4" s="1"/>
  <c r="N1408" i="4"/>
  <c r="M1408" i="4"/>
  <c r="L1408" i="4"/>
  <c r="K1408" i="4"/>
  <c r="J1408" i="4"/>
  <c r="I1408" i="4"/>
  <c r="H1408" i="4"/>
  <c r="G1408" i="4"/>
  <c r="F1408" i="4"/>
  <c r="E1408" i="4"/>
  <c r="U1408" i="4" s="1"/>
  <c r="D1408" i="4"/>
  <c r="C1408" i="4"/>
  <c r="B1408" i="4"/>
  <c r="A1408" i="4"/>
  <c r="X1407" i="4"/>
  <c r="W1407" i="4"/>
  <c r="V1407" i="4"/>
  <c r="T1407" i="4"/>
  <c r="S1407" i="4"/>
  <c r="R1407" i="4"/>
  <c r="Q1407" i="4"/>
  <c r="P1407" i="4"/>
  <c r="O1407" i="4"/>
  <c r="N1407" i="4"/>
  <c r="M1407" i="4"/>
  <c r="L1407" i="4"/>
  <c r="K1407" i="4"/>
  <c r="J1407" i="4"/>
  <c r="I1407" i="4"/>
  <c r="H1407" i="4"/>
  <c r="G1407" i="4"/>
  <c r="F1407" i="4"/>
  <c r="E1407" i="4"/>
  <c r="U1407" i="4" s="1"/>
  <c r="D1407" i="4"/>
  <c r="C1407" i="4"/>
  <c r="B1407" i="4"/>
  <c r="A1407" i="4"/>
  <c r="X1406" i="4"/>
  <c r="V1406" i="4"/>
  <c r="T1406" i="4"/>
  <c r="S1406" i="4"/>
  <c r="R1406" i="4"/>
  <c r="Q1406" i="4"/>
  <c r="P1406" i="4"/>
  <c r="O1406" i="4"/>
  <c r="W1406" i="4" s="1"/>
  <c r="N1406" i="4"/>
  <c r="M1406" i="4"/>
  <c r="L1406" i="4"/>
  <c r="K1406" i="4"/>
  <c r="J1406" i="4"/>
  <c r="I1406" i="4"/>
  <c r="H1406" i="4"/>
  <c r="G1406" i="4"/>
  <c r="F1406" i="4"/>
  <c r="E1406" i="4"/>
  <c r="U1406" i="4" s="1"/>
  <c r="D1406" i="4"/>
  <c r="C1406" i="4"/>
  <c r="B1406" i="4"/>
  <c r="A1406" i="4"/>
  <c r="X1405" i="4"/>
  <c r="V1405" i="4"/>
  <c r="T1405" i="4"/>
  <c r="S1405" i="4"/>
  <c r="R1405" i="4"/>
  <c r="Q1405" i="4"/>
  <c r="P1405" i="4"/>
  <c r="O1405" i="4"/>
  <c r="W1405" i="4" s="1"/>
  <c r="N1405" i="4"/>
  <c r="M1405" i="4"/>
  <c r="L1405" i="4"/>
  <c r="K1405" i="4"/>
  <c r="J1405" i="4"/>
  <c r="I1405" i="4"/>
  <c r="H1405" i="4"/>
  <c r="G1405" i="4"/>
  <c r="F1405" i="4"/>
  <c r="E1405" i="4"/>
  <c r="U1405" i="4" s="1"/>
  <c r="D1405" i="4"/>
  <c r="C1405" i="4"/>
  <c r="B1405" i="4"/>
  <c r="A1405" i="4"/>
  <c r="X1404" i="4"/>
  <c r="T1404" i="4"/>
  <c r="S1404" i="4"/>
  <c r="R1404" i="4"/>
  <c r="Q1404" i="4"/>
  <c r="P1404" i="4"/>
  <c r="O1404" i="4"/>
  <c r="N1404" i="4"/>
  <c r="M1404" i="4"/>
  <c r="L1404" i="4"/>
  <c r="W1404" i="4" s="1"/>
  <c r="K1404" i="4"/>
  <c r="J1404" i="4"/>
  <c r="I1404" i="4"/>
  <c r="H1404" i="4"/>
  <c r="G1404" i="4"/>
  <c r="F1404" i="4"/>
  <c r="E1404" i="4"/>
  <c r="U1404" i="4" s="1"/>
  <c r="D1404" i="4"/>
  <c r="C1404" i="4"/>
  <c r="V1404" i="4" s="1"/>
  <c r="B1404" i="4"/>
  <c r="A1404" i="4"/>
  <c r="X1403" i="4"/>
  <c r="T1403" i="4"/>
  <c r="S1403" i="4"/>
  <c r="W1403" i="4" s="1"/>
  <c r="R1403" i="4"/>
  <c r="Q1403" i="4"/>
  <c r="P1403" i="4"/>
  <c r="O1403" i="4"/>
  <c r="N1403" i="4"/>
  <c r="M1403" i="4"/>
  <c r="L1403" i="4"/>
  <c r="K1403" i="4"/>
  <c r="J1403" i="4"/>
  <c r="I1403" i="4"/>
  <c r="H1403" i="4"/>
  <c r="G1403" i="4"/>
  <c r="F1403" i="4"/>
  <c r="E1403" i="4"/>
  <c r="U1403" i="4" s="1"/>
  <c r="D1403" i="4"/>
  <c r="C1403" i="4"/>
  <c r="V1403" i="4" s="1"/>
  <c r="B1403" i="4"/>
  <c r="A1403" i="4"/>
  <c r="X1402" i="4"/>
  <c r="V1402" i="4"/>
  <c r="T1402" i="4"/>
  <c r="S1402" i="4"/>
  <c r="R1402" i="4"/>
  <c r="Q1402" i="4"/>
  <c r="P1402" i="4"/>
  <c r="O1402" i="4"/>
  <c r="W1402" i="4" s="1"/>
  <c r="N1402" i="4"/>
  <c r="M1402" i="4"/>
  <c r="L1402" i="4"/>
  <c r="K1402" i="4"/>
  <c r="J1402" i="4"/>
  <c r="I1402" i="4"/>
  <c r="H1402" i="4"/>
  <c r="G1402" i="4"/>
  <c r="F1402" i="4"/>
  <c r="E1402" i="4"/>
  <c r="U1402" i="4" s="1"/>
  <c r="D1402" i="4"/>
  <c r="C1402" i="4"/>
  <c r="B1402" i="4"/>
  <c r="A1402" i="4"/>
  <c r="X1401" i="4"/>
  <c r="T1401" i="4"/>
  <c r="S1401" i="4"/>
  <c r="W1401" i="4" s="1"/>
  <c r="R1401" i="4"/>
  <c r="Q1401" i="4"/>
  <c r="P1401" i="4"/>
  <c r="O1401" i="4"/>
  <c r="N1401" i="4"/>
  <c r="M1401" i="4"/>
  <c r="L1401" i="4"/>
  <c r="K1401" i="4"/>
  <c r="J1401" i="4"/>
  <c r="I1401" i="4"/>
  <c r="H1401" i="4"/>
  <c r="G1401" i="4"/>
  <c r="F1401" i="4"/>
  <c r="E1401" i="4"/>
  <c r="U1401" i="4" s="1"/>
  <c r="D1401" i="4"/>
  <c r="C1401" i="4"/>
  <c r="V1401" i="4" s="1"/>
  <c r="B1401" i="4"/>
  <c r="A1401" i="4"/>
  <c r="X1400" i="4"/>
  <c r="T1400" i="4"/>
  <c r="S1400" i="4"/>
  <c r="R1400" i="4"/>
  <c r="Q1400" i="4"/>
  <c r="P1400" i="4"/>
  <c r="O1400" i="4"/>
  <c r="N1400" i="4"/>
  <c r="M1400" i="4"/>
  <c r="L1400" i="4"/>
  <c r="K1400" i="4"/>
  <c r="J1400" i="4"/>
  <c r="I1400" i="4"/>
  <c r="H1400" i="4"/>
  <c r="G1400" i="4"/>
  <c r="F1400" i="4"/>
  <c r="E1400" i="4"/>
  <c r="U1400" i="4" s="1"/>
  <c r="D1400" i="4"/>
  <c r="C1400" i="4"/>
  <c r="V1400" i="4" s="1"/>
  <c r="B1400" i="4"/>
  <c r="A1400" i="4"/>
  <c r="X1399" i="4"/>
  <c r="V1399" i="4"/>
  <c r="T1399" i="4"/>
  <c r="S1399" i="4"/>
  <c r="R1399" i="4"/>
  <c r="Q1399" i="4"/>
  <c r="P1399" i="4"/>
  <c r="O1399" i="4"/>
  <c r="W1399" i="4" s="1"/>
  <c r="N1399" i="4"/>
  <c r="M1399" i="4"/>
  <c r="L1399" i="4"/>
  <c r="K1399" i="4"/>
  <c r="J1399" i="4"/>
  <c r="I1399" i="4"/>
  <c r="H1399" i="4"/>
  <c r="G1399" i="4"/>
  <c r="F1399" i="4"/>
  <c r="E1399" i="4"/>
  <c r="U1399" i="4" s="1"/>
  <c r="D1399" i="4"/>
  <c r="C1399" i="4"/>
  <c r="B1399" i="4"/>
  <c r="A1399" i="4"/>
  <c r="X1398" i="4"/>
  <c r="V1398" i="4"/>
  <c r="T1398" i="4"/>
  <c r="S1398" i="4"/>
  <c r="R1398" i="4"/>
  <c r="Q1398" i="4"/>
  <c r="P1398" i="4"/>
  <c r="O1398" i="4"/>
  <c r="W1398" i="4" s="1"/>
  <c r="N1398" i="4"/>
  <c r="M1398" i="4"/>
  <c r="L1398" i="4"/>
  <c r="K1398" i="4"/>
  <c r="J1398" i="4"/>
  <c r="I1398" i="4"/>
  <c r="H1398" i="4"/>
  <c r="G1398" i="4"/>
  <c r="F1398" i="4"/>
  <c r="E1398" i="4"/>
  <c r="U1398" i="4" s="1"/>
  <c r="D1398" i="4"/>
  <c r="C1398" i="4"/>
  <c r="B1398" i="4"/>
  <c r="A1398" i="4"/>
  <c r="X1397" i="4"/>
  <c r="W1397" i="4"/>
  <c r="T1397" i="4"/>
  <c r="S1397" i="4"/>
  <c r="R1397" i="4"/>
  <c r="Q1397" i="4"/>
  <c r="P1397" i="4"/>
  <c r="O1397" i="4"/>
  <c r="N1397" i="4"/>
  <c r="M1397" i="4"/>
  <c r="L1397" i="4"/>
  <c r="K1397" i="4"/>
  <c r="J1397" i="4"/>
  <c r="I1397" i="4"/>
  <c r="H1397" i="4"/>
  <c r="G1397" i="4"/>
  <c r="F1397" i="4"/>
  <c r="E1397" i="4"/>
  <c r="U1397" i="4" s="1"/>
  <c r="D1397" i="4"/>
  <c r="C1397" i="4"/>
  <c r="V1397" i="4" s="1"/>
  <c r="B1397" i="4"/>
  <c r="A1397" i="4"/>
  <c r="X1396" i="4"/>
  <c r="T1396" i="4"/>
  <c r="S1396" i="4"/>
  <c r="R1396" i="4"/>
  <c r="Q1396" i="4"/>
  <c r="P1396" i="4"/>
  <c r="O1396" i="4"/>
  <c r="N1396" i="4"/>
  <c r="M1396" i="4"/>
  <c r="L1396" i="4"/>
  <c r="K1396" i="4"/>
  <c r="J1396" i="4"/>
  <c r="I1396" i="4"/>
  <c r="H1396" i="4"/>
  <c r="G1396" i="4"/>
  <c r="F1396" i="4"/>
  <c r="E1396" i="4"/>
  <c r="U1396" i="4" s="1"/>
  <c r="D1396" i="4"/>
  <c r="C1396" i="4"/>
  <c r="V1396" i="4" s="1"/>
  <c r="B1396" i="4"/>
  <c r="A1396" i="4"/>
  <c r="X1395" i="4"/>
  <c r="V1395" i="4"/>
  <c r="T1395" i="4"/>
  <c r="S1395" i="4"/>
  <c r="R1395" i="4"/>
  <c r="Q1395" i="4"/>
  <c r="P1395" i="4"/>
  <c r="O1395" i="4"/>
  <c r="W1395" i="4" s="1"/>
  <c r="N1395" i="4"/>
  <c r="M1395" i="4"/>
  <c r="L1395" i="4"/>
  <c r="K1395" i="4"/>
  <c r="J1395" i="4"/>
  <c r="I1395" i="4"/>
  <c r="H1395" i="4"/>
  <c r="G1395" i="4"/>
  <c r="F1395" i="4"/>
  <c r="E1395" i="4"/>
  <c r="U1395" i="4" s="1"/>
  <c r="D1395" i="4"/>
  <c r="C1395" i="4"/>
  <c r="B1395" i="4"/>
  <c r="A1395" i="4"/>
  <c r="X1394" i="4"/>
  <c r="V1394" i="4"/>
  <c r="T1394" i="4"/>
  <c r="S1394" i="4"/>
  <c r="R1394" i="4"/>
  <c r="Q1394" i="4"/>
  <c r="P1394" i="4"/>
  <c r="O1394" i="4"/>
  <c r="W1394" i="4" s="1"/>
  <c r="N1394" i="4"/>
  <c r="M1394" i="4"/>
  <c r="L1394" i="4"/>
  <c r="K1394" i="4"/>
  <c r="J1394" i="4"/>
  <c r="I1394" i="4"/>
  <c r="H1394" i="4"/>
  <c r="G1394" i="4"/>
  <c r="F1394" i="4"/>
  <c r="E1394" i="4"/>
  <c r="U1394" i="4" s="1"/>
  <c r="D1394" i="4"/>
  <c r="C1394" i="4"/>
  <c r="B1394" i="4"/>
  <c r="A1394" i="4"/>
  <c r="X1393" i="4"/>
  <c r="V1393" i="4"/>
  <c r="T1393" i="4"/>
  <c r="S1393" i="4"/>
  <c r="R1393" i="4"/>
  <c r="Q1393" i="4"/>
  <c r="P1393" i="4"/>
  <c r="O1393" i="4"/>
  <c r="W1393" i="4" s="1"/>
  <c r="N1393" i="4"/>
  <c r="M1393" i="4"/>
  <c r="L1393" i="4"/>
  <c r="K1393" i="4"/>
  <c r="J1393" i="4"/>
  <c r="I1393" i="4"/>
  <c r="H1393" i="4"/>
  <c r="G1393" i="4"/>
  <c r="F1393" i="4"/>
  <c r="E1393" i="4"/>
  <c r="U1393" i="4" s="1"/>
  <c r="D1393" i="4"/>
  <c r="C1393" i="4"/>
  <c r="B1393" i="4"/>
  <c r="A1393" i="4"/>
  <c r="X1392" i="4"/>
  <c r="W1392" i="4"/>
  <c r="V1392" i="4"/>
  <c r="T1392" i="4"/>
  <c r="S1392" i="4"/>
  <c r="R1392" i="4"/>
  <c r="Q1392" i="4"/>
  <c r="P1392" i="4"/>
  <c r="O1392" i="4"/>
  <c r="N1392" i="4"/>
  <c r="M1392" i="4"/>
  <c r="L1392" i="4"/>
  <c r="K1392" i="4"/>
  <c r="J1392" i="4"/>
  <c r="I1392" i="4"/>
  <c r="H1392" i="4"/>
  <c r="G1392" i="4"/>
  <c r="F1392" i="4"/>
  <c r="E1392" i="4"/>
  <c r="U1392" i="4" s="1"/>
  <c r="D1392" i="4"/>
  <c r="C1392" i="4"/>
  <c r="B1392" i="4"/>
  <c r="A1392" i="4"/>
  <c r="X1391" i="4"/>
  <c r="W1391" i="4"/>
  <c r="V1391" i="4"/>
  <c r="T1391" i="4"/>
  <c r="S1391" i="4"/>
  <c r="R1391" i="4"/>
  <c r="Q1391" i="4"/>
  <c r="P1391" i="4"/>
  <c r="O1391" i="4"/>
  <c r="N1391" i="4"/>
  <c r="M1391" i="4"/>
  <c r="L1391" i="4"/>
  <c r="K1391" i="4"/>
  <c r="J1391" i="4"/>
  <c r="I1391" i="4"/>
  <c r="H1391" i="4"/>
  <c r="G1391" i="4"/>
  <c r="F1391" i="4"/>
  <c r="E1391" i="4"/>
  <c r="U1391" i="4" s="1"/>
  <c r="D1391" i="4"/>
  <c r="C1391" i="4"/>
  <c r="B1391" i="4"/>
  <c r="A1391" i="4"/>
  <c r="X1390" i="4"/>
  <c r="V1390" i="4"/>
  <c r="T1390" i="4"/>
  <c r="S1390" i="4"/>
  <c r="R1390" i="4"/>
  <c r="Q1390" i="4"/>
  <c r="P1390" i="4"/>
  <c r="O1390" i="4"/>
  <c r="N1390" i="4"/>
  <c r="M1390" i="4"/>
  <c r="L1390" i="4"/>
  <c r="W1390" i="4" s="1"/>
  <c r="K1390" i="4"/>
  <c r="J1390" i="4"/>
  <c r="I1390" i="4"/>
  <c r="H1390" i="4"/>
  <c r="G1390" i="4"/>
  <c r="F1390" i="4"/>
  <c r="E1390" i="4"/>
  <c r="U1390" i="4" s="1"/>
  <c r="D1390" i="4"/>
  <c r="C1390" i="4"/>
  <c r="B1390" i="4"/>
  <c r="A1390" i="4"/>
  <c r="X1389" i="4"/>
  <c r="V1389" i="4"/>
  <c r="T1389" i="4"/>
  <c r="S1389" i="4"/>
  <c r="R1389" i="4"/>
  <c r="Q1389" i="4"/>
  <c r="P1389" i="4"/>
  <c r="O1389" i="4"/>
  <c r="N1389" i="4"/>
  <c r="M1389" i="4"/>
  <c r="L1389" i="4"/>
  <c r="K1389" i="4"/>
  <c r="J1389" i="4"/>
  <c r="I1389" i="4"/>
  <c r="H1389" i="4"/>
  <c r="G1389" i="4"/>
  <c r="F1389" i="4"/>
  <c r="E1389" i="4"/>
  <c r="U1389" i="4" s="1"/>
  <c r="D1389" i="4"/>
  <c r="C1389" i="4"/>
  <c r="B1389" i="4"/>
  <c r="A1389" i="4"/>
  <c r="X1388" i="4"/>
  <c r="V1388" i="4"/>
  <c r="T1388" i="4"/>
  <c r="S1388" i="4"/>
  <c r="R1388" i="4"/>
  <c r="Q1388" i="4"/>
  <c r="P1388" i="4"/>
  <c r="O1388" i="4"/>
  <c r="N1388" i="4"/>
  <c r="M1388" i="4"/>
  <c r="L1388" i="4"/>
  <c r="K1388" i="4"/>
  <c r="J1388" i="4"/>
  <c r="I1388" i="4"/>
  <c r="H1388" i="4"/>
  <c r="G1388" i="4"/>
  <c r="F1388" i="4"/>
  <c r="E1388" i="4"/>
  <c r="U1388" i="4" s="1"/>
  <c r="D1388" i="4"/>
  <c r="C1388" i="4"/>
  <c r="B1388" i="4"/>
  <c r="A1388" i="4"/>
  <c r="X1387" i="4"/>
  <c r="T1387" i="4"/>
  <c r="S1387" i="4"/>
  <c r="W1387" i="4" s="1"/>
  <c r="R1387" i="4"/>
  <c r="Q1387" i="4"/>
  <c r="P1387" i="4"/>
  <c r="O1387" i="4"/>
  <c r="N1387" i="4"/>
  <c r="M1387" i="4"/>
  <c r="L1387" i="4"/>
  <c r="K1387" i="4"/>
  <c r="J1387" i="4"/>
  <c r="I1387" i="4"/>
  <c r="H1387" i="4"/>
  <c r="G1387" i="4"/>
  <c r="F1387" i="4"/>
  <c r="E1387" i="4"/>
  <c r="U1387" i="4" s="1"/>
  <c r="D1387" i="4"/>
  <c r="C1387" i="4"/>
  <c r="V1387" i="4" s="1"/>
  <c r="B1387" i="4"/>
  <c r="A1387" i="4"/>
  <c r="X1386" i="4"/>
  <c r="T1386" i="4"/>
  <c r="S1386" i="4"/>
  <c r="R1386" i="4"/>
  <c r="Q1386" i="4"/>
  <c r="P1386" i="4"/>
  <c r="O1386" i="4"/>
  <c r="N1386" i="4"/>
  <c r="M1386" i="4"/>
  <c r="L1386" i="4"/>
  <c r="W1386" i="4" s="1"/>
  <c r="K1386" i="4"/>
  <c r="J1386" i="4"/>
  <c r="I1386" i="4"/>
  <c r="H1386" i="4"/>
  <c r="G1386" i="4"/>
  <c r="F1386" i="4"/>
  <c r="E1386" i="4"/>
  <c r="U1386" i="4" s="1"/>
  <c r="D1386" i="4"/>
  <c r="C1386" i="4"/>
  <c r="V1386" i="4" s="1"/>
  <c r="B1386" i="4"/>
  <c r="A1386" i="4"/>
  <c r="X1385" i="4"/>
  <c r="T1385" i="4"/>
  <c r="S1385" i="4"/>
  <c r="R1385" i="4"/>
  <c r="Q1385" i="4"/>
  <c r="P1385" i="4"/>
  <c r="O1385" i="4"/>
  <c r="N1385" i="4"/>
  <c r="M1385" i="4"/>
  <c r="L1385" i="4"/>
  <c r="K1385" i="4"/>
  <c r="J1385" i="4"/>
  <c r="I1385" i="4"/>
  <c r="H1385" i="4"/>
  <c r="G1385" i="4"/>
  <c r="F1385" i="4"/>
  <c r="E1385" i="4"/>
  <c r="U1385" i="4" s="1"/>
  <c r="D1385" i="4"/>
  <c r="C1385" i="4"/>
  <c r="V1385" i="4" s="1"/>
  <c r="B1385" i="4"/>
  <c r="A1385" i="4"/>
  <c r="X1384" i="4"/>
  <c r="T1384" i="4"/>
  <c r="S1384" i="4"/>
  <c r="R1384" i="4"/>
  <c r="Q1384" i="4"/>
  <c r="P1384" i="4"/>
  <c r="O1384" i="4"/>
  <c r="N1384" i="4"/>
  <c r="M1384" i="4"/>
  <c r="L1384" i="4"/>
  <c r="K1384" i="4"/>
  <c r="J1384" i="4"/>
  <c r="I1384" i="4"/>
  <c r="H1384" i="4"/>
  <c r="G1384" i="4"/>
  <c r="F1384" i="4"/>
  <c r="E1384" i="4"/>
  <c r="U1384" i="4" s="1"/>
  <c r="D1384" i="4"/>
  <c r="C1384" i="4"/>
  <c r="V1384" i="4" s="1"/>
  <c r="B1384" i="4"/>
  <c r="A1384" i="4"/>
  <c r="X1383" i="4"/>
  <c r="T1383" i="4"/>
  <c r="S1383" i="4"/>
  <c r="R1383" i="4"/>
  <c r="Q1383" i="4"/>
  <c r="P1383" i="4"/>
  <c r="O1383" i="4"/>
  <c r="W1383" i="4" s="1"/>
  <c r="N1383" i="4"/>
  <c r="M1383" i="4"/>
  <c r="L1383" i="4"/>
  <c r="K1383" i="4"/>
  <c r="J1383" i="4"/>
  <c r="I1383" i="4"/>
  <c r="H1383" i="4"/>
  <c r="G1383" i="4"/>
  <c r="F1383" i="4"/>
  <c r="E1383" i="4"/>
  <c r="U1383" i="4" s="1"/>
  <c r="D1383" i="4"/>
  <c r="C1383" i="4"/>
  <c r="V1383" i="4" s="1"/>
  <c r="B1383" i="4"/>
  <c r="A1383" i="4"/>
  <c r="X1382" i="4"/>
  <c r="W1382" i="4"/>
  <c r="T1382" i="4"/>
  <c r="S1382" i="4"/>
  <c r="R1382" i="4"/>
  <c r="Q1382" i="4"/>
  <c r="P1382" i="4"/>
  <c r="O1382" i="4"/>
  <c r="N1382" i="4"/>
  <c r="M1382" i="4"/>
  <c r="L1382" i="4"/>
  <c r="K1382" i="4"/>
  <c r="J1382" i="4"/>
  <c r="I1382" i="4"/>
  <c r="H1382" i="4"/>
  <c r="G1382" i="4"/>
  <c r="F1382" i="4"/>
  <c r="E1382" i="4"/>
  <c r="U1382" i="4" s="1"/>
  <c r="D1382" i="4"/>
  <c r="C1382" i="4"/>
  <c r="V1382" i="4" s="1"/>
  <c r="B1382" i="4"/>
  <c r="A1382" i="4"/>
  <c r="X1381" i="4"/>
  <c r="T1381" i="4"/>
  <c r="S1381" i="4"/>
  <c r="R1381" i="4"/>
  <c r="Q1381" i="4"/>
  <c r="P1381" i="4"/>
  <c r="O1381" i="4"/>
  <c r="N1381" i="4"/>
  <c r="M1381" i="4"/>
  <c r="L1381" i="4"/>
  <c r="K1381" i="4"/>
  <c r="J1381" i="4"/>
  <c r="I1381" i="4"/>
  <c r="H1381" i="4"/>
  <c r="G1381" i="4"/>
  <c r="F1381" i="4"/>
  <c r="E1381" i="4"/>
  <c r="U1381" i="4" s="1"/>
  <c r="D1381" i="4"/>
  <c r="C1381" i="4"/>
  <c r="V1381" i="4" s="1"/>
  <c r="B1381" i="4"/>
  <c r="A1381" i="4"/>
  <c r="X1380" i="4"/>
  <c r="W1380" i="4"/>
  <c r="V1380" i="4"/>
  <c r="T1380" i="4"/>
  <c r="S1380" i="4"/>
  <c r="R1380" i="4"/>
  <c r="Q1380" i="4"/>
  <c r="P1380" i="4"/>
  <c r="O1380" i="4"/>
  <c r="N1380" i="4"/>
  <c r="M1380" i="4"/>
  <c r="L1380" i="4"/>
  <c r="K1380" i="4"/>
  <c r="J1380" i="4"/>
  <c r="I1380" i="4"/>
  <c r="H1380" i="4"/>
  <c r="G1380" i="4"/>
  <c r="F1380" i="4"/>
  <c r="E1380" i="4"/>
  <c r="U1380" i="4" s="1"/>
  <c r="D1380" i="4"/>
  <c r="C1380" i="4"/>
  <c r="B1380" i="4"/>
  <c r="A1380" i="4"/>
  <c r="X1379" i="4"/>
  <c r="V1379" i="4"/>
  <c r="T1379" i="4"/>
  <c r="S1379" i="4"/>
  <c r="R1379" i="4"/>
  <c r="Q1379" i="4"/>
  <c r="P1379" i="4"/>
  <c r="O1379" i="4"/>
  <c r="W1379" i="4" s="1"/>
  <c r="N1379" i="4"/>
  <c r="M1379" i="4"/>
  <c r="L1379" i="4"/>
  <c r="K1379" i="4"/>
  <c r="J1379" i="4"/>
  <c r="I1379" i="4"/>
  <c r="H1379" i="4"/>
  <c r="G1379" i="4"/>
  <c r="F1379" i="4"/>
  <c r="E1379" i="4"/>
  <c r="U1379" i="4" s="1"/>
  <c r="D1379" i="4"/>
  <c r="C1379" i="4"/>
  <c r="B1379" i="4"/>
  <c r="A1379" i="4"/>
  <c r="X1378" i="4"/>
  <c r="W1378" i="4"/>
  <c r="V1378" i="4"/>
  <c r="T1378" i="4"/>
  <c r="S1378" i="4"/>
  <c r="R1378" i="4"/>
  <c r="Q1378" i="4"/>
  <c r="P1378" i="4"/>
  <c r="O1378" i="4"/>
  <c r="N1378" i="4"/>
  <c r="M1378" i="4"/>
  <c r="L1378" i="4"/>
  <c r="K1378" i="4"/>
  <c r="J1378" i="4"/>
  <c r="I1378" i="4"/>
  <c r="H1378" i="4"/>
  <c r="G1378" i="4"/>
  <c r="F1378" i="4"/>
  <c r="E1378" i="4"/>
  <c r="U1378" i="4" s="1"/>
  <c r="D1378" i="4"/>
  <c r="C1378" i="4"/>
  <c r="B1378" i="4"/>
  <c r="A1378" i="4"/>
  <c r="X1377" i="4"/>
  <c r="T1377" i="4"/>
  <c r="S1377" i="4"/>
  <c r="R1377" i="4"/>
  <c r="Q1377" i="4"/>
  <c r="P1377" i="4"/>
  <c r="O1377" i="4"/>
  <c r="W1377" i="4" s="1"/>
  <c r="N1377" i="4"/>
  <c r="M1377" i="4"/>
  <c r="L1377" i="4"/>
  <c r="K1377" i="4"/>
  <c r="J1377" i="4"/>
  <c r="I1377" i="4"/>
  <c r="H1377" i="4"/>
  <c r="G1377" i="4"/>
  <c r="F1377" i="4"/>
  <c r="E1377" i="4"/>
  <c r="U1377" i="4" s="1"/>
  <c r="D1377" i="4"/>
  <c r="C1377" i="4"/>
  <c r="V1377" i="4" s="1"/>
  <c r="B1377" i="4"/>
  <c r="A1377" i="4"/>
  <c r="X1376" i="4"/>
  <c r="W1376" i="4"/>
  <c r="V1376" i="4"/>
  <c r="T1376" i="4"/>
  <c r="S1376" i="4"/>
  <c r="R1376" i="4"/>
  <c r="Q1376" i="4"/>
  <c r="P1376" i="4"/>
  <c r="O1376" i="4"/>
  <c r="N1376" i="4"/>
  <c r="M1376" i="4"/>
  <c r="L1376" i="4"/>
  <c r="K1376" i="4"/>
  <c r="J1376" i="4"/>
  <c r="I1376" i="4"/>
  <c r="H1376" i="4"/>
  <c r="G1376" i="4"/>
  <c r="F1376" i="4"/>
  <c r="E1376" i="4"/>
  <c r="U1376" i="4" s="1"/>
  <c r="D1376" i="4"/>
  <c r="C1376" i="4"/>
  <c r="B1376" i="4"/>
  <c r="A1376" i="4"/>
  <c r="X1375" i="4"/>
  <c r="W1375" i="4"/>
  <c r="V1375" i="4"/>
  <c r="T1375" i="4"/>
  <c r="S1375" i="4"/>
  <c r="R1375" i="4"/>
  <c r="Q1375" i="4"/>
  <c r="P1375" i="4"/>
  <c r="O1375" i="4"/>
  <c r="N1375" i="4"/>
  <c r="M1375" i="4"/>
  <c r="L1375" i="4"/>
  <c r="K1375" i="4"/>
  <c r="J1375" i="4"/>
  <c r="I1375" i="4"/>
  <c r="H1375" i="4"/>
  <c r="G1375" i="4"/>
  <c r="F1375" i="4"/>
  <c r="E1375" i="4"/>
  <c r="U1375" i="4" s="1"/>
  <c r="D1375" i="4"/>
  <c r="C1375" i="4"/>
  <c r="B1375" i="4"/>
  <c r="A1375" i="4"/>
  <c r="X1374" i="4"/>
  <c r="T1374" i="4"/>
  <c r="S1374" i="4"/>
  <c r="R1374" i="4"/>
  <c r="Q1374" i="4"/>
  <c r="P1374" i="4"/>
  <c r="O1374" i="4"/>
  <c r="N1374" i="4"/>
  <c r="M1374" i="4"/>
  <c r="L1374" i="4"/>
  <c r="K1374" i="4"/>
  <c r="J1374" i="4"/>
  <c r="I1374" i="4"/>
  <c r="H1374" i="4"/>
  <c r="G1374" i="4"/>
  <c r="F1374" i="4"/>
  <c r="E1374" i="4"/>
  <c r="U1374" i="4" s="1"/>
  <c r="D1374" i="4"/>
  <c r="C1374" i="4"/>
  <c r="V1374" i="4" s="1"/>
  <c r="B1374" i="4"/>
  <c r="A1374" i="4"/>
  <c r="X1373" i="4"/>
  <c r="V1373" i="4"/>
  <c r="T1373" i="4"/>
  <c r="S1373" i="4"/>
  <c r="R1373" i="4"/>
  <c r="Q1373" i="4"/>
  <c r="P1373" i="4"/>
  <c r="O1373" i="4"/>
  <c r="W1373" i="4" s="1"/>
  <c r="N1373" i="4"/>
  <c r="M1373" i="4"/>
  <c r="L1373" i="4"/>
  <c r="K1373" i="4"/>
  <c r="J1373" i="4"/>
  <c r="I1373" i="4"/>
  <c r="H1373" i="4"/>
  <c r="G1373" i="4"/>
  <c r="F1373" i="4"/>
  <c r="E1373" i="4"/>
  <c r="U1373" i="4" s="1"/>
  <c r="D1373" i="4"/>
  <c r="C1373" i="4"/>
  <c r="B1373" i="4"/>
  <c r="A1373" i="4"/>
  <c r="X1372" i="4"/>
  <c r="W1372" i="4"/>
  <c r="T1372" i="4"/>
  <c r="S1372" i="4"/>
  <c r="R1372" i="4"/>
  <c r="Q1372" i="4"/>
  <c r="P1372" i="4"/>
  <c r="O1372" i="4"/>
  <c r="N1372" i="4"/>
  <c r="M1372" i="4"/>
  <c r="L1372" i="4"/>
  <c r="K1372" i="4"/>
  <c r="J1372" i="4"/>
  <c r="I1372" i="4"/>
  <c r="H1372" i="4"/>
  <c r="G1372" i="4"/>
  <c r="F1372" i="4"/>
  <c r="E1372" i="4"/>
  <c r="U1372" i="4" s="1"/>
  <c r="D1372" i="4"/>
  <c r="C1372" i="4"/>
  <c r="V1372" i="4" s="1"/>
  <c r="B1372" i="4"/>
  <c r="A1372" i="4"/>
  <c r="X1371" i="4"/>
  <c r="T1371" i="4"/>
  <c r="S1371" i="4"/>
  <c r="W1371" i="4" s="1"/>
  <c r="R1371" i="4"/>
  <c r="Q1371" i="4"/>
  <c r="P1371" i="4"/>
  <c r="O1371" i="4"/>
  <c r="N1371" i="4"/>
  <c r="M1371" i="4"/>
  <c r="L1371" i="4"/>
  <c r="K1371" i="4"/>
  <c r="J1371" i="4"/>
  <c r="I1371" i="4"/>
  <c r="H1371" i="4"/>
  <c r="G1371" i="4"/>
  <c r="F1371" i="4"/>
  <c r="E1371" i="4"/>
  <c r="U1371" i="4" s="1"/>
  <c r="D1371" i="4"/>
  <c r="C1371" i="4"/>
  <c r="V1371" i="4" s="1"/>
  <c r="B1371" i="4"/>
  <c r="A1371" i="4"/>
  <c r="X1370" i="4"/>
  <c r="T1370" i="4"/>
  <c r="S1370" i="4"/>
  <c r="R1370" i="4"/>
  <c r="Q1370" i="4"/>
  <c r="P1370" i="4"/>
  <c r="O1370" i="4"/>
  <c r="N1370" i="4"/>
  <c r="M1370" i="4"/>
  <c r="L1370" i="4"/>
  <c r="K1370" i="4"/>
  <c r="J1370" i="4"/>
  <c r="I1370" i="4"/>
  <c r="H1370" i="4"/>
  <c r="G1370" i="4"/>
  <c r="F1370" i="4"/>
  <c r="E1370" i="4"/>
  <c r="U1370" i="4" s="1"/>
  <c r="D1370" i="4"/>
  <c r="C1370" i="4"/>
  <c r="V1370" i="4" s="1"/>
  <c r="B1370" i="4"/>
  <c r="A1370" i="4"/>
  <c r="X1369" i="4"/>
  <c r="T1369" i="4"/>
  <c r="S1369" i="4"/>
  <c r="R1369" i="4"/>
  <c r="Q1369" i="4"/>
  <c r="P1369" i="4"/>
  <c r="O1369" i="4"/>
  <c r="W1369" i="4" s="1"/>
  <c r="N1369" i="4"/>
  <c r="M1369" i="4"/>
  <c r="L1369" i="4"/>
  <c r="K1369" i="4"/>
  <c r="J1369" i="4"/>
  <c r="I1369" i="4"/>
  <c r="H1369" i="4"/>
  <c r="G1369" i="4"/>
  <c r="F1369" i="4"/>
  <c r="E1369" i="4"/>
  <c r="U1369" i="4" s="1"/>
  <c r="D1369" i="4"/>
  <c r="C1369" i="4"/>
  <c r="V1369" i="4" s="1"/>
  <c r="B1369" i="4"/>
  <c r="A1369" i="4"/>
  <c r="X1368" i="4"/>
  <c r="T1368" i="4"/>
  <c r="S1368" i="4"/>
  <c r="W1368" i="4" s="1"/>
  <c r="R1368" i="4"/>
  <c r="Q1368" i="4"/>
  <c r="P1368" i="4"/>
  <c r="O1368" i="4"/>
  <c r="N1368" i="4"/>
  <c r="M1368" i="4"/>
  <c r="L1368" i="4"/>
  <c r="K1368" i="4"/>
  <c r="J1368" i="4"/>
  <c r="I1368" i="4"/>
  <c r="H1368" i="4"/>
  <c r="G1368" i="4"/>
  <c r="F1368" i="4"/>
  <c r="E1368" i="4"/>
  <c r="U1368" i="4" s="1"/>
  <c r="D1368" i="4"/>
  <c r="C1368" i="4"/>
  <c r="V1368" i="4" s="1"/>
  <c r="B1368" i="4"/>
  <c r="A1368" i="4"/>
  <c r="X1367" i="4"/>
  <c r="V1367" i="4"/>
  <c r="T1367" i="4"/>
  <c r="S1367" i="4"/>
  <c r="R1367" i="4"/>
  <c r="Q1367" i="4"/>
  <c r="P1367" i="4"/>
  <c r="O1367" i="4"/>
  <c r="W1367" i="4" s="1"/>
  <c r="N1367" i="4"/>
  <c r="M1367" i="4"/>
  <c r="L1367" i="4"/>
  <c r="K1367" i="4"/>
  <c r="J1367" i="4"/>
  <c r="I1367" i="4"/>
  <c r="H1367" i="4"/>
  <c r="G1367" i="4"/>
  <c r="F1367" i="4"/>
  <c r="E1367" i="4"/>
  <c r="U1367" i="4" s="1"/>
  <c r="D1367" i="4"/>
  <c r="C1367" i="4"/>
  <c r="B1367" i="4"/>
  <c r="A1367" i="4"/>
  <c r="X1366" i="4"/>
  <c r="V1366" i="4"/>
  <c r="T1366" i="4"/>
  <c r="S1366" i="4"/>
  <c r="R1366" i="4"/>
  <c r="Q1366" i="4"/>
  <c r="P1366" i="4"/>
  <c r="O1366" i="4"/>
  <c r="W1366" i="4" s="1"/>
  <c r="N1366" i="4"/>
  <c r="M1366" i="4"/>
  <c r="L1366" i="4"/>
  <c r="K1366" i="4"/>
  <c r="J1366" i="4"/>
  <c r="I1366" i="4"/>
  <c r="H1366" i="4"/>
  <c r="G1366" i="4"/>
  <c r="F1366" i="4"/>
  <c r="E1366" i="4"/>
  <c r="U1366" i="4" s="1"/>
  <c r="D1366" i="4"/>
  <c r="C1366" i="4"/>
  <c r="B1366" i="4"/>
  <c r="A1366" i="4"/>
  <c r="X1365" i="4"/>
  <c r="W1365" i="4"/>
  <c r="T1365" i="4"/>
  <c r="S1365" i="4"/>
  <c r="R1365" i="4"/>
  <c r="Q1365" i="4"/>
  <c r="P1365" i="4"/>
  <c r="O1365" i="4"/>
  <c r="N1365" i="4"/>
  <c r="M1365" i="4"/>
  <c r="L1365" i="4"/>
  <c r="K1365" i="4"/>
  <c r="J1365" i="4"/>
  <c r="I1365" i="4"/>
  <c r="H1365" i="4"/>
  <c r="G1365" i="4"/>
  <c r="F1365" i="4"/>
  <c r="E1365" i="4"/>
  <c r="U1365" i="4" s="1"/>
  <c r="D1365" i="4"/>
  <c r="C1365" i="4"/>
  <c r="V1365" i="4" s="1"/>
  <c r="B1365" i="4"/>
  <c r="A1365" i="4"/>
  <c r="X1364" i="4"/>
  <c r="T1364" i="4"/>
  <c r="S1364" i="4"/>
  <c r="R1364" i="4"/>
  <c r="Q1364" i="4"/>
  <c r="P1364" i="4"/>
  <c r="O1364" i="4"/>
  <c r="W1364" i="4" s="1"/>
  <c r="N1364" i="4"/>
  <c r="M1364" i="4"/>
  <c r="L1364" i="4"/>
  <c r="K1364" i="4"/>
  <c r="J1364" i="4"/>
  <c r="I1364" i="4"/>
  <c r="H1364" i="4"/>
  <c r="G1364" i="4"/>
  <c r="F1364" i="4"/>
  <c r="E1364" i="4"/>
  <c r="U1364" i="4" s="1"/>
  <c r="D1364" i="4"/>
  <c r="C1364" i="4"/>
  <c r="V1364" i="4" s="1"/>
  <c r="B1364" i="4"/>
  <c r="A1364" i="4"/>
  <c r="X1363" i="4"/>
  <c r="W1363" i="4"/>
  <c r="V1363" i="4"/>
  <c r="T1363" i="4"/>
  <c r="S1363" i="4"/>
  <c r="R1363" i="4"/>
  <c r="Q1363" i="4"/>
  <c r="P1363" i="4"/>
  <c r="O1363" i="4"/>
  <c r="N1363" i="4"/>
  <c r="M1363" i="4"/>
  <c r="L1363" i="4"/>
  <c r="K1363" i="4"/>
  <c r="J1363" i="4"/>
  <c r="I1363" i="4"/>
  <c r="H1363" i="4"/>
  <c r="G1363" i="4"/>
  <c r="F1363" i="4"/>
  <c r="E1363" i="4"/>
  <c r="U1363" i="4" s="1"/>
  <c r="D1363" i="4"/>
  <c r="C1363" i="4"/>
  <c r="B1363" i="4"/>
  <c r="A1363" i="4"/>
  <c r="X1362" i="4"/>
  <c r="V1362" i="4"/>
  <c r="T1362" i="4"/>
  <c r="S1362" i="4"/>
  <c r="R1362" i="4"/>
  <c r="Q1362" i="4"/>
  <c r="P1362" i="4"/>
  <c r="O1362" i="4"/>
  <c r="W1362" i="4" s="1"/>
  <c r="N1362" i="4"/>
  <c r="M1362" i="4"/>
  <c r="L1362" i="4"/>
  <c r="K1362" i="4"/>
  <c r="J1362" i="4"/>
  <c r="I1362" i="4"/>
  <c r="H1362" i="4"/>
  <c r="G1362" i="4"/>
  <c r="F1362" i="4"/>
  <c r="E1362" i="4"/>
  <c r="U1362" i="4" s="1"/>
  <c r="D1362" i="4"/>
  <c r="C1362" i="4"/>
  <c r="B1362" i="4"/>
  <c r="A1362" i="4"/>
  <c r="X1361" i="4"/>
  <c r="W1361" i="4"/>
  <c r="V1361" i="4"/>
  <c r="T1361" i="4"/>
  <c r="S1361" i="4"/>
  <c r="R1361" i="4"/>
  <c r="Q1361" i="4"/>
  <c r="P1361" i="4"/>
  <c r="O1361" i="4"/>
  <c r="N1361" i="4"/>
  <c r="M1361" i="4"/>
  <c r="L1361" i="4"/>
  <c r="K1361" i="4"/>
  <c r="J1361" i="4"/>
  <c r="I1361" i="4"/>
  <c r="H1361" i="4"/>
  <c r="G1361" i="4"/>
  <c r="F1361" i="4"/>
  <c r="E1361" i="4"/>
  <c r="U1361" i="4" s="1"/>
  <c r="D1361" i="4"/>
  <c r="C1361" i="4"/>
  <c r="B1361" i="4"/>
  <c r="A1361" i="4"/>
  <c r="X1360" i="4"/>
  <c r="V1360" i="4"/>
  <c r="T1360" i="4"/>
  <c r="S1360" i="4"/>
  <c r="R1360" i="4"/>
  <c r="Q1360" i="4"/>
  <c r="P1360" i="4"/>
  <c r="O1360" i="4"/>
  <c r="W1360" i="4" s="1"/>
  <c r="N1360" i="4"/>
  <c r="M1360" i="4"/>
  <c r="L1360" i="4"/>
  <c r="K1360" i="4"/>
  <c r="J1360" i="4"/>
  <c r="I1360" i="4"/>
  <c r="H1360" i="4"/>
  <c r="G1360" i="4"/>
  <c r="F1360" i="4"/>
  <c r="E1360" i="4"/>
  <c r="U1360" i="4" s="1"/>
  <c r="D1360" i="4"/>
  <c r="C1360" i="4"/>
  <c r="B1360" i="4"/>
  <c r="A1360" i="4"/>
  <c r="X1359" i="4"/>
  <c r="W1359" i="4"/>
  <c r="V1359" i="4"/>
  <c r="T1359" i="4"/>
  <c r="S1359" i="4"/>
  <c r="R1359" i="4"/>
  <c r="Q1359" i="4"/>
  <c r="P1359" i="4"/>
  <c r="O1359" i="4"/>
  <c r="N1359" i="4"/>
  <c r="M1359" i="4"/>
  <c r="L1359" i="4"/>
  <c r="K1359" i="4"/>
  <c r="J1359" i="4"/>
  <c r="I1359" i="4"/>
  <c r="H1359" i="4"/>
  <c r="G1359" i="4"/>
  <c r="F1359" i="4"/>
  <c r="E1359" i="4"/>
  <c r="U1359" i="4" s="1"/>
  <c r="D1359" i="4"/>
  <c r="C1359" i="4"/>
  <c r="B1359" i="4"/>
  <c r="A1359" i="4"/>
  <c r="X1358" i="4"/>
  <c r="V1358" i="4"/>
  <c r="T1358" i="4"/>
  <c r="S1358" i="4"/>
  <c r="R1358" i="4"/>
  <c r="Q1358" i="4"/>
  <c r="P1358" i="4"/>
  <c r="O1358" i="4"/>
  <c r="N1358" i="4"/>
  <c r="M1358" i="4"/>
  <c r="L1358" i="4"/>
  <c r="K1358" i="4"/>
  <c r="J1358" i="4"/>
  <c r="I1358" i="4"/>
  <c r="H1358" i="4"/>
  <c r="G1358" i="4"/>
  <c r="F1358" i="4"/>
  <c r="E1358" i="4"/>
  <c r="U1358" i="4" s="1"/>
  <c r="D1358" i="4"/>
  <c r="C1358" i="4"/>
  <c r="B1358" i="4"/>
  <c r="A1358" i="4"/>
  <c r="X1357" i="4"/>
  <c r="T1357" i="4"/>
  <c r="S1357" i="4"/>
  <c r="R1357" i="4"/>
  <c r="Q1357" i="4"/>
  <c r="P1357" i="4"/>
  <c r="O1357" i="4"/>
  <c r="N1357" i="4"/>
  <c r="M1357" i="4"/>
  <c r="L1357" i="4"/>
  <c r="K1357" i="4"/>
  <c r="J1357" i="4"/>
  <c r="I1357" i="4"/>
  <c r="H1357" i="4"/>
  <c r="G1357" i="4"/>
  <c r="F1357" i="4"/>
  <c r="E1357" i="4"/>
  <c r="U1357" i="4" s="1"/>
  <c r="D1357" i="4"/>
  <c r="C1357" i="4"/>
  <c r="V1357" i="4" s="1"/>
  <c r="B1357" i="4"/>
  <c r="A1357" i="4"/>
  <c r="X1356" i="4"/>
  <c r="T1356" i="4"/>
  <c r="S1356" i="4"/>
  <c r="R1356" i="4"/>
  <c r="Q1356" i="4"/>
  <c r="P1356" i="4"/>
  <c r="O1356" i="4"/>
  <c r="W1356" i="4" s="1"/>
  <c r="N1356" i="4"/>
  <c r="M1356" i="4"/>
  <c r="L1356" i="4"/>
  <c r="K1356" i="4"/>
  <c r="J1356" i="4"/>
  <c r="I1356" i="4"/>
  <c r="H1356" i="4"/>
  <c r="G1356" i="4"/>
  <c r="F1356" i="4"/>
  <c r="E1356" i="4"/>
  <c r="U1356" i="4" s="1"/>
  <c r="D1356" i="4"/>
  <c r="C1356" i="4"/>
  <c r="V1356" i="4" s="1"/>
  <c r="B1356" i="4"/>
  <c r="A1356" i="4"/>
  <c r="X1355" i="4"/>
  <c r="W1355" i="4"/>
  <c r="T1355" i="4"/>
  <c r="S1355" i="4"/>
  <c r="R1355" i="4"/>
  <c r="Q1355" i="4"/>
  <c r="P1355" i="4"/>
  <c r="O1355" i="4"/>
  <c r="N1355" i="4"/>
  <c r="M1355" i="4"/>
  <c r="L1355" i="4"/>
  <c r="K1355" i="4"/>
  <c r="J1355" i="4"/>
  <c r="I1355" i="4"/>
  <c r="H1355" i="4"/>
  <c r="G1355" i="4"/>
  <c r="F1355" i="4"/>
  <c r="E1355" i="4"/>
  <c r="U1355" i="4" s="1"/>
  <c r="D1355" i="4"/>
  <c r="C1355" i="4"/>
  <c r="V1355" i="4" s="1"/>
  <c r="B1355" i="4"/>
  <c r="A1355" i="4"/>
  <c r="X1354" i="4"/>
  <c r="T1354" i="4"/>
  <c r="S1354" i="4"/>
  <c r="R1354" i="4"/>
  <c r="Q1354" i="4"/>
  <c r="P1354" i="4"/>
  <c r="O1354" i="4"/>
  <c r="N1354" i="4"/>
  <c r="M1354" i="4"/>
  <c r="L1354" i="4"/>
  <c r="W1354" i="4" s="1"/>
  <c r="K1354" i="4"/>
  <c r="J1354" i="4"/>
  <c r="I1354" i="4"/>
  <c r="H1354" i="4"/>
  <c r="G1354" i="4"/>
  <c r="F1354" i="4"/>
  <c r="E1354" i="4"/>
  <c r="U1354" i="4" s="1"/>
  <c r="D1354" i="4"/>
  <c r="C1354" i="4"/>
  <c r="V1354" i="4" s="1"/>
  <c r="B1354" i="4"/>
  <c r="A1354" i="4"/>
  <c r="X1353" i="4"/>
  <c r="V1353" i="4"/>
  <c r="T1353" i="4"/>
  <c r="S1353" i="4"/>
  <c r="R1353" i="4"/>
  <c r="Q1353" i="4"/>
  <c r="P1353" i="4"/>
  <c r="O1353" i="4"/>
  <c r="N1353" i="4"/>
  <c r="M1353" i="4"/>
  <c r="L1353" i="4"/>
  <c r="K1353" i="4"/>
  <c r="J1353" i="4"/>
  <c r="I1353" i="4"/>
  <c r="H1353" i="4"/>
  <c r="G1353" i="4"/>
  <c r="F1353" i="4"/>
  <c r="E1353" i="4"/>
  <c r="U1353" i="4" s="1"/>
  <c r="D1353" i="4"/>
  <c r="C1353" i="4"/>
  <c r="B1353" i="4"/>
  <c r="A1353" i="4"/>
  <c r="X1352" i="4"/>
  <c r="T1352" i="4"/>
  <c r="S1352" i="4"/>
  <c r="R1352" i="4"/>
  <c r="Q1352" i="4"/>
  <c r="P1352" i="4"/>
  <c r="O1352" i="4"/>
  <c r="W1352" i="4" s="1"/>
  <c r="N1352" i="4"/>
  <c r="M1352" i="4"/>
  <c r="L1352" i="4"/>
  <c r="K1352" i="4"/>
  <c r="J1352" i="4"/>
  <c r="I1352" i="4"/>
  <c r="H1352" i="4"/>
  <c r="G1352" i="4"/>
  <c r="F1352" i="4"/>
  <c r="E1352" i="4"/>
  <c r="U1352" i="4" s="1"/>
  <c r="D1352" i="4"/>
  <c r="C1352" i="4"/>
  <c r="V1352" i="4" s="1"/>
  <c r="B1352" i="4"/>
  <c r="A1352" i="4"/>
  <c r="X1351" i="4"/>
  <c r="T1351" i="4"/>
  <c r="S1351" i="4"/>
  <c r="R1351" i="4"/>
  <c r="Q1351" i="4"/>
  <c r="P1351" i="4"/>
  <c r="O1351" i="4"/>
  <c r="W1351" i="4" s="1"/>
  <c r="N1351" i="4"/>
  <c r="M1351" i="4"/>
  <c r="L1351" i="4"/>
  <c r="K1351" i="4"/>
  <c r="J1351" i="4"/>
  <c r="I1351" i="4"/>
  <c r="H1351" i="4"/>
  <c r="G1351" i="4"/>
  <c r="F1351" i="4"/>
  <c r="E1351" i="4"/>
  <c r="U1351" i="4" s="1"/>
  <c r="D1351" i="4"/>
  <c r="C1351" i="4"/>
  <c r="V1351" i="4" s="1"/>
  <c r="B1351" i="4"/>
  <c r="A1351" i="4"/>
  <c r="X1350" i="4"/>
  <c r="W1350" i="4"/>
  <c r="T1350" i="4"/>
  <c r="S1350" i="4"/>
  <c r="R1350" i="4"/>
  <c r="Q1350" i="4"/>
  <c r="P1350" i="4"/>
  <c r="O1350" i="4"/>
  <c r="N1350" i="4"/>
  <c r="M1350" i="4"/>
  <c r="L1350" i="4"/>
  <c r="K1350" i="4"/>
  <c r="J1350" i="4"/>
  <c r="I1350" i="4"/>
  <c r="H1350" i="4"/>
  <c r="G1350" i="4"/>
  <c r="F1350" i="4"/>
  <c r="E1350" i="4"/>
  <c r="U1350" i="4" s="1"/>
  <c r="D1350" i="4"/>
  <c r="C1350" i="4"/>
  <c r="V1350" i="4" s="1"/>
  <c r="B1350" i="4"/>
  <c r="A1350" i="4"/>
  <c r="X1349" i="4"/>
  <c r="T1349" i="4"/>
  <c r="S1349" i="4"/>
  <c r="R1349" i="4"/>
  <c r="Q1349" i="4"/>
  <c r="P1349" i="4"/>
  <c r="O1349" i="4"/>
  <c r="W1349" i="4" s="1"/>
  <c r="N1349" i="4"/>
  <c r="M1349" i="4"/>
  <c r="L1349" i="4"/>
  <c r="K1349" i="4"/>
  <c r="J1349" i="4"/>
  <c r="I1349" i="4"/>
  <c r="H1349" i="4"/>
  <c r="G1349" i="4"/>
  <c r="F1349" i="4"/>
  <c r="E1349" i="4"/>
  <c r="U1349" i="4" s="1"/>
  <c r="D1349" i="4"/>
  <c r="C1349" i="4"/>
  <c r="V1349" i="4" s="1"/>
  <c r="B1349" i="4"/>
  <c r="A1349" i="4"/>
  <c r="X1348" i="4"/>
  <c r="W1348" i="4"/>
  <c r="V1348" i="4"/>
  <c r="T1348" i="4"/>
  <c r="S1348" i="4"/>
  <c r="R1348" i="4"/>
  <c r="Q1348" i="4"/>
  <c r="P1348" i="4"/>
  <c r="O1348" i="4"/>
  <c r="N1348" i="4"/>
  <c r="M1348" i="4"/>
  <c r="L1348" i="4"/>
  <c r="K1348" i="4"/>
  <c r="J1348" i="4"/>
  <c r="I1348" i="4"/>
  <c r="H1348" i="4"/>
  <c r="G1348" i="4"/>
  <c r="F1348" i="4"/>
  <c r="E1348" i="4"/>
  <c r="U1348" i="4" s="1"/>
  <c r="D1348" i="4"/>
  <c r="C1348" i="4"/>
  <c r="B1348" i="4"/>
  <c r="A1348" i="4"/>
  <c r="X1347" i="4"/>
  <c r="V1347" i="4"/>
  <c r="T1347" i="4"/>
  <c r="S1347" i="4"/>
  <c r="R1347" i="4"/>
  <c r="Q1347" i="4"/>
  <c r="P1347" i="4"/>
  <c r="O1347" i="4"/>
  <c r="W1347" i="4" s="1"/>
  <c r="N1347" i="4"/>
  <c r="M1347" i="4"/>
  <c r="L1347" i="4"/>
  <c r="K1347" i="4"/>
  <c r="J1347" i="4"/>
  <c r="I1347" i="4"/>
  <c r="H1347" i="4"/>
  <c r="G1347" i="4"/>
  <c r="F1347" i="4"/>
  <c r="E1347" i="4"/>
  <c r="U1347" i="4" s="1"/>
  <c r="D1347" i="4"/>
  <c r="C1347" i="4"/>
  <c r="B1347" i="4"/>
  <c r="A1347" i="4"/>
  <c r="X1346" i="4"/>
  <c r="V1346" i="4"/>
  <c r="T1346" i="4"/>
  <c r="S1346" i="4"/>
  <c r="R1346" i="4"/>
  <c r="Q1346" i="4"/>
  <c r="P1346" i="4"/>
  <c r="O1346" i="4"/>
  <c r="W1346" i="4" s="1"/>
  <c r="N1346" i="4"/>
  <c r="M1346" i="4"/>
  <c r="L1346" i="4"/>
  <c r="K1346" i="4"/>
  <c r="J1346" i="4"/>
  <c r="I1346" i="4"/>
  <c r="H1346" i="4"/>
  <c r="G1346" i="4"/>
  <c r="F1346" i="4"/>
  <c r="E1346" i="4"/>
  <c r="U1346" i="4" s="1"/>
  <c r="D1346" i="4"/>
  <c r="C1346" i="4"/>
  <c r="B1346" i="4"/>
  <c r="A1346" i="4"/>
  <c r="X1345" i="4"/>
  <c r="W1345" i="4"/>
  <c r="V1345" i="4"/>
  <c r="T1345" i="4"/>
  <c r="S1345" i="4"/>
  <c r="R1345" i="4"/>
  <c r="Q1345" i="4"/>
  <c r="P1345" i="4"/>
  <c r="O1345" i="4"/>
  <c r="N1345" i="4"/>
  <c r="M1345" i="4"/>
  <c r="L1345" i="4"/>
  <c r="K1345" i="4"/>
  <c r="J1345" i="4"/>
  <c r="I1345" i="4"/>
  <c r="H1345" i="4"/>
  <c r="G1345" i="4"/>
  <c r="F1345" i="4"/>
  <c r="E1345" i="4"/>
  <c r="U1345" i="4" s="1"/>
  <c r="D1345" i="4"/>
  <c r="C1345" i="4"/>
  <c r="B1345" i="4"/>
  <c r="A1345" i="4"/>
  <c r="X1344" i="4"/>
  <c r="V1344" i="4"/>
  <c r="T1344" i="4"/>
  <c r="S1344" i="4"/>
  <c r="R1344" i="4"/>
  <c r="Q1344" i="4"/>
  <c r="P1344" i="4"/>
  <c r="O1344" i="4"/>
  <c r="W1344" i="4" s="1"/>
  <c r="N1344" i="4"/>
  <c r="M1344" i="4"/>
  <c r="L1344" i="4"/>
  <c r="K1344" i="4"/>
  <c r="J1344" i="4"/>
  <c r="I1344" i="4"/>
  <c r="H1344" i="4"/>
  <c r="G1344" i="4"/>
  <c r="F1344" i="4"/>
  <c r="E1344" i="4"/>
  <c r="U1344" i="4" s="1"/>
  <c r="D1344" i="4"/>
  <c r="C1344" i="4"/>
  <c r="B1344" i="4"/>
  <c r="A1344" i="4"/>
  <c r="X1343" i="4"/>
  <c r="W1343" i="4"/>
  <c r="V1343" i="4"/>
  <c r="T1343" i="4"/>
  <c r="S1343" i="4"/>
  <c r="R1343" i="4"/>
  <c r="Q1343" i="4"/>
  <c r="P1343" i="4"/>
  <c r="O1343" i="4"/>
  <c r="N1343" i="4"/>
  <c r="M1343" i="4"/>
  <c r="L1343" i="4"/>
  <c r="K1343" i="4"/>
  <c r="J1343" i="4"/>
  <c r="I1343" i="4"/>
  <c r="H1343" i="4"/>
  <c r="G1343" i="4"/>
  <c r="F1343" i="4"/>
  <c r="E1343" i="4"/>
  <c r="U1343" i="4" s="1"/>
  <c r="D1343" i="4"/>
  <c r="C1343" i="4"/>
  <c r="B1343" i="4"/>
  <c r="A1343" i="4"/>
  <c r="X1342" i="4"/>
  <c r="W1342" i="4"/>
  <c r="V1342" i="4"/>
  <c r="T1342" i="4"/>
  <c r="S1342" i="4"/>
  <c r="R1342" i="4"/>
  <c r="Q1342" i="4"/>
  <c r="P1342" i="4"/>
  <c r="O1342" i="4"/>
  <c r="N1342" i="4"/>
  <c r="M1342" i="4"/>
  <c r="L1342" i="4"/>
  <c r="K1342" i="4"/>
  <c r="J1342" i="4"/>
  <c r="I1342" i="4"/>
  <c r="H1342" i="4"/>
  <c r="G1342" i="4"/>
  <c r="F1342" i="4"/>
  <c r="E1342" i="4"/>
  <c r="U1342" i="4" s="1"/>
  <c r="D1342" i="4"/>
  <c r="C1342" i="4"/>
  <c r="B1342" i="4"/>
  <c r="A1342" i="4"/>
  <c r="X1341" i="4"/>
  <c r="V1341" i="4"/>
  <c r="T1341" i="4"/>
  <c r="S1341" i="4"/>
  <c r="R1341" i="4"/>
  <c r="Q1341" i="4"/>
  <c r="P1341" i="4"/>
  <c r="O1341" i="4"/>
  <c r="W1341" i="4" s="1"/>
  <c r="N1341" i="4"/>
  <c r="M1341" i="4"/>
  <c r="L1341" i="4"/>
  <c r="K1341" i="4"/>
  <c r="J1341" i="4"/>
  <c r="I1341" i="4"/>
  <c r="H1341" i="4"/>
  <c r="G1341" i="4"/>
  <c r="F1341" i="4"/>
  <c r="E1341" i="4"/>
  <c r="U1341" i="4" s="1"/>
  <c r="D1341" i="4"/>
  <c r="C1341" i="4"/>
  <c r="B1341" i="4"/>
  <c r="A1341" i="4"/>
  <c r="X1340" i="4"/>
  <c r="V1340" i="4"/>
  <c r="T1340" i="4"/>
  <c r="S1340" i="4"/>
  <c r="R1340" i="4"/>
  <c r="Q1340" i="4"/>
  <c r="P1340" i="4"/>
  <c r="O1340" i="4"/>
  <c r="W1340" i="4" s="1"/>
  <c r="N1340" i="4"/>
  <c r="M1340" i="4"/>
  <c r="L1340" i="4"/>
  <c r="K1340" i="4"/>
  <c r="J1340" i="4"/>
  <c r="I1340" i="4"/>
  <c r="H1340" i="4"/>
  <c r="G1340" i="4"/>
  <c r="F1340" i="4"/>
  <c r="E1340" i="4"/>
  <c r="U1340" i="4" s="1"/>
  <c r="D1340" i="4"/>
  <c r="C1340" i="4"/>
  <c r="B1340" i="4"/>
  <c r="A1340" i="4"/>
  <c r="X1339" i="4"/>
  <c r="W1339" i="4"/>
  <c r="V1339" i="4"/>
  <c r="T1339" i="4"/>
  <c r="S1339" i="4"/>
  <c r="R1339" i="4"/>
  <c r="Q1339" i="4"/>
  <c r="P1339" i="4"/>
  <c r="O1339" i="4"/>
  <c r="N1339" i="4"/>
  <c r="M1339" i="4"/>
  <c r="L1339" i="4"/>
  <c r="K1339" i="4"/>
  <c r="J1339" i="4"/>
  <c r="I1339" i="4"/>
  <c r="H1339" i="4"/>
  <c r="G1339" i="4"/>
  <c r="F1339" i="4"/>
  <c r="E1339" i="4"/>
  <c r="U1339" i="4" s="1"/>
  <c r="D1339" i="4"/>
  <c r="C1339" i="4"/>
  <c r="B1339" i="4"/>
  <c r="A1339" i="4"/>
  <c r="X1338" i="4"/>
  <c r="V1338" i="4"/>
  <c r="T1338" i="4"/>
  <c r="S1338" i="4"/>
  <c r="R1338" i="4"/>
  <c r="Q1338" i="4"/>
  <c r="P1338" i="4"/>
  <c r="O1338" i="4"/>
  <c r="W1338" i="4" s="1"/>
  <c r="N1338" i="4"/>
  <c r="M1338" i="4"/>
  <c r="L1338" i="4"/>
  <c r="K1338" i="4"/>
  <c r="J1338" i="4"/>
  <c r="I1338" i="4"/>
  <c r="H1338" i="4"/>
  <c r="G1338" i="4"/>
  <c r="F1338" i="4"/>
  <c r="E1338" i="4"/>
  <c r="U1338" i="4" s="1"/>
  <c r="D1338" i="4"/>
  <c r="C1338" i="4"/>
  <c r="B1338" i="4"/>
  <c r="A1338" i="4"/>
  <c r="X1337" i="4"/>
  <c r="V1337" i="4"/>
  <c r="T1337" i="4"/>
  <c r="S1337" i="4"/>
  <c r="R1337" i="4"/>
  <c r="Q1337" i="4"/>
  <c r="P1337" i="4"/>
  <c r="O1337" i="4"/>
  <c r="W1337" i="4" s="1"/>
  <c r="N1337" i="4"/>
  <c r="M1337" i="4"/>
  <c r="L1337" i="4"/>
  <c r="K1337" i="4"/>
  <c r="J1337" i="4"/>
  <c r="I1337" i="4"/>
  <c r="H1337" i="4"/>
  <c r="G1337" i="4"/>
  <c r="F1337" i="4"/>
  <c r="E1337" i="4"/>
  <c r="U1337" i="4" s="1"/>
  <c r="D1337" i="4"/>
  <c r="C1337" i="4"/>
  <c r="B1337" i="4"/>
  <c r="A1337" i="4"/>
  <c r="X1336" i="4"/>
  <c r="W1336" i="4"/>
  <c r="V1336" i="4"/>
  <c r="T1336" i="4"/>
  <c r="S1336" i="4"/>
  <c r="R1336" i="4"/>
  <c r="Q1336" i="4"/>
  <c r="P1336" i="4"/>
  <c r="O1336" i="4"/>
  <c r="N1336" i="4"/>
  <c r="M1336" i="4"/>
  <c r="L1336" i="4"/>
  <c r="K1336" i="4"/>
  <c r="J1336" i="4"/>
  <c r="I1336" i="4"/>
  <c r="H1336" i="4"/>
  <c r="G1336" i="4"/>
  <c r="F1336" i="4"/>
  <c r="E1336" i="4"/>
  <c r="U1336" i="4" s="1"/>
  <c r="D1336" i="4"/>
  <c r="C1336" i="4"/>
  <c r="B1336" i="4"/>
  <c r="A1336" i="4"/>
  <c r="X1335" i="4"/>
  <c r="W1335" i="4"/>
  <c r="V1335" i="4"/>
  <c r="T1335" i="4"/>
  <c r="S1335" i="4"/>
  <c r="R1335" i="4"/>
  <c r="Q1335" i="4"/>
  <c r="P1335" i="4"/>
  <c r="O1335" i="4"/>
  <c r="N1335" i="4"/>
  <c r="M1335" i="4"/>
  <c r="L1335" i="4"/>
  <c r="K1335" i="4"/>
  <c r="J1335" i="4"/>
  <c r="I1335" i="4"/>
  <c r="H1335" i="4"/>
  <c r="G1335" i="4"/>
  <c r="F1335" i="4"/>
  <c r="E1335" i="4"/>
  <c r="U1335" i="4" s="1"/>
  <c r="D1335" i="4"/>
  <c r="C1335" i="4"/>
  <c r="B1335" i="4"/>
  <c r="A1335" i="4"/>
  <c r="X1334" i="4"/>
  <c r="W1334" i="4"/>
  <c r="V1334" i="4"/>
  <c r="T1334" i="4"/>
  <c r="S1334" i="4"/>
  <c r="R1334" i="4"/>
  <c r="Q1334" i="4"/>
  <c r="P1334" i="4"/>
  <c r="O1334" i="4"/>
  <c r="N1334" i="4"/>
  <c r="M1334" i="4"/>
  <c r="L1334" i="4"/>
  <c r="K1334" i="4"/>
  <c r="J1334" i="4"/>
  <c r="I1334" i="4"/>
  <c r="H1334" i="4"/>
  <c r="G1334" i="4"/>
  <c r="F1334" i="4"/>
  <c r="E1334" i="4"/>
  <c r="U1334" i="4" s="1"/>
  <c r="D1334" i="4"/>
  <c r="C1334" i="4"/>
  <c r="B1334" i="4"/>
  <c r="A1334" i="4"/>
  <c r="X1333" i="4"/>
  <c r="W1333" i="4"/>
  <c r="V1333" i="4"/>
  <c r="T1333" i="4"/>
  <c r="S1333" i="4"/>
  <c r="R1333" i="4"/>
  <c r="Q1333" i="4"/>
  <c r="P1333" i="4"/>
  <c r="O1333" i="4"/>
  <c r="N1333" i="4"/>
  <c r="M1333" i="4"/>
  <c r="L1333" i="4"/>
  <c r="K1333" i="4"/>
  <c r="J1333" i="4"/>
  <c r="I1333" i="4"/>
  <c r="H1333" i="4"/>
  <c r="G1333" i="4"/>
  <c r="F1333" i="4"/>
  <c r="E1333" i="4"/>
  <c r="U1333" i="4" s="1"/>
  <c r="D1333" i="4"/>
  <c r="C1333" i="4"/>
  <c r="B1333" i="4"/>
  <c r="A1333" i="4"/>
  <c r="X1332" i="4"/>
  <c r="W1332" i="4"/>
  <c r="V1332" i="4"/>
  <c r="T1332" i="4"/>
  <c r="S1332" i="4"/>
  <c r="R1332" i="4"/>
  <c r="Q1332" i="4"/>
  <c r="P1332" i="4"/>
  <c r="O1332" i="4"/>
  <c r="N1332" i="4"/>
  <c r="M1332" i="4"/>
  <c r="L1332" i="4"/>
  <c r="K1332" i="4"/>
  <c r="J1332" i="4"/>
  <c r="I1332" i="4"/>
  <c r="H1332" i="4"/>
  <c r="G1332" i="4"/>
  <c r="F1332" i="4"/>
  <c r="E1332" i="4"/>
  <c r="U1332" i="4" s="1"/>
  <c r="D1332" i="4"/>
  <c r="C1332" i="4"/>
  <c r="B1332" i="4"/>
  <c r="A1332" i="4"/>
  <c r="X1331" i="4"/>
  <c r="V1331" i="4"/>
  <c r="T1331" i="4"/>
  <c r="S1331" i="4"/>
  <c r="R1331" i="4"/>
  <c r="Q1331" i="4"/>
  <c r="P1331" i="4"/>
  <c r="O1331" i="4"/>
  <c r="W1331" i="4" s="1"/>
  <c r="N1331" i="4"/>
  <c r="M1331" i="4"/>
  <c r="L1331" i="4"/>
  <c r="K1331" i="4"/>
  <c r="J1331" i="4"/>
  <c r="I1331" i="4"/>
  <c r="H1331" i="4"/>
  <c r="G1331" i="4"/>
  <c r="F1331" i="4"/>
  <c r="E1331" i="4"/>
  <c r="U1331" i="4" s="1"/>
  <c r="D1331" i="4"/>
  <c r="C1331" i="4"/>
  <c r="B1331" i="4"/>
  <c r="A1331" i="4"/>
  <c r="X1330" i="4"/>
  <c r="W1330" i="4"/>
  <c r="V1330" i="4"/>
  <c r="T1330" i="4"/>
  <c r="S1330" i="4"/>
  <c r="R1330" i="4"/>
  <c r="Q1330" i="4"/>
  <c r="P1330" i="4"/>
  <c r="O1330" i="4"/>
  <c r="N1330" i="4"/>
  <c r="M1330" i="4"/>
  <c r="L1330" i="4"/>
  <c r="K1330" i="4"/>
  <c r="J1330" i="4"/>
  <c r="I1330" i="4"/>
  <c r="H1330" i="4"/>
  <c r="G1330" i="4"/>
  <c r="F1330" i="4"/>
  <c r="E1330" i="4"/>
  <c r="U1330" i="4" s="1"/>
  <c r="D1330" i="4"/>
  <c r="C1330" i="4"/>
  <c r="B1330" i="4"/>
  <c r="A1330" i="4"/>
  <c r="X1329" i="4"/>
  <c r="V1329" i="4"/>
  <c r="T1329" i="4"/>
  <c r="S1329" i="4"/>
  <c r="R1329" i="4"/>
  <c r="Q1329" i="4"/>
  <c r="P1329" i="4"/>
  <c r="O1329" i="4"/>
  <c r="W1329" i="4" s="1"/>
  <c r="N1329" i="4"/>
  <c r="M1329" i="4"/>
  <c r="L1329" i="4"/>
  <c r="K1329" i="4"/>
  <c r="J1329" i="4"/>
  <c r="I1329" i="4"/>
  <c r="H1329" i="4"/>
  <c r="G1329" i="4"/>
  <c r="F1329" i="4"/>
  <c r="E1329" i="4"/>
  <c r="U1329" i="4" s="1"/>
  <c r="D1329" i="4"/>
  <c r="C1329" i="4"/>
  <c r="B1329" i="4"/>
  <c r="A1329" i="4"/>
  <c r="X1328" i="4"/>
  <c r="W1328" i="4"/>
  <c r="V1328" i="4"/>
  <c r="T1328" i="4"/>
  <c r="S1328" i="4"/>
  <c r="R1328" i="4"/>
  <c r="Q1328" i="4"/>
  <c r="P1328" i="4"/>
  <c r="O1328" i="4"/>
  <c r="N1328" i="4"/>
  <c r="M1328" i="4"/>
  <c r="L1328" i="4"/>
  <c r="K1328" i="4"/>
  <c r="J1328" i="4"/>
  <c r="I1328" i="4"/>
  <c r="H1328" i="4"/>
  <c r="G1328" i="4"/>
  <c r="F1328" i="4"/>
  <c r="E1328" i="4"/>
  <c r="U1328" i="4" s="1"/>
  <c r="D1328" i="4"/>
  <c r="C1328" i="4"/>
  <c r="B1328" i="4"/>
  <c r="A1328" i="4"/>
  <c r="X1327" i="4"/>
  <c r="V1327" i="4"/>
  <c r="T1327" i="4"/>
  <c r="S1327" i="4"/>
  <c r="R1327" i="4"/>
  <c r="Q1327" i="4"/>
  <c r="P1327" i="4"/>
  <c r="O1327" i="4"/>
  <c r="W1327" i="4" s="1"/>
  <c r="N1327" i="4"/>
  <c r="M1327" i="4"/>
  <c r="L1327" i="4"/>
  <c r="K1327" i="4"/>
  <c r="J1327" i="4"/>
  <c r="I1327" i="4"/>
  <c r="H1327" i="4"/>
  <c r="G1327" i="4"/>
  <c r="F1327" i="4"/>
  <c r="E1327" i="4"/>
  <c r="U1327" i="4" s="1"/>
  <c r="D1327" i="4"/>
  <c r="C1327" i="4"/>
  <c r="B1327" i="4"/>
  <c r="A1327" i="4"/>
  <c r="X1326" i="4"/>
  <c r="V1326" i="4"/>
  <c r="T1326" i="4"/>
  <c r="S1326" i="4"/>
  <c r="R1326" i="4"/>
  <c r="Q1326" i="4"/>
  <c r="P1326" i="4"/>
  <c r="O1326" i="4"/>
  <c r="W1326" i="4" s="1"/>
  <c r="N1326" i="4"/>
  <c r="M1326" i="4"/>
  <c r="L1326" i="4"/>
  <c r="K1326" i="4"/>
  <c r="J1326" i="4"/>
  <c r="I1326" i="4"/>
  <c r="H1326" i="4"/>
  <c r="G1326" i="4"/>
  <c r="F1326" i="4"/>
  <c r="E1326" i="4"/>
  <c r="U1326" i="4" s="1"/>
  <c r="D1326" i="4"/>
  <c r="C1326" i="4"/>
  <c r="B1326" i="4"/>
  <c r="A1326" i="4"/>
  <c r="X1325" i="4"/>
  <c r="V1325" i="4"/>
  <c r="T1325" i="4"/>
  <c r="S1325" i="4"/>
  <c r="R1325" i="4"/>
  <c r="Q1325" i="4"/>
  <c r="P1325" i="4"/>
  <c r="O1325" i="4"/>
  <c r="W1325" i="4" s="1"/>
  <c r="N1325" i="4"/>
  <c r="M1325" i="4"/>
  <c r="L1325" i="4"/>
  <c r="K1325" i="4"/>
  <c r="J1325" i="4"/>
  <c r="I1325" i="4"/>
  <c r="H1325" i="4"/>
  <c r="G1325" i="4"/>
  <c r="F1325" i="4"/>
  <c r="E1325" i="4"/>
  <c r="U1325" i="4" s="1"/>
  <c r="D1325" i="4"/>
  <c r="C1325" i="4"/>
  <c r="B1325" i="4"/>
  <c r="A1325" i="4"/>
  <c r="X1324" i="4"/>
  <c r="W1324" i="4"/>
  <c r="V1324" i="4"/>
  <c r="T1324" i="4"/>
  <c r="S1324" i="4"/>
  <c r="R1324" i="4"/>
  <c r="Q1324" i="4"/>
  <c r="P1324" i="4"/>
  <c r="O1324" i="4"/>
  <c r="N1324" i="4"/>
  <c r="M1324" i="4"/>
  <c r="L1324" i="4"/>
  <c r="K1324" i="4"/>
  <c r="J1324" i="4"/>
  <c r="I1324" i="4"/>
  <c r="H1324" i="4"/>
  <c r="G1324" i="4"/>
  <c r="F1324" i="4"/>
  <c r="E1324" i="4"/>
  <c r="U1324" i="4" s="1"/>
  <c r="D1324" i="4"/>
  <c r="C1324" i="4"/>
  <c r="B1324" i="4"/>
  <c r="A1324" i="4"/>
  <c r="X1323" i="4"/>
  <c r="V1323" i="4"/>
  <c r="T1323" i="4"/>
  <c r="S1323" i="4"/>
  <c r="R1323" i="4"/>
  <c r="Q1323" i="4"/>
  <c r="P1323" i="4"/>
  <c r="O1323" i="4"/>
  <c r="W1323" i="4" s="1"/>
  <c r="N1323" i="4"/>
  <c r="M1323" i="4"/>
  <c r="L1323" i="4"/>
  <c r="K1323" i="4"/>
  <c r="J1323" i="4"/>
  <c r="I1323" i="4"/>
  <c r="H1323" i="4"/>
  <c r="G1323" i="4"/>
  <c r="F1323" i="4"/>
  <c r="E1323" i="4"/>
  <c r="U1323" i="4" s="1"/>
  <c r="D1323" i="4"/>
  <c r="C1323" i="4"/>
  <c r="B1323" i="4"/>
  <c r="A1323" i="4"/>
  <c r="X1322" i="4"/>
  <c r="W1322" i="4"/>
  <c r="V1322" i="4"/>
  <c r="T1322" i="4"/>
  <c r="S1322" i="4"/>
  <c r="R1322" i="4"/>
  <c r="Q1322" i="4"/>
  <c r="P1322" i="4"/>
  <c r="O1322" i="4"/>
  <c r="N1322" i="4"/>
  <c r="M1322" i="4"/>
  <c r="L1322" i="4"/>
  <c r="K1322" i="4"/>
  <c r="J1322" i="4"/>
  <c r="I1322" i="4"/>
  <c r="H1322" i="4"/>
  <c r="G1322" i="4"/>
  <c r="F1322" i="4"/>
  <c r="E1322" i="4"/>
  <c r="U1322" i="4" s="1"/>
  <c r="D1322" i="4"/>
  <c r="C1322" i="4"/>
  <c r="B1322" i="4"/>
  <c r="A1322" i="4"/>
  <c r="X1321" i="4"/>
  <c r="V1321" i="4"/>
  <c r="T1321" i="4"/>
  <c r="S1321" i="4"/>
  <c r="R1321" i="4"/>
  <c r="Q1321" i="4"/>
  <c r="P1321" i="4"/>
  <c r="O1321" i="4"/>
  <c r="W1321" i="4" s="1"/>
  <c r="N1321" i="4"/>
  <c r="M1321" i="4"/>
  <c r="L1321" i="4"/>
  <c r="K1321" i="4"/>
  <c r="J1321" i="4"/>
  <c r="I1321" i="4"/>
  <c r="H1321" i="4"/>
  <c r="G1321" i="4"/>
  <c r="F1321" i="4"/>
  <c r="E1321" i="4"/>
  <c r="U1321" i="4" s="1"/>
  <c r="D1321" i="4"/>
  <c r="C1321" i="4"/>
  <c r="B1321" i="4"/>
  <c r="A1321" i="4"/>
  <c r="X1320" i="4"/>
  <c r="W1320" i="4"/>
  <c r="V1320" i="4"/>
  <c r="T1320" i="4"/>
  <c r="S1320" i="4"/>
  <c r="R1320" i="4"/>
  <c r="Q1320" i="4"/>
  <c r="P1320" i="4"/>
  <c r="O1320" i="4"/>
  <c r="N1320" i="4"/>
  <c r="M1320" i="4"/>
  <c r="L1320" i="4"/>
  <c r="K1320" i="4"/>
  <c r="J1320" i="4"/>
  <c r="I1320" i="4"/>
  <c r="H1320" i="4"/>
  <c r="G1320" i="4"/>
  <c r="F1320" i="4"/>
  <c r="E1320" i="4"/>
  <c r="U1320" i="4" s="1"/>
  <c r="D1320" i="4"/>
  <c r="C1320" i="4"/>
  <c r="B1320" i="4"/>
  <c r="A1320" i="4"/>
  <c r="X1319" i="4"/>
  <c r="W1319" i="4"/>
  <c r="V1319" i="4"/>
  <c r="T1319" i="4"/>
  <c r="S1319" i="4"/>
  <c r="R1319" i="4"/>
  <c r="Q1319" i="4"/>
  <c r="P1319" i="4"/>
  <c r="O1319" i="4"/>
  <c r="N1319" i="4"/>
  <c r="M1319" i="4"/>
  <c r="L1319" i="4"/>
  <c r="K1319" i="4"/>
  <c r="J1319" i="4"/>
  <c r="I1319" i="4"/>
  <c r="H1319" i="4"/>
  <c r="G1319" i="4"/>
  <c r="F1319" i="4"/>
  <c r="E1319" i="4"/>
  <c r="U1319" i="4" s="1"/>
  <c r="D1319" i="4"/>
  <c r="C1319" i="4"/>
  <c r="B1319" i="4"/>
  <c r="A1319" i="4"/>
  <c r="X1318" i="4"/>
  <c r="V1318" i="4"/>
  <c r="T1318" i="4"/>
  <c r="S1318" i="4"/>
  <c r="R1318" i="4"/>
  <c r="Q1318" i="4"/>
  <c r="P1318" i="4"/>
  <c r="O1318" i="4"/>
  <c r="W1318" i="4" s="1"/>
  <c r="N1318" i="4"/>
  <c r="M1318" i="4"/>
  <c r="L1318" i="4"/>
  <c r="K1318" i="4"/>
  <c r="J1318" i="4"/>
  <c r="I1318" i="4"/>
  <c r="H1318" i="4"/>
  <c r="G1318" i="4"/>
  <c r="F1318" i="4"/>
  <c r="E1318" i="4"/>
  <c r="U1318" i="4" s="1"/>
  <c r="D1318" i="4"/>
  <c r="C1318" i="4"/>
  <c r="B1318" i="4"/>
  <c r="A1318" i="4"/>
  <c r="X1317" i="4"/>
  <c r="W1317" i="4"/>
  <c r="V1317" i="4"/>
  <c r="T1317" i="4"/>
  <c r="S1317" i="4"/>
  <c r="R1317" i="4"/>
  <c r="Q1317" i="4"/>
  <c r="P1317" i="4"/>
  <c r="O1317" i="4"/>
  <c r="N1317" i="4"/>
  <c r="M1317" i="4"/>
  <c r="L1317" i="4"/>
  <c r="K1317" i="4"/>
  <c r="J1317" i="4"/>
  <c r="I1317" i="4"/>
  <c r="H1317" i="4"/>
  <c r="G1317" i="4"/>
  <c r="F1317" i="4"/>
  <c r="E1317" i="4"/>
  <c r="U1317" i="4" s="1"/>
  <c r="D1317" i="4"/>
  <c r="C1317" i="4"/>
  <c r="B1317" i="4"/>
  <c r="A1317" i="4"/>
  <c r="X1316" i="4"/>
  <c r="V1316" i="4"/>
  <c r="T1316" i="4"/>
  <c r="S1316" i="4"/>
  <c r="R1316" i="4"/>
  <c r="Q1316" i="4"/>
  <c r="P1316" i="4"/>
  <c r="O1316" i="4"/>
  <c r="W1316" i="4" s="1"/>
  <c r="N1316" i="4"/>
  <c r="M1316" i="4"/>
  <c r="L1316" i="4"/>
  <c r="K1316" i="4"/>
  <c r="J1316" i="4"/>
  <c r="I1316" i="4"/>
  <c r="H1316" i="4"/>
  <c r="G1316" i="4"/>
  <c r="F1316" i="4"/>
  <c r="E1316" i="4"/>
  <c r="U1316" i="4" s="1"/>
  <c r="D1316" i="4"/>
  <c r="C1316" i="4"/>
  <c r="B1316" i="4"/>
  <c r="A1316" i="4"/>
  <c r="X1315" i="4"/>
  <c r="W1315" i="4"/>
  <c r="V1315" i="4"/>
  <c r="T1315" i="4"/>
  <c r="S1315" i="4"/>
  <c r="R1315" i="4"/>
  <c r="Q1315" i="4"/>
  <c r="P1315" i="4"/>
  <c r="O1315" i="4"/>
  <c r="N1315" i="4"/>
  <c r="M1315" i="4"/>
  <c r="L1315" i="4"/>
  <c r="K1315" i="4"/>
  <c r="J1315" i="4"/>
  <c r="I1315" i="4"/>
  <c r="H1315" i="4"/>
  <c r="G1315" i="4"/>
  <c r="F1315" i="4"/>
  <c r="E1315" i="4"/>
  <c r="U1315" i="4" s="1"/>
  <c r="D1315" i="4"/>
  <c r="C1315" i="4"/>
  <c r="B1315" i="4"/>
  <c r="A1315" i="4"/>
  <c r="X1314" i="4"/>
  <c r="V1314" i="4"/>
  <c r="T1314" i="4"/>
  <c r="S1314" i="4"/>
  <c r="R1314" i="4"/>
  <c r="Q1314" i="4"/>
  <c r="P1314" i="4"/>
  <c r="O1314" i="4"/>
  <c r="W1314" i="4" s="1"/>
  <c r="N1314" i="4"/>
  <c r="M1314" i="4"/>
  <c r="L1314" i="4"/>
  <c r="K1314" i="4"/>
  <c r="J1314" i="4"/>
  <c r="I1314" i="4"/>
  <c r="H1314" i="4"/>
  <c r="G1314" i="4"/>
  <c r="F1314" i="4"/>
  <c r="E1314" i="4"/>
  <c r="U1314" i="4" s="1"/>
  <c r="D1314" i="4"/>
  <c r="C1314" i="4"/>
  <c r="B1314" i="4"/>
  <c r="A1314" i="4"/>
  <c r="X1313" i="4"/>
  <c r="W1313" i="4"/>
  <c r="V1313" i="4"/>
  <c r="T1313" i="4"/>
  <c r="S1313" i="4"/>
  <c r="R1313" i="4"/>
  <c r="Q1313" i="4"/>
  <c r="P1313" i="4"/>
  <c r="O1313" i="4"/>
  <c r="N1313" i="4"/>
  <c r="M1313" i="4"/>
  <c r="L1313" i="4"/>
  <c r="K1313" i="4"/>
  <c r="J1313" i="4"/>
  <c r="I1313" i="4"/>
  <c r="H1313" i="4"/>
  <c r="G1313" i="4"/>
  <c r="F1313" i="4"/>
  <c r="E1313" i="4"/>
  <c r="U1313" i="4" s="1"/>
  <c r="D1313" i="4"/>
  <c r="C1313" i="4"/>
  <c r="B1313" i="4"/>
  <c r="A1313" i="4"/>
  <c r="X1312" i="4"/>
  <c r="V1312" i="4"/>
  <c r="T1312" i="4"/>
  <c r="S1312" i="4"/>
  <c r="R1312" i="4"/>
  <c r="Q1312" i="4"/>
  <c r="P1312" i="4"/>
  <c r="O1312" i="4"/>
  <c r="W1312" i="4" s="1"/>
  <c r="N1312" i="4"/>
  <c r="M1312" i="4"/>
  <c r="L1312" i="4"/>
  <c r="K1312" i="4"/>
  <c r="J1312" i="4"/>
  <c r="I1312" i="4"/>
  <c r="H1312" i="4"/>
  <c r="G1312" i="4"/>
  <c r="F1312" i="4"/>
  <c r="E1312" i="4"/>
  <c r="U1312" i="4" s="1"/>
  <c r="D1312" i="4"/>
  <c r="C1312" i="4"/>
  <c r="B1312" i="4"/>
  <c r="A1312" i="4"/>
  <c r="X1311" i="4"/>
  <c r="W1311" i="4"/>
  <c r="V1311" i="4"/>
  <c r="T1311" i="4"/>
  <c r="S1311" i="4"/>
  <c r="R1311" i="4"/>
  <c r="Q1311" i="4"/>
  <c r="P1311" i="4"/>
  <c r="O1311" i="4"/>
  <c r="N1311" i="4"/>
  <c r="M1311" i="4"/>
  <c r="L1311" i="4"/>
  <c r="K1311" i="4"/>
  <c r="J1311" i="4"/>
  <c r="I1311" i="4"/>
  <c r="H1311" i="4"/>
  <c r="G1311" i="4"/>
  <c r="F1311" i="4"/>
  <c r="E1311" i="4"/>
  <c r="U1311" i="4" s="1"/>
  <c r="D1311" i="4"/>
  <c r="C1311" i="4"/>
  <c r="B1311" i="4"/>
  <c r="A1311" i="4"/>
  <c r="X1310" i="4"/>
  <c r="W1310" i="4"/>
  <c r="V1310" i="4"/>
  <c r="T1310" i="4"/>
  <c r="S1310" i="4"/>
  <c r="R1310" i="4"/>
  <c r="Q1310" i="4"/>
  <c r="P1310" i="4"/>
  <c r="O1310" i="4"/>
  <c r="N1310" i="4"/>
  <c r="M1310" i="4"/>
  <c r="L1310" i="4"/>
  <c r="K1310" i="4"/>
  <c r="J1310" i="4"/>
  <c r="I1310" i="4"/>
  <c r="H1310" i="4"/>
  <c r="G1310" i="4"/>
  <c r="F1310" i="4"/>
  <c r="E1310" i="4"/>
  <c r="U1310" i="4" s="1"/>
  <c r="D1310" i="4"/>
  <c r="C1310" i="4"/>
  <c r="B1310" i="4"/>
  <c r="A1310" i="4"/>
  <c r="X1309" i="4"/>
  <c r="V1309" i="4"/>
  <c r="T1309" i="4"/>
  <c r="S1309" i="4"/>
  <c r="R1309" i="4"/>
  <c r="Q1309" i="4"/>
  <c r="P1309" i="4"/>
  <c r="O1309" i="4"/>
  <c r="W1309" i="4" s="1"/>
  <c r="N1309" i="4"/>
  <c r="M1309" i="4"/>
  <c r="L1309" i="4"/>
  <c r="K1309" i="4"/>
  <c r="J1309" i="4"/>
  <c r="I1309" i="4"/>
  <c r="H1309" i="4"/>
  <c r="G1309" i="4"/>
  <c r="F1309" i="4"/>
  <c r="E1309" i="4"/>
  <c r="U1309" i="4" s="1"/>
  <c r="D1309" i="4"/>
  <c r="C1309" i="4"/>
  <c r="B1309" i="4"/>
  <c r="A1309" i="4"/>
  <c r="X1308" i="4"/>
  <c r="W1308" i="4"/>
  <c r="V1308" i="4"/>
  <c r="T1308" i="4"/>
  <c r="S1308" i="4"/>
  <c r="R1308" i="4"/>
  <c r="Q1308" i="4"/>
  <c r="P1308" i="4"/>
  <c r="O1308" i="4"/>
  <c r="N1308" i="4"/>
  <c r="M1308" i="4"/>
  <c r="L1308" i="4"/>
  <c r="K1308" i="4"/>
  <c r="J1308" i="4"/>
  <c r="I1308" i="4"/>
  <c r="H1308" i="4"/>
  <c r="G1308" i="4"/>
  <c r="F1308" i="4"/>
  <c r="E1308" i="4"/>
  <c r="U1308" i="4" s="1"/>
  <c r="D1308" i="4"/>
  <c r="C1308" i="4"/>
  <c r="B1308" i="4"/>
  <c r="A1308" i="4"/>
  <c r="X1307" i="4"/>
  <c r="W1307" i="4"/>
  <c r="V1307" i="4"/>
  <c r="T1307" i="4"/>
  <c r="S1307" i="4"/>
  <c r="R1307" i="4"/>
  <c r="Q1307" i="4"/>
  <c r="P1307" i="4"/>
  <c r="O1307" i="4"/>
  <c r="N1307" i="4"/>
  <c r="M1307" i="4"/>
  <c r="L1307" i="4"/>
  <c r="K1307" i="4"/>
  <c r="J1307" i="4"/>
  <c r="I1307" i="4"/>
  <c r="H1307" i="4"/>
  <c r="G1307" i="4"/>
  <c r="F1307" i="4"/>
  <c r="E1307" i="4"/>
  <c r="U1307" i="4" s="1"/>
  <c r="D1307" i="4"/>
  <c r="C1307" i="4"/>
  <c r="B1307" i="4"/>
  <c r="A1307" i="4"/>
  <c r="X1306" i="4"/>
  <c r="V1306" i="4"/>
  <c r="T1306" i="4"/>
  <c r="S1306" i="4"/>
  <c r="R1306" i="4"/>
  <c r="Q1306" i="4"/>
  <c r="P1306" i="4"/>
  <c r="O1306" i="4"/>
  <c r="W1306" i="4" s="1"/>
  <c r="N1306" i="4"/>
  <c r="M1306" i="4"/>
  <c r="L1306" i="4"/>
  <c r="K1306" i="4"/>
  <c r="J1306" i="4"/>
  <c r="I1306" i="4"/>
  <c r="H1306" i="4"/>
  <c r="G1306" i="4"/>
  <c r="F1306" i="4"/>
  <c r="E1306" i="4"/>
  <c r="U1306" i="4" s="1"/>
  <c r="D1306" i="4"/>
  <c r="C1306" i="4"/>
  <c r="B1306" i="4"/>
  <c r="A1306" i="4"/>
  <c r="X1305" i="4"/>
  <c r="W1305" i="4"/>
  <c r="V1305" i="4"/>
  <c r="T1305" i="4"/>
  <c r="S1305" i="4"/>
  <c r="R1305" i="4"/>
  <c r="Q1305" i="4"/>
  <c r="P1305" i="4"/>
  <c r="O1305" i="4"/>
  <c r="N1305" i="4"/>
  <c r="M1305" i="4"/>
  <c r="L1305" i="4"/>
  <c r="K1305" i="4"/>
  <c r="J1305" i="4"/>
  <c r="I1305" i="4"/>
  <c r="H1305" i="4"/>
  <c r="G1305" i="4"/>
  <c r="F1305" i="4"/>
  <c r="E1305" i="4"/>
  <c r="U1305" i="4" s="1"/>
  <c r="D1305" i="4"/>
  <c r="C1305" i="4"/>
  <c r="B1305" i="4"/>
  <c r="A1305" i="4"/>
  <c r="X1304" i="4"/>
  <c r="V1304" i="4"/>
  <c r="T1304" i="4"/>
  <c r="S1304" i="4"/>
  <c r="R1304" i="4"/>
  <c r="Q1304" i="4"/>
  <c r="P1304" i="4"/>
  <c r="O1304" i="4"/>
  <c r="W1304" i="4" s="1"/>
  <c r="N1304" i="4"/>
  <c r="M1304" i="4"/>
  <c r="L1304" i="4"/>
  <c r="K1304" i="4"/>
  <c r="J1304" i="4"/>
  <c r="I1304" i="4"/>
  <c r="H1304" i="4"/>
  <c r="G1304" i="4"/>
  <c r="F1304" i="4"/>
  <c r="E1304" i="4"/>
  <c r="U1304" i="4" s="1"/>
  <c r="D1304" i="4"/>
  <c r="C1304" i="4"/>
  <c r="B1304" i="4"/>
  <c r="A1304" i="4"/>
  <c r="X1303" i="4"/>
  <c r="W1303" i="4"/>
  <c r="V1303" i="4"/>
  <c r="T1303" i="4"/>
  <c r="S1303" i="4"/>
  <c r="R1303" i="4"/>
  <c r="Q1303" i="4"/>
  <c r="P1303" i="4"/>
  <c r="O1303" i="4"/>
  <c r="N1303" i="4"/>
  <c r="M1303" i="4"/>
  <c r="L1303" i="4"/>
  <c r="K1303" i="4"/>
  <c r="J1303" i="4"/>
  <c r="I1303" i="4"/>
  <c r="H1303" i="4"/>
  <c r="G1303" i="4"/>
  <c r="F1303" i="4"/>
  <c r="E1303" i="4"/>
  <c r="U1303" i="4" s="1"/>
  <c r="D1303" i="4"/>
  <c r="C1303" i="4"/>
  <c r="B1303" i="4"/>
  <c r="A1303" i="4"/>
  <c r="X1302" i="4"/>
  <c r="V1302" i="4"/>
  <c r="T1302" i="4"/>
  <c r="S1302" i="4"/>
  <c r="R1302" i="4"/>
  <c r="Q1302" i="4"/>
  <c r="P1302" i="4"/>
  <c r="O1302" i="4"/>
  <c r="W1302" i="4" s="1"/>
  <c r="N1302" i="4"/>
  <c r="M1302" i="4"/>
  <c r="L1302" i="4"/>
  <c r="K1302" i="4"/>
  <c r="J1302" i="4"/>
  <c r="I1302" i="4"/>
  <c r="H1302" i="4"/>
  <c r="G1302" i="4"/>
  <c r="F1302" i="4"/>
  <c r="E1302" i="4"/>
  <c r="U1302" i="4" s="1"/>
  <c r="D1302" i="4"/>
  <c r="C1302" i="4"/>
  <c r="B1302" i="4"/>
  <c r="A1302" i="4"/>
  <c r="X1301" i="4"/>
  <c r="W1301" i="4"/>
  <c r="V1301" i="4"/>
  <c r="T1301" i="4"/>
  <c r="S1301" i="4"/>
  <c r="R1301" i="4"/>
  <c r="Q1301" i="4"/>
  <c r="P1301" i="4"/>
  <c r="O1301" i="4"/>
  <c r="N1301" i="4"/>
  <c r="M1301" i="4"/>
  <c r="L1301" i="4"/>
  <c r="K1301" i="4"/>
  <c r="J1301" i="4"/>
  <c r="I1301" i="4"/>
  <c r="H1301" i="4"/>
  <c r="G1301" i="4"/>
  <c r="F1301" i="4"/>
  <c r="E1301" i="4"/>
  <c r="U1301" i="4" s="1"/>
  <c r="D1301" i="4"/>
  <c r="C1301" i="4"/>
  <c r="B1301" i="4"/>
  <c r="A1301" i="4"/>
  <c r="X1300" i="4"/>
  <c r="W1300" i="4"/>
  <c r="V1300" i="4"/>
  <c r="T1300" i="4"/>
  <c r="S1300" i="4"/>
  <c r="R1300" i="4"/>
  <c r="Q1300" i="4"/>
  <c r="P1300" i="4"/>
  <c r="O1300" i="4"/>
  <c r="N1300" i="4"/>
  <c r="M1300" i="4"/>
  <c r="L1300" i="4"/>
  <c r="K1300" i="4"/>
  <c r="J1300" i="4"/>
  <c r="I1300" i="4"/>
  <c r="H1300" i="4"/>
  <c r="G1300" i="4"/>
  <c r="F1300" i="4"/>
  <c r="E1300" i="4"/>
  <c r="U1300" i="4" s="1"/>
  <c r="D1300" i="4"/>
  <c r="C1300" i="4"/>
  <c r="B1300" i="4"/>
  <c r="A1300" i="4"/>
  <c r="X1299" i="4"/>
  <c r="V1299" i="4"/>
  <c r="T1299" i="4"/>
  <c r="S1299" i="4"/>
  <c r="R1299" i="4"/>
  <c r="Q1299" i="4"/>
  <c r="P1299" i="4"/>
  <c r="O1299" i="4"/>
  <c r="W1299" i="4" s="1"/>
  <c r="N1299" i="4"/>
  <c r="M1299" i="4"/>
  <c r="L1299" i="4"/>
  <c r="K1299" i="4"/>
  <c r="J1299" i="4"/>
  <c r="I1299" i="4"/>
  <c r="H1299" i="4"/>
  <c r="G1299" i="4"/>
  <c r="F1299" i="4"/>
  <c r="E1299" i="4"/>
  <c r="U1299" i="4" s="1"/>
  <c r="D1299" i="4"/>
  <c r="C1299" i="4"/>
  <c r="B1299" i="4"/>
  <c r="A1299" i="4"/>
  <c r="X1298" i="4"/>
  <c r="W1298" i="4"/>
  <c r="V1298" i="4"/>
  <c r="T1298" i="4"/>
  <c r="S1298" i="4"/>
  <c r="R1298" i="4"/>
  <c r="Q1298" i="4"/>
  <c r="P1298" i="4"/>
  <c r="O1298" i="4"/>
  <c r="N1298" i="4"/>
  <c r="M1298" i="4"/>
  <c r="L1298" i="4"/>
  <c r="K1298" i="4"/>
  <c r="J1298" i="4"/>
  <c r="I1298" i="4"/>
  <c r="H1298" i="4"/>
  <c r="G1298" i="4"/>
  <c r="F1298" i="4"/>
  <c r="E1298" i="4"/>
  <c r="U1298" i="4" s="1"/>
  <c r="D1298" i="4"/>
  <c r="C1298" i="4"/>
  <c r="B1298" i="4"/>
  <c r="A1298" i="4"/>
  <c r="X1297" i="4"/>
  <c r="V1297" i="4"/>
  <c r="T1297" i="4"/>
  <c r="S1297" i="4"/>
  <c r="R1297" i="4"/>
  <c r="Q1297" i="4"/>
  <c r="P1297" i="4"/>
  <c r="O1297" i="4"/>
  <c r="W1297" i="4" s="1"/>
  <c r="N1297" i="4"/>
  <c r="M1297" i="4"/>
  <c r="L1297" i="4"/>
  <c r="K1297" i="4"/>
  <c r="J1297" i="4"/>
  <c r="I1297" i="4"/>
  <c r="H1297" i="4"/>
  <c r="G1297" i="4"/>
  <c r="F1297" i="4"/>
  <c r="E1297" i="4"/>
  <c r="U1297" i="4" s="1"/>
  <c r="D1297" i="4"/>
  <c r="C1297" i="4"/>
  <c r="B1297" i="4"/>
  <c r="A1297" i="4"/>
  <c r="X1296" i="4"/>
  <c r="W1296" i="4"/>
  <c r="V1296" i="4"/>
  <c r="T1296" i="4"/>
  <c r="S1296" i="4"/>
  <c r="R1296" i="4"/>
  <c r="Q1296" i="4"/>
  <c r="P1296" i="4"/>
  <c r="O1296" i="4"/>
  <c r="N1296" i="4"/>
  <c r="M1296" i="4"/>
  <c r="L1296" i="4"/>
  <c r="K1296" i="4"/>
  <c r="J1296" i="4"/>
  <c r="I1296" i="4"/>
  <c r="H1296" i="4"/>
  <c r="G1296" i="4"/>
  <c r="F1296" i="4"/>
  <c r="E1296" i="4"/>
  <c r="U1296" i="4" s="1"/>
  <c r="D1296" i="4"/>
  <c r="C1296" i="4"/>
  <c r="B1296" i="4"/>
  <c r="A1296" i="4"/>
  <c r="X1295" i="4"/>
  <c r="V1295" i="4"/>
  <c r="T1295" i="4"/>
  <c r="S1295" i="4"/>
  <c r="R1295" i="4"/>
  <c r="Q1295" i="4"/>
  <c r="P1295" i="4"/>
  <c r="O1295" i="4"/>
  <c r="W1295" i="4" s="1"/>
  <c r="N1295" i="4"/>
  <c r="M1295" i="4"/>
  <c r="L1295" i="4"/>
  <c r="K1295" i="4"/>
  <c r="J1295" i="4"/>
  <c r="I1295" i="4"/>
  <c r="H1295" i="4"/>
  <c r="G1295" i="4"/>
  <c r="F1295" i="4"/>
  <c r="E1295" i="4"/>
  <c r="U1295" i="4" s="1"/>
  <c r="D1295" i="4"/>
  <c r="C1295" i="4"/>
  <c r="B1295" i="4"/>
  <c r="A1295" i="4"/>
  <c r="X1294" i="4"/>
  <c r="V1294" i="4"/>
  <c r="T1294" i="4"/>
  <c r="S1294" i="4"/>
  <c r="R1294" i="4"/>
  <c r="Q1294" i="4"/>
  <c r="P1294" i="4"/>
  <c r="O1294" i="4"/>
  <c r="W1294" i="4" s="1"/>
  <c r="N1294" i="4"/>
  <c r="M1294" i="4"/>
  <c r="L1294" i="4"/>
  <c r="K1294" i="4"/>
  <c r="J1294" i="4"/>
  <c r="I1294" i="4"/>
  <c r="H1294" i="4"/>
  <c r="G1294" i="4"/>
  <c r="F1294" i="4"/>
  <c r="E1294" i="4"/>
  <c r="U1294" i="4" s="1"/>
  <c r="D1294" i="4"/>
  <c r="C1294" i="4"/>
  <c r="B1294" i="4"/>
  <c r="A1294" i="4"/>
  <c r="X1293" i="4"/>
  <c r="V1293" i="4"/>
  <c r="T1293" i="4"/>
  <c r="S1293" i="4"/>
  <c r="R1293" i="4"/>
  <c r="Q1293" i="4"/>
  <c r="P1293" i="4"/>
  <c r="O1293" i="4"/>
  <c r="W1293" i="4" s="1"/>
  <c r="N1293" i="4"/>
  <c r="M1293" i="4"/>
  <c r="L1293" i="4"/>
  <c r="K1293" i="4"/>
  <c r="J1293" i="4"/>
  <c r="I1293" i="4"/>
  <c r="H1293" i="4"/>
  <c r="G1293" i="4"/>
  <c r="F1293" i="4"/>
  <c r="E1293" i="4"/>
  <c r="U1293" i="4" s="1"/>
  <c r="D1293" i="4"/>
  <c r="C1293" i="4"/>
  <c r="B1293" i="4"/>
  <c r="A1293" i="4"/>
  <c r="X1292" i="4"/>
  <c r="V1292" i="4"/>
  <c r="T1292" i="4"/>
  <c r="S1292" i="4"/>
  <c r="R1292" i="4"/>
  <c r="Q1292" i="4"/>
  <c r="P1292" i="4"/>
  <c r="O1292" i="4"/>
  <c r="W1292" i="4" s="1"/>
  <c r="N1292" i="4"/>
  <c r="M1292" i="4"/>
  <c r="L1292" i="4"/>
  <c r="K1292" i="4"/>
  <c r="J1292" i="4"/>
  <c r="I1292" i="4"/>
  <c r="H1292" i="4"/>
  <c r="G1292" i="4"/>
  <c r="F1292" i="4"/>
  <c r="E1292" i="4"/>
  <c r="U1292" i="4" s="1"/>
  <c r="D1292" i="4"/>
  <c r="C1292" i="4"/>
  <c r="B1292" i="4"/>
  <c r="A1292" i="4"/>
  <c r="X1291" i="4"/>
  <c r="W1291" i="4"/>
  <c r="V1291" i="4"/>
  <c r="T1291" i="4"/>
  <c r="S1291" i="4"/>
  <c r="R1291" i="4"/>
  <c r="Q1291" i="4"/>
  <c r="P1291" i="4"/>
  <c r="O1291" i="4"/>
  <c r="N1291" i="4"/>
  <c r="M1291" i="4"/>
  <c r="L1291" i="4"/>
  <c r="K1291" i="4"/>
  <c r="J1291" i="4"/>
  <c r="I1291" i="4"/>
  <c r="H1291" i="4"/>
  <c r="G1291" i="4"/>
  <c r="F1291" i="4"/>
  <c r="E1291" i="4"/>
  <c r="U1291" i="4" s="1"/>
  <c r="D1291" i="4"/>
  <c r="C1291" i="4"/>
  <c r="B1291" i="4"/>
  <c r="A1291" i="4"/>
  <c r="X1290" i="4"/>
  <c r="W1290" i="4"/>
  <c r="V1290" i="4"/>
  <c r="T1290" i="4"/>
  <c r="S1290" i="4"/>
  <c r="R1290" i="4"/>
  <c r="Q1290" i="4"/>
  <c r="P1290" i="4"/>
  <c r="O1290" i="4"/>
  <c r="N1290" i="4"/>
  <c r="M1290" i="4"/>
  <c r="L1290" i="4"/>
  <c r="K1290" i="4"/>
  <c r="J1290" i="4"/>
  <c r="I1290" i="4"/>
  <c r="H1290" i="4"/>
  <c r="G1290" i="4"/>
  <c r="F1290" i="4"/>
  <c r="E1290" i="4"/>
  <c r="U1290" i="4" s="1"/>
  <c r="D1290" i="4"/>
  <c r="C1290" i="4"/>
  <c r="B1290" i="4"/>
  <c r="A1290" i="4"/>
  <c r="X1289" i="4"/>
  <c r="V1289" i="4"/>
  <c r="T1289" i="4"/>
  <c r="S1289" i="4"/>
  <c r="R1289" i="4"/>
  <c r="Q1289" i="4"/>
  <c r="P1289" i="4"/>
  <c r="O1289" i="4"/>
  <c r="W1289" i="4" s="1"/>
  <c r="N1289" i="4"/>
  <c r="M1289" i="4"/>
  <c r="L1289" i="4"/>
  <c r="K1289" i="4"/>
  <c r="J1289" i="4"/>
  <c r="I1289" i="4"/>
  <c r="H1289" i="4"/>
  <c r="G1289" i="4"/>
  <c r="F1289" i="4"/>
  <c r="E1289" i="4"/>
  <c r="U1289" i="4" s="1"/>
  <c r="D1289" i="4"/>
  <c r="C1289" i="4"/>
  <c r="B1289" i="4"/>
  <c r="A1289" i="4"/>
  <c r="X1288" i="4"/>
  <c r="V1288" i="4"/>
  <c r="T1288" i="4"/>
  <c r="S1288" i="4"/>
  <c r="R1288" i="4"/>
  <c r="Q1288" i="4"/>
  <c r="P1288" i="4"/>
  <c r="O1288" i="4"/>
  <c r="W1288" i="4" s="1"/>
  <c r="N1288" i="4"/>
  <c r="M1288" i="4"/>
  <c r="L1288" i="4"/>
  <c r="K1288" i="4"/>
  <c r="J1288" i="4"/>
  <c r="I1288" i="4"/>
  <c r="H1288" i="4"/>
  <c r="G1288" i="4"/>
  <c r="F1288" i="4"/>
  <c r="E1288" i="4"/>
  <c r="U1288" i="4" s="1"/>
  <c r="D1288" i="4"/>
  <c r="C1288" i="4"/>
  <c r="B1288" i="4"/>
  <c r="A1288" i="4"/>
  <c r="X1287" i="4"/>
  <c r="W1287" i="4"/>
  <c r="V1287" i="4"/>
  <c r="T1287" i="4"/>
  <c r="S1287" i="4"/>
  <c r="R1287" i="4"/>
  <c r="Q1287" i="4"/>
  <c r="P1287" i="4"/>
  <c r="O1287" i="4"/>
  <c r="N1287" i="4"/>
  <c r="M1287" i="4"/>
  <c r="L1287" i="4"/>
  <c r="K1287" i="4"/>
  <c r="J1287" i="4"/>
  <c r="I1287" i="4"/>
  <c r="H1287" i="4"/>
  <c r="G1287" i="4"/>
  <c r="F1287" i="4"/>
  <c r="E1287" i="4"/>
  <c r="U1287" i="4" s="1"/>
  <c r="D1287" i="4"/>
  <c r="C1287" i="4"/>
  <c r="B1287" i="4"/>
  <c r="A1287" i="4"/>
  <c r="X1286" i="4"/>
  <c r="V1286" i="4"/>
  <c r="T1286" i="4"/>
  <c r="S1286" i="4"/>
  <c r="R1286" i="4"/>
  <c r="Q1286" i="4"/>
  <c r="P1286" i="4"/>
  <c r="O1286" i="4"/>
  <c r="W1286" i="4" s="1"/>
  <c r="N1286" i="4"/>
  <c r="M1286" i="4"/>
  <c r="L1286" i="4"/>
  <c r="K1286" i="4"/>
  <c r="J1286" i="4"/>
  <c r="I1286" i="4"/>
  <c r="H1286" i="4"/>
  <c r="G1286" i="4"/>
  <c r="F1286" i="4"/>
  <c r="E1286" i="4"/>
  <c r="U1286" i="4" s="1"/>
  <c r="D1286" i="4"/>
  <c r="C1286" i="4"/>
  <c r="B1286" i="4"/>
  <c r="A1286" i="4"/>
  <c r="X1285" i="4"/>
  <c r="W1285" i="4"/>
  <c r="V1285" i="4"/>
  <c r="T1285" i="4"/>
  <c r="S1285" i="4"/>
  <c r="R1285" i="4"/>
  <c r="Q1285" i="4"/>
  <c r="P1285" i="4"/>
  <c r="O1285" i="4"/>
  <c r="N1285" i="4"/>
  <c r="M1285" i="4"/>
  <c r="L1285" i="4"/>
  <c r="K1285" i="4"/>
  <c r="J1285" i="4"/>
  <c r="I1285" i="4"/>
  <c r="H1285" i="4"/>
  <c r="G1285" i="4"/>
  <c r="F1285" i="4"/>
  <c r="E1285" i="4"/>
  <c r="U1285" i="4" s="1"/>
  <c r="D1285" i="4"/>
  <c r="C1285" i="4"/>
  <c r="B1285" i="4"/>
  <c r="A1285" i="4"/>
  <c r="X1284" i="4"/>
  <c r="T1284" i="4"/>
  <c r="S1284" i="4"/>
  <c r="R1284" i="4"/>
  <c r="Q1284" i="4"/>
  <c r="P1284" i="4"/>
  <c r="O1284" i="4"/>
  <c r="N1284" i="4"/>
  <c r="M1284" i="4"/>
  <c r="L1284" i="4"/>
  <c r="K1284" i="4"/>
  <c r="J1284" i="4"/>
  <c r="I1284" i="4"/>
  <c r="H1284" i="4"/>
  <c r="G1284" i="4"/>
  <c r="F1284" i="4"/>
  <c r="E1284" i="4"/>
  <c r="U1284" i="4" s="1"/>
  <c r="D1284" i="4"/>
  <c r="C1284" i="4"/>
  <c r="V1284" i="4" s="1"/>
  <c r="B1284" i="4"/>
  <c r="A1284" i="4"/>
  <c r="X1283" i="4"/>
  <c r="W1283" i="4"/>
  <c r="V1283" i="4"/>
  <c r="T1283" i="4"/>
  <c r="S1283" i="4"/>
  <c r="R1283" i="4"/>
  <c r="Q1283" i="4"/>
  <c r="P1283" i="4"/>
  <c r="O1283" i="4"/>
  <c r="N1283" i="4"/>
  <c r="M1283" i="4"/>
  <c r="L1283" i="4"/>
  <c r="K1283" i="4"/>
  <c r="J1283" i="4"/>
  <c r="I1283" i="4"/>
  <c r="H1283" i="4"/>
  <c r="G1283" i="4"/>
  <c r="F1283" i="4"/>
  <c r="E1283" i="4"/>
  <c r="U1283" i="4" s="1"/>
  <c r="D1283" i="4"/>
  <c r="C1283" i="4"/>
  <c r="B1283" i="4"/>
  <c r="A1283" i="4"/>
  <c r="X1282" i="4"/>
  <c r="T1282" i="4"/>
  <c r="S1282" i="4"/>
  <c r="R1282" i="4"/>
  <c r="Q1282" i="4"/>
  <c r="P1282" i="4"/>
  <c r="O1282" i="4"/>
  <c r="W1282" i="4" s="1"/>
  <c r="N1282" i="4"/>
  <c r="M1282" i="4"/>
  <c r="L1282" i="4"/>
  <c r="K1282" i="4"/>
  <c r="J1282" i="4"/>
  <c r="I1282" i="4"/>
  <c r="H1282" i="4"/>
  <c r="G1282" i="4"/>
  <c r="F1282" i="4"/>
  <c r="E1282" i="4"/>
  <c r="U1282" i="4" s="1"/>
  <c r="D1282" i="4"/>
  <c r="C1282" i="4"/>
  <c r="V1282" i="4" s="1"/>
  <c r="B1282" i="4"/>
  <c r="A1282" i="4"/>
  <c r="X1281" i="4"/>
  <c r="W1281" i="4"/>
  <c r="V1281" i="4"/>
  <c r="T1281" i="4"/>
  <c r="S1281" i="4"/>
  <c r="R1281" i="4"/>
  <c r="Q1281" i="4"/>
  <c r="P1281" i="4"/>
  <c r="O1281" i="4"/>
  <c r="N1281" i="4"/>
  <c r="M1281" i="4"/>
  <c r="L1281" i="4"/>
  <c r="K1281" i="4"/>
  <c r="J1281" i="4"/>
  <c r="I1281" i="4"/>
  <c r="H1281" i="4"/>
  <c r="G1281" i="4"/>
  <c r="F1281" i="4"/>
  <c r="E1281" i="4"/>
  <c r="U1281" i="4" s="1"/>
  <c r="D1281" i="4"/>
  <c r="C1281" i="4"/>
  <c r="B1281" i="4"/>
  <c r="A1281" i="4"/>
  <c r="X1280" i="4"/>
  <c r="T1280" i="4"/>
  <c r="S1280" i="4"/>
  <c r="R1280" i="4"/>
  <c r="Q1280" i="4"/>
  <c r="P1280" i="4"/>
  <c r="O1280" i="4"/>
  <c r="N1280" i="4"/>
  <c r="M1280" i="4"/>
  <c r="L1280" i="4"/>
  <c r="K1280" i="4"/>
  <c r="J1280" i="4"/>
  <c r="I1280" i="4"/>
  <c r="H1280" i="4"/>
  <c r="G1280" i="4"/>
  <c r="F1280" i="4"/>
  <c r="E1280" i="4"/>
  <c r="U1280" i="4" s="1"/>
  <c r="D1280" i="4"/>
  <c r="C1280" i="4"/>
  <c r="V1280" i="4" s="1"/>
  <c r="B1280" i="4"/>
  <c r="A1280" i="4"/>
  <c r="X1279" i="4"/>
  <c r="W1279" i="4"/>
  <c r="V1279" i="4"/>
  <c r="T1279" i="4"/>
  <c r="S1279" i="4"/>
  <c r="R1279" i="4"/>
  <c r="Q1279" i="4"/>
  <c r="P1279" i="4"/>
  <c r="O1279" i="4"/>
  <c r="N1279" i="4"/>
  <c r="M1279" i="4"/>
  <c r="L1279" i="4"/>
  <c r="K1279" i="4"/>
  <c r="J1279" i="4"/>
  <c r="I1279" i="4"/>
  <c r="H1279" i="4"/>
  <c r="G1279" i="4"/>
  <c r="F1279" i="4"/>
  <c r="E1279" i="4"/>
  <c r="U1279" i="4" s="1"/>
  <c r="D1279" i="4"/>
  <c r="C1279" i="4"/>
  <c r="B1279" i="4"/>
  <c r="A1279" i="4"/>
  <c r="X1278" i="4"/>
  <c r="T1278" i="4"/>
  <c r="S1278" i="4"/>
  <c r="W1278" i="4" s="1"/>
  <c r="R1278" i="4"/>
  <c r="Q1278" i="4"/>
  <c r="P1278" i="4"/>
  <c r="O1278" i="4"/>
  <c r="N1278" i="4"/>
  <c r="M1278" i="4"/>
  <c r="L1278" i="4"/>
  <c r="K1278" i="4"/>
  <c r="J1278" i="4"/>
  <c r="I1278" i="4"/>
  <c r="H1278" i="4"/>
  <c r="G1278" i="4"/>
  <c r="F1278" i="4"/>
  <c r="E1278" i="4"/>
  <c r="U1278" i="4" s="1"/>
  <c r="D1278" i="4"/>
  <c r="C1278" i="4"/>
  <c r="V1278" i="4" s="1"/>
  <c r="B1278" i="4"/>
  <c r="A1278" i="4"/>
  <c r="X1277" i="4"/>
  <c r="V1277" i="4"/>
  <c r="T1277" i="4"/>
  <c r="S1277" i="4"/>
  <c r="R1277" i="4"/>
  <c r="Q1277" i="4"/>
  <c r="P1277" i="4"/>
  <c r="O1277" i="4"/>
  <c r="W1277" i="4" s="1"/>
  <c r="N1277" i="4"/>
  <c r="M1277" i="4"/>
  <c r="L1277" i="4"/>
  <c r="K1277" i="4"/>
  <c r="J1277" i="4"/>
  <c r="I1277" i="4"/>
  <c r="H1277" i="4"/>
  <c r="G1277" i="4"/>
  <c r="F1277" i="4"/>
  <c r="E1277" i="4"/>
  <c r="U1277" i="4" s="1"/>
  <c r="D1277" i="4"/>
  <c r="C1277" i="4"/>
  <c r="B1277" i="4"/>
  <c r="A1277" i="4"/>
  <c r="X1276" i="4"/>
  <c r="W1276" i="4"/>
  <c r="T1276" i="4"/>
  <c r="S1276" i="4"/>
  <c r="R1276" i="4"/>
  <c r="Q1276" i="4"/>
  <c r="P1276" i="4"/>
  <c r="O1276" i="4"/>
  <c r="N1276" i="4"/>
  <c r="M1276" i="4"/>
  <c r="L1276" i="4"/>
  <c r="K1276" i="4"/>
  <c r="J1276" i="4"/>
  <c r="I1276" i="4"/>
  <c r="H1276" i="4"/>
  <c r="G1276" i="4"/>
  <c r="F1276" i="4"/>
  <c r="E1276" i="4"/>
  <c r="U1276" i="4" s="1"/>
  <c r="D1276" i="4"/>
  <c r="C1276" i="4"/>
  <c r="V1276" i="4" s="1"/>
  <c r="B1276" i="4"/>
  <c r="A1276" i="4"/>
  <c r="X1275" i="4"/>
  <c r="W1275" i="4"/>
  <c r="V1275" i="4"/>
  <c r="T1275" i="4"/>
  <c r="S1275" i="4"/>
  <c r="R1275" i="4"/>
  <c r="Q1275" i="4"/>
  <c r="P1275" i="4"/>
  <c r="O1275" i="4"/>
  <c r="N1275" i="4"/>
  <c r="M1275" i="4"/>
  <c r="L1275" i="4"/>
  <c r="K1275" i="4"/>
  <c r="J1275" i="4"/>
  <c r="I1275" i="4"/>
  <c r="H1275" i="4"/>
  <c r="G1275" i="4"/>
  <c r="F1275" i="4"/>
  <c r="E1275" i="4"/>
  <c r="U1275" i="4" s="1"/>
  <c r="D1275" i="4"/>
  <c r="C1275" i="4"/>
  <c r="B1275" i="4"/>
  <c r="A1275" i="4"/>
  <c r="X1274" i="4"/>
  <c r="V1274" i="4"/>
  <c r="T1274" i="4"/>
  <c r="S1274" i="4"/>
  <c r="R1274" i="4"/>
  <c r="Q1274" i="4"/>
  <c r="P1274" i="4"/>
  <c r="O1274" i="4"/>
  <c r="W1274" i="4" s="1"/>
  <c r="N1274" i="4"/>
  <c r="M1274" i="4"/>
  <c r="L1274" i="4"/>
  <c r="K1274" i="4"/>
  <c r="J1274" i="4"/>
  <c r="I1274" i="4"/>
  <c r="H1274" i="4"/>
  <c r="G1274" i="4"/>
  <c r="F1274" i="4"/>
  <c r="E1274" i="4"/>
  <c r="U1274" i="4" s="1"/>
  <c r="D1274" i="4"/>
  <c r="C1274" i="4"/>
  <c r="B1274" i="4"/>
  <c r="A1274" i="4"/>
  <c r="X1273" i="4"/>
  <c r="V1273" i="4"/>
  <c r="T1273" i="4"/>
  <c r="S1273" i="4"/>
  <c r="R1273" i="4"/>
  <c r="Q1273" i="4"/>
  <c r="P1273" i="4"/>
  <c r="O1273" i="4"/>
  <c r="W1273" i="4" s="1"/>
  <c r="N1273" i="4"/>
  <c r="M1273" i="4"/>
  <c r="L1273" i="4"/>
  <c r="K1273" i="4"/>
  <c r="J1273" i="4"/>
  <c r="I1273" i="4"/>
  <c r="H1273" i="4"/>
  <c r="G1273" i="4"/>
  <c r="F1273" i="4"/>
  <c r="E1273" i="4"/>
  <c r="U1273" i="4" s="1"/>
  <c r="D1273" i="4"/>
  <c r="C1273" i="4"/>
  <c r="B1273" i="4"/>
  <c r="A1273" i="4"/>
  <c r="X1272" i="4"/>
  <c r="V1272" i="4"/>
  <c r="T1272" i="4"/>
  <c r="S1272" i="4"/>
  <c r="R1272" i="4"/>
  <c r="Q1272" i="4"/>
  <c r="P1272" i="4"/>
  <c r="O1272" i="4"/>
  <c r="W1272" i="4" s="1"/>
  <c r="N1272" i="4"/>
  <c r="M1272" i="4"/>
  <c r="L1272" i="4"/>
  <c r="K1272" i="4"/>
  <c r="J1272" i="4"/>
  <c r="I1272" i="4"/>
  <c r="H1272" i="4"/>
  <c r="G1272" i="4"/>
  <c r="F1272" i="4"/>
  <c r="E1272" i="4"/>
  <c r="U1272" i="4" s="1"/>
  <c r="D1272" i="4"/>
  <c r="C1272" i="4"/>
  <c r="B1272" i="4"/>
  <c r="A1272" i="4"/>
  <c r="X1271" i="4"/>
  <c r="W1271" i="4"/>
  <c r="V1271" i="4"/>
  <c r="T1271" i="4"/>
  <c r="S1271" i="4"/>
  <c r="R1271" i="4"/>
  <c r="Q1271" i="4"/>
  <c r="P1271" i="4"/>
  <c r="O1271" i="4"/>
  <c r="N1271" i="4"/>
  <c r="M1271" i="4"/>
  <c r="L1271" i="4"/>
  <c r="K1271" i="4"/>
  <c r="J1271" i="4"/>
  <c r="I1271" i="4"/>
  <c r="H1271" i="4"/>
  <c r="G1271" i="4"/>
  <c r="F1271" i="4"/>
  <c r="E1271" i="4"/>
  <c r="U1271" i="4" s="1"/>
  <c r="D1271" i="4"/>
  <c r="C1271" i="4"/>
  <c r="B1271" i="4"/>
  <c r="A1271" i="4"/>
  <c r="X1270" i="4"/>
  <c r="V1270" i="4"/>
  <c r="T1270" i="4"/>
  <c r="S1270" i="4"/>
  <c r="R1270" i="4"/>
  <c r="Q1270" i="4"/>
  <c r="P1270" i="4"/>
  <c r="O1270" i="4"/>
  <c r="W1270" i="4" s="1"/>
  <c r="N1270" i="4"/>
  <c r="M1270" i="4"/>
  <c r="L1270" i="4"/>
  <c r="K1270" i="4"/>
  <c r="J1270" i="4"/>
  <c r="I1270" i="4"/>
  <c r="H1270" i="4"/>
  <c r="G1270" i="4"/>
  <c r="F1270" i="4"/>
  <c r="E1270" i="4"/>
  <c r="U1270" i="4" s="1"/>
  <c r="D1270" i="4"/>
  <c r="C1270" i="4"/>
  <c r="B1270" i="4"/>
  <c r="A1270" i="4"/>
  <c r="X1269" i="4"/>
  <c r="W1269" i="4"/>
  <c r="V1269" i="4"/>
  <c r="T1269" i="4"/>
  <c r="S1269" i="4"/>
  <c r="R1269" i="4"/>
  <c r="Q1269" i="4"/>
  <c r="P1269" i="4"/>
  <c r="O1269" i="4"/>
  <c r="N1269" i="4"/>
  <c r="M1269" i="4"/>
  <c r="L1269" i="4"/>
  <c r="K1269" i="4"/>
  <c r="J1269" i="4"/>
  <c r="I1269" i="4"/>
  <c r="H1269" i="4"/>
  <c r="G1269" i="4"/>
  <c r="F1269" i="4"/>
  <c r="E1269" i="4"/>
  <c r="U1269" i="4" s="1"/>
  <c r="D1269" i="4"/>
  <c r="C1269" i="4"/>
  <c r="B1269" i="4"/>
  <c r="A1269" i="4"/>
  <c r="X1268" i="4"/>
  <c r="W1268" i="4"/>
  <c r="V1268" i="4"/>
  <c r="T1268" i="4"/>
  <c r="S1268" i="4"/>
  <c r="R1268" i="4"/>
  <c r="Q1268" i="4"/>
  <c r="P1268" i="4"/>
  <c r="O1268" i="4"/>
  <c r="N1268" i="4"/>
  <c r="M1268" i="4"/>
  <c r="L1268" i="4"/>
  <c r="K1268" i="4"/>
  <c r="J1268" i="4"/>
  <c r="I1268" i="4"/>
  <c r="H1268" i="4"/>
  <c r="G1268" i="4"/>
  <c r="F1268" i="4"/>
  <c r="E1268" i="4"/>
  <c r="U1268" i="4" s="1"/>
  <c r="D1268" i="4"/>
  <c r="C1268" i="4"/>
  <c r="B1268" i="4"/>
  <c r="A1268" i="4"/>
  <c r="X1267" i="4"/>
  <c r="V1267" i="4"/>
  <c r="T1267" i="4"/>
  <c r="S1267" i="4"/>
  <c r="R1267" i="4"/>
  <c r="Q1267" i="4"/>
  <c r="P1267" i="4"/>
  <c r="O1267" i="4"/>
  <c r="W1267" i="4" s="1"/>
  <c r="N1267" i="4"/>
  <c r="M1267" i="4"/>
  <c r="L1267" i="4"/>
  <c r="K1267" i="4"/>
  <c r="J1267" i="4"/>
  <c r="I1267" i="4"/>
  <c r="H1267" i="4"/>
  <c r="G1267" i="4"/>
  <c r="F1267" i="4"/>
  <c r="E1267" i="4"/>
  <c r="U1267" i="4" s="1"/>
  <c r="D1267" i="4"/>
  <c r="C1267" i="4"/>
  <c r="B1267" i="4"/>
  <c r="A1267" i="4"/>
  <c r="X1266" i="4"/>
  <c r="W1266" i="4"/>
  <c r="V1266" i="4"/>
  <c r="T1266" i="4"/>
  <c r="S1266" i="4"/>
  <c r="R1266" i="4"/>
  <c r="Q1266" i="4"/>
  <c r="P1266" i="4"/>
  <c r="O1266" i="4"/>
  <c r="N1266" i="4"/>
  <c r="M1266" i="4"/>
  <c r="L1266" i="4"/>
  <c r="K1266" i="4"/>
  <c r="J1266" i="4"/>
  <c r="I1266" i="4"/>
  <c r="H1266" i="4"/>
  <c r="G1266" i="4"/>
  <c r="F1266" i="4"/>
  <c r="E1266" i="4"/>
  <c r="U1266" i="4" s="1"/>
  <c r="D1266" i="4"/>
  <c r="C1266" i="4"/>
  <c r="B1266" i="4"/>
  <c r="A1266" i="4"/>
  <c r="X1265" i="4"/>
  <c r="V1265" i="4"/>
  <c r="T1265" i="4"/>
  <c r="S1265" i="4"/>
  <c r="R1265" i="4"/>
  <c r="Q1265" i="4"/>
  <c r="P1265" i="4"/>
  <c r="O1265" i="4"/>
  <c r="W1265" i="4" s="1"/>
  <c r="N1265" i="4"/>
  <c r="M1265" i="4"/>
  <c r="L1265" i="4"/>
  <c r="K1265" i="4"/>
  <c r="J1265" i="4"/>
  <c r="I1265" i="4"/>
  <c r="H1265" i="4"/>
  <c r="G1265" i="4"/>
  <c r="F1265" i="4"/>
  <c r="E1265" i="4"/>
  <c r="U1265" i="4" s="1"/>
  <c r="D1265" i="4"/>
  <c r="C1265" i="4"/>
  <c r="B1265" i="4"/>
  <c r="A1265" i="4"/>
  <c r="X1264" i="4"/>
  <c r="T1264" i="4"/>
  <c r="S1264" i="4"/>
  <c r="W1264" i="4" s="1"/>
  <c r="R1264" i="4"/>
  <c r="Q1264" i="4"/>
  <c r="P1264" i="4"/>
  <c r="O1264" i="4"/>
  <c r="N1264" i="4"/>
  <c r="M1264" i="4"/>
  <c r="L1264" i="4"/>
  <c r="K1264" i="4"/>
  <c r="J1264" i="4"/>
  <c r="I1264" i="4"/>
  <c r="H1264" i="4"/>
  <c r="G1264" i="4"/>
  <c r="F1264" i="4"/>
  <c r="E1264" i="4"/>
  <c r="U1264" i="4" s="1"/>
  <c r="D1264" i="4"/>
  <c r="C1264" i="4"/>
  <c r="V1264" i="4" s="1"/>
  <c r="B1264" i="4"/>
  <c r="A1264" i="4"/>
  <c r="X1263" i="4"/>
  <c r="V1263" i="4"/>
  <c r="T1263" i="4"/>
  <c r="S1263" i="4"/>
  <c r="R1263" i="4"/>
  <c r="Q1263" i="4"/>
  <c r="P1263" i="4"/>
  <c r="O1263" i="4"/>
  <c r="W1263" i="4" s="1"/>
  <c r="N1263" i="4"/>
  <c r="M1263" i="4"/>
  <c r="L1263" i="4"/>
  <c r="K1263" i="4"/>
  <c r="J1263" i="4"/>
  <c r="I1263" i="4"/>
  <c r="H1263" i="4"/>
  <c r="G1263" i="4"/>
  <c r="F1263" i="4"/>
  <c r="E1263" i="4"/>
  <c r="U1263" i="4" s="1"/>
  <c r="D1263" i="4"/>
  <c r="C1263" i="4"/>
  <c r="B1263" i="4"/>
  <c r="A1263" i="4"/>
  <c r="X1262" i="4"/>
  <c r="V1262" i="4"/>
  <c r="T1262" i="4"/>
  <c r="S1262" i="4"/>
  <c r="W1262" i="4" s="1"/>
  <c r="R1262" i="4"/>
  <c r="Q1262" i="4"/>
  <c r="P1262" i="4"/>
  <c r="O1262" i="4"/>
  <c r="N1262" i="4"/>
  <c r="M1262" i="4"/>
  <c r="L1262" i="4"/>
  <c r="K1262" i="4"/>
  <c r="J1262" i="4"/>
  <c r="I1262" i="4"/>
  <c r="H1262" i="4"/>
  <c r="G1262" i="4"/>
  <c r="F1262" i="4"/>
  <c r="E1262" i="4"/>
  <c r="U1262" i="4" s="1"/>
  <c r="D1262" i="4"/>
  <c r="C1262" i="4"/>
  <c r="B1262" i="4"/>
  <c r="A1262" i="4"/>
  <c r="X1261" i="4"/>
  <c r="V1261" i="4"/>
  <c r="T1261" i="4"/>
  <c r="S1261" i="4"/>
  <c r="R1261" i="4"/>
  <c r="Q1261" i="4"/>
  <c r="P1261" i="4"/>
  <c r="O1261" i="4"/>
  <c r="W1261" i="4" s="1"/>
  <c r="N1261" i="4"/>
  <c r="M1261" i="4"/>
  <c r="L1261" i="4"/>
  <c r="K1261" i="4"/>
  <c r="J1261" i="4"/>
  <c r="I1261" i="4"/>
  <c r="H1261" i="4"/>
  <c r="G1261" i="4"/>
  <c r="F1261" i="4"/>
  <c r="E1261" i="4"/>
  <c r="U1261" i="4" s="1"/>
  <c r="D1261" i="4"/>
  <c r="C1261" i="4"/>
  <c r="B1261" i="4"/>
  <c r="A1261" i="4"/>
  <c r="X1260" i="4"/>
  <c r="T1260" i="4"/>
  <c r="S1260" i="4"/>
  <c r="R1260" i="4"/>
  <c r="Q1260" i="4"/>
  <c r="P1260" i="4"/>
  <c r="O1260" i="4"/>
  <c r="N1260" i="4"/>
  <c r="M1260" i="4"/>
  <c r="L1260" i="4"/>
  <c r="K1260" i="4"/>
  <c r="J1260" i="4"/>
  <c r="I1260" i="4"/>
  <c r="H1260" i="4"/>
  <c r="G1260" i="4"/>
  <c r="F1260" i="4"/>
  <c r="E1260" i="4"/>
  <c r="U1260" i="4" s="1"/>
  <c r="D1260" i="4"/>
  <c r="C1260" i="4"/>
  <c r="V1260" i="4" s="1"/>
  <c r="B1260" i="4"/>
  <c r="A1260" i="4"/>
  <c r="X1259" i="4"/>
  <c r="W1259" i="4"/>
  <c r="V1259" i="4"/>
  <c r="T1259" i="4"/>
  <c r="S1259" i="4"/>
  <c r="R1259" i="4"/>
  <c r="Q1259" i="4"/>
  <c r="P1259" i="4"/>
  <c r="O1259" i="4"/>
  <c r="N1259" i="4"/>
  <c r="M1259" i="4"/>
  <c r="L1259" i="4"/>
  <c r="K1259" i="4"/>
  <c r="J1259" i="4"/>
  <c r="I1259" i="4"/>
  <c r="H1259" i="4"/>
  <c r="G1259" i="4"/>
  <c r="F1259" i="4"/>
  <c r="E1259" i="4"/>
  <c r="U1259" i="4" s="1"/>
  <c r="D1259" i="4"/>
  <c r="C1259" i="4"/>
  <c r="B1259" i="4"/>
  <c r="A1259" i="4"/>
  <c r="X1258" i="4"/>
  <c r="T1258" i="4"/>
  <c r="S1258" i="4"/>
  <c r="W1258" i="4" s="1"/>
  <c r="R1258" i="4"/>
  <c r="Q1258" i="4"/>
  <c r="P1258" i="4"/>
  <c r="O1258" i="4"/>
  <c r="N1258" i="4"/>
  <c r="M1258" i="4"/>
  <c r="L1258" i="4"/>
  <c r="K1258" i="4"/>
  <c r="J1258" i="4"/>
  <c r="I1258" i="4"/>
  <c r="H1258" i="4"/>
  <c r="G1258" i="4"/>
  <c r="F1258" i="4"/>
  <c r="E1258" i="4"/>
  <c r="U1258" i="4" s="1"/>
  <c r="D1258" i="4"/>
  <c r="C1258" i="4"/>
  <c r="V1258" i="4" s="1"/>
  <c r="B1258" i="4"/>
  <c r="A1258" i="4"/>
  <c r="X1257" i="4"/>
  <c r="V1257" i="4"/>
  <c r="T1257" i="4"/>
  <c r="S1257" i="4"/>
  <c r="R1257" i="4"/>
  <c r="Q1257" i="4"/>
  <c r="P1257" i="4"/>
  <c r="O1257" i="4"/>
  <c r="W1257" i="4" s="1"/>
  <c r="N1257" i="4"/>
  <c r="M1257" i="4"/>
  <c r="L1257" i="4"/>
  <c r="K1257" i="4"/>
  <c r="J1257" i="4"/>
  <c r="I1257" i="4"/>
  <c r="H1257" i="4"/>
  <c r="G1257" i="4"/>
  <c r="F1257" i="4"/>
  <c r="E1257" i="4"/>
  <c r="U1257" i="4" s="1"/>
  <c r="D1257" i="4"/>
  <c r="C1257" i="4"/>
  <c r="B1257" i="4"/>
  <c r="A1257" i="4"/>
  <c r="X1256" i="4"/>
  <c r="W1256" i="4"/>
  <c r="V1256" i="4"/>
  <c r="T1256" i="4"/>
  <c r="S1256" i="4"/>
  <c r="R1256" i="4"/>
  <c r="Q1256" i="4"/>
  <c r="P1256" i="4"/>
  <c r="O1256" i="4"/>
  <c r="N1256" i="4"/>
  <c r="M1256" i="4"/>
  <c r="L1256" i="4"/>
  <c r="K1256" i="4"/>
  <c r="J1256" i="4"/>
  <c r="I1256" i="4"/>
  <c r="H1256" i="4"/>
  <c r="G1256" i="4"/>
  <c r="F1256" i="4"/>
  <c r="E1256" i="4"/>
  <c r="U1256" i="4" s="1"/>
  <c r="D1256" i="4"/>
  <c r="C1256" i="4"/>
  <c r="B1256" i="4"/>
  <c r="A1256" i="4"/>
  <c r="X1255" i="4"/>
  <c r="V1255" i="4"/>
  <c r="T1255" i="4"/>
  <c r="S1255" i="4"/>
  <c r="R1255" i="4"/>
  <c r="Q1255" i="4"/>
  <c r="P1255" i="4"/>
  <c r="O1255" i="4"/>
  <c r="W1255" i="4" s="1"/>
  <c r="N1255" i="4"/>
  <c r="M1255" i="4"/>
  <c r="L1255" i="4"/>
  <c r="K1255" i="4"/>
  <c r="J1255" i="4"/>
  <c r="I1255" i="4"/>
  <c r="H1255" i="4"/>
  <c r="G1255" i="4"/>
  <c r="F1255" i="4"/>
  <c r="E1255" i="4"/>
  <c r="U1255" i="4" s="1"/>
  <c r="D1255" i="4"/>
  <c r="C1255" i="4"/>
  <c r="B1255" i="4"/>
  <c r="A1255" i="4"/>
  <c r="X1254" i="4"/>
  <c r="V1254" i="4"/>
  <c r="T1254" i="4"/>
  <c r="S1254" i="4"/>
  <c r="R1254" i="4"/>
  <c r="Q1254" i="4"/>
  <c r="P1254" i="4"/>
  <c r="O1254" i="4"/>
  <c r="W1254" i="4" s="1"/>
  <c r="N1254" i="4"/>
  <c r="M1254" i="4"/>
  <c r="L1254" i="4"/>
  <c r="K1254" i="4"/>
  <c r="J1254" i="4"/>
  <c r="I1254" i="4"/>
  <c r="H1254" i="4"/>
  <c r="G1254" i="4"/>
  <c r="F1254" i="4"/>
  <c r="E1254" i="4"/>
  <c r="U1254" i="4" s="1"/>
  <c r="D1254" i="4"/>
  <c r="C1254" i="4"/>
  <c r="B1254" i="4"/>
  <c r="A1254" i="4"/>
  <c r="X1253" i="4"/>
  <c r="W1253" i="4"/>
  <c r="V1253" i="4"/>
  <c r="T1253" i="4"/>
  <c r="S1253" i="4"/>
  <c r="R1253" i="4"/>
  <c r="Q1253" i="4"/>
  <c r="P1253" i="4"/>
  <c r="O1253" i="4"/>
  <c r="N1253" i="4"/>
  <c r="M1253" i="4"/>
  <c r="L1253" i="4"/>
  <c r="K1253" i="4"/>
  <c r="J1253" i="4"/>
  <c r="I1253" i="4"/>
  <c r="H1253" i="4"/>
  <c r="G1253" i="4"/>
  <c r="F1253" i="4"/>
  <c r="E1253" i="4"/>
  <c r="U1253" i="4" s="1"/>
  <c r="D1253" i="4"/>
  <c r="C1253" i="4"/>
  <c r="B1253" i="4"/>
  <c r="A1253" i="4"/>
  <c r="X1252" i="4"/>
  <c r="T1252" i="4"/>
  <c r="S1252" i="4"/>
  <c r="R1252" i="4"/>
  <c r="Q1252" i="4"/>
  <c r="P1252" i="4"/>
  <c r="O1252" i="4"/>
  <c r="N1252" i="4"/>
  <c r="M1252" i="4"/>
  <c r="L1252" i="4"/>
  <c r="K1252" i="4"/>
  <c r="J1252" i="4"/>
  <c r="I1252" i="4"/>
  <c r="H1252" i="4"/>
  <c r="G1252" i="4"/>
  <c r="F1252" i="4"/>
  <c r="E1252" i="4"/>
  <c r="U1252" i="4" s="1"/>
  <c r="D1252" i="4"/>
  <c r="C1252" i="4"/>
  <c r="V1252" i="4" s="1"/>
  <c r="B1252" i="4"/>
  <c r="A1252" i="4"/>
  <c r="X1251" i="4"/>
  <c r="W1251" i="4"/>
  <c r="V1251" i="4"/>
  <c r="T1251" i="4"/>
  <c r="S1251" i="4"/>
  <c r="R1251" i="4"/>
  <c r="Q1251" i="4"/>
  <c r="P1251" i="4"/>
  <c r="O1251" i="4"/>
  <c r="N1251" i="4"/>
  <c r="M1251" i="4"/>
  <c r="L1251" i="4"/>
  <c r="K1251" i="4"/>
  <c r="J1251" i="4"/>
  <c r="I1251" i="4"/>
  <c r="H1251" i="4"/>
  <c r="G1251" i="4"/>
  <c r="F1251" i="4"/>
  <c r="E1251" i="4"/>
  <c r="U1251" i="4" s="1"/>
  <c r="D1251" i="4"/>
  <c r="C1251" i="4"/>
  <c r="B1251" i="4"/>
  <c r="A1251" i="4"/>
  <c r="X1250" i="4"/>
  <c r="T1250" i="4"/>
  <c r="S1250" i="4"/>
  <c r="R1250" i="4"/>
  <c r="Q1250" i="4"/>
  <c r="P1250" i="4"/>
  <c r="O1250" i="4"/>
  <c r="N1250" i="4"/>
  <c r="M1250" i="4"/>
  <c r="L1250" i="4"/>
  <c r="K1250" i="4"/>
  <c r="J1250" i="4"/>
  <c r="I1250" i="4"/>
  <c r="H1250" i="4"/>
  <c r="G1250" i="4"/>
  <c r="F1250" i="4"/>
  <c r="E1250" i="4"/>
  <c r="U1250" i="4" s="1"/>
  <c r="D1250" i="4"/>
  <c r="C1250" i="4"/>
  <c r="V1250" i="4" s="1"/>
  <c r="B1250" i="4"/>
  <c r="A1250" i="4"/>
  <c r="X1249" i="4"/>
  <c r="W1249" i="4"/>
  <c r="V1249" i="4"/>
  <c r="T1249" i="4"/>
  <c r="S1249" i="4"/>
  <c r="R1249" i="4"/>
  <c r="Q1249" i="4"/>
  <c r="P1249" i="4"/>
  <c r="O1249" i="4"/>
  <c r="N1249" i="4"/>
  <c r="M1249" i="4"/>
  <c r="L1249" i="4"/>
  <c r="K1249" i="4"/>
  <c r="J1249" i="4"/>
  <c r="I1249" i="4"/>
  <c r="H1249" i="4"/>
  <c r="G1249" i="4"/>
  <c r="F1249" i="4"/>
  <c r="E1249" i="4"/>
  <c r="U1249" i="4" s="1"/>
  <c r="D1249" i="4"/>
  <c r="C1249" i="4"/>
  <c r="B1249" i="4"/>
  <c r="A1249" i="4"/>
  <c r="X1248" i="4"/>
  <c r="T1248" i="4"/>
  <c r="S1248" i="4"/>
  <c r="R1248" i="4"/>
  <c r="Q1248" i="4"/>
  <c r="P1248" i="4"/>
  <c r="O1248" i="4"/>
  <c r="W1248" i="4" s="1"/>
  <c r="N1248" i="4"/>
  <c r="M1248" i="4"/>
  <c r="L1248" i="4"/>
  <c r="K1248" i="4"/>
  <c r="J1248" i="4"/>
  <c r="I1248" i="4"/>
  <c r="H1248" i="4"/>
  <c r="G1248" i="4"/>
  <c r="F1248" i="4"/>
  <c r="E1248" i="4"/>
  <c r="U1248" i="4" s="1"/>
  <c r="D1248" i="4"/>
  <c r="C1248" i="4"/>
  <c r="V1248" i="4" s="1"/>
  <c r="B1248" i="4"/>
  <c r="A1248" i="4"/>
  <c r="X1247" i="4"/>
  <c r="W1247" i="4"/>
  <c r="V1247" i="4"/>
  <c r="T1247" i="4"/>
  <c r="S1247" i="4"/>
  <c r="R1247" i="4"/>
  <c r="Q1247" i="4"/>
  <c r="P1247" i="4"/>
  <c r="O1247" i="4"/>
  <c r="N1247" i="4"/>
  <c r="M1247" i="4"/>
  <c r="L1247" i="4"/>
  <c r="K1247" i="4"/>
  <c r="J1247" i="4"/>
  <c r="I1247" i="4"/>
  <c r="H1247" i="4"/>
  <c r="G1247" i="4"/>
  <c r="F1247" i="4"/>
  <c r="E1247" i="4"/>
  <c r="U1247" i="4" s="1"/>
  <c r="D1247" i="4"/>
  <c r="C1247" i="4"/>
  <c r="B1247" i="4"/>
  <c r="A1247" i="4"/>
  <c r="X1246" i="4"/>
  <c r="T1246" i="4"/>
  <c r="S1246" i="4"/>
  <c r="R1246" i="4"/>
  <c r="Q1246" i="4"/>
  <c r="P1246" i="4"/>
  <c r="O1246" i="4"/>
  <c r="N1246" i="4"/>
  <c r="M1246" i="4"/>
  <c r="L1246" i="4"/>
  <c r="K1246" i="4"/>
  <c r="J1246" i="4"/>
  <c r="I1246" i="4"/>
  <c r="H1246" i="4"/>
  <c r="G1246" i="4"/>
  <c r="F1246" i="4"/>
  <c r="E1246" i="4"/>
  <c r="U1246" i="4" s="1"/>
  <c r="D1246" i="4"/>
  <c r="C1246" i="4"/>
  <c r="V1246" i="4" s="1"/>
  <c r="B1246" i="4"/>
  <c r="A1246" i="4"/>
  <c r="X1245" i="4"/>
  <c r="V1245" i="4"/>
  <c r="T1245" i="4"/>
  <c r="S1245" i="4"/>
  <c r="R1245" i="4"/>
  <c r="Q1245" i="4"/>
  <c r="P1245" i="4"/>
  <c r="O1245" i="4"/>
  <c r="W1245" i="4" s="1"/>
  <c r="N1245" i="4"/>
  <c r="M1245" i="4"/>
  <c r="L1245" i="4"/>
  <c r="K1245" i="4"/>
  <c r="J1245" i="4"/>
  <c r="I1245" i="4"/>
  <c r="H1245" i="4"/>
  <c r="G1245" i="4"/>
  <c r="F1245" i="4"/>
  <c r="E1245" i="4"/>
  <c r="U1245" i="4" s="1"/>
  <c r="D1245" i="4"/>
  <c r="C1245" i="4"/>
  <c r="B1245" i="4"/>
  <c r="A1245" i="4"/>
  <c r="X1244" i="4"/>
  <c r="W1244" i="4"/>
  <c r="T1244" i="4"/>
  <c r="S1244" i="4"/>
  <c r="R1244" i="4"/>
  <c r="Q1244" i="4"/>
  <c r="P1244" i="4"/>
  <c r="O1244" i="4"/>
  <c r="N1244" i="4"/>
  <c r="M1244" i="4"/>
  <c r="L1244" i="4"/>
  <c r="K1244" i="4"/>
  <c r="J1244" i="4"/>
  <c r="I1244" i="4"/>
  <c r="H1244" i="4"/>
  <c r="G1244" i="4"/>
  <c r="F1244" i="4"/>
  <c r="E1244" i="4"/>
  <c r="U1244" i="4" s="1"/>
  <c r="D1244" i="4"/>
  <c r="C1244" i="4"/>
  <c r="V1244" i="4" s="1"/>
  <c r="B1244" i="4"/>
  <c r="A1244" i="4"/>
  <c r="X1243" i="4"/>
  <c r="W1243" i="4"/>
  <c r="V1243" i="4"/>
  <c r="T1243" i="4"/>
  <c r="S1243" i="4"/>
  <c r="R1243" i="4"/>
  <c r="Q1243" i="4"/>
  <c r="P1243" i="4"/>
  <c r="O1243" i="4"/>
  <c r="N1243" i="4"/>
  <c r="M1243" i="4"/>
  <c r="L1243" i="4"/>
  <c r="K1243" i="4"/>
  <c r="J1243" i="4"/>
  <c r="I1243" i="4"/>
  <c r="H1243" i="4"/>
  <c r="G1243" i="4"/>
  <c r="F1243" i="4"/>
  <c r="E1243" i="4"/>
  <c r="U1243" i="4" s="1"/>
  <c r="D1243" i="4"/>
  <c r="C1243" i="4"/>
  <c r="B1243" i="4"/>
  <c r="A1243" i="4"/>
  <c r="X1242" i="4"/>
  <c r="V1242" i="4"/>
  <c r="T1242" i="4"/>
  <c r="S1242" i="4"/>
  <c r="R1242" i="4"/>
  <c r="Q1242" i="4"/>
  <c r="P1242" i="4"/>
  <c r="O1242" i="4"/>
  <c r="W1242" i="4" s="1"/>
  <c r="N1242" i="4"/>
  <c r="M1242" i="4"/>
  <c r="L1242" i="4"/>
  <c r="K1242" i="4"/>
  <c r="J1242" i="4"/>
  <c r="I1242" i="4"/>
  <c r="H1242" i="4"/>
  <c r="G1242" i="4"/>
  <c r="F1242" i="4"/>
  <c r="E1242" i="4"/>
  <c r="U1242" i="4" s="1"/>
  <c r="D1242" i="4"/>
  <c r="C1242" i="4"/>
  <c r="B1242" i="4"/>
  <c r="A1242" i="4"/>
  <c r="X1241" i="4"/>
  <c r="V1241" i="4"/>
  <c r="T1241" i="4"/>
  <c r="S1241" i="4"/>
  <c r="R1241" i="4"/>
  <c r="Q1241" i="4"/>
  <c r="P1241" i="4"/>
  <c r="O1241" i="4"/>
  <c r="W1241" i="4" s="1"/>
  <c r="N1241" i="4"/>
  <c r="M1241" i="4"/>
  <c r="L1241" i="4"/>
  <c r="K1241" i="4"/>
  <c r="J1241" i="4"/>
  <c r="I1241" i="4"/>
  <c r="H1241" i="4"/>
  <c r="G1241" i="4"/>
  <c r="F1241" i="4"/>
  <c r="E1241" i="4"/>
  <c r="U1241" i="4" s="1"/>
  <c r="D1241" i="4"/>
  <c r="C1241" i="4"/>
  <c r="B1241" i="4"/>
  <c r="A1241" i="4"/>
  <c r="X1240" i="4"/>
  <c r="W1240" i="4"/>
  <c r="V1240" i="4"/>
  <c r="T1240" i="4"/>
  <c r="S1240" i="4"/>
  <c r="R1240" i="4"/>
  <c r="Q1240" i="4"/>
  <c r="P1240" i="4"/>
  <c r="O1240" i="4"/>
  <c r="N1240" i="4"/>
  <c r="M1240" i="4"/>
  <c r="L1240" i="4"/>
  <c r="K1240" i="4"/>
  <c r="J1240" i="4"/>
  <c r="I1240" i="4"/>
  <c r="H1240" i="4"/>
  <c r="G1240" i="4"/>
  <c r="F1240" i="4"/>
  <c r="E1240" i="4"/>
  <c r="U1240" i="4" s="1"/>
  <c r="D1240" i="4"/>
  <c r="C1240" i="4"/>
  <c r="B1240" i="4"/>
  <c r="A1240" i="4"/>
  <c r="X1239" i="4"/>
  <c r="V1239" i="4"/>
  <c r="T1239" i="4"/>
  <c r="S1239" i="4"/>
  <c r="R1239" i="4"/>
  <c r="Q1239" i="4"/>
  <c r="P1239" i="4"/>
  <c r="O1239" i="4"/>
  <c r="W1239" i="4" s="1"/>
  <c r="N1239" i="4"/>
  <c r="M1239" i="4"/>
  <c r="L1239" i="4"/>
  <c r="K1239" i="4"/>
  <c r="J1239" i="4"/>
  <c r="I1239" i="4"/>
  <c r="H1239" i="4"/>
  <c r="G1239" i="4"/>
  <c r="F1239" i="4"/>
  <c r="E1239" i="4"/>
  <c r="U1239" i="4" s="1"/>
  <c r="D1239" i="4"/>
  <c r="C1239" i="4"/>
  <c r="B1239" i="4"/>
  <c r="A1239" i="4"/>
  <c r="X1238" i="4"/>
  <c r="W1238" i="4"/>
  <c r="V1238" i="4"/>
  <c r="T1238" i="4"/>
  <c r="S1238" i="4"/>
  <c r="R1238" i="4"/>
  <c r="Q1238" i="4"/>
  <c r="P1238" i="4"/>
  <c r="O1238" i="4"/>
  <c r="N1238" i="4"/>
  <c r="M1238" i="4"/>
  <c r="L1238" i="4"/>
  <c r="K1238" i="4"/>
  <c r="J1238" i="4"/>
  <c r="I1238" i="4"/>
  <c r="H1238" i="4"/>
  <c r="G1238" i="4"/>
  <c r="F1238" i="4"/>
  <c r="E1238" i="4"/>
  <c r="U1238" i="4" s="1"/>
  <c r="D1238" i="4"/>
  <c r="C1238" i="4"/>
  <c r="B1238" i="4"/>
  <c r="A1238" i="4"/>
  <c r="X1237" i="4"/>
  <c r="W1237" i="4"/>
  <c r="V1237" i="4"/>
  <c r="T1237" i="4"/>
  <c r="S1237" i="4"/>
  <c r="R1237" i="4"/>
  <c r="Q1237" i="4"/>
  <c r="P1237" i="4"/>
  <c r="O1237" i="4"/>
  <c r="N1237" i="4"/>
  <c r="M1237" i="4"/>
  <c r="L1237" i="4"/>
  <c r="K1237" i="4"/>
  <c r="J1237" i="4"/>
  <c r="I1237" i="4"/>
  <c r="H1237" i="4"/>
  <c r="G1237" i="4"/>
  <c r="F1237" i="4"/>
  <c r="E1237" i="4"/>
  <c r="U1237" i="4" s="1"/>
  <c r="D1237" i="4"/>
  <c r="C1237" i="4"/>
  <c r="B1237" i="4"/>
  <c r="A1237" i="4"/>
  <c r="X1236" i="4"/>
  <c r="W1236" i="4"/>
  <c r="V1236" i="4"/>
  <c r="T1236" i="4"/>
  <c r="S1236" i="4"/>
  <c r="R1236" i="4"/>
  <c r="Q1236" i="4"/>
  <c r="P1236" i="4"/>
  <c r="O1236" i="4"/>
  <c r="N1236" i="4"/>
  <c r="M1236" i="4"/>
  <c r="L1236" i="4"/>
  <c r="K1236" i="4"/>
  <c r="J1236" i="4"/>
  <c r="I1236" i="4"/>
  <c r="H1236" i="4"/>
  <c r="G1236" i="4"/>
  <c r="F1236" i="4"/>
  <c r="E1236" i="4"/>
  <c r="U1236" i="4" s="1"/>
  <c r="D1236" i="4"/>
  <c r="C1236" i="4"/>
  <c r="B1236" i="4"/>
  <c r="A1236" i="4"/>
  <c r="X1235" i="4"/>
  <c r="V1235" i="4"/>
  <c r="T1235" i="4"/>
  <c r="S1235" i="4"/>
  <c r="R1235" i="4"/>
  <c r="Q1235" i="4"/>
  <c r="P1235" i="4"/>
  <c r="O1235" i="4"/>
  <c r="W1235" i="4" s="1"/>
  <c r="N1235" i="4"/>
  <c r="M1235" i="4"/>
  <c r="L1235" i="4"/>
  <c r="K1235" i="4"/>
  <c r="J1235" i="4"/>
  <c r="I1235" i="4"/>
  <c r="H1235" i="4"/>
  <c r="G1235" i="4"/>
  <c r="F1235" i="4"/>
  <c r="E1235" i="4"/>
  <c r="U1235" i="4" s="1"/>
  <c r="D1235" i="4"/>
  <c r="C1235" i="4"/>
  <c r="B1235" i="4"/>
  <c r="A1235" i="4"/>
  <c r="X1234" i="4"/>
  <c r="W1234" i="4"/>
  <c r="V1234" i="4"/>
  <c r="T1234" i="4"/>
  <c r="S1234" i="4"/>
  <c r="R1234" i="4"/>
  <c r="Q1234" i="4"/>
  <c r="P1234" i="4"/>
  <c r="O1234" i="4"/>
  <c r="N1234" i="4"/>
  <c r="M1234" i="4"/>
  <c r="L1234" i="4"/>
  <c r="K1234" i="4"/>
  <c r="J1234" i="4"/>
  <c r="I1234" i="4"/>
  <c r="H1234" i="4"/>
  <c r="G1234" i="4"/>
  <c r="F1234" i="4"/>
  <c r="E1234" i="4"/>
  <c r="U1234" i="4" s="1"/>
  <c r="D1234" i="4"/>
  <c r="C1234" i="4"/>
  <c r="B1234" i="4"/>
  <c r="A1234" i="4"/>
  <c r="X1233" i="4"/>
  <c r="V1233" i="4"/>
  <c r="T1233" i="4"/>
  <c r="S1233" i="4"/>
  <c r="R1233" i="4"/>
  <c r="Q1233" i="4"/>
  <c r="P1233" i="4"/>
  <c r="O1233" i="4"/>
  <c r="W1233" i="4" s="1"/>
  <c r="N1233" i="4"/>
  <c r="M1233" i="4"/>
  <c r="L1233" i="4"/>
  <c r="K1233" i="4"/>
  <c r="J1233" i="4"/>
  <c r="I1233" i="4"/>
  <c r="H1233" i="4"/>
  <c r="G1233" i="4"/>
  <c r="F1233" i="4"/>
  <c r="E1233" i="4"/>
  <c r="U1233" i="4" s="1"/>
  <c r="D1233" i="4"/>
  <c r="C1233" i="4"/>
  <c r="B1233" i="4"/>
  <c r="A1233" i="4"/>
  <c r="X1232" i="4"/>
  <c r="T1232" i="4"/>
  <c r="S1232" i="4"/>
  <c r="W1232" i="4" s="1"/>
  <c r="R1232" i="4"/>
  <c r="Q1232" i="4"/>
  <c r="P1232" i="4"/>
  <c r="O1232" i="4"/>
  <c r="N1232" i="4"/>
  <c r="M1232" i="4"/>
  <c r="L1232" i="4"/>
  <c r="K1232" i="4"/>
  <c r="J1232" i="4"/>
  <c r="I1232" i="4"/>
  <c r="H1232" i="4"/>
  <c r="G1232" i="4"/>
  <c r="F1232" i="4"/>
  <c r="E1232" i="4"/>
  <c r="U1232" i="4" s="1"/>
  <c r="D1232" i="4"/>
  <c r="C1232" i="4"/>
  <c r="V1232" i="4" s="1"/>
  <c r="B1232" i="4"/>
  <c r="A1232" i="4"/>
  <c r="X1231" i="4"/>
  <c r="V1231" i="4"/>
  <c r="T1231" i="4"/>
  <c r="S1231" i="4"/>
  <c r="R1231" i="4"/>
  <c r="Q1231" i="4"/>
  <c r="P1231" i="4"/>
  <c r="O1231" i="4"/>
  <c r="W1231" i="4" s="1"/>
  <c r="N1231" i="4"/>
  <c r="M1231" i="4"/>
  <c r="L1231" i="4"/>
  <c r="K1231" i="4"/>
  <c r="J1231" i="4"/>
  <c r="I1231" i="4"/>
  <c r="H1231" i="4"/>
  <c r="G1231" i="4"/>
  <c r="F1231" i="4"/>
  <c r="E1231" i="4"/>
  <c r="U1231" i="4" s="1"/>
  <c r="D1231" i="4"/>
  <c r="C1231" i="4"/>
  <c r="B1231" i="4"/>
  <c r="A1231" i="4"/>
  <c r="X1230" i="4"/>
  <c r="W1230" i="4"/>
  <c r="T1230" i="4"/>
  <c r="S1230" i="4"/>
  <c r="R1230" i="4"/>
  <c r="Q1230" i="4"/>
  <c r="P1230" i="4"/>
  <c r="O1230" i="4"/>
  <c r="N1230" i="4"/>
  <c r="M1230" i="4"/>
  <c r="L1230" i="4"/>
  <c r="K1230" i="4"/>
  <c r="J1230" i="4"/>
  <c r="I1230" i="4"/>
  <c r="H1230" i="4"/>
  <c r="G1230" i="4"/>
  <c r="F1230" i="4"/>
  <c r="E1230" i="4"/>
  <c r="U1230" i="4" s="1"/>
  <c r="D1230" i="4"/>
  <c r="C1230" i="4"/>
  <c r="V1230" i="4" s="1"/>
  <c r="B1230" i="4"/>
  <c r="A1230" i="4"/>
  <c r="X1229" i="4"/>
  <c r="V1229" i="4"/>
  <c r="T1229" i="4"/>
  <c r="S1229" i="4"/>
  <c r="R1229" i="4"/>
  <c r="Q1229" i="4"/>
  <c r="P1229" i="4"/>
  <c r="O1229" i="4"/>
  <c r="W1229" i="4" s="1"/>
  <c r="N1229" i="4"/>
  <c r="M1229" i="4"/>
  <c r="L1229" i="4"/>
  <c r="K1229" i="4"/>
  <c r="J1229" i="4"/>
  <c r="I1229" i="4"/>
  <c r="H1229" i="4"/>
  <c r="G1229" i="4"/>
  <c r="F1229" i="4"/>
  <c r="E1229" i="4"/>
  <c r="U1229" i="4" s="1"/>
  <c r="D1229" i="4"/>
  <c r="C1229" i="4"/>
  <c r="B1229" i="4"/>
  <c r="A1229" i="4"/>
  <c r="X1228" i="4"/>
  <c r="V1228" i="4"/>
  <c r="T1228" i="4"/>
  <c r="S1228" i="4"/>
  <c r="R1228" i="4"/>
  <c r="Q1228" i="4"/>
  <c r="P1228" i="4"/>
  <c r="O1228" i="4"/>
  <c r="W1228" i="4" s="1"/>
  <c r="N1228" i="4"/>
  <c r="M1228" i="4"/>
  <c r="L1228" i="4"/>
  <c r="K1228" i="4"/>
  <c r="J1228" i="4"/>
  <c r="I1228" i="4"/>
  <c r="H1228" i="4"/>
  <c r="G1228" i="4"/>
  <c r="F1228" i="4"/>
  <c r="E1228" i="4"/>
  <c r="U1228" i="4" s="1"/>
  <c r="D1228" i="4"/>
  <c r="C1228" i="4"/>
  <c r="B1228" i="4"/>
  <c r="A1228" i="4"/>
  <c r="X1227" i="4"/>
  <c r="W1227" i="4"/>
  <c r="V1227" i="4"/>
  <c r="T1227" i="4"/>
  <c r="S1227" i="4"/>
  <c r="R1227" i="4"/>
  <c r="Q1227" i="4"/>
  <c r="P1227" i="4"/>
  <c r="O1227" i="4"/>
  <c r="N1227" i="4"/>
  <c r="M1227" i="4"/>
  <c r="L1227" i="4"/>
  <c r="K1227" i="4"/>
  <c r="J1227" i="4"/>
  <c r="I1227" i="4"/>
  <c r="H1227" i="4"/>
  <c r="G1227" i="4"/>
  <c r="F1227" i="4"/>
  <c r="E1227" i="4"/>
  <c r="U1227" i="4" s="1"/>
  <c r="D1227" i="4"/>
  <c r="C1227" i="4"/>
  <c r="B1227" i="4"/>
  <c r="A1227" i="4"/>
  <c r="X1226" i="4"/>
  <c r="W1226" i="4"/>
  <c r="V1226" i="4"/>
  <c r="T1226" i="4"/>
  <c r="S1226" i="4"/>
  <c r="R1226" i="4"/>
  <c r="Q1226" i="4"/>
  <c r="P1226" i="4"/>
  <c r="O1226" i="4"/>
  <c r="N1226" i="4"/>
  <c r="M1226" i="4"/>
  <c r="L1226" i="4"/>
  <c r="K1226" i="4"/>
  <c r="J1226" i="4"/>
  <c r="I1226" i="4"/>
  <c r="H1226" i="4"/>
  <c r="G1226" i="4"/>
  <c r="F1226" i="4"/>
  <c r="E1226" i="4"/>
  <c r="U1226" i="4" s="1"/>
  <c r="D1226" i="4"/>
  <c r="C1226" i="4"/>
  <c r="B1226" i="4"/>
  <c r="A1226" i="4"/>
  <c r="X1225" i="4"/>
  <c r="V1225" i="4"/>
  <c r="T1225" i="4"/>
  <c r="S1225" i="4"/>
  <c r="R1225" i="4"/>
  <c r="Q1225" i="4"/>
  <c r="P1225" i="4"/>
  <c r="O1225" i="4"/>
  <c r="W1225" i="4" s="1"/>
  <c r="N1225" i="4"/>
  <c r="M1225" i="4"/>
  <c r="L1225" i="4"/>
  <c r="K1225" i="4"/>
  <c r="J1225" i="4"/>
  <c r="I1225" i="4"/>
  <c r="H1225" i="4"/>
  <c r="G1225" i="4"/>
  <c r="F1225" i="4"/>
  <c r="E1225" i="4"/>
  <c r="U1225" i="4" s="1"/>
  <c r="D1225" i="4"/>
  <c r="C1225" i="4"/>
  <c r="B1225" i="4"/>
  <c r="A1225" i="4"/>
  <c r="X1224" i="4"/>
  <c r="V1224" i="4"/>
  <c r="T1224" i="4"/>
  <c r="S1224" i="4"/>
  <c r="W1224" i="4" s="1"/>
  <c r="R1224" i="4"/>
  <c r="Q1224" i="4"/>
  <c r="P1224" i="4"/>
  <c r="O1224" i="4"/>
  <c r="N1224" i="4"/>
  <c r="M1224" i="4"/>
  <c r="L1224" i="4"/>
  <c r="K1224" i="4"/>
  <c r="J1224" i="4"/>
  <c r="I1224" i="4"/>
  <c r="H1224" i="4"/>
  <c r="G1224" i="4"/>
  <c r="F1224" i="4"/>
  <c r="E1224" i="4"/>
  <c r="U1224" i="4" s="1"/>
  <c r="D1224" i="4"/>
  <c r="C1224" i="4"/>
  <c r="B1224" i="4"/>
  <c r="A1224" i="4"/>
  <c r="X1223" i="4"/>
  <c r="V1223" i="4"/>
  <c r="T1223" i="4"/>
  <c r="S1223" i="4"/>
  <c r="R1223" i="4"/>
  <c r="Q1223" i="4"/>
  <c r="P1223" i="4"/>
  <c r="O1223" i="4"/>
  <c r="W1223" i="4" s="1"/>
  <c r="N1223" i="4"/>
  <c r="M1223" i="4"/>
  <c r="L1223" i="4"/>
  <c r="K1223" i="4"/>
  <c r="J1223" i="4"/>
  <c r="I1223" i="4"/>
  <c r="H1223" i="4"/>
  <c r="G1223" i="4"/>
  <c r="F1223" i="4"/>
  <c r="E1223" i="4"/>
  <c r="U1223" i="4" s="1"/>
  <c r="D1223" i="4"/>
  <c r="C1223" i="4"/>
  <c r="B1223" i="4"/>
  <c r="A1223" i="4"/>
  <c r="X1222" i="4"/>
  <c r="V1222" i="4"/>
  <c r="T1222" i="4"/>
  <c r="S1222" i="4"/>
  <c r="R1222" i="4"/>
  <c r="Q1222" i="4"/>
  <c r="P1222" i="4"/>
  <c r="O1222" i="4"/>
  <c r="W1222" i="4" s="1"/>
  <c r="N1222" i="4"/>
  <c r="M1222" i="4"/>
  <c r="L1222" i="4"/>
  <c r="K1222" i="4"/>
  <c r="J1222" i="4"/>
  <c r="I1222" i="4"/>
  <c r="H1222" i="4"/>
  <c r="G1222" i="4"/>
  <c r="F1222" i="4"/>
  <c r="E1222" i="4"/>
  <c r="U1222" i="4" s="1"/>
  <c r="D1222" i="4"/>
  <c r="C1222" i="4"/>
  <c r="B1222" i="4"/>
  <c r="A1222" i="4"/>
  <c r="X1221" i="4"/>
  <c r="W1221" i="4"/>
  <c r="V1221" i="4"/>
  <c r="T1221" i="4"/>
  <c r="S1221" i="4"/>
  <c r="R1221" i="4"/>
  <c r="Q1221" i="4"/>
  <c r="P1221" i="4"/>
  <c r="O1221" i="4"/>
  <c r="N1221" i="4"/>
  <c r="M1221" i="4"/>
  <c r="L1221" i="4"/>
  <c r="K1221" i="4"/>
  <c r="J1221" i="4"/>
  <c r="I1221" i="4"/>
  <c r="H1221" i="4"/>
  <c r="G1221" i="4"/>
  <c r="F1221" i="4"/>
  <c r="E1221" i="4"/>
  <c r="U1221" i="4" s="1"/>
  <c r="D1221" i="4"/>
  <c r="C1221" i="4"/>
  <c r="B1221" i="4"/>
  <c r="A1221" i="4"/>
  <c r="X1220" i="4"/>
  <c r="T1220" i="4"/>
  <c r="S1220" i="4"/>
  <c r="R1220" i="4"/>
  <c r="Q1220" i="4"/>
  <c r="P1220" i="4"/>
  <c r="O1220" i="4"/>
  <c r="N1220" i="4"/>
  <c r="M1220" i="4"/>
  <c r="L1220" i="4"/>
  <c r="K1220" i="4"/>
  <c r="J1220" i="4"/>
  <c r="I1220" i="4"/>
  <c r="H1220" i="4"/>
  <c r="G1220" i="4"/>
  <c r="F1220" i="4"/>
  <c r="E1220" i="4"/>
  <c r="U1220" i="4" s="1"/>
  <c r="D1220" i="4"/>
  <c r="C1220" i="4"/>
  <c r="V1220" i="4" s="1"/>
  <c r="B1220" i="4"/>
  <c r="A1220" i="4"/>
  <c r="X1219" i="4"/>
  <c r="W1219" i="4"/>
  <c r="V1219" i="4"/>
  <c r="T1219" i="4"/>
  <c r="S1219" i="4"/>
  <c r="R1219" i="4"/>
  <c r="Q1219" i="4"/>
  <c r="P1219" i="4"/>
  <c r="O1219" i="4"/>
  <c r="N1219" i="4"/>
  <c r="M1219" i="4"/>
  <c r="L1219" i="4"/>
  <c r="K1219" i="4"/>
  <c r="J1219" i="4"/>
  <c r="I1219" i="4"/>
  <c r="H1219" i="4"/>
  <c r="G1219" i="4"/>
  <c r="F1219" i="4"/>
  <c r="E1219" i="4"/>
  <c r="U1219" i="4" s="1"/>
  <c r="D1219" i="4"/>
  <c r="C1219" i="4"/>
  <c r="B1219" i="4"/>
  <c r="A1219" i="4"/>
  <c r="X1218" i="4"/>
  <c r="T1218" i="4"/>
  <c r="S1218" i="4"/>
  <c r="R1218" i="4"/>
  <c r="Q1218" i="4"/>
  <c r="P1218" i="4"/>
  <c r="O1218" i="4"/>
  <c r="W1218" i="4" s="1"/>
  <c r="N1218" i="4"/>
  <c r="M1218" i="4"/>
  <c r="L1218" i="4"/>
  <c r="K1218" i="4"/>
  <c r="J1218" i="4"/>
  <c r="I1218" i="4"/>
  <c r="H1218" i="4"/>
  <c r="G1218" i="4"/>
  <c r="F1218" i="4"/>
  <c r="E1218" i="4"/>
  <c r="U1218" i="4" s="1"/>
  <c r="D1218" i="4"/>
  <c r="C1218" i="4"/>
  <c r="V1218" i="4" s="1"/>
  <c r="B1218" i="4"/>
  <c r="A1218" i="4"/>
  <c r="X1217" i="4"/>
  <c r="W1217" i="4"/>
  <c r="V1217" i="4"/>
  <c r="T1217" i="4"/>
  <c r="S1217" i="4"/>
  <c r="R1217" i="4"/>
  <c r="Q1217" i="4"/>
  <c r="P1217" i="4"/>
  <c r="O1217" i="4"/>
  <c r="N1217" i="4"/>
  <c r="M1217" i="4"/>
  <c r="L1217" i="4"/>
  <c r="K1217" i="4"/>
  <c r="J1217" i="4"/>
  <c r="I1217" i="4"/>
  <c r="H1217" i="4"/>
  <c r="G1217" i="4"/>
  <c r="F1217" i="4"/>
  <c r="E1217" i="4"/>
  <c r="U1217" i="4" s="1"/>
  <c r="D1217" i="4"/>
  <c r="C1217" i="4"/>
  <c r="B1217" i="4"/>
  <c r="A1217" i="4"/>
  <c r="X1216" i="4"/>
  <c r="T1216" i="4"/>
  <c r="S1216" i="4"/>
  <c r="R1216" i="4"/>
  <c r="Q1216" i="4"/>
  <c r="P1216" i="4"/>
  <c r="O1216" i="4"/>
  <c r="N1216" i="4"/>
  <c r="M1216" i="4"/>
  <c r="L1216" i="4"/>
  <c r="K1216" i="4"/>
  <c r="J1216" i="4"/>
  <c r="I1216" i="4"/>
  <c r="H1216" i="4"/>
  <c r="G1216" i="4"/>
  <c r="F1216" i="4"/>
  <c r="E1216" i="4"/>
  <c r="U1216" i="4" s="1"/>
  <c r="D1216" i="4"/>
  <c r="C1216" i="4"/>
  <c r="V1216" i="4" s="1"/>
  <c r="B1216" i="4"/>
  <c r="A1216" i="4"/>
  <c r="X1215" i="4"/>
  <c r="W1215" i="4"/>
  <c r="V1215" i="4"/>
  <c r="T1215" i="4"/>
  <c r="S1215" i="4"/>
  <c r="R1215" i="4"/>
  <c r="Q1215" i="4"/>
  <c r="P1215" i="4"/>
  <c r="O1215" i="4"/>
  <c r="N1215" i="4"/>
  <c r="M1215" i="4"/>
  <c r="L1215" i="4"/>
  <c r="K1215" i="4"/>
  <c r="J1215" i="4"/>
  <c r="I1215" i="4"/>
  <c r="H1215" i="4"/>
  <c r="G1215" i="4"/>
  <c r="F1215" i="4"/>
  <c r="E1215" i="4"/>
  <c r="U1215" i="4" s="1"/>
  <c r="D1215" i="4"/>
  <c r="C1215" i="4"/>
  <c r="B1215" i="4"/>
  <c r="A1215" i="4"/>
  <c r="X1214" i="4"/>
  <c r="T1214" i="4"/>
  <c r="S1214" i="4"/>
  <c r="R1214" i="4"/>
  <c r="Q1214" i="4"/>
  <c r="P1214" i="4"/>
  <c r="O1214" i="4"/>
  <c r="N1214" i="4"/>
  <c r="M1214" i="4"/>
  <c r="L1214" i="4"/>
  <c r="K1214" i="4"/>
  <c r="J1214" i="4"/>
  <c r="I1214" i="4"/>
  <c r="H1214" i="4"/>
  <c r="G1214" i="4"/>
  <c r="F1214" i="4"/>
  <c r="E1214" i="4"/>
  <c r="U1214" i="4" s="1"/>
  <c r="D1214" i="4"/>
  <c r="C1214" i="4"/>
  <c r="V1214" i="4" s="1"/>
  <c r="B1214" i="4"/>
  <c r="A1214" i="4"/>
  <c r="X1213" i="4"/>
  <c r="W1213" i="4"/>
  <c r="V1213" i="4"/>
  <c r="T1213" i="4"/>
  <c r="S1213" i="4"/>
  <c r="R1213" i="4"/>
  <c r="Q1213" i="4"/>
  <c r="P1213" i="4"/>
  <c r="O1213" i="4"/>
  <c r="N1213" i="4"/>
  <c r="M1213" i="4"/>
  <c r="L1213" i="4"/>
  <c r="K1213" i="4"/>
  <c r="J1213" i="4"/>
  <c r="I1213" i="4"/>
  <c r="H1213" i="4"/>
  <c r="G1213" i="4"/>
  <c r="F1213" i="4"/>
  <c r="E1213" i="4"/>
  <c r="U1213" i="4" s="1"/>
  <c r="D1213" i="4"/>
  <c r="C1213" i="4"/>
  <c r="B1213" i="4"/>
  <c r="A1213" i="4"/>
  <c r="X1212" i="4"/>
  <c r="T1212" i="4"/>
  <c r="S1212" i="4"/>
  <c r="R1212" i="4"/>
  <c r="Q1212" i="4"/>
  <c r="P1212" i="4"/>
  <c r="O1212" i="4"/>
  <c r="W1212" i="4" s="1"/>
  <c r="N1212" i="4"/>
  <c r="M1212" i="4"/>
  <c r="L1212" i="4"/>
  <c r="K1212" i="4"/>
  <c r="J1212" i="4"/>
  <c r="I1212" i="4"/>
  <c r="H1212" i="4"/>
  <c r="G1212" i="4"/>
  <c r="F1212" i="4"/>
  <c r="E1212" i="4"/>
  <c r="U1212" i="4" s="1"/>
  <c r="D1212" i="4"/>
  <c r="C1212" i="4"/>
  <c r="V1212" i="4" s="1"/>
  <c r="B1212" i="4"/>
  <c r="A1212" i="4"/>
  <c r="X1211" i="4"/>
  <c r="W1211" i="4"/>
  <c r="V1211" i="4"/>
  <c r="T1211" i="4"/>
  <c r="S1211" i="4"/>
  <c r="R1211" i="4"/>
  <c r="Q1211" i="4"/>
  <c r="P1211" i="4"/>
  <c r="O1211" i="4"/>
  <c r="N1211" i="4"/>
  <c r="M1211" i="4"/>
  <c r="L1211" i="4"/>
  <c r="K1211" i="4"/>
  <c r="J1211" i="4"/>
  <c r="I1211" i="4"/>
  <c r="H1211" i="4"/>
  <c r="G1211" i="4"/>
  <c r="F1211" i="4"/>
  <c r="E1211" i="4"/>
  <c r="U1211" i="4" s="1"/>
  <c r="D1211" i="4"/>
  <c r="C1211" i="4"/>
  <c r="B1211" i="4"/>
  <c r="A1211" i="4"/>
  <c r="X1210" i="4"/>
  <c r="T1210" i="4"/>
  <c r="S1210" i="4"/>
  <c r="R1210" i="4"/>
  <c r="Q1210" i="4"/>
  <c r="P1210" i="4"/>
  <c r="O1210" i="4"/>
  <c r="W1210" i="4" s="1"/>
  <c r="N1210" i="4"/>
  <c r="M1210" i="4"/>
  <c r="L1210" i="4"/>
  <c r="K1210" i="4"/>
  <c r="J1210" i="4"/>
  <c r="I1210" i="4"/>
  <c r="H1210" i="4"/>
  <c r="G1210" i="4"/>
  <c r="F1210" i="4"/>
  <c r="E1210" i="4"/>
  <c r="U1210" i="4" s="1"/>
  <c r="D1210" i="4"/>
  <c r="C1210" i="4"/>
  <c r="V1210" i="4" s="1"/>
  <c r="B1210" i="4"/>
  <c r="A1210" i="4"/>
  <c r="X1209" i="4"/>
  <c r="W1209" i="4"/>
  <c r="V1209" i="4"/>
  <c r="T1209" i="4"/>
  <c r="S1209" i="4"/>
  <c r="R1209" i="4"/>
  <c r="Q1209" i="4"/>
  <c r="P1209" i="4"/>
  <c r="O1209" i="4"/>
  <c r="N1209" i="4"/>
  <c r="M1209" i="4"/>
  <c r="L1209" i="4"/>
  <c r="K1209" i="4"/>
  <c r="J1209" i="4"/>
  <c r="I1209" i="4"/>
  <c r="H1209" i="4"/>
  <c r="G1209" i="4"/>
  <c r="F1209" i="4"/>
  <c r="E1209" i="4"/>
  <c r="U1209" i="4" s="1"/>
  <c r="D1209" i="4"/>
  <c r="C1209" i="4"/>
  <c r="B1209" i="4"/>
  <c r="A1209" i="4"/>
  <c r="X1208" i="4"/>
  <c r="T1208" i="4"/>
  <c r="S1208" i="4"/>
  <c r="R1208" i="4"/>
  <c r="Q1208" i="4"/>
  <c r="P1208" i="4"/>
  <c r="O1208" i="4"/>
  <c r="W1208" i="4" s="1"/>
  <c r="N1208" i="4"/>
  <c r="M1208" i="4"/>
  <c r="L1208" i="4"/>
  <c r="K1208" i="4"/>
  <c r="J1208" i="4"/>
  <c r="I1208" i="4"/>
  <c r="H1208" i="4"/>
  <c r="G1208" i="4"/>
  <c r="F1208" i="4"/>
  <c r="E1208" i="4"/>
  <c r="U1208" i="4" s="1"/>
  <c r="D1208" i="4"/>
  <c r="C1208" i="4"/>
  <c r="V1208" i="4" s="1"/>
  <c r="B1208" i="4"/>
  <c r="A1208" i="4"/>
  <c r="X1207" i="4"/>
  <c r="W1207" i="4"/>
  <c r="V1207" i="4"/>
  <c r="T1207" i="4"/>
  <c r="S1207" i="4"/>
  <c r="R1207" i="4"/>
  <c r="Q1207" i="4"/>
  <c r="P1207" i="4"/>
  <c r="O1207" i="4"/>
  <c r="N1207" i="4"/>
  <c r="M1207" i="4"/>
  <c r="L1207" i="4"/>
  <c r="K1207" i="4"/>
  <c r="J1207" i="4"/>
  <c r="I1207" i="4"/>
  <c r="H1207" i="4"/>
  <c r="G1207" i="4"/>
  <c r="F1207" i="4"/>
  <c r="E1207" i="4"/>
  <c r="U1207" i="4" s="1"/>
  <c r="D1207" i="4"/>
  <c r="C1207" i="4"/>
  <c r="B1207" i="4"/>
  <c r="A1207" i="4"/>
  <c r="X1206" i="4"/>
  <c r="T1206" i="4"/>
  <c r="S1206" i="4"/>
  <c r="R1206" i="4"/>
  <c r="Q1206" i="4"/>
  <c r="P1206" i="4"/>
  <c r="O1206" i="4"/>
  <c r="N1206" i="4"/>
  <c r="M1206" i="4"/>
  <c r="L1206" i="4"/>
  <c r="K1206" i="4"/>
  <c r="J1206" i="4"/>
  <c r="I1206" i="4"/>
  <c r="H1206" i="4"/>
  <c r="G1206" i="4"/>
  <c r="F1206" i="4"/>
  <c r="E1206" i="4"/>
  <c r="U1206" i="4" s="1"/>
  <c r="D1206" i="4"/>
  <c r="C1206" i="4"/>
  <c r="V1206" i="4" s="1"/>
  <c r="B1206" i="4"/>
  <c r="A1206" i="4"/>
  <c r="X1205" i="4"/>
  <c r="W1205" i="4"/>
  <c r="V1205" i="4"/>
  <c r="T1205" i="4"/>
  <c r="S1205" i="4"/>
  <c r="R1205" i="4"/>
  <c r="Q1205" i="4"/>
  <c r="P1205" i="4"/>
  <c r="O1205" i="4"/>
  <c r="N1205" i="4"/>
  <c r="M1205" i="4"/>
  <c r="L1205" i="4"/>
  <c r="K1205" i="4"/>
  <c r="J1205" i="4"/>
  <c r="I1205" i="4"/>
  <c r="H1205" i="4"/>
  <c r="G1205" i="4"/>
  <c r="F1205" i="4"/>
  <c r="E1205" i="4"/>
  <c r="U1205" i="4" s="1"/>
  <c r="D1205" i="4"/>
  <c r="C1205" i="4"/>
  <c r="B1205" i="4"/>
  <c r="A1205" i="4"/>
  <c r="X1204" i="4"/>
  <c r="T1204" i="4"/>
  <c r="S1204" i="4"/>
  <c r="R1204" i="4"/>
  <c r="Q1204" i="4"/>
  <c r="P1204" i="4"/>
  <c r="O1204" i="4"/>
  <c r="N1204" i="4"/>
  <c r="M1204" i="4"/>
  <c r="L1204" i="4"/>
  <c r="K1204" i="4"/>
  <c r="J1204" i="4"/>
  <c r="I1204" i="4"/>
  <c r="H1204" i="4"/>
  <c r="G1204" i="4"/>
  <c r="F1204" i="4"/>
  <c r="E1204" i="4"/>
  <c r="U1204" i="4" s="1"/>
  <c r="D1204" i="4"/>
  <c r="C1204" i="4"/>
  <c r="V1204" i="4" s="1"/>
  <c r="B1204" i="4"/>
  <c r="A1204" i="4"/>
  <c r="X1203" i="4"/>
  <c r="W1203" i="4"/>
  <c r="V1203" i="4"/>
  <c r="T1203" i="4"/>
  <c r="S1203" i="4"/>
  <c r="R1203" i="4"/>
  <c r="Q1203" i="4"/>
  <c r="P1203" i="4"/>
  <c r="O1203" i="4"/>
  <c r="N1203" i="4"/>
  <c r="M1203" i="4"/>
  <c r="L1203" i="4"/>
  <c r="K1203" i="4"/>
  <c r="J1203" i="4"/>
  <c r="I1203" i="4"/>
  <c r="H1203" i="4"/>
  <c r="G1203" i="4"/>
  <c r="F1203" i="4"/>
  <c r="E1203" i="4"/>
  <c r="U1203" i="4" s="1"/>
  <c r="D1203" i="4"/>
  <c r="C1203" i="4"/>
  <c r="B1203" i="4"/>
  <c r="A1203" i="4"/>
  <c r="X1202" i="4"/>
  <c r="T1202" i="4"/>
  <c r="S1202" i="4"/>
  <c r="R1202" i="4"/>
  <c r="Q1202" i="4"/>
  <c r="P1202" i="4"/>
  <c r="O1202" i="4"/>
  <c r="W1202" i="4" s="1"/>
  <c r="N1202" i="4"/>
  <c r="M1202" i="4"/>
  <c r="L1202" i="4"/>
  <c r="K1202" i="4"/>
  <c r="J1202" i="4"/>
  <c r="I1202" i="4"/>
  <c r="H1202" i="4"/>
  <c r="G1202" i="4"/>
  <c r="F1202" i="4"/>
  <c r="E1202" i="4"/>
  <c r="U1202" i="4" s="1"/>
  <c r="D1202" i="4"/>
  <c r="C1202" i="4"/>
  <c r="V1202" i="4" s="1"/>
  <c r="B1202" i="4"/>
  <c r="A1202" i="4"/>
  <c r="X1201" i="4"/>
  <c r="W1201" i="4"/>
  <c r="V1201" i="4"/>
  <c r="T1201" i="4"/>
  <c r="S1201" i="4"/>
  <c r="R1201" i="4"/>
  <c r="Q1201" i="4"/>
  <c r="P1201" i="4"/>
  <c r="O1201" i="4"/>
  <c r="N1201" i="4"/>
  <c r="M1201" i="4"/>
  <c r="L1201" i="4"/>
  <c r="K1201" i="4"/>
  <c r="J1201" i="4"/>
  <c r="I1201" i="4"/>
  <c r="H1201" i="4"/>
  <c r="G1201" i="4"/>
  <c r="F1201" i="4"/>
  <c r="E1201" i="4"/>
  <c r="U1201" i="4" s="1"/>
  <c r="D1201" i="4"/>
  <c r="C1201" i="4"/>
  <c r="B1201" i="4"/>
  <c r="A1201" i="4"/>
  <c r="X1200" i="4"/>
  <c r="T1200" i="4"/>
  <c r="S1200" i="4"/>
  <c r="R1200" i="4"/>
  <c r="Q1200" i="4"/>
  <c r="P1200" i="4"/>
  <c r="O1200" i="4"/>
  <c r="N1200" i="4"/>
  <c r="M1200" i="4"/>
  <c r="L1200" i="4"/>
  <c r="K1200" i="4"/>
  <c r="J1200" i="4"/>
  <c r="I1200" i="4"/>
  <c r="H1200" i="4"/>
  <c r="G1200" i="4"/>
  <c r="F1200" i="4"/>
  <c r="E1200" i="4"/>
  <c r="U1200" i="4" s="1"/>
  <c r="D1200" i="4"/>
  <c r="C1200" i="4"/>
  <c r="V1200" i="4" s="1"/>
  <c r="B1200" i="4"/>
  <c r="A1200" i="4"/>
  <c r="X1199" i="4"/>
  <c r="W1199" i="4"/>
  <c r="V1199" i="4"/>
  <c r="T1199" i="4"/>
  <c r="S1199" i="4"/>
  <c r="R1199" i="4"/>
  <c r="Q1199" i="4"/>
  <c r="P1199" i="4"/>
  <c r="O1199" i="4"/>
  <c r="N1199" i="4"/>
  <c r="M1199" i="4"/>
  <c r="L1199" i="4"/>
  <c r="K1199" i="4"/>
  <c r="J1199" i="4"/>
  <c r="I1199" i="4"/>
  <c r="H1199" i="4"/>
  <c r="G1199" i="4"/>
  <c r="F1199" i="4"/>
  <c r="E1199" i="4"/>
  <c r="U1199" i="4" s="1"/>
  <c r="D1199" i="4"/>
  <c r="C1199" i="4"/>
  <c r="B1199" i="4"/>
  <c r="A1199" i="4"/>
  <c r="X1198" i="4"/>
  <c r="T1198" i="4"/>
  <c r="S1198" i="4"/>
  <c r="R1198" i="4"/>
  <c r="Q1198" i="4"/>
  <c r="P1198" i="4"/>
  <c r="O1198" i="4"/>
  <c r="N1198" i="4"/>
  <c r="M1198" i="4"/>
  <c r="L1198" i="4"/>
  <c r="K1198" i="4"/>
  <c r="J1198" i="4"/>
  <c r="I1198" i="4"/>
  <c r="H1198" i="4"/>
  <c r="G1198" i="4"/>
  <c r="F1198" i="4"/>
  <c r="E1198" i="4"/>
  <c r="U1198" i="4" s="1"/>
  <c r="D1198" i="4"/>
  <c r="C1198" i="4"/>
  <c r="V1198" i="4" s="1"/>
  <c r="B1198" i="4"/>
  <c r="A1198" i="4"/>
  <c r="X1197" i="4"/>
  <c r="W1197" i="4"/>
  <c r="V1197" i="4"/>
  <c r="T1197" i="4"/>
  <c r="S1197" i="4"/>
  <c r="R1197" i="4"/>
  <c r="Q1197" i="4"/>
  <c r="P1197" i="4"/>
  <c r="O1197" i="4"/>
  <c r="N1197" i="4"/>
  <c r="M1197" i="4"/>
  <c r="L1197" i="4"/>
  <c r="K1197" i="4"/>
  <c r="J1197" i="4"/>
  <c r="I1197" i="4"/>
  <c r="H1197" i="4"/>
  <c r="G1197" i="4"/>
  <c r="F1197" i="4"/>
  <c r="E1197" i="4"/>
  <c r="U1197" i="4" s="1"/>
  <c r="D1197" i="4"/>
  <c r="C1197" i="4"/>
  <c r="B1197" i="4"/>
  <c r="A1197" i="4"/>
  <c r="X1196" i="4"/>
  <c r="T1196" i="4"/>
  <c r="S1196" i="4"/>
  <c r="R1196" i="4"/>
  <c r="Q1196" i="4"/>
  <c r="P1196" i="4"/>
  <c r="O1196" i="4"/>
  <c r="W1196" i="4" s="1"/>
  <c r="N1196" i="4"/>
  <c r="M1196" i="4"/>
  <c r="L1196" i="4"/>
  <c r="K1196" i="4"/>
  <c r="J1196" i="4"/>
  <c r="I1196" i="4"/>
  <c r="H1196" i="4"/>
  <c r="G1196" i="4"/>
  <c r="F1196" i="4"/>
  <c r="E1196" i="4"/>
  <c r="U1196" i="4" s="1"/>
  <c r="D1196" i="4"/>
  <c r="C1196" i="4"/>
  <c r="V1196" i="4" s="1"/>
  <c r="B1196" i="4"/>
  <c r="A1196" i="4"/>
  <c r="X1195" i="4"/>
  <c r="W1195" i="4"/>
  <c r="V1195" i="4"/>
  <c r="T1195" i="4"/>
  <c r="S1195" i="4"/>
  <c r="R1195" i="4"/>
  <c r="Q1195" i="4"/>
  <c r="P1195" i="4"/>
  <c r="O1195" i="4"/>
  <c r="N1195" i="4"/>
  <c r="M1195" i="4"/>
  <c r="L1195" i="4"/>
  <c r="K1195" i="4"/>
  <c r="J1195" i="4"/>
  <c r="I1195" i="4"/>
  <c r="H1195" i="4"/>
  <c r="G1195" i="4"/>
  <c r="F1195" i="4"/>
  <c r="E1195" i="4"/>
  <c r="U1195" i="4" s="1"/>
  <c r="D1195" i="4"/>
  <c r="C1195" i="4"/>
  <c r="B1195" i="4"/>
  <c r="A1195" i="4"/>
  <c r="X1194" i="4"/>
  <c r="T1194" i="4"/>
  <c r="S1194" i="4"/>
  <c r="R1194" i="4"/>
  <c r="Q1194" i="4"/>
  <c r="P1194" i="4"/>
  <c r="O1194" i="4"/>
  <c r="W1194" i="4" s="1"/>
  <c r="N1194" i="4"/>
  <c r="M1194" i="4"/>
  <c r="L1194" i="4"/>
  <c r="K1194" i="4"/>
  <c r="J1194" i="4"/>
  <c r="I1194" i="4"/>
  <c r="H1194" i="4"/>
  <c r="G1194" i="4"/>
  <c r="F1194" i="4"/>
  <c r="E1194" i="4"/>
  <c r="U1194" i="4" s="1"/>
  <c r="D1194" i="4"/>
  <c r="C1194" i="4"/>
  <c r="V1194" i="4" s="1"/>
  <c r="B1194" i="4"/>
  <c r="A1194" i="4"/>
  <c r="X1193" i="4"/>
  <c r="W1193" i="4"/>
  <c r="V1193" i="4"/>
  <c r="T1193" i="4"/>
  <c r="S1193" i="4"/>
  <c r="R1193" i="4"/>
  <c r="Q1193" i="4"/>
  <c r="P1193" i="4"/>
  <c r="O1193" i="4"/>
  <c r="N1193" i="4"/>
  <c r="M1193" i="4"/>
  <c r="L1193" i="4"/>
  <c r="K1193" i="4"/>
  <c r="J1193" i="4"/>
  <c r="I1193" i="4"/>
  <c r="H1193" i="4"/>
  <c r="G1193" i="4"/>
  <c r="F1193" i="4"/>
  <c r="E1193" i="4"/>
  <c r="U1193" i="4" s="1"/>
  <c r="D1193" i="4"/>
  <c r="C1193" i="4"/>
  <c r="B1193" i="4"/>
  <c r="A1193" i="4"/>
  <c r="X1192" i="4"/>
  <c r="T1192" i="4"/>
  <c r="S1192" i="4"/>
  <c r="R1192" i="4"/>
  <c r="Q1192" i="4"/>
  <c r="P1192" i="4"/>
  <c r="O1192" i="4"/>
  <c r="N1192" i="4"/>
  <c r="M1192" i="4"/>
  <c r="L1192" i="4"/>
  <c r="K1192" i="4"/>
  <c r="J1192" i="4"/>
  <c r="I1192" i="4"/>
  <c r="H1192" i="4"/>
  <c r="G1192" i="4"/>
  <c r="F1192" i="4"/>
  <c r="E1192" i="4"/>
  <c r="U1192" i="4" s="1"/>
  <c r="D1192" i="4"/>
  <c r="C1192" i="4"/>
  <c r="V1192" i="4" s="1"/>
  <c r="B1192" i="4"/>
  <c r="A1192" i="4"/>
  <c r="X1191" i="4"/>
  <c r="W1191" i="4"/>
  <c r="V1191" i="4"/>
  <c r="T1191" i="4"/>
  <c r="S1191" i="4"/>
  <c r="R1191" i="4"/>
  <c r="Q1191" i="4"/>
  <c r="P1191" i="4"/>
  <c r="O1191" i="4"/>
  <c r="N1191" i="4"/>
  <c r="M1191" i="4"/>
  <c r="L1191" i="4"/>
  <c r="K1191" i="4"/>
  <c r="J1191" i="4"/>
  <c r="I1191" i="4"/>
  <c r="H1191" i="4"/>
  <c r="G1191" i="4"/>
  <c r="F1191" i="4"/>
  <c r="E1191" i="4"/>
  <c r="U1191" i="4" s="1"/>
  <c r="D1191" i="4"/>
  <c r="C1191" i="4"/>
  <c r="B1191" i="4"/>
  <c r="A1191" i="4"/>
  <c r="X1190" i="4"/>
  <c r="T1190" i="4"/>
  <c r="S1190" i="4"/>
  <c r="R1190" i="4"/>
  <c r="Q1190" i="4"/>
  <c r="P1190" i="4"/>
  <c r="O1190" i="4"/>
  <c r="N1190" i="4"/>
  <c r="M1190" i="4"/>
  <c r="L1190" i="4"/>
  <c r="K1190" i="4"/>
  <c r="J1190" i="4"/>
  <c r="I1190" i="4"/>
  <c r="H1190" i="4"/>
  <c r="G1190" i="4"/>
  <c r="F1190" i="4"/>
  <c r="E1190" i="4"/>
  <c r="U1190" i="4" s="1"/>
  <c r="D1190" i="4"/>
  <c r="C1190" i="4"/>
  <c r="V1190" i="4" s="1"/>
  <c r="B1190" i="4"/>
  <c r="A1190" i="4"/>
  <c r="X1189" i="4"/>
  <c r="W1189" i="4"/>
  <c r="V1189" i="4"/>
  <c r="T1189" i="4"/>
  <c r="S1189" i="4"/>
  <c r="R1189" i="4"/>
  <c r="Q1189" i="4"/>
  <c r="P1189" i="4"/>
  <c r="O1189" i="4"/>
  <c r="N1189" i="4"/>
  <c r="M1189" i="4"/>
  <c r="L1189" i="4"/>
  <c r="K1189" i="4"/>
  <c r="J1189" i="4"/>
  <c r="I1189" i="4"/>
  <c r="H1189" i="4"/>
  <c r="G1189" i="4"/>
  <c r="F1189" i="4"/>
  <c r="E1189" i="4"/>
  <c r="U1189" i="4" s="1"/>
  <c r="D1189" i="4"/>
  <c r="C1189" i="4"/>
  <c r="B1189" i="4"/>
  <c r="A1189" i="4"/>
  <c r="X1188" i="4"/>
  <c r="T1188" i="4"/>
  <c r="S1188" i="4"/>
  <c r="R1188" i="4"/>
  <c r="Q1188" i="4"/>
  <c r="P1188" i="4"/>
  <c r="O1188" i="4"/>
  <c r="N1188" i="4"/>
  <c r="M1188" i="4"/>
  <c r="L1188" i="4"/>
  <c r="K1188" i="4"/>
  <c r="J1188" i="4"/>
  <c r="I1188" i="4"/>
  <c r="H1188" i="4"/>
  <c r="G1188" i="4"/>
  <c r="F1188" i="4"/>
  <c r="E1188" i="4"/>
  <c r="U1188" i="4" s="1"/>
  <c r="D1188" i="4"/>
  <c r="C1188" i="4"/>
  <c r="V1188" i="4" s="1"/>
  <c r="B1188" i="4"/>
  <c r="A1188" i="4"/>
  <c r="X1187" i="4"/>
  <c r="W1187" i="4"/>
  <c r="V1187" i="4"/>
  <c r="T1187" i="4"/>
  <c r="S1187" i="4"/>
  <c r="R1187" i="4"/>
  <c r="Q1187" i="4"/>
  <c r="P1187" i="4"/>
  <c r="O1187" i="4"/>
  <c r="N1187" i="4"/>
  <c r="M1187" i="4"/>
  <c r="L1187" i="4"/>
  <c r="K1187" i="4"/>
  <c r="J1187" i="4"/>
  <c r="I1187" i="4"/>
  <c r="H1187" i="4"/>
  <c r="G1187" i="4"/>
  <c r="F1187" i="4"/>
  <c r="E1187" i="4"/>
  <c r="U1187" i="4" s="1"/>
  <c r="D1187" i="4"/>
  <c r="C1187" i="4"/>
  <c r="B1187" i="4"/>
  <c r="A1187" i="4"/>
  <c r="X1186" i="4"/>
  <c r="T1186" i="4"/>
  <c r="S1186" i="4"/>
  <c r="R1186" i="4"/>
  <c r="Q1186" i="4"/>
  <c r="P1186" i="4"/>
  <c r="O1186" i="4"/>
  <c r="W1186" i="4" s="1"/>
  <c r="N1186" i="4"/>
  <c r="M1186" i="4"/>
  <c r="L1186" i="4"/>
  <c r="K1186" i="4"/>
  <c r="J1186" i="4"/>
  <c r="I1186" i="4"/>
  <c r="H1186" i="4"/>
  <c r="G1186" i="4"/>
  <c r="F1186" i="4"/>
  <c r="E1186" i="4"/>
  <c r="U1186" i="4" s="1"/>
  <c r="D1186" i="4"/>
  <c r="C1186" i="4"/>
  <c r="V1186" i="4" s="1"/>
  <c r="B1186" i="4"/>
  <c r="A1186" i="4"/>
  <c r="X1185" i="4"/>
  <c r="W1185" i="4"/>
  <c r="V1185" i="4"/>
  <c r="T1185" i="4"/>
  <c r="S1185" i="4"/>
  <c r="R1185" i="4"/>
  <c r="Q1185" i="4"/>
  <c r="P1185" i="4"/>
  <c r="O1185" i="4"/>
  <c r="N1185" i="4"/>
  <c r="M1185" i="4"/>
  <c r="L1185" i="4"/>
  <c r="K1185" i="4"/>
  <c r="J1185" i="4"/>
  <c r="I1185" i="4"/>
  <c r="H1185" i="4"/>
  <c r="G1185" i="4"/>
  <c r="F1185" i="4"/>
  <c r="E1185" i="4"/>
  <c r="U1185" i="4" s="1"/>
  <c r="D1185" i="4"/>
  <c r="C1185" i="4"/>
  <c r="B1185" i="4"/>
  <c r="A1185" i="4"/>
  <c r="X1184" i="4"/>
  <c r="T1184" i="4"/>
  <c r="S1184" i="4"/>
  <c r="R1184" i="4"/>
  <c r="Q1184" i="4"/>
  <c r="P1184" i="4"/>
  <c r="O1184" i="4"/>
  <c r="N1184" i="4"/>
  <c r="M1184" i="4"/>
  <c r="L1184" i="4"/>
  <c r="K1184" i="4"/>
  <c r="J1184" i="4"/>
  <c r="I1184" i="4"/>
  <c r="H1184" i="4"/>
  <c r="G1184" i="4"/>
  <c r="F1184" i="4"/>
  <c r="E1184" i="4"/>
  <c r="U1184" i="4" s="1"/>
  <c r="D1184" i="4"/>
  <c r="C1184" i="4"/>
  <c r="V1184" i="4" s="1"/>
  <c r="B1184" i="4"/>
  <c r="A1184" i="4"/>
  <c r="X1183" i="4"/>
  <c r="W1183" i="4"/>
  <c r="V1183" i="4"/>
  <c r="T1183" i="4"/>
  <c r="S1183" i="4"/>
  <c r="R1183" i="4"/>
  <c r="Q1183" i="4"/>
  <c r="P1183" i="4"/>
  <c r="O1183" i="4"/>
  <c r="N1183" i="4"/>
  <c r="M1183" i="4"/>
  <c r="L1183" i="4"/>
  <c r="K1183" i="4"/>
  <c r="J1183" i="4"/>
  <c r="I1183" i="4"/>
  <c r="H1183" i="4"/>
  <c r="G1183" i="4"/>
  <c r="F1183" i="4"/>
  <c r="E1183" i="4"/>
  <c r="U1183" i="4" s="1"/>
  <c r="D1183" i="4"/>
  <c r="C1183" i="4"/>
  <c r="B1183" i="4"/>
  <c r="A1183" i="4"/>
  <c r="X1182" i="4"/>
  <c r="T1182" i="4"/>
  <c r="S1182" i="4"/>
  <c r="R1182" i="4"/>
  <c r="Q1182" i="4"/>
  <c r="P1182" i="4"/>
  <c r="O1182" i="4"/>
  <c r="N1182" i="4"/>
  <c r="M1182" i="4"/>
  <c r="L1182" i="4"/>
  <c r="K1182" i="4"/>
  <c r="J1182" i="4"/>
  <c r="I1182" i="4"/>
  <c r="H1182" i="4"/>
  <c r="G1182" i="4"/>
  <c r="F1182" i="4"/>
  <c r="E1182" i="4"/>
  <c r="U1182" i="4" s="1"/>
  <c r="D1182" i="4"/>
  <c r="C1182" i="4"/>
  <c r="V1182" i="4" s="1"/>
  <c r="B1182" i="4"/>
  <c r="A1182" i="4"/>
  <c r="X1181" i="4"/>
  <c r="W1181" i="4"/>
  <c r="V1181" i="4"/>
  <c r="T1181" i="4"/>
  <c r="S1181" i="4"/>
  <c r="R1181" i="4"/>
  <c r="Q1181" i="4"/>
  <c r="P1181" i="4"/>
  <c r="O1181" i="4"/>
  <c r="N1181" i="4"/>
  <c r="M1181" i="4"/>
  <c r="L1181" i="4"/>
  <c r="K1181" i="4"/>
  <c r="J1181" i="4"/>
  <c r="I1181" i="4"/>
  <c r="H1181" i="4"/>
  <c r="G1181" i="4"/>
  <c r="F1181" i="4"/>
  <c r="E1181" i="4"/>
  <c r="U1181" i="4" s="1"/>
  <c r="D1181" i="4"/>
  <c r="C1181" i="4"/>
  <c r="B1181" i="4"/>
  <c r="A1181" i="4"/>
  <c r="X1180" i="4"/>
  <c r="T1180" i="4"/>
  <c r="S1180" i="4"/>
  <c r="R1180" i="4"/>
  <c r="Q1180" i="4"/>
  <c r="P1180" i="4"/>
  <c r="O1180" i="4"/>
  <c r="W1180" i="4" s="1"/>
  <c r="N1180" i="4"/>
  <c r="M1180" i="4"/>
  <c r="L1180" i="4"/>
  <c r="K1180" i="4"/>
  <c r="J1180" i="4"/>
  <c r="I1180" i="4"/>
  <c r="H1180" i="4"/>
  <c r="G1180" i="4"/>
  <c r="F1180" i="4"/>
  <c r="E1180" i="4"/>
  <c r="U1180" i="4" s="1"/>
  <c r="D1180" i="4"/>
  <c r="C1180" i="4"/>
  <c r="V1180" i="4" s="1"/>
  <c r="B1180" i="4"/>
  <c r="A1180" i="4"/>
  <c r="X1179" i="4"/>
  <c r="W1179" i="4"/>
  <c r="V1179" i="4"/>
  <c r="T1179" i="4"/>
  <c r="S1179" i="4"/>
  <c r="R1179" i="4"/>
  <c r="Q1179" i="4"/>
  <c r="P1179" i="4"/>
  <c r="O1179" i="4"/>
  <c r="N1179" i="4"/>
  <c r="M1179" i="4"/>
  <c r="L1179" i="4"/>
  <c r="K1179" i="4"/>
  <c r="J1179" i="4"/>
  <c r="I1179" i="4"/>
  <c r="H1179" i="4"/>
  <c r="G1179" i="4"/>
  <c r="F1179" i="4"/>
  <c r="E1179" i="4"/>
  <c r="U1179" i="4" s="1"/>
  <c r="D1179" i="4"/>
  <c r="C1179" i="4"/>
  <c r="B1179" i="4"/>
  <c r="A1179" i="4"/>
  <c r="X1178" i="4"/>
  <c r="T1178" i="4"/>
  <c r="S1178" i="4"/>
  <c r="R1178" i="4"/>
  <c r="Q1178" i="4"/>
  <c r="P1178" i="4"/>
  <c r="O1178" i="4"/>
  <c r="W1178" i="4" s="1"/>
  <c r="N1178" i="4"/>
  <c r="M1178" i="4"/>
  <c r="L1178" i="4"/>
  <c r="K1178" i="4"/>
  <c r="J1178" i="4"/>
  <c r="I1178" i="4"/>
  <c r="H1178" i="4"/>
  <c r="G1178" i="4"/>
  <c r="F1178" i="4"/>
  <c r="E1178" i="4"/>
  <c r="U1178" i="4" s="1"/>
  <c r="D1178" i="4"/>
  <c r="C1178" i="4"/>
  <c r="V1178" i="4" s="1"/>
  <c r="B1178" i="4"/>
  <c r="A1178" i="4"/>
  <c r="X1177" i="4"/>
  <c r="W1177" i="4"/>
  <c r="V1177" i="4"/>
  <c r="T1177" i="4"/>
  <c r="S1177" i="4"/>
  <c r="R1177" i="4"/>
  <c r="Q1177" i="4"/>
  <c r="P1177" i="4"/>
  <c r="O1177" i="4"/>
  <c r="N1177" i="4"/>
  <c r="M1177" i="4"/>
  <c r="L1177" i="4"/>
  <c r="K1177" i="4"/>
  <c r="J1177" i="4"/>
  <c r="I1177" i="4"/>
  <c r="H1177" i="4"/>
  <c r="G1177" i="4"/>
  <c r="F1177" i="4"/>
  <c r="E1177" i="4"/>
  <c r="U1177" i="4" s="1"/>
  <c r="D1177" i="4"/>
  <c r="C1177" i="4"/>
  <c r="B1177" i="4"/>
  <c r="A1177" i="4"/>
  <c r="X1176" i="4"/>
  <c r="T1176" i="4"/>
  <c r="S1176" i="4"/>
  <c r="R1176" i="4"/>
  <c r="Q1176" i="4"/>
  <c r="P1176" i="4"/>
  <c r="O1176" i="4"/>
  <c r="N1176" i="4"/>
  <c r="M1176" i="4"/>
  <c r="L1176" i="4"/>
  <c r="K1176" i="4"/>
  <c r="J1176" i="4"/>
  <c r="I1176" i="4"/>
  <c r="H1176" i="4"/>
  <c r="G1176" i="4"/>
  <c r="F1176" i="4"/>
  <c r="E1176" i="4"/>
  <c r="U1176" i="4" s="1"/>
  <c r="D1176" i="4"/>
  <c r="C1176" i="4"/>
  <c r="V1176" i="4" s="1"/>
  <c r="B1176" i="4"/>
  <c r="A1176" i="4"/>
  <c r="X1175" i="4"/>
  <c r="W1175" i="4"/>
  <c r="V1175" i="4"/>
  <c r="T1175" i="4"/>
  <c r="S1175" i="4"/>
  <c r="R1175" i="4"/>
  <c r="Q1175" i="4"/>
  <c r="P1175" i="4"/>
  <c r="O1175" i="4"/>
  <c r="N1175" i="4"/>
  <c r="M1175" i="4"/>
  <c r="L1175" i="4"/>
  <c r="K1175" i="4"/>
  <c r="J1175" i="4"/>
  <c r="I1175" i="4"/>
  <c r="H1175" i="4"/>
  <c r="G1175" i="4"/>
  <c r="F1175" i="4"/>
  <c r="E1175" i="4"/>
  <c r="U1175" i="4" s="1"/>
  <c r="D1175" i="4"/>
  <c r="C1175" i="4"/>
  <c r="B1175" i="4"/>
  <c r="A1175" i="4"/>
  <c r="X1174" i="4"/>
  <c r="T1174" i="4"/>
  <c r="S1174" i="4"/>
  <c r="R1174" i="4"/>
  <c r="Q1174" i="4"/>
  <c r="P1174" i="4"/>
  <c r="O1174" i="4"/>
  <c r="N1174" i="4"/>
  <c r="M1174" i="4"/>
  <c r="L1174" i="4"/>
  <c r="K1174" i="4"/>
  <c r="J1174" i="4"/>
  <c r="I1174" i="4"/>
  <c r="H1174" i="4"/>
  <c r="G1174" i="4"/>
  <c r="F1174" i="4"/>
  <c r="E1174" i="4"/>
  <c r="U1174" i="4" s="1"/>
  <c r="D1174" i="4"/>
  <c r="C1174" i="4"/>
  <c r="V1174" i="4" s="1"/>
  <c r="B1174" i="4"/>
  <c r="A1174" i="4"/>
  <c r="X1173" i="4"/>
  <c r="W1173" i="4"/>
  <c r="V1173" i="4"/>
  <c r="T1173" i="4"/>
  <c r="S1173" i="4"/>
  <c r="R1173" i="4"/>
  <c r="Q1173" i="4"/>
  <c r="P1173" i="4"/>
  <c r="O1173" i="4"/>
  <c r="N1173" i="4"/>
  <c r="M1173" i="4"/>
  <c r="L1173" i="4"/>
  <c r="K1173" i="4"/>
  <c r="J1173" i="4"/>
  <c r="I1173" i="4"/>
  <c r="H1173" i="4"/>
  <c r="G1173" i="4"/>
  <c r="F1173" i="4"/>
  <c r="E1173" i="4"/>
  <c r="U1173" i="4" s="1"/>
  <c r="D1173" i="4"/>
  <c r="C1173" i="4"/>
  <c r="B1173" i="4"/>
  <c r="A1173" i="4"/>
  <c r="X1172" i="4"/>
  <c r="T1172" i="4"/>
  <c r="S1172" i="4"/>
  <c r="R1172" i="4"/>
  <c r="Q1172" i="4"/>
  <c r="P1172" i="4"/>
  <c r="O1172" i="4"/>
  <c r="N1172" i="4"/>
  <c r="M1172" i="4"/>
  <c r="L1172" i="4"/>
  <c r="K1172" i="4"/>
  <c r="J1172" i="4"/>
  <c r="I1172" i="4"/>
  <c r="H1172" i="4"/>
  <c r="G1172" i="4"/>
  <c r="F1172" i="4"/>
  <c r="E1172" i="4"/>
  <c r="U1172" i="4" s="1"/>
  <c r="D1172" i="4"/>
  <c r="C1172" i="4"/>
  <c r="V1172" i="4" s="1"/>
  <c r="B1172" i="4"/>
  <c r="A1172" i="4"/>
  <c r="X1171" i="4"/>
  <c r="W1171" i="4"/>
  <c r="V1171" i="4"/>
  <c r="T1171" i="4"/>
  <c r="S1171" i="4"/>
  <c r="R1171" i="4"/>
  <c r="Q1171" i="4"/>
  <c r="P1171" i="4"/>
  <c r="O1171" i="4"/>
  <c r="N1171" i="4"/>
  <c r="M1171" i="4"/>
  <c r="L1171" i="4"/>
  <c r="K1171" i="4"/>
  <c r="J1171" i="4"/>
  <c r="I1171" i="4"/>
  <c r="H1171" i="4"/>
  <c r="G1171" i="4"/>
  <c r="F1171" i="4"/>
  <c r="E1171" i="4"/>
  <c r="U1171" i="4" s="1"/>
  <c r="D1171" i="4"/>
  <c r="C1171" i="4"/>
  <c r="B1171" i="4"/>
  <c r="A1171" i="4"/>
  <c r="X1170" i="4"/>
  <c r="T1170" i="4"/>
  <c r="S1170" i="4"/>
  <c r="R1170" i="4"/>
  <c r="Q1170" i="4"/>
  <c r="P1170" i="4"/>
  <c r="O1170" i="4"/>
  <c r="W1170" i="4" s="1"/>
  <c r="N1170" i="4"/>
  <c r="M1170" i="4"/>
  <c r="L1170" i="4"/>
  <c r="K1170" i="4"/>
  <c r="J1170" i="4"/>
  <c r="I1170" i="4"/>
  <c r="H1170" i="4"/>
  <c r="G1170" i="4"/>
  <c r="F1170" i="4"/>
  <c r="E1170" i="4"/>
  <c r="U1170" i="4" s="1"/>
  <c r="D1170" i="4"/>
  <c r="C1170" i="4"/>
  <c r="V1170" i="4" s="1"/>
  <c r="B1170" i="4"/>
  <c r="A1170" i="4"/>
  <c r="X1169" i="4"/>
  <c r="W1169" i="4"/>
  <c r="V1169" i="4"/>
  <c r="T1169" i="4"/>
  <c r="S1169" i="4"/>
  <c r="R1169" i="4"/>
  <c r="Q1169" i="4"/>
  <c r="P1169" i="4"/>
  <c r="O1169" i="4"/>
  <c r="N1169" i="4"/>
  <c r="M1169" i="4"/>
  <c r="L1169" i="4"/>
  <c r="K1169" i="4"/>
  <c r="J1169" i="4"/>
  <c r="I1169" i="4"/>
  <c r="H1169" i="4"/>
  <c r="G1169" i="4"/>
  <c r="F1169" i="4"/>
  <c r="E1169" i="4"/>
  <c r="U1169" i="4" s="1"/>
  <c r="D1169" i="4"/>
  <c r="C1169" i="4"/>
  <c r="B1169" i="4"/>
  <c r="A1169" i="4"/>
  <c r="X1168" i="4"/>
  <c r="T1168" i="4"/>
  <c r="S1168" i="4"/>
  <c r="R1168" i="4"/>
  <c r="Q1168" i="4"/>
  <c r="P1168" i="4"/>
  <c r="O1168" i="4"/>
  <c r="N1168" i="4"/>
  <c r="M1168" i="4"/>
  <c r="L1168" i="4"/>
  <c r="K1168" i="4"/>
  <c r="J1168" i="4"/>
  <c r="I1168" i="4"/>
  <c r="H1168" i="4"/>
  <c r="G1168" i="4"/>
  <c r="F1168" i="4"/>
  <c r="E1168" i="4"/>
  <c r="U1168" i="4" s="1"/>
  <c r="D1168" i="4"/>
  <c r="C1168" i="4"/>
  <c r="V1168" i="4" s="1"/>
  <c r="B1168" i="4"/>
  <c r="A1168" i="4"/>
  <c r="X1167" i="4"/>
  <c r="W1167" i="4"/>
  <c r="V1167" i="4"/>
  <c r="T1167" i="4"/>
  <c r="S1167" i="4"/>
  <c r="R1167" i="4"/>
  <c r="Q1167" i="4"/>
  <c r="P1167" i="4"/>
  <c r="O1167" i="4"/>
  <c r="N1167" i="4"/>
  <c r="M1167" i="4"/>
  <c r="L1167" i="4"/>
  <c r="K1167" i="4"/>
  <c r="J1167" i="4"/>
  <c r="I1167" i="4"/>
  <c r="H1167" i="4"/>
  <c r="G1167" i="4"/>
  <c r="F1167" i="4"/>
  <c r="E1167" i="4"/>
  <c r="U1167" i="4" s="1"/>
  <c r="D1167" i="4"/>
  <c r="C1167" i="4"/>
  <c r="B1167" i="4"/>
  <c r="A1167" i="4"/>
  <c r="X1166" i="4"/>
  <c r="T1166" i="4"/>
  <c r="S1166" i="4"/>
  <c r="R1166" i="4"/>
  <c r="Q1166" i="4"/>
  <c r="P1166" i="4"/>
  <c r="O1166" i="4"/>
  <c r="N1166" i="4"/>
  <c r="M1166" i="4"/>
  <c r="L1166" i="4"/>
  <c r="K1166" i="4"/>
  <c r="J1166" i="4"/>
  <c r="I1166" i="4"/>
  <c r="H1166" i="4"/>
  <c r="G1166" i="4"/>
  <c r="F1166" i="4"/>
  <c r="E1166" i="4"/>
  <c r="U1166" i="4" s="1"/>
  <c r="D1166" i="4"/>
  <c r="C1166" i="4"/>
  <c r="V1166" i="4" s="1"/>
  <c r="B1166" i="4"/>
  <c r="A1166" i="4"/>
  <c r="X1165" i="4"/>
  <c r="W1165" i="4"/>
  <c r="V1165" i="4"/>
  <c r="T1165" i="4"/>
  <c r="S1165" i="4"/>
  <c r="R1165" i="4"/>
  <c r="Q1165" i="4"/>
  <c r="P1165" i="4"/>
  <c r="O1165" i="4"/>
  <c r="N1165" i="4"/>
  <c r="M1165" i="4"/>
  <c r="L1165" i="4"/>
  <c r="K1165" i="4"/>
  <c r="J1165" i="4"/>
  <c r="I1165" i="4"/>
  <c r="H1165" i="4"/>
  <c r="G1165" i="4"/>
  <c r="F1165" i="4"/>
  <c r="E1165" i="4"/>
  <c r="U1165" i="4" s="1"/>
  <c r="D1165" i="4"/>
  <c r="C1165" i="4"/>
  <c r="B1165" i="4"/>
  <c r="A1165" i="4"/>
  <c r="X1164" i="4"/>
  <c r="T1164" i="4"/>
  <c r="S1164" i="4"/>
  <c r="R1164" i="4"/>
  <c r="Q1164" i="4"/>
  <c r="P1164" i="4"/>
  <c r="O1164" i="4"/>
  <c r="W1164" i="4" s="1"/>
  <c r="N1164" i="4"/>
  <c r="M1164" i="4"/>
  <c r="L1164" i="4"/>
  <c r="K1164" i="4"/>
  <c r="J1164" i="4"/>
  <c r="I1164" i="4"/>
  <c r="H1164" i="4"/>
  <c r="G1164" i="4"/>
  <c r="F1164" i="4"/>
  <c r="E1164" i="4"/>
  <c r="U1164" i="4" s="1"/>
  <c r="D1164" i="4"/>
  <c r="C1164" i="4"/>
  <c r="V1164" i="4" s="1"/>
  <c r="B1164" i="4"/>
  <c r="A1164" i="4"/>
  <c r="X1163" i="4"/>
  <c r="W1163" i="4"/>
  <c r="V1163" i="4"/>
  <c r="T1163" i="4"/>
  <c r="S1163" i="4"/>
  <c r="R1163" i="4"/>
  <c r="Q1163" i="4"/>
  <c r="P1163" i="4"/>
  <c r="O1163" i="4"/>
  <c r="N1163" i="4"/>
  <c r="M1163" i="4"/>
  <c r="L1163" i="4"/>
  <c r="K1163" i="4"/>
  <c r="J1163" i="4"/>
  <c r="I1163" i="4"/>
  <c r="H1163" i="4"/>
  <c r="G1163" i="4"/>
  <c r="F1163" i="4"/>
  <c r="E1163" i="4"/>
  <c r="U1163" i="4" s="1"/>
  <c r="D1163" i="4"/>
  <c r="C1163" i="4"/>
  <c r="B1163" i="4"/>
  <c r="A1163" i="4"/>
  <c r="X1162" i="4"/>
  <c r="T1162" i="4"/>
  <c r="S1162" i="4"/>
  <c r="R1162" i="4"/>
  <c r="Q1162" i="4"/>
  <c r="P1162" i="4"/>
  <c r="O1162" i="4"/>
  <c r="W1162" i="4" s="1"/>
  <c r="N1162" i="4"/>
  <c r="M1162" i="4"/>
  <c r="L1162" i="4"/>
  <c r="K1162" i="4"/>
  <c r="J1162" i="4"/>
  <c r="I1162" i="4"/>
  <c r="H1162" i="4"/>
  <c r="G1162" i="4"/>
  <c r="F1162" i="4"/>
  <c r="E1162" i="4"/>
  <c r="U1162" i="4" s="1"/>
  <c r="D1162" i="4"/>
  <c r="C1162" i="4"/>
  <c r="V1162" i="4" s="1"/>
  <c r="B1162" i="4"/>
  <c r="A1162" i="4"/>
  <c r="X1161" i="4"/>
  <c r="W1161" i="4"/>
  <c r="V1161" i="4"/>
  <c r="T1161" i="4"/>
  <c r="S1161" i="4"/>
  <c r="R1161" i="4"/>
  <c r="Q1161" i="4"/>
  <c r="P1161" i="4"/>
  <c r="O1161" i="4"/>
  <c r="N1161" i="4"/>
  <c r="M1161" i="4"/>
  <c r="L1161" i="4"/>
  <c r="K1161" i="4"/>
  <c r="J1161" i="4"/>
  <c r="I1161" i="4"/>
  <c r="H1161" i="4"/>
  <c r="G1161" i="4"/>
  <c r="F1161" i="4"/>
  <c r="E1161" i="4"/>
  <c r="U1161" i="4" s="1"/>
  <c r="D1161" i="4"/>
  <c r="C1161" i="4"/>
  <c r="B1161" i="4"/>
  <c r="A1161" i="4"/>
  <c r="X1160" i="4"/>
  <c r="T1160" i="4"/>
  <c r="S1160" i="4"/>
  <c r="R1160" i="4"/>
  <c r="Q1160" i="4"/>
  <c r="P1160" i="4"/>
  <c r="O1160" i="4"/>
  <c r="N1160" i="4"/>
  <c r="M1160" i="4"/>
  <c r="L1160" i="4"/>
  <c r="K1160" i="4"/>
  <c r="J1160" i="4"/>
  <c r="I1160" i="4"/>
  <c r="H1160" i="4"/>
  <c r="G1160" i="4"/>
  <c r="F1160" i="4"/>
  <c r="E1160" i="4"/>
  <c r="U1160" i="4" s="1"/>
  <c r="D1160" i="4"/>
  <c r="C1160" i="4"/>
  <c r="V1160" i="4" s="1"/>
  <c r="B1160" i="4"/>
  <c r="A1160" i="4"/>
  <c r="X1159" i="4"/>
  <c r="W1159" i="4"/>
  <c r="V1159" i="4"/>
  <c r="T1159" i="4"/>
  <c r="S1159" i="4"/>
  <c r="R1159" i="4"/>
  <c r="Q1159" i="4"/>
  <c r="P1159" i="4"/>
  <c r="O1159" i="4"/>
  <c r="N1159" i="4"/>
  <c r="M1159" i="4"/>
  <c r="L1159" i="4"/>
  <c r="K1159" i="4"/>
  <c r="J1159" i="4"/>
  <c r="I1159" i="4"/>
  <c r="H1159" i="4"/>
  <c r="G1159" i="4"/>
  <c r="F1159" i="4"/>
  <c r="E1159" i="4"/>
  <c r="U1159" i="4" s="1"/>
  <c r="D1159" i="4"/>
  <c r="C1159" i="4"/>
  <c r="B1159" i="4"/>
  <c r="A1159" i="4"/>
  <c r="X1158" i="4"/>
  <c r="T1158" i="4"/>
  <c r="S1158" i="4"/>
  <c r="R1158" i="4"/>
  <c r="Q1158" i="4"/>
  <c r="P1158" i="4"/>
  <c r="O1158" i="4"/>
  <c r="N1158" i="4"/>
  <c r="M1158" i="4"/>
  <c r="L1158" i="4"/>
  <c r="K1158" i="4"/>
  <c r="J1158" i="4"/>
  <c r="I1158" i="4"/>
  <c r="H1158" i="4"/>
  <c r="G1158" i="4"/>
  <c r="F1158" i="4"/>
  <c r="E1158" i="4"/>
  <c r="U1158" i="4" s="1"/>
  <c r="D1158" i="4"/>
  <c r="C1158" i="4"/>
  <c r="V1158" i="4" s="1"/>
  <c r="B1158" i="4"/>
  <c r="A1158" i="4"/>
  <c r="X1157" i="4"/>
  <c r="W1157" i="4"/>
  <c r="V1157" i="4"/>
  <c r="T1157" i="4"/>
  <c r="S1157" i="4"/>
  <c r="R1157" i="4"/>
  <c r="Q1157" i="4"/>
  <c r="P1157" i="4"/>
  <c r="O1157" i="4"/>
  <c r="N1157" i="4"/>
  <c r="M1157" i="4"/>
  <c r="L1157" i="4"/>
  <c r="K1157" i="4"/>
  <c r="J1157" i="4"/>
  <c r="I1157" i="4"/>
  <c r="H1157" i="4"/>
  <c r="G1157" i="4"/>
  <c r="F1157" i="4"/>
  <c r="E1157" i="4"/>
  <c r="U1157" i="4" s="1"/>
  <c r="D1157" i="4"/>
  <c r="C1157" i="4"/>
  <c r="B1157" i="4"/>
  <c r="A1157" i="4"/>
  <c r="X1156" i="4"/>
  <c r="T1156" i="4"/>
  <c r="S1156" i="4"/>
  <c r="R1156" i="4"/>
  <c r="Q1156" i="4"/>
  <c r="P1156" i="4"/>
  <c r="O1156" i="4"/>
  <c r="N1156" i="4"/>
  <c r="M1156" i="4"/>
  <c r="L1156" i="4"/>
  <c r="K1156" i="4"/>
  <c r="J1156" i="4"/>
  <c r="I1156" i="4"/>
  <c r="H1156" i="4"/>
  <c r="G1156" i="4"/>
  <c r="F1156" i="4"/>
  <c r="E1156" i="4"/>
  <c r="U1156" i="4" s="1"/>
  <c r="D1156" i="4"/>
  <c r="C1156" i="4"/>
  <c r="V1156" i="4" s="1"/>
  <c r="B1156" i="4"/>
  <c r="A1156" i="4"/>
  <c r="X1155" i="4"/>
  <c r="W1155" i="4"/>
  <c r="V1155" i="4"/>
  <c r="T1155" i="4"/>
  <c r="S1155" i="4"/>
  <c r="R1155" i="4"/>
  <c r="Q1155" i="4"/>
  <c r="P1155" i="4"/>
  <c r="O1155" i="4"/>
  <c r="N1155" i="4"/>
  <c r="M1155" i="4"/>
  <c r="L1155" i="4"/>
  <c r="K1155" i="4"/>
  <c r="J1155" i="4"/>
  <c r="I1155" i="4"/>
  <c r="H1155" i="4"/>
  <c r="G1155" i="4"/>
  <c r="F1155" i="4"/>
  <c r="E1155" i="4"/>
  <c r="U1155" i="4" s="1"/>
  <c r="D1155" i="4"/>
  <c r="C1155" i="4"/>
  <c r="B1155" i="4"/>
  <c r="A1155" i="4"/>
  <c r="X1154" i="4"/>
  <c r="T1154" i="4"/>
  <c r="S1154" i="4"/>
  <c r="R1154" i="4"/>
  <c r="Q1154" i="4"/>
  <c r="P1154" i="4"/>
  <c r="O1154" i="4"/>
  <c r="W1154" i="4" s="1"/>
  <c r="N1154" i="4"/>
  <c r="M1154" i="4"/>
  <c r="L1154" i="4"/>
  <c r="K1154" i="4"/>
  <c r="J1154" i="4"/>
  <c r="I1154" i="4"/>
  <c r="H1154" i="4"/>
  <c r="G1154" i="4"/>
  <c r="F1154" i="4"/>
  <c r="E1154" i="4"/>
  <c r="U1154" i="4" s="1"/>
  <c r="D1154" i="4"/>
  <c r="C1154" i="4"/>
  <c r="V1154" i="4" s="1"/>
  <c r="B1154" i="4"/>
  <c r="A1154" i="4"/>
  <c r="X1153" i="4"/>
  <c r="W1153" i="4"/>
  <c r="V1153" i="4"/>
  <c r="T1153" i="4"/>
  <c r="S1153" i="4"/>
  <c r="R1153" i="4"/>
  <c r="Q1153" i="4"/>
  <c r="P1153" i="4"/>
  <c r="O1153" i="4"/>
  <c r="N1153" i="4"/>
  <c r="M1153" i="4"/>
  <c r="L1153" i="4"/>
  <c r="K1153" i="4"/>
  <c r="J1153" i="4"/>
  <c r="I1153" i="4"/>
  <c r="H1153" i="4"/>
  <c r="G1153" i="4"/>
  <c r="F1153" i="4"/>
  <c r="E1153" i="4"/>
  <c r="U1153" i="4" s="1"/>
  <c r="D1153" i="4"/>
  <c r="C1153" i="4"/>
  <c r="B1153" i="4"/>
  <c r="A1153" i="4"/>
  <c r="X1152" i="4"/>
  <c r="T1152" i="4"/>
  <c r="S1152" i="4"/>
  <c r="R1152" i="4"/>
  <c r="Q1152" i="4"/>
  <c r="P1152" i="4"/>
  <c r="O1152" i="4"/>
  <c r="N1152" i="4"/>
  <c r="M1152" i="4"/>
  <c r="L1152" i="4"/>
  <c r="K1152" i="4"/>
  <c r="J1152" i="4"/>
  <c r="I1152" i="4"/>
  <c r="H1152" i="4"/>
  <c r="G1152" i="4"/>
  <c r="F1152" i="4"/>
  <c r="E1152" i="4"/>
  <c r="U1152" i="4" s="1"/>
  <c r="D1152" i="4"/>
  <c r="C1152" i="4"/>
  <c r="V1152" i="4" s="1"/>
  <c r="B1152" i="4"/>
  <c r="A1152" i="4"/>
  <c r="X1151" i="4"/>
  <c r="W1151" i="4"/>
  <c r="V1151" i="4"/>
  <c r="T1151" i="4"/>
  <c r="S1151" i="4"/>
  <c r="R1151" i="4"/>
  <c r="Q1151" i="4"/>
  <c r="P1151" i="4"/>
  <c r="O1151" i="4"/>
  <c r="N1151" i="4"/>
  <c r="M1151" i="4"/>
  <c r="L1151" i="4"/>
  <c r="K1151" i="4"/>
  <c r="J1151" i="4"/>
  <c r="I1151" i="4"/>
  <c r="H1151" i="4"/>
  <c r="G1151" i="4"/>
  <c r="F1151" i="4"/>
  <c r="E1151" i="4"/>
  <c r="U1151" i="4" s="1"/>
  <c r="D1151" i="4"/>
  <c r="C1151" i="4"/>
  <c r="B1151" i="4"/>
  <c r="A1151" i="4"/>
  <c r="X1150" i="4"/>
  <c r="T1150" i="4"/>
  <c r="S1150" i="4"/>
  <c r="R1150" i="4"/>
  <c r="Q1150" i="4"/>
  <c r="P1150" i="4"/>
  <c r="O1150" i="4"/>
  <c r="N1150" i="4"/>
  <c r="M1150" i="4"/>
  <c r="L1150" i="4"/>
  <c r="K1150" i="4"/>
  <c r="J1150" i="4"/>
  <c r="I1150" i="4"/>
  <c r="H1150" i="4"/>
  <c r="G1150" i="4"/>
  <c r="F1150" i="4"/>
  <c r="E1150" i="4"/>
  <c r="U1150" i="4" s="1"/>
  <c r="D1150" i="4"/>
  <c r="C1150" i="4"/>
  <c r="V1150" i="4" s="1"/>
  <c r="B1150" i="4"/>
  <c r="A1150" i="4"/>
  <c r="X1149" i="4"/>
  <c r="W1149" i="4"/>
  <c r="V1149" i="4"/>
  <c r="T1149" i="4"/>
  <c r="S1149" i="4"/>
  <c r="R1149" i="4"/>
  <c r="Q1149" i="4"/>
  <c r="P1149" i="4"/>
  <c r="O1149" i="4"/>
  <c r="N1149" i="4"/>
  <c r="M1149" i="4"/>
  <c r="L1149" i="4"/>
  <c r="K1149" i="4"/>
  <c r="J1149" i="4"/>
  <c r="I1149" i="4"/>
  <c r="H1149" i="4"/>
  <c r="G1149" i="4"/>
  <c r="F1149" i="4"/>
  <c r="E1149" i="4"/>
  <c r="U1149" i="4" s="1"/>
  <c r="D1149" i="4"/>
  <c r="C1149" i="4"/>
  <c r="B1149" i="4"/>
  <c r="A1149" i="4"/>
  <c r="X1148" i="4"/>
  <c r="T1148" i="4"/>
  <c r="S1148" i="4"/>
  <c r="R1148" i="4"/>
  <c r="Q1148" i="4"/>
  <c r="P1148" i="4"/>
  <c r="O1148" i="4"/>
  <c r="W1148" i="4" s="1"/>
  <c r="N1148" i="4"/>
  <c r="M1148" i="4"/>
  <c r="L1148" i="4"/>
  <c r="K1148" i="4"/>
  <c r="J1148" i="4"/>
  <c r="I1148" i="4"/>
  <c r="H1148" i="4"/>
  <c r="G1148" i="4"/>
  <c r="F1148" i="4"/>
  <c r="E1148" i="4"/>
  <c r="U1148" i="4" s="1"/>
  <c r="D1148" i="4"/>
  <c r="C1148" i="4"/>
  <c r="V1148" i="4" s="1"/>
  <c r="B1148" i="4"/>
  <c r="A1148" i="4"/>
  <c r="X1147" i="4"/>
  <c r="W1147" i="4"/>
  <c r="V1147" i="4"/>
  <c r="T1147" i="4"/>
  <c r="S1147" i="4"/>
  <c r="R1147" i="4"/>
  <c r="Q1147" i="4"/>
  <c r="P1147" i="4"/>
  <c r="O1147" i="4"/>
  <c r="N1147" i="4"/>
  <c r="M1147" i="4"/>
  <c r="L1147" i="4"/>
  <c r="K1147" i="4"/>
  <c r="J1147" i="4"/>
  <c r="I1147" i="4"/>
  <c r="H1147" i="4"/>
  <c r="G1147" i="4"/>
  <c r="F1147" i="4"/>
  <c r="E1147" i="4"/>
  <c r="U1147" i="4" s="1"/>
  <c r="D1147" i="4"/>
  <c r="C1147" i="4"/>
  <c r="B1147" i="4"/>
  <c r="A1147" i="4"/>
  <c r="X1146" i="4"/>
  <c r="T1146" i="4"/>
  <c r="S1146" i="4"/>
  <c r="R1146" i="4"/>
  <c r="Q1146" i="4"/>
  <c r="P1146" i="4"/>
  <c r="O1146" i="4"/>
  <c r="W1146" i="4" s="1"/>
  <c r="N1146" i="4"/>
  <c r="M1146" i="4"/>
  <c r="L1146" i="4"/>
  <c r="K1146" i="4"/>
  <c r="J1146" i="4"/>
  <c r="I1146" i="4"/>
  <c r="H1146" i="4"/>
  <c r="G1146" i="4"/>
  <c r="F1146" i="4"/>
  <c r="E1146" i="4"/>
  <c r="U1146" i="4" s="1"/>
  <c r="D1146" i="4"/>
  <c r="C1146" i="4"/>
  <c r="V1146" i="4" s="1"/>
  <c r="B1146" i="4"/>
  <c r="A1146" i="4"/>
  <c r="X1145" i="4"/>
  <c r="W1145" i="4"/>
  <c r="V1145" i="4"/>
  <c r="T1145" i="4"/>
  <c r="S1145" i="4"/>
  <c r="R1145" i="4"/>
  <c r="Q1145" i="4"/>
  <c r="P1145" i="4"/>
  <c r="O1145" i="4"/>
  <c r="N1145" i="4"/>
  <c r="M1145" i="4"/>
  <c r="L1145" i="4"/>
  <c r="K1145" i="4"/>
  <c r="J1145" i="4"/>
  <c r="I1145" i="4"/>
  <c r="H1145" i="4"/>
  <c r="G1145" i="4"/>
  <c r="F1145" i="4"/>
  <c r="E1145" i="4"/>
  <c r="U1145" i="4" s="1"/>
  <c r="D1145" i="4"/>
  <c r="C1145" i="4"/>
  <c r="B1145" i="4"/>
  <c r="A1145" i="4"/>
  <c r="X1144" i="4"/>
  <c r="T1144" i="4"/>
  <c r="S1144" i="4"/>
  <c r="R1144" i="4"/>
  <c r="Q1144" i="4"/>
  <c r="P1144" i="4"/>
  <c r="O1144" i="4"/>
  <c r="N1144" i="4"/>
  <c r="M1144" i="4"/>
  <c r="L1144" i="4"/>
  <c r="K1144" i="4"/>
  <c r="J1144" i="4"/>
  <c r="I1144" i="4"/>
  <c r="H1144" i="4"/>
  <c r="G1144" i="4"/>
  <c r="F1144" i="4"/>
  <c r="E1144" i="4"/>
  <c r="U1144" i="4" s="1"/>
  <c r="D1144" i="4"/>
  <c r="C1144" i="4"/>
  <c r="V1144" i="4" s="1"/>
  <c r="B1144" i="4"/>
  <c r="A1144" i="4"/>
  <c r="X1143" i="4"/>
  <c r="W1143" i="4"/>
  <c r="V1143" i="4"/>
  <c r="T1143" i="4"/>
  <c r="S1143" i="4"/>
  <c r="R1143" i="4"/>
  <c r="Q1143" i="4"/>
  <c r="P1143" i="4"/>
  <c r="O1143" i="4"/>
  <c r="N1143" i="4"/>
  <c r="M1143" i="4"/>
  <c r="L1143" i="4"/>
  <c r="K1143" i="4"/>
  <c r="J1143" i="4"/>
  <c r="I1143" i="4"/>
  <c r="H1143" i="4"/>
  <c r="G1143" i="4"/>
  <c r="F1143" i="4"/>
  <c r="E1143" i="4"/>
  <c r="U1143" i="4" s="1"/>
  <c r="D1143" i="4"/>
  <c r="C1143" i="4"/>
  <c r="B1143" i="4"/>
  <c r="A1143" i="4"/>
  <c r="X1142" i="4"/>
  <c r="T1142" i="4"/>
  <c r="S1142" i="4"/>
  <c r="R1142" i="4"/>
  <c r="Q1142" i="4"/>
  <c r="P1142" i="4"/>
  <c r="O1142" i="4"/>
  <c r="N1142" i="4"/>
  <c r="M1142" i="4"/>
  <c r="L1142" i="4"/>
  <c r="K1142" i="4"/>
  <c r="J1142" i="4"/>
  <c r="I1142" i="4"/>
  <c r="H1142" i="4"/>
  <c r="G1142" i="4"/>
  <c r="F1142" i="4"/>
  <c r="E1142" i="4"/>
  <c r="U1142" i="4" s="1"/>
  <c r="D1142" i="4"/>
  <c r="C1142" i="4"/>
  <c r="V1142" i="4" s="1"/>
  <c r="B1142" i="4"/>
  <c r="A1142" i="4"/>
  <c r="X1141" i="4"/>
  <c r="W1141" i="4"/>
  <c r="V1141" i="4"/>
  <c r="T1141" i="4"/>
  <c r="S1141" i="4"/>
  <c r="R1141" i="4"/>
  <c r="Q1141" i="4"/>
  <c r="P1141" i="4"/>
  <c r="O1141" i="4"/>
  <c r="N1141" i="4"/>
  <c r="M1141" i="4"/>
  <c r="L1141" i="4"/>
  <c r="K1141" i="4"/>
  <c r="J1141" i="4"/>
  <c r="I1141" i="4"/>
  <c r="H1141" i="4"/>
  <c r="G1141" i="4"/>
  <c r="F1141" i="4"/>
  <c r="E1141" i="4"/>
  <c r="U1141" i="4" s="1"/>
  <c r="D1141" i="4"/>
  <c r="C1141" i="4"/>
  <c r="B1141" i="4"/>
  <c r="A1141" i="4"/>
  <c r="X1140" i="4"/>
  <c r="T1140" i="4"/>
  <c r="S1140" i="4"/>
  <c r="R1140" i="4"/>
  <c r="Q1140" i="4"/>
  <c r="P1140" i="4"/>
  <c r="O1140" i="4"/>
  <c r="N1140" i="4"/>
  <c r="M1140" i="4"/>
  <c r="L1140" i="4"/>
  <c r="K1140" i="4"/>
  <c r="J1140" i="4"/>
  <c r="I1140" i="4"/>
  <c r="H1140" i="4"/>
  <c r="G1140" i="4"/>
  <c r="F1140" i="4"/>
  <c r="E1140" i="4"/>
  <c r="U1140" i="4" s="1"/>
  <c r="D1140" i="4"/>
  <c r="C1140" i="4"/>
  <c r="V1140" i="4" s="1"/>
  <c r="B1140" i="4"/>
  <c r="A1140" i="4"/>
  <c r="X1139" i="4"/>
  <c r="W1139" i="4"/>
  <c r="V1139" i="4"/>
  <c r="T1139" i="4"/>
  <c r="S1139" i="4"/>
  <c r="R1139" i="4"/>
  <c r="Q1139" i="4"/>
  <c r="P1139" i="4"/>
  <c r="O1139" i="4"/>
  <c r="N1139" i="4"/>
  <c r="M1139" i="4"/>
  <c r="L1139" i="4"/>
  <c r="K1139" i="4"/>
  <c r="J1139" i="4"/>
  <c r="I1139" i="4"/>
  <c r="H1139" i="4"/>
  <c r="G1139" i="4"/>
  <c r="F1139" i="4"/>
  <c r="E1139" i="4"/>
  <c r="U1139" i="4" s="1"/>
  <c r="D1139" i="4"/>
  <c r="C1139" i="4"/>
  <c r="B1139" i="4"/>
  <c r="A1139" i="4"/>
  <c r="X1138" i="4"/>
  <c r="T1138" i="4"/>
  <c r="S1138" i="4"/>
  <c r="R1138" i="4"/>
  <c r="Q1138" i="4"/>
  <c r="P1138" i="4"/>
  <c r="O1138" i="4"/>
  <c r="W1138" i="4" s="1"/>
  <c r="N1138" i="4"/>
  <c r="M1138" i="4"/>
  <c r="L1138" i="4"/>
  <c r="K1138" i="4"/>
  <c r="J1138" i="4"/>
  <c r="I1138" i="4"/>
  <c r="H1138" i="4"/>
  <c r="G1138" i="4"/>
  <c r="F1138" i="4"/>
  <c r="E1138" i="4"/>
  <c r="U1138" i="4" s="1"/>
  <c r="D1138" i="4"/>
  <c r="C1138" i="4"/>
  <c r="V1138" i="4" s="1"/>
  <c r="B1138" i="4"/>
  <c r="A1138" i="4"/>
  <c r="X1137" i="4"/>
  <c r="W1137" i="4"/>
  <c r="V1137" i="4"/>
  <c r="T1137" i="4"/>
  <c r="S1137" i="4"/>
  <c r="R1137" i="4"/>
  <c r="Q1137" i="4"/>
  <c r="P1137" i="4"/>
  <c r="O1137" i="4"/>
  <c r="N1137" i="4"/>
  <c r="M1137" i="4"/>
  <c r="L1137" i="4"/>
  <c r="K1137" i="4"/>
  <c r="J1137" i="4"/>
  <c r="I1137" i="4"/>
  <c r="H1137" i="4"/>
  <c r="G1137" i="4"/>
  <c r="F1137" i="4"/>
  <c r="E1137" i="4"/>
  <c r="U1137" i="4" s="1"/>
  <c r="D1137" i="4"/>
  <c r="C1137" i="4"/>
  <c r="B1137" i="4"/>
  <c r="A1137" i="4"/>
  <c r="X1136" i="4"/>
  <c r="T1136" i="4"/>
  <c r="S1136" i="4"/>
  <c r="R1136" i="4"/>
  <c r="Q1136" i="4"/>
  <c r="P1136" i="4"/>
  <c r="O1136" i="4"/>
  <c r="W1136" i="4" s="1"/>
  <c r="N1136" i="4"/>
  <c r="M1136" i="4"/>
  <c r="L1136" i="4"/>
  <c r="K1136" i="4"/>
  <c r="J1136" i="4"/>
  <c r="I1136" i="4"/>
  <c r="H1136" i="4"/>
  <c r="G1136" i="4"/>
  <c r="F1136" i="4"/>
  <c r="E1136" i="4"/>
  <c r="U1136" i="4" s="1"/>
  <c r="D1136" i="4"/>
  <c r="C1136" i="4"/>
  <c r="V1136" i="4" s="1"/>
  <c r="B1136" i="4"/>
  <c r="A1136" i="4"/>
  <c r="X1135" i="4"/>
  <c r="W1135" i="4"/>
  <c r="V1135" i="4"/>
  <c r="T1135" i="4"/>
  <c r="S1135" i="4"/>
  <c r="R1135" i="4"/>
  <c r="Q1135" i="4"/>
  <c r="P1135" i="4"/>
  <c r="O1135" i="4"/>
  <c r="N1135" i="4"/>
  <c r="M1135" i="4"/>
  <c r="L1135" i="4"/>
  <c r="K1135" i="4"/>
  <c r="J1135" i="4"/>
  <c r="I1135" i="4"/>
  <c r="H1135" i="4"/>
  <c r="G1135" i="4"/>
  <c r="F1135" i="4"/>
  <c r="E1135" i="4"/>
  <c r="U1135" i="4" s="1"/>
  <c r="D1135" i="4"/>
  <c r="C1135" i="4"/>
  <c r="B1135" i="4"/>
  <c r="A1135" i="4"/>
  <c r="X1134" i="4"/>
  <c r="T1134" i="4"/>
  <c r="S1134" i="4"/>
  <c r="R1134" i="4"/>
  <c r="Q1134" i="4"/>
  <c r="P1134" i="4"/>
  <c r="O1134" i="4"/>
  <c r="N1134" i="4"/>
  <c r="M1134" i="4"/>
  <c r="L1134" i="4"/>
  <c r="K1134" i="4"/>
  <c r="J1134" i="4"/>
  <c r="I1134" i="4"/>
  <c r="H1134" i="4"/>
  <c r="G1134" i="4"/>
  <c r="F1134" i="4"/>
  <c r="E1134" i="4"/>
  <c r="U1134" i="4" s="1"/>
  <c r="D1134" i="4"/>
  <c r="C1134" i="4"/>
  <c r="V1134" i="4" s="1"/>
  <c r="B1134" i="4"/>
  <c r="A1134" i="4"/>
  <c r="X1133" i="4"/>
  <c r="W1133" i="4"/>
  <c r="V1133" i="4"/>
  <c r="T1133" i="4"/>
  <c r="S1133" i="4"/>
  <c r="R1133" i="4"/>
  <c r="Q1133" i="4"/>
  <c r="P1133" i="4"/>
  <c r="O1133" i="4"/>
  <c r="N1133" i="4"/>
  <c r="M1133" i="4"/>
  <c r="L1133" i="4"/>
  <c r="K1133" i="4"/>
  <c r="J1133" i="4"/>
  <c r="I1133" i="4"/>
  <c r="H1133" i="4"/>
  <c r="G1133" i="4"/>
  <c r="F1133" i="4"/>
  <c r="E1133" i="4"/>
  <c r="U1133" i="4" s="1"/>
  <c r="D1133" i="4"/>
  <c r="C1133" i="4"/>
  <c r="B1133" i="4"/>
  <c r="A1133" i="4"/>
  <c r="X1132" i="4"/>
  <c r="T1132" i="4"/>
  <c r="S1132" i="4"/>
  <c r="R1132" i="4"/>
  <c r="Q1132" i="4"/>
  <c r="P1132" i="4"/>
  <c r="O1132" i="4"/>
  <c r="W1132" i="4" s="1"/>
  <c r="N1132" i="4"/>
  <c r="M1132" i="4"/>
  <c r="L1132" i="4"/>
  <c r="K1132" i="4"/>
  <c r="J1132" i="4"/>
  <c r="I1132" i="4"/>
  <c r="H1132" i="4"/>
  <c r="G1132" i="4"/>
  <c r="F1132" i="4"/>
  <c r="E1132" i="4"/>
  <c r="U1132" i="4" s="1"/>
  <c r="D1132" i="4"/>
  <c r="C1132" i="4"/>
  <c r="V1132" i="4" s="1"/>
  <c r="B1132" i="4"/>
  <c r="A1132" i="4"/>
  <c r="X1131" i="4"/>
  <c r="W1131" i="4"/>
  <c r="V1131" i="4"/>
  <c r="T1131" i="4"/>
  <c r="S1131" i="4"/>
  <c r="R1131" i="4"/>
  <c r="Q1131" i="4"/>
  <c r="P1131" i="4"/>
  <c r="O1131" i="4"/>
  <c r="N1131" i="4"/>
  <c r="M1131" i="4"/>
  <c r="L1131" i="4"/>
  <c r="K1131" i="4"/>
  <c r="J1131" i="4"/>
  <c r="I1131" i="4"/>
  <c r="H1131" i="4"/>
  <c r="G1131" i="4"/>
  <c r="F1131" i="4"/>
  <c r="E1131" i="4"/>
  <c r="U1131" i="4" s="1"/>
  <c r="D1131" i="4"/>
  <c r="C1131" i="4"/>
  <c r="B1131" i="4"/>
  <c r="A1131" i="4"/>
  <c r="X1130" i="4"/>
  <c r="T1130" i="4"/>
  <c r="S1130" i="4"/>
  <c r="R1130" i="4"/>
  <c r="Q1130" i="4"/>
  <c r="P1130" i="4"/>
  <c r="O1130" i="4"/>
  <c r="W1130" i="4" s="1"/>
  <c r="N1130" i="4"/>
  <c r="M1130" i="4"/>
  <c r="L1130" i="4"/>
  <c r="K1130" i="4"/>
  <c r="J1130" i="4"/>
  <c r="I1130" i="4"/>
  <c r="H1130" i="4"/>
  <c r="G1130" i="4"/>
  <c r="F1130" i="4"/>
  <c r="E1130" i="4"/>
  <c r="U1130" i="4" s="1"/>
  <c r="D1130" i="4"/>
  <c r="C1130" i="4"/>
  <c r="V1130" i="4" s="1"/>
  <c r="B1130" i="4"/>
  <c r="A1130" i="4"/>
  <c r="X1129" i="4"/>
  <c r="W1129" i="4"/>
  <c r="V1129" i="4"/>
  <c r="T1129" i="4"/>
  <c r="S1129" i="4"/>
  <c r="R1129" i="4"/>
  <c r="Q1129" i="4"/>
  <c r="P1129" i="4"/>
  <c r="O1129" i="4"/>
  <c r="N1129" i="4"/>
  <c r="M1129" i="4"/>
  <c r="L1129" i="4"/>
  <c r="K1129" i="4"/>
  <c r="J1129" i="4"/>
  <c r="I1129" i="4"/>
  <c r="H1129" i="4"/>
  <c r="G1129" i="4"/>
  <c r="F1129" i="4"/>
  <c r="E1129" i="4"/>
  <c r="U1129" i="4" s="1"/>
  <c r="D1129" i="4"/>
  <c r="C1129" i="4"/>
  <c r="B1129" i="4"/>
  <c r="A1129" i="4"/>
  <c r="X1128" i="4"/>
  <c r="T1128" i="4"/>
  <c r="S1128" i="4"/>
  <c r="R1128" i="4"/>
  <c r="Q1128" i="4"/>
  <c r="P1128" i="4"/>
  <c r="O1128" i="4"/>
  <c r="N1128" i="4"/>
  <c r="M1128" i="4"/>
  <c r="L1128" i="4"/>
  <c r="K1128" i="4"/>
  <c r="J1128" i="4"/>
  <c r="I1128" i="4"/>
  <c r="H1128" i="4"/>
  <c r="G1128" i="4"/>
  <c r="F1128" i="4"/>
  <c r="E1128" i="4"/>
  <c r="U1128" i="4" s="1"/>
  <c r="D1128" i="4"/>
  <c r="C1128" i="4"/>
  <c r="V1128" i="4" s="1"/>
  <c r="B1128" i="4"/>
  <c r="A1128" i="4"/>
  <c r="X1127" i="4"/>
  <c r="W1127" i="4"/>
  <c r="V1127" i="4"/>
  <c r="T1127" i="4"/>
  <c r="S1127" i="4"/>
  <c r="R1127" i="4"/>
  <c r="Q1127" i="4"/>
  <c r="P1127" i="4"/>
  <c r="O1127" i="4"/>
  <c r="N1127" i="4"/>
  <c r="M1127" i="4"/>
  <c r="L1127" i="4"/>
  <c r="K1127" i="4"/>
  <c r="J1127" i="4"/>
  <c r="I1127" i="4"/>
  <c r="H1127" i="4"/>
  <c r="G1127" i="4"/>
  <c r="F1127" i="4"/>
  <c r="E1127" i="4"/>
  <c r="U1127" i="4" s="1"/>
  <c r="D1127" i="4"/>
  <c r="C1127" i="4"/>
  <c r="B1127" i="4"/>
  <c r="A1127" i="4"/>
  <c r="X1126" i="4"/>
  <c r="T1126" i="4"/>
  <c r="S1126" i="4"/>
  <c r="R1126" i="4"/>
  <c r="Q1126" i="4"/>
  <c r="P1126" i="4"/>
  <c r="O1126" i="4"/>
  <c r="N1126" i="4"/>
  <c r="M1126" i="4"/>
  <c r="L1126" i="4"/>
  <c r="K1126" i="4"/>
  <c r="J1126" i="4"/>
  <c r="I1126" i="4"/>
  <c r="H1126" i="4"/>
  <c r="G1126" i="4"/>
  <c r="F1126" i="4"/>
  <c r="E1126" i="4"/>
  <c r="U1126" i="4" s="1"/>
  <c r="D1126" i="4"/>
  <c r="C1126" i="4"/>
  <c r="V1126" i="4" s="1"/>
  <c r="B1126" i="4"/>
  <c r="A1126" i="4"/>
  <c r="X1125" i="4"/>
  <c r="W1125" i="4"/>
  <c r="V1125" i="4"/>
  <c r="T1125" i="4"/>
  <c r="S1125" i="4"/>
  <c r="R1125" i="4"/>
  <c r="Q1125" i="4"/>
  <c r="P1125" i="4"/>
  <c r="O1125" i="4"/>
  <c r="N1125" i="4"/>
  <c r="M1125" i="4"/>
  <c r="L1125" i="4"/>
  <c r="K1125" i="4"/>
  <c r="J1125" i="4"/>
  <c r="I1125" i="4"/>
  <c r="H1125" i="4"/>
  <c r="G1125" i="4"/>
  <c r="F1125" i="4"/>
  <c r="E1125" i="4"/>
  <c r="U1125" i="4" s="1"/>
  <c r="D1125" i="4"/>
  <c r="C1125" i="4"/>
  <c r="B1125" i="4"/>
  <c r="A1125" i="4"/>
  <c r="X1124" i="4"/>
  <c r="T1124" i="4"/>
  <c r="S1124" i="4"/>
  <c r="R1124" i="4"/>
  <c r="Q1124" i="4"/>
  <c r="P1124" i="4"/>
  <c r="O1124" i="4"/>
  <c r="N1124" i="4"/>
  <c r="M1124" i="4"/>
  <c r="L1124" i="4"/>
  <c r="K1124" i="4"/>
  <c r="J1124" i="4"/>
  <c r="I1124" i="4"/>
  <c r="H1124" i="4"/>
  <c r="G1124" i="4"/>
  <c r="F1124" i="4"/>
  <c r="E1124" i="4"/>
  <c r="U1124" i="4" s="1"/>
  <c r="D1124" i="4"/>
  <c r="C1124" i="4"/>
  <c r="V1124" i="4" s="1"/>
  <c r="B1124" i="4"/>
  <c r="A1124" i="4"/>
  <c r="X1123" i="4"/>
  <c r="W1123" i="4"/>
  <c r="V1123" i="4"/>
  <c r="T1123" i="4"/>
  <c r="S1123" i="4"/>
  <c r="R1123" i="4"/>
  <c r="Q1123" i="4"/>
  <c r="P1123" i="4"/>
  <c r="O1123" i="4"/>
  <c r="N1123" i="4"/>
  <c r="M1123" i="4"/>
  <c r="L1123" i="4"/>
  <c r="K1123" i="4"/>
  <c r="J1123" i="4"/>
  <c r="I1123" i="4"/>
  <c r="H1123" i="4"/>
  <c r="G1123" i="4"/>
  <c r="F1123" i="4"/>
  <c r="E1123" i="4"/>
  <c r="U1123" i="4" s="1"/>
  <c r="D1123" i="4"/>
  <c r="C1123" i="4"/>
  <c r="B1123" i="4"/>
  <c r="A1123" i="4"/>
  <c r="X1122" i="4"/>
  <c r="T1122" i="4"/>
  <c r="S1122" i="4"/>
  <c r="R1122" i="4"/>
  <c r="Q1122" i="4"/>
  <c r="P1122" i="4"/>
  <c r="O1122" i="4"/>
  <c r="W1122" i="4" s="1"/>
  <c r="N1122" i="4"/>
  <c r="M1122" i="4"/>
  <c r="L1122" i="4"/>
  <c r="K1122" i="4"/>
  <c r="J1122" i="4"/>
  <c r="I1122" i="4"/>
  <c r="H1122" i="4"/>
  <c r="G1122" i="4"/>
  <c r="F1122" i="4"/>
  <c r="E1122" i="4"/>
  <c r="U1122" i="4" s="1"/>
  <c r="D1122" i="4"/>
  <c r="C1122" i="4"/>
  <c r="V1122" i="4" s="1"/>
  <c r="B1122" i="4"/>
  <c r="A1122" i="4"/>
  <c r="X1121" i="4"/>
  <c r="W1121" i="4"/>
  <c r="V1121" i="4"/>
  <c r="T1121" i="4"/>
  <c r="S1121" i="4"/>
  <c r="R1121" i="4"/>
  <c r="Q1121" i="4"/>
  <c r="P1121" i="4"/>
  <c r="O1121" i="4"/>
  <c r="N1121" i="4"/>
  <c r="M1121" i="4"/>
  <c r="L1121" i="4"/>
  <c r="K1121" i="4"/>
  <c r="J1121" i="4"/>
  <c r="I1121" i="4"/>
  <c r="H1121" i="4"/>
  <c r="G1121" i="4"/>
  <c r="F1121" i="4"/>
  <c r="E1121" i="4"/>
  <c r="U1121" i="4" s="1"/>
  <c r="D1121" i="4"/>
  <c r="C1121" i="4"/>
  <c r="B1121" i="4"/>
  <c r="A1121" i="4"/>
  <c r="X1120" i="4"/>
  <c r="T1120" i="4"/>
  <c r="S1120" i="4"/>
  <c r="R1120" i="4"/>
  <c r="Q1120" i="4"/>
  <c r="P1120" i="4"/>
  <c r="O1120" i="4"/>
  <c r="N1120" i="4"/>
  <c r="M1120" i="4"/>
  <c r="L1120" i="4"/>
  <c r="K1120" i="4"/>
  <c r="J1120" i="4"/>
  <c r="I1120" i="4"/>
  <c r="H1120" i="4"/>
  <c r="G1120" i="4"/>
  <c r="F1120" i="4"/>
  <c r="E1120" i="4"/>
  <c r="U1120" i="4" s="1"/>
  <c r="D1120" i="4"/>
  <c r="C1120" i="4"/>
  <c r="V1120" i="4" s="1"/>
  <c r="B1120" i="4"/>
  <c r="A1120" i="4"/>
  <c r="X1119" i="4"/>
  <c r="W1119" i="4"/>
  <c r="V1119" i="4"/>
  <c r="T1119" i="4"/>
  <c r="S1119" i="4"/>
  <c r="R1119" i="4"/>
  <c r="Q1119" i="4"/>
  <c r="P1119" i="4"/>
  <c r="O1119" i="4"/>
  <c r="N1119" i="4"/>
  <c r="M1119" i="4"/>
  <c r="L1119" i="4"/>
  <c r="K1119" i="4"/>
  <c r="J1119" i="4"/>
  <c r="I1119" i="4"/>
  <c r="H1119" i="4"/>
  <c r="G1119" i="4"/>
  <c r="F1119" i="4"/>
  <c r="E1119" i="4"/>
  <c r="U1119" i="4" s="1"/>
  <c r="D1119" i="4"/>
  <c r="C1119" i="4"/>
  <c r="B1119" i="4"/>
  <c r="A1119" i="4"/>
  <c r="X1118" i="4"/>
  <c r="T1118" i="4"/>
  <c r="S1118" i="4"/>
  <c r="R1118" i="4"/>
  <c r="Q1118" i="4"/>
  <c r="P1118" i="4"/>
  <c r="O1118" i="4"/>
  <c r="W1118" i="4" s="1"/>
  <c r="N1118" i="4"/>
  <c r="M1118" i="4"/>
  <c r="L1118" i="4"/>
  <c r="K1118" i="4"/>
  <c r="J1118" i="4"/>
  <c r="I1118" i="4"/>
  <c r="H1118" i="4"/>
  <c r="G1118" i="4"/>
  <c r="F1118" i="4"/>
  <c r="E1118" i="4"/>
  <c r="U1118" i="4" s="1"/>
  <c r="D1118" i="4"/>
  <c r="C1118" i="4"/>
  <c r="V1118" i="4" s="1"/>
  <c r="B1118" i="4"/>
  <c r="A1118" i="4"/>
  <c r="X1117" i="4"/>
  <c r="W1117" i="4"/>
  <c r="V1117" i="4"/>
  <c r="T1117" i="4"/>
  <c r="S1117" i="4"/>
  <c r="R1117" i="4"/>
  <c r="Q1117" i="4"/>
  <c r="P1117" i="4"/>
  <c r="O1117" i="4"/>
  <c r="N1117" i="4"/>
  <c r="M1117" i="4"/>
  <c r="L1117" i="4"/>
  <c r="K1117" i="4"/>
  <c r="J1117" i="4"/>
  <c r="I1117" i="4"/>
  <c r="H1117" i="4"/>
  <c r="G1117" i="4"/>
  <c r="F1117" i="4"/>
  <c r="E1117" i="4"/>
  <c r="U1117" i="4" s="1"/>
  <c r="D1117" i="4"/>
  <c r="C1117" i="4"/>
  <c r="B1117" i="4"/>
  <c r="A1117" i="4"/>
  <c r="X1116" i="4"/>
  <c r="T1116" i="4"/>
  <c r="S1116" i="4"/>
  <c r="R1116" i="4"/>
  <c r="Q1116" i="4"/>
  <c r="P1116" i="4"/>
  <c r="O1116" i="4"/>
  <c r="W1116" i="4" s="1"/>
  <c r="N1116" i="4"/>
  <c r="M1116" i="4"/>
  <c r="L1116" i="4"/>
  <c r="K1116" i="4"/>
  <c r="J1116" i="4"/>
  <c r="I1116" i="4"/>
  <c r="H1116" i="4"/>
  <c r="G1116" i="4"/>
  <c r="F1116" i="4"/>
  <c r="E1116" i="4"/>
  <c r="U1116" i="4" s="1"/>
  <c r="D1116" i="4"/>
  <c r="C1116" i="4"/>
  <c r="V1116" i="4" s="1"/>
  <c r="B1116" i="4"/>
  <c r="A1116" i="4"/>
  <c r="X1115" i="4"/>
  <c r="W1115" i="4"/>
  <c r="V1115" i="4"/>
  <c r="T1115" i="4"/>
  <c r="S1115" i="4"/>
  <c r="R1115" i="4"/>
  <c r="Q1115" i="4"/>
  <c r="P1115" i="4"/>
  <c r="O1115" i="4"/>
  <c r="N1115" i="4"/>
  <c r="M1115" i="4"/>
  <c r="L1115" i="4"/>
  <c r="K1115" i="4"/>
  <c r="J1115" i="4"/>
  <c r="I1115" i="4"/>
  <c r="H1115" i="4"/>
  <c r="G1115" i="4"/>
  <c r="F1115" i="4"/>
  <c r="E1115" i="4"/>
  <c r="U1115" i="4" s="1"/>
  <c r="D1115" i="4"/>
  <c r="C1115" i="4"/>
  <c r="B1115" i="4"/>
  <c r="A1115" i="4"/>
  <c r="X1114" i="4"/>
  <c r="T1114" i="4"/>
  <c r="S1114" i="4"/>
  <c r="R1114" i="4"/>
  <c r="Q1114" i="4"/>
  <c r="P1114" i="4"/>
  <c r="O1114" i="4"/>
  <c r="W1114" i="4" s="1"/>
  <c r="N1114" i="4"/>
  <c r="M1114" i="4"/>
  <c r="L1114" i="4"/>
  <c r="K1114" i="4"/>
  <c r="J1114" i="4"/>
  <c r="I1114" i="4"/>
  <c r="H1114" i="4"/>
  <c r="G1114" i="4"/>
  <c r="F1114" i="4"/>
  <c r="E1114" i="4"/>
  <c r="U1114" i="4" s="1"/>
  <c r="D1114" i="4"/>
  <c r="C1114" i="4"/>
  <c r="V1114" i="4" s="1"/>
  <c r="B1114" i="4"/>
  <c r="A1114" i="4"/>
  <c r="X1113" i="4"/>
  <c r="W1113" i="4"/>
  <c r="V1113" i="4"/>
  <c r="T1113" i="4"/>
  <c r="S1113" i="4"/>
  <c r="R1113" i="4"/>
  <c r="Q1113" i="4"/>
  <c r="P1113" i="4"/>
  <c r="O1113" i="4"/>
  <c r="N1113" i="4"/>
  <c r="M1113" i="4"/>
  <c r="L1113" i="4"/>
  <c r="K1113" i="4"/>
  <c r="J1113" i="4"/>
  <c r="I1113" i="4"/>
  <c r="H1113" i="4"/>
  <c r="G1113" i="4"/>
  <c r="F1113" i="4"/>
  <c r="E1113" i="4"/>
  <c r="U1113" i="4" s="1"/>
  <c r="D1113" i="4"/>
  <c r="C1113" i="4"/>
  <c r="B1113" i="4"/>
  <c r="A1113" i="4"/>
  <c r="X1112" i="4"/>
  <c r="T1112" i="4"/>
  <c r="S1112" i="4"/>
  <c r="R1112" i="4"/>
  <c r="Q1112" i="4"/>
  <c r="P1112" i="4"/>
  <c r="O1112" i="4"/>
  <c r="N1112" i="4"/>
  <c r="M1112" i="4"/>
  <c r="L1112" i="4"/>
  <c r="K1112" i="4"/>
  <c r="J1112" i="4"/>
  <c r="I1112" i="4"/>
  <c r="H1112" i="4"/>
  <c r="G1112" i="4"/>
  <c r="F1112" i="4"/>
  <c r="E1112" i="4"/>
  <c r="U1112" i="4" s="1"/>
  <c r="D1112" i="4"/>
  <c r="C1112" i="4"/>
  <c r="V1112" i="4" s="1"/>
  <c r="B1112" i="4"/>
  <c r="A1112" i="4"/>
  <c r="X1111" i="4"/>
  <c r="W1111" i="4"/>
  <c r="V1111" i="4"/>
  <c r="T1111" i="4"/>
  <c r="S1111" i="4"/>
  <c r="R1111" i="4"/>
  <c r="Q1111" i="4"/>
  <c r="P1111" i="4"/>
  <c r="O1111" i="4"/>
  <c r="N1111" i="4"/>
  <c r="M1111" i="4"/>
  <c r="L1111" i="4"/>
  <c r="K1111" i="4"/>
  <c r="J1111" i="4"/>
  <c r="I1111" i="4"/>
  <c r="H1111" i="4"/>
  <c r="G1111" i="4"/>
  <c r="F1111" i="4"/>
  <c r="E1111" i="4"/>
  <c r="U1111" i="4" s="1"/>
  <c r="D1111" i="4"/>
  <c r="C1111" i="4"/>
  <c r="B1111" i="4"/>
  <c r="A1111" i="4"/>
  <c r="X1110" i="4"/>
  <c r="T1110" i="4"/>
  <c r="S1110" i="4"/>
  <c r="R1110" i="4"/>
  <c r="Q1110" i="4"/>
  <c r="P1110" i="4"/>
  <c r="O1110" i="4"/>
  <c r="N1110" i="4"/>
  <c r="M1110" i="4"/>
  <c r="L1110" i="4"/>
  <c r="K1110" i="4"/>
  <c r="J1110" i="4"/>
  <c r="I1110" i="4"/>
  <c r="H1110" i="4"/>
  <c r="G1110" i="4"/>
  <c r="F1110" i="4"/>
  <c r="E1110" i="4"/>
  <c r="U1110" i="4" s="1"/>
  <c r="D1110" i="4"/>
  <c r="C1110" i="4"/>
  <c r="V1110" i="4" s="1"/>
  <c r="B1110" i="4"/>
  <c r="A1110" i="4"/>
  <c r="X1109" i="4"/>
  <c r="W1109" i="4"/>
  <c r="V1109" i="4"/>
  <c r="T1109" i="4"/>
  <c r="S1109" i="4"/>
  <c r="R1109" i="4"/>
  <c r="Q1109" i="4"/>
  <c r="P1109" i="4"/>
  <c r="O1109" i="4"/>
  <c r="N1109" i="4"/>
  <c r="M1109" i="4"/>
  <c r="L1109" i="4"/>
  <c r="K1109" i="4"/>
  <c r="J1109" i="4"/>
  <c r="I1109" i="4"/>
  <c r="H1109" i="4"/>
  <c r="G1109" i="4"/>
  <c r="F1109" i="4"/>
  <c r="E1109" i="4"/>
  <c r="U1109" i="4" s="1"/>
  <c r="D1109" i="4"/>
  <c r="C1109" i="4"/>
  <c r="B1109" i="4"/>
  <c r="A1109" i="4"/>
  <c r="X1108" i="4"/>
  <c r="T1108" i="4"/>
  <c r="S1108" i="4"/>
  <c r="R1108" i="4"/>
  <c r="Q1108" i="4"/>
  <c r="P1108" i="4"/>
  <c r="O1108" i="4"/>
  <c r="N1108" i="4"/>
  <c r="M1108" i="4"/>
  <c r="L1108" i="4"/>
  <c r="K1108" i="4"/>
  <c r="J1108" i="4"/>
  <c r="I1108" i="4"/>
  <c r="H1108" i="4"/>
  <c r="G1108" i="4"/>
  <c r="F1108" i="4"/>
  <c r="E1108" i="4"/>
  <c r="U1108" i="4" s="1"/>
  <c r="D1108" i="4"/>
  <c r="C1108" i="4"/>
  <c r="V1108" i="4" s="1"/>
  <c r="B1108" i="4"/>
  <c r="A1108" i="4"/>
  <c r="X1107" i="4"/>
  <c r="W1107" i="4"/>
  <c r="V1107" i="4"/>
  <c r="T1107" i="4"/>
  <c r="S1107" i="4"/>
  <c r="R1107" i="4"/>
  <c r="Q1107" i="4"/>
  <c r="P1107" i="4"/>
  <c r="O1107" i="4"/>
  <c r="N1107" i="4"/>
  <c r="M1107" i="4"/>
  <c r="L1107" i="4"/>
  <c r="K1107" i="4"/>
  <c r="J1107" i="4"/>
  <c r="I1107" i="4"/>
  <c r="H1107" i="4"/>
  <c r="G1107" i="4"/>
  <c r="F1107" i="4"/>
  <c r="E1107" i="4"/>
  <c r="U1107" i="4" s="1"/>
  <c r="D1107" i="4"/>
  <c r="C1107" i="4"/>
  <c r="B1107" i="4"/>
  <c r="A1107" i="4"/>
  <c r="X1106" i="4"/>
  <c r="T1106" i="4"/>
  <c r="S1106" i="4"/>
  <c r="R1106" i="4"/>
  <c r="Q1106" i="4"/>
  <c r="P1106" i="4"/>
  <c r="O1106" i="4"/>
  <c r="W1106" i="4" s="1"/>
  <c r="N1106" i="4"/>
  <c r="M1106" i="4"/>
  <c r="L1106" i="4"/>
  <c r="K1106" i="4"/>
  <c r="J1106" i="4"/>
  <c r="I1106" i="4"/>
  <c r="H1106" i="4"/>
  <c r="G1106" i="4"/>
  <c r="F1106" i="4"/>
  <c r="E1106" i="4"/>
  <c r="U1106" i="4" s="1"/>
  <c r="D1106" i="4"/>
  <c r="C1106" i="4"/>
  <c r="V1106" i="4" s="1"/>
  <c r="B1106" i="4"/>
  <c r="A1106" i="4"/>
  <c r="X1105" i="4"/>
  <c r="W1105" i="4"/>
  <c r="V1105" i="4"/>
  <c r="T1105" i="4"/>
  <c r="S1105" i="4"/>
  <c r="R1105" i="4"/>
  <c r="Q1105" i="4"/>
  <c r="P1105" i="4"/>
  <c r="O1105" i="4"/>
  <c r="N1105" i="4"/>
  <c r="M1105" i="4"/>
  <c r="L1105" i="4"/>
  <c r="K1105" i="4"/>
  <c r="J1105" i="4"/>
  <c r="I1105" i="4"/>
  <c r="H1105" i="4"/>
  <c r="G1105" i="4"/>
  <c r="F1105" i="4"/>
  <c r="E1105" i="4"/>
  <c r="U1105" i="4" s="1"/>
  <c r="D1105" i="4"/>
  <c r="C1105" i="4"/>
  <c r="B1105" i="4"/>
  <c r="A1105" i="4"/>
  <c r="X1104" i="4"/>
  <c r="T1104" i="4"/>
  <c r="S1104" i="4"/>
  <c r="R1104" i="4"/>
  <c r="Q1104" i="4"/>
  <c r="P1104" i="4"/>
  <c r="O1104" i="4"/>
  <c r="N1104" i="4"/>
  <c r="M1104" i="4"/>
  <c r="L1104" i="4"/>
  <c r="K1104" i="4"/>
  <c r="J1104" i="4"/>
  <c r="I1104" i="4"/>
  <c r="H1104" i="4"/>
  <c r="G1104" i="4"/>
  <c r="F1104" i="4"/>
  <c r="E1104" i="4"/>
  <c r="U1104" i="4" s="1"/>
  <c r="D1104" i="4"/>
  <c r="C1104" i="4"/>
  <c r="V1104" i="4" s="1"/>
  <c r="B1104" i="4"/>
  <c r="A1104" i="4"/>
  <c r="X1103" i="4"/>
  <c r="W1103" i="4"/>
  <c r="V1103" i="4"/>
  <c r="T1103" i="4"/>
  <c r="S1103" i="4"/>
  <c r="R1103" i="4"/>
  <c r="Q1103" i="4"/>
  <c r="P1103" i="4"/>
  <c r="O1103" i="4"/>
  <c r="N1103" i="4"/>
  <c r="M1103" i="4"/>
  <c r="L1103" i="4"/>
  <c r="K1103" i="4"/>
  <c r="J1103" i="4"/>
  <c r="I1103" i="4"/>
  <c r="H1103" i="4"/>
  <c r="G1103" i="4"/>
  <c r="F1103" i="4"/>
  <c r="E1103" i="4"/>
  <c r="U1103" i="4" s="1"/>
  <c r="D1103" i="4"/>
  <c r="C1103" i="4"/>
  <c r="B1103" i="4"/>
  <c r="A1103" i="4"/>
  <c r="X1102" i="4"/>
  <c r="T1102" i="4"/>
  <c r="S1102" i="4"/>
  <c r="R1102" i="4"/>
  <c r="Q1102" i="4"/>
  <c r="P1102" i="4"/>
  <c r="O1102" i="4"/>
  <c r="W1102" i="4" s="1"/>
  <c r="N1102" i="4"/>
  <c r="M1102" i="4"/>
  <c r="L1102" i="4"/>
  <c r="K1102" i="4"/>
  <c r="J1102" i="4"/>
  <c r="I1102" i="4"/>
  <c r="H1102" i="4"/>
  <c r="G1102" i="4"/>
  <c r="F1102" i="4"/>
  <c r="E1102" i="4"/>
  <c r="U1102" i="4" s="1"/>
  <c r="D1102" i="4"/>
  <c r="C1102" i="4"/>
  <c r="V1102" i="4" s="1"/>
  <c r="B1102" i="4"/>
  <c r="A1102" i="4"/>
  <c r="X1101" i="4"/>
  <c r="W1101" i="4"/>
  <c r="V1101" i="4"/>
  <c r="T1101" i="4"/>
  <c r="S1101" i="4"/>
  <c r="R1101" i="4"/>
  <c r="Q1101" i="4"/>
  <c r="P1101" i="4"/>
  <c r="O1101" i="4"/>
  <c r="N1101" i="4"/>
  <c r="M1101" i="4"/>
  <c r="L1101" i="4"/>
  <c r="K1101" i="4"/>
  <c r="J1101" i="4"/>
  <c r="I1101" i="4"/>
  <c r="H1101" i="4"/>
  <c r="G1101" i="4"/>
  <c r="F1101" i="4"/>
  <c r="E1101" i="4"/>
  <c r="U1101" i="4" s="1"/>
  <c r="D1101" i="4"/>
  <c r="C1101" i="4"/>
  <c r="B1101" i="4"/>
  <c r="A1101" i="4"/>
  <c r="X1100" i="4"/>
  <c r="T1100" i="4"/>
  <c r="S1100" i="4"/>
  <c r="R1100" i="4"/>
  <c r="Q1100" i="4"/>
  <c r="P1100" i="4"/>
  <c r="O1100" i="4"/>
  <c r="W1100" i="4" s="1"/>
  <c r="N1100" i="4"/>
  <c r="M1100" i="4"/>
  <c r="L1100" i="4"/>
  <c r="K1100" i="4"/>
  <c r="J1100" i="4"/>
  <c r="I1100" i="4"/>
  <c r="H1100" i="4"/>
  <c r="G1100" i="4"/>
  <c r="F1100" i="4"/>
  <c r="E1100" i="4"/>
  <c r="U1100" i="4" s="1"/>
  <c r="D1100" i="4"/>
  <c r="C1100" i="4"/>
  <c r="V1100" i="4" s="1"/>
  <c r="B1100" i="4"/>
  <c r="A1100" i="4"/>
  <c r="X1099" i="4"/>
  <c r="W1099" i="4"/>
  <c r="V1099" i="4"/>
  <c r="T1099" i="4"/>
  <c r="S1099" i="4"/>
  <c r="R1099" i="4"/>
  <c r="Q1099" i="4"/>
  <c r="P1099" i="4"/>
  <c r="O1099" i="4"/>
  <c r="N1099" i="4"/>
  <c r="M1099" i="4"/>
  <c r="L1099" i="4"/>
  <c r="K1099" i="4"/>
  <c r="J1099" i="4"/>
  <c r="I1099" i="4"/>
  <c r="H1099" i="4"/>
  <c r="G1099" i="4"/>
  <c r="F1099" i="4"/>
  <c r="E1099" i="4"/>
  <c r="U1099" i="4" s="1"/>
  <c r="D1099" i="4"/>
  <c r="C1099" i="4"/>
  <c r="B1099" i="4"/>
  <c r="A1099" i="4"/>
  <c r="X1098" i="4"/>
  <c r="T1098" i="4"/>
  <c r="S1098" i="4"/>
  <c r="R1098" i="4"/>
  <c r="Q1098" i="4"/>
  <c r="P1098" i="4"/>
  <c r="O1098" i="4"/>
  <c r="W1098" i="4" s="1"/>
  <c r="N1098" i="4"/>
  <c r="M1098" i="4"/>
  <c r="L1098" i="4"/>
  <c r="K1098" i="4"/>
  <c r="J1098" i="4"/>
  <c r="I1098" i="4"/>
  <c r="H1098" i="4"/>
  <c r="G1098" i="4"/>
  <c r="F1098" i="4"/>
  <c r="E1098" i="4"/>
  <c r="U1098" i="4" s="1"/>
  <c r="D1098" i="4"/>
  <c r="C1098" i="4"/>
  <c r="V1098" i="4" s="1"/>
  <c r="B1098" i="4"/>
  <c r="A1098" i="4"/>
  <c r="X1097" i="4"/>
  <c r="W1097" i="4"/>
  <c r="V1097" i="4"/>
  <c r="T1097" i="4"/>
  <c r="S1097" i="4"/>
  <c r="R1097" i="4"/>
  <c r="Q1097" i="4"/>
  <c r="P1097" i="4"/>
  <c r="O1097" i="4"/>
  <c r="N1097" i="4"/>
  <c r="M1097" i="4"/>
  <c r="L1097" i="4"/>
  <c r="K1097" i="4"/>
  <c r="J1097" i="4"/>
  <c r="I1097" i="4"/>
  <c r="H1097" i="4"/>
  <c r="G1097" i="4"/>
  <c r="F1097" i="4"/>
  <c r="E1097" i="4"/>
  <c r="U1097" i="4" s="1"/>
  <c r="D1097" i="4"/>
  <c r="C1097" i="4"/>
  <c r="B1097" i="4"/>
  <c r="A1097" i="4"/>
  <c r="X1096" i="4"/>
  <c r="W1096" i="4"/>
  <c r="T1096" i="4"/>
  <c r="S1096" i="4"/>
  <c r="R1096" i="4"/>
  <c r="Q1096" i="4"/>
  <c r="P1096" i="4"/>
  <c r="O1096" i="4"/>
  <c r="N1096" i="4"/>
  <c r="M1096" i="4"/>
  <c r="L1096" i="4"/>
  <c r="K1096" i="4"/>
  <c r="J1096" i="4"/>
  <c r="I1096" i="4"/>
  <c r="H1096" i="4"/>
  <c r="G1096" i="4"/>
  <c r="F1096" i="4"/>
  <c r="E1096" i="4"/>
  <c r="U1096" i="4" s="1"/>
  <c r="D1096" i="4"/>
  <c r="C1096" i="4"/>
  <c r="V1096" i="4" s="1"/>
  <c r="B1096" i="4"/>
  <c r="A1096" i="4"/>
  <c r="X1095" i="4"/>
  <c r="V1095" i="4"/>
  <c r="T1095" i="4"/>
  <c r="S1095" i="4"/>
  <c r="R1095" i="4"/>
  <c r="Q1095" i="4"/>
  <c r="P1095" i="4"/>
  <c r="O1095" i="4"/>
  <c r="W1095" i="4" s="1"/>
  <c r="N1095" i="4"/>
  <c r="M1095" i="4"/>
  <c r="L1095" i="4"/>
  <c r="K1095" i="4"/>
  <c r="J1095" i="4"/>
  <c r="I1095" i="4"/>
  <c r="H1095" i="4"/>
  <c r="G1095" i="4"/>
  <c r="F1095" i="4"/>
  <c r="E1095" i="4"/>
  <c r="U1095" i="4" s="1"/>
  <c r="D1095" i="4"/>
  <c r="C1095" i="4"/>
  <c r="B1095" i="4"/>
  <c r="A1095" i="4"/>
  <c r="X1094" i="4"/>
  <c r="W1094" i="4"/>
  <c r="V1094" i="4"/>
  <c r="T1094" i="4"/>
  <c r="S1094" i="4"/>
  <c r="R1094" i="4"/>
  <c r="Q1094" i="4"/>
  <c r="P1094" i="4"/>
  <c r="O1094" i="4"/>
  <c r="N1094" i="4"/>
  <c r="M1094" i="4"/>
  <c r="L1094" i="4"/>
  <c r="K1094" i="4"/>
  <c r="J1094" i="4"/>
  <c r="I1094" i="4"/>
  <c r="H1094" i="4"/>
  <c r="G1094" i="4"/>
  <c r="F1094" i="4"/>
  <c r="E1094" i="4"/>
  <c r="U1094" i="4" s="1"/>
  <c r="D1094" i="4"/>
  <c r="C1094" i="4"/>
  <c r="B1094" i="4"/>
  <c r="A1094" i="4"/>
  <c r="X1093" i="4"/>
  <c r="V1093" i="4"/>
  <c r="T1093" i="4"/>
  <c r="S1093" i="4"/>
  <c r="R1093" i="4"/>
  <c r="Q1093" i="4"/>
  <c r="P1093" i="4"/>
  <c r="O1093" i="4"/>
  <c r="W1093" i="4" s="1"/>
  <c r="N1093" i="4"/>
  <c r="M1093" i="4"/>
  <c r="L1093" i="4"/>
  <c r="K1093" i="4"/>
  <c r="J1093" i="4"/>
  <c r="I1093" i="4"/>
  <c r="H1093" i="4"/>
  <c r="G1093" i="4"/>
  <c r="F1093" i="4"/>
  <c r="E1093" i="4"/>
  <c r="U1093" i="4" s="1"/>
  <c r="D1093" i="4"/>
  <c r="C1093" i="4"/>
  <c r="B1093" i="4"/>
  <c r="A1093" i="4"/>
  <c r="X1092" i="4"/>
  <c r="W1092" i="4"/>
  <c r="V1092" i="4"/>
  <c r="T1092" i="4"/>
  <c r="S1092" i="4"/>
  <c r="R1092" i="4"/>
  <c r="Q1092" i="4"/>
  <c r="P1092" i="4"/>
  <c r="O1092" i="4"/>
  <c r="N1092" i="4"/>
  <c r="M1092" i="4"/>
  <c r="L1092" i="4"/>
  <c r="K1092" i="4"/>
  <c r="J1092" i="4"/>
  <c r="I1092" i="4"/>
  <c r="H1092" i="4"/>
  <c r="G1092" i="4"/>
  <c r="F1092" i="4"/>
  <c r="E1092" i="4"/>
  <c r="U1092" i="4" s="1"/>
  <c r="D1092" i="4"/>
  <c r="C1092" i="4"/>
  <c r="B1092" i="4"/>
  <c r="A1092" i="4"/>
  <c r="X1091" i="4"/>
  <c r="V1091" i="4"/>
  <c r="T1091" i="4"/>
  <c r="S1091" i="4"/>
  <c r="R1091" i="4"/>
  <c r="Q1091" i="4"/>
  <c r="P1091" i="4"/>
  <c r="O1091" i="4"/>
  <c r="W1091" i="4" s="1"/>
  <c r="N1091" i="4"/>
  <c r="M1091" i="4"/>
  <c r="L1091" i="4"/>
  <c r="K1091" i="4"/>
  <c r="J1091" i="4"/>
  <c r="I1091" i="4"/>
  <c r="H1091" i="4"/>
  <c r="G1091" i="4"/>
  <c r="F1091" i="4"/>
  <c r="E1091" i="4"/>
  <c r="U1091" i="4" s="1"/>
  <c r="D1091" i="4"/>
  <c r="C1091" i="4"/>
  <c r="B1091" i="4"/>
  <c r="A1091" i="4"/>
  <c r="X1090" i="4"/>
  <c r="W1090" i="4"/>
  <c r="V1090" i="4"/>
  <c r="T1090" i="4"/>
  <c r="S1090" i="4"/>
  <c r="R1090" i="4"/>
  <c r="Q1090" i="4"/>
  <c r="P1090" i="4"/>
  <c r="O1090" i="4"/>
  <c r="N1090" i="4"/>
  <c r="M1090" i="4"/>
  <c r="L1090" i="4"/>
  <c r="K1090" i="4"/>
  <c r="J1090" i="4"/>
  <c r="I1090" i="4"/>
  <c r="H1090" i="4"/>
  <c r="G1090" i="4"/>
  <c r="F1090" i="4"/>
  <c r="E1090" i="4"/>
  <c r="U1090" i="4" s="1"/>
  <c r="D1090" i="4"/>
  <c r="C1090" i="4"/>
  <c r="B1090" i="4"/>
  <c r="A1090" i="4"/>
  <c r="X1089" i="4"/>
  <c r="V1089" i="4"/>
  <c r="T1089" i="4"/>
  <c r="S1089" i="4"/>
  <c r="R1089" i="4"/>
  <c r="Q1089" i="4"/>
  <c r="P1089" i="4"/>
  <c r="O1089" i="4"/>
  <c r="W1089" i="4" s="1"/>
  <c r="N1089" i="4"/>
  <c r="M1089" i="4"/>
  <c r="L1089" i="4"/>
  <c r="K1089" i="4"/>
  <c r="J1089" i="4"/>
  <c r="I1089" i="4"/>
  <c r="H1089" i="4"/>
  <c r="G1089" i="4"/>
  <c r="F1089" i="4"/>
  <c r="E1089" i="4"/>
  <c r="U1089" i="4" s="1"/>
  <c r="D1089" i="4"/>
  <c r="C1089" i="4"/>
  <c r="B1089" i="4"/>
  <c r="A1089" i="4"/>
  <c r="X1088" i="4"/>
  <c r="W1088" i="4"/>
  <c r="V1088" i="4"/>
  <c r="T1088" i="4"/>
  <c r="S1088" i="4"/>
  <c r="R1088" i="4"/>
  <c r="Q1088" i="4"/>
  <c r="P1088" i="4"/>
  <c r="O1088" i="4"/>
  <c r="N1088" i="4"/>
  <c r="M1088" i="4"/>
  <c r="L1088" i="4"/>
  <c r="K1088" i="4"/>
  <c r="J1088" i="4"/>
  <c r="I1088" i="4"/>
  <c r="H1088" i="4"/>
  <c r="G1088" i="4"/>
  <c r="F1088" i="4"/>
  <c r="E1088" i="4"/>
  <c r="U1088" i="4" s="1"/>
  <c r="D1088" i="4"/>
  <c r="C1088" i="4"/>
  <c r="B1088" i="4"/>
  <c r="A1088" i="4"/>
  <c r="X1087" i="4"/>
  <c r="V1087" i="4"/>
  <c r="T1087" i="4"/>
  <c r="S1087" i="4"/>
  <c r="R1087" i="4"/>
  <c r="Q1087" i="4"/>
  <c r="P1087" i="4"/>
  <c r="O1087" i="4"/>
  <c r="W1087" i="4" s="1"/>
  <c r="N1087" i="4"/>
  <c r="M1087" i="4"/>
  <c r="L1087" i="4"/>
  <c r="K1087" i="4"/>
  <c r="J1087" i="4"/>
  <c r="I1087" i="4"/>
  <c r="H1087" i="4"/>
  <c r="G1087" i="4"/>
  <c r="F1087" i="4"/>
  <c r="E1087" i="4"/>
  <c r="U1087" i="4" s="1"/>
  <c r="D1087" i="4"/>
  <c r="C1087" i="4"/>
  <c r="B1087" i="4"/>
  <c r="A1087" i="4"/>
  <c r="X1086" i="4"/>
  <c r="W1086" i="4"/>
  <c r="V1086" i="4"/>
  <c r="T1086" i="4"/>
  <c r="S1086" i="4"/>
  <c r="R1086" i="4"/>
  <c r="Q1086" i="4"/>
  <c r="P1086" i="4"/>
  <c r="O1086" i="4"/>
  <c r="N1086" i="4"/>
  <c r="M1086" i="4"/>
  <c r="L1086" i="4"/>
  <c r="K1086" i="4"/>
  <c r="J1086" i="4"/>
  <c r="I1086" i="4"/>
  <c r="H1086" i="4"/>
  <c r="G1086" i="4"/>
  <c r="F1086" i="4"/>
  <c r="E1086" i="4"/>
  <c r="U1086" i="4" s="1"/>
  <c r="D1086" i="4"/>
  <c r="C1086" i="4"/>
  <c r="B1086" i="4"/>
  <c r="A1086" i="4"/>
  <c r="X1085" i="4"/>
  <c r="V1085" i="4"/>
  <c r="T1085" i="4"/>
  <c r="S1085" i="4"/>
  <c r="R1085" i="4"/>
  <c r="Q1085" i="4"/>
  <c r="P1085" i="4"/>
  <c r="O1085" i="4"/>
  <c r="W1085" i="4" s="1"/>
  <c r="N1085" i="4"/>
  <c r="M1085" i="4"/>
  <c r="L1085" i="4"/>
  <c r="K1085" i="4"/>
  <c r="J1085" i="4"/>
  <c r="I1085" i="4"/>
  <c r="H1085" i="4"/>
  <c r="G1085" i="4"/>
  <c r="F1085" i="4"/>
  <c r="E1085" i="4"/>
  <c r="U1085" i="4" s="1"/>
  <c r="D1085" i="4"/>
  <c r="C1085" i="4"/>
  <c r="B1085" i="4"/>
  <c r="A1085" i="4"/>
  <c r="X1084" i="4"/>
  <c r="W1084" i="4"/>
  <c r="V1084" i="4"/>
  <c r="T1084" i="4"/>
  <c r="S1084" i="4"/>
  <c r="R1084" i="4"/>
  <c r="Q1084" i="4"/>
  <c r="P1084" i="4"/>
  <c r="O1084" i="4"/>
  <c r="N1084" i="4"/>
  <c r="M1084" i="4"/>
  <c r="L1084" i="4"/>
  <c r="K1084" i="4"/>
  <c r="J1084" i="4"/>
  <c r="I1084" i="4"/>
  <c r="H1084" i="4"/>
  <c r="G1084" i="4"/>
  <c r="F1084" i="4"/>
  <c r="E1084" i="4"/>
  <c r="U1084" i="4" s="1"/>
  <c r="D1084" i="4"/>
  <c r="C1084" i="4"/>
  <c r="B1084" i="4"/>
  <c r="A1084" i="4"/>
  <c r="X1083" i="4"/>
  <c r="V1083" i="4"/>
  <c r="T1083" i="4"/>
  <c r="S1083" i="4"/>
  <c r="R1083" i="4"/>
  <c r="Q1083" i="4"/>
  <c r="P1083" i="4"/>
  <c r="O1083" i="4"/>
  <c r="W1083" i="4" s="1"/>
  <c r="N1083" i="4"/>
  <c r="M1083" i="4"/>
  <c r="L1083" i="4"/>
  <c r="K1083" i="4"/>
  <c r="J1083" i="4"/>
  <c r="I1083" i="4"/>
  <c r="H1083" i="4"/>
  <c r="G1083" i="4"/>
  <c r="F1083" i="4"/>
  <c r="E1083" i="4"/>
  <c r="U1083" i="4" s="1"/>
  <c r="D1083" i="4"/>
  <c r="C1083" i="4"/>
  <c r="B1083" i="4"/>
  <c r="A1083" i="4"/>
  <c r="X1082" i="4"/>
  <c r="W1082" i="4"/>
  <c r="V1082" i="4"/>
  <c r="T1082" i="4"/>
  <c r="S1082" i="4"/>
  <c r="R1082" i="4"/>
  <c r="Q1082" i="4"/>
  <c r="P1082" i="4"/>
  <c r="O1082" i="4"/>
  <c r="N1082" i="4"/>
  <c r="M1082" i="4"/>
  <c r="L1082" i="4"/>
  <c r="K1082" i="4"/>
  <c r="J1082" i="4"/>
  <c r="I1082" i="4"/>
  <c r="H1082" i="4"/>
  <c r="G1082" i="4"/>
  <c r="F1082" i="4"/>
  <c r="E1082" i="4"/>
  <c r="U1082" i="4" s="1"/>
  <c r="D1082" i="4"/>
  <c r="C1082" i="4"/>
  <c r="B1082" i="4"/>
  <c r="A1082" i="4"/>
  <c r="X1081" i="4"/>
  <c r="V1081" i="4"/>
  <c r="T1081" i="4"/>
  <c r="S1081" i="4"/>
  <c r="R1081" i="4"/>
  <c r="Q1081" i="4"/>
  <c r="P1081" i="4"/>
  <c r="O1081" i="4"/>
  <c r="W1081" i="4" s="1"/>
  <c r="N1081" i="4"/>
  <c r="M1081" i="4"/>
  <c r="L1081" i="4"/>
  <c r="K1081" i="4"/>
  <c r="J1081" i="4"/>
  <c r="I1081" i="4"/>
  <c r="H1081" i="4"/>
  <c r="G1081" i="4"/>
  <c r="F1081" i="4"/>
  <c r="E1081" i="4"/>
  <c r="U1081" i="4" s="1"/>
  <c r="D1081" i="4"/>
  <c r="C1081" i="4"/>
  <c r="B1081" i="4"/>
  <c r="A1081" i="4"/>
  <c r="X1080" i="4"/>
  <c r="W1080" i="4"/>
  <c r="V1080" i="4"/>
  <c r="T1080" i="4"/>
  <c r="S1080" i="4"/>
  <c r="R1080" i="4"/>
  <c r="Q1080" i="4"/>
  <c r="P1080" i="4"/>
  <c r="O1080" i="4"/>
  <c r="N1080" i="4"/>
  <c r="M1080" i="4"/>
  <c r="L1080" i="4"/>
  <c r="K1080" i="4"/>
  <c r="J1080" i="4"/>
  <c r="I1080" i="4"/>
  <c r="H1080" i="4"/>
  <c r="G1080" i="4"/>
  <c r="F1080" i="4"/>
  <c r="E1080" i="4"/>
  <c r="U1080" i="4" s="1"/>
  <c r="D1080" i="4"/>
  <c r="C1080" i="4"/>
  <c r="B1080" i="4"/>
  <c r="A1080" i="4"/>
  <c r="X1079" i="4"/>
  <c r="V1079" i="4"/>
  <c r="T1079" i="4"/>
  <c r="S1079" i="4"/>
  <c r="R1079" i="4"/>
  <c r="Q1079" i="4"/>
  <c r="P1079" i="4"/>
  <c r="O1079" i="4"/>
  <c r="W1079" i="4" s="1"/>
  <c r="N1079" i="4"/>
  <c r="M1079" i="4"/>
  <c r="L1079" i="4"/>
  <c r="K1079" i="4"/>
  <c r="J1079" i="4"/>
  <c r="I1079" i="4"/>
  <c r="H1079" i="4"/>
  <c r="G1079" i="4"/>
  <c r="F1079" i="4"/>
  <c r="E1079" i="4"/>
  <c r="U1079" i="4" s="1"/>
  <c r="D1079" i="4"/>
  <c r="C1079" i="4"/>
  <c r="B1079" i="4"/>
  <c r="A1079" i="4"/>
  <c r="X1078" i="4"/>
  <c r="W1078" i="4"/>
  <c r="V1078" i="4"/>
  <c r="T1078" i="4"/>
  <c r="S1078" i="4"/>
  <c r="R1078" i="4"/>
  <c r="Q1078" i="4"/>
  <c r="P1078" i="4"/>
  <c r="O1078" i="4"/>
  <c r="N1078" i="4"/>
  <c r="M1078" i="4"/>
  <c r="L1078" i="4"/>
  <c r="K1078" i="4"/>
  <c r="J1078" i="4"/>
  <c r="I1078" i="4"/>
  <c r="H1078" i="4"/>
  <c r="G1078" i="4"/>
  <c r="F1078" i="4"/>
  <c r="E1078" i="4"/>
  <c r="U1078" i="4" s="1"/>
  <c r="D1078" i="4"/>
  <c r="C1078" i="4"/>
  <c r="B1078" i="4"/>
  <c r="A1078" i="4"/>
  <c r="X1077" i="4"/>
  <c r="V1077" i="4"/>
  <c r="T1077" i="4"/>
  <c r="S1077" i="4"/>
  <c r="R1077" i="4"/>
  <c r="Q1077" i="4"/>
  <c r="P1077" i="4"/>
  <c r="O1077" i="4"/>
  <c r="W1077" i="4" s="1"/>
  <c r="N1077" i="4"/>
  <c r="M1077" i="4"/>
  <c r="L1077" i="4"/>
  <c r="K1077" i="4"/>
  <c r="J1077" i="4"/>
  <c r="I1077" i="4"/>
  <c r="H1077" i="4"/>
  <c r="G1077" i="4"/>
  <c r="F1077" i="4"/>
  <c r="E1077" i="4"/>
  <c r="U1077" i="4" s="1"/>
  <c r="D1077" i="4"/>
  <c r="C1077" i="4"/>
  <c r="B1077" i="4"/>
  <c r="A1077" i="4"/>
  <c r="X1076" i="4"/>
  <c r="W1076" i="4"/>
  <c r="V1076" i="4"/>
  <c r="T1076" i="4"/>
  <c r="S1076" i="4"/>
  <c r="R1076" i="4"/>
  <c r="Q1076" i="4"/>
  <c r="P1076" i="4"/>
  <c r="O1076" i="4"/>
  <c r="N1076" i="4"/>
  <c r="M1076" i="4"/>
  <c r="L1076" i="4"/>
  <c r="K1076" i="4"/>
  <c r="J1076" i="4"/>
  <c r="I1076" i="4"/>
  <c r="H1076" i="4"/>
  <c r="G1076" i="4"/>
  <c r="F1076" i="4"/>
  <c r="E1076" i="4"/>
  <c r="U1076" i="4" s="1"/>
  <c r="D1076" i="4"/>
  <c r="C1076" i="4"/>
  <c r="B1076" i="4"/>
  <c r="A1076" i="4"/>
  <c r="X1075" i="4"/>
  <c r="V1075" i="4"/>
  <c r="T1075" i="4"/>
  <c r="S1075" i="4"/>
  <c r="R1075" i="4"/>
  <c r="Q1075" i="4"/>
  <c r="P1075" i="4"/>
  <c r="O1075" i="4"/>
  <c r="W1075" i="4" s="1"/>
  <c r="N1075" i="4"/>
  <c r="M1075" i="4"/>
  <c r="L1075" i="4"/>
  <c r="K1075" i="4"/>
  <c r="J1075" i="4"/>
  <c r="I1075" i="4"/>
  <c r="H1075" i="4"/>
  <c r="G1075" i="4"/>
  <c r="F1075" i="4"/>
  <c r="E1075" i="4"/>
  <c r="U1075" i="4" s="1"/>
  <c r="D1075" i="4"/>
  <c r="C1075" i="4"/>
  <c r="B1075" i="4"/>
  <c r="A1075" i="4"/>
  <c r="X1074" i="4"/>
  <c r="W1074" i="4"/>
  <c r="V1074" i="4"/>
  <c r="T1074" i="4"/>
  <c r="S1074" i="4"/>
  <c r="R1074" i="4"/>
  <c r="Q1074" i="4"/>
  <c r="P1074" i="4"/>
  <c r="O1074" i="4"/>
  <c r="N1074" i="4"/>
  <c r="M1074" i="4"/>
  <c r="L1074" i="4"/>
  <c r="K1074" i="4"/>
  <c r="J1074" i="4"/>
  <c r="I1074" i="4"/>
  <c r="H1074" i="4"/>
  <c r="G1074" i="4"/>
  <c r="F1074" i="4"/>
  <c r="E1074" i="4"/>
  <c r="U1074" i="4" s="1"/>
  <c r="D1074" i="4"/>
  <c r="C1074" i="4"/>
  <c r="B1074" i="4"/>
  <c r="A1074" i="4"/>
  <c r="X1073" i="4"/>
  <c r="V1073" i="4"/>
  <c r="T1073" i="4"/>
  <c r="S1073" i="4"/>
  <c r="R1073" i="4"/>
  <c r="Q1073" i="4"/>
  <c r="P1073" i="4"/>
  <c r="O1073" i="4"/>
  <c r="W1073" i="4" s="1"/>
  <c r="N1073" i="4"/>
  <c r="M1073" i="4"/>
  <c r="L1073" i="4"/>
  <c r="K1073" i="4"/>
  <c r="J1073" i="4"/>
  <c r="I1073" i="4"/>
  <c r="H1073" i="4"/>
  <c r="G1073" i="4"/>
  <c r="F1073" i="4"/>
  <c r="E1073" i="4"/>
  <c r="U1073" i="4" s="1"/>
  <c r="D1073" i="4"/>
  <c r="C1073" i="4"/>
  <c r="B1073" i="4"/>
  <c r="A1073" i="4"/>
  <c r="X1072" i="4"/>
  <c r="W1072" i="4"/>
  <c r="V1072" i="4"/>
  <c r="T1072" i="4"/>
  <c r="S1072" i="4"/>
  <c r="R1072" i="4"/>
  <c r="Q1072" i="4"/>
  <c r="P1072" i="4"/>
  <c r="O1072" i="4"/>
  <c r="N1072" i="4"/>
  <c r="M1072" i="4"/>
  <c r="L1072" i="4"/>
  <c r="K1072" i="4"/>
  <c r="J1072" i="4"/>
  <c r="I1072" i="4"/>
  <c r="H1072" i="4"/>
  <c r="G1072" i="4"/>
  <c r="F1072" i="4"/>
  <c r="E1072" i="4"/>
  <c r="U1072" i="4" s="1"/>
  <c r="D1072" i="4"/>
  <c r="C1072" i="4"/>
  <c r="B1072" i="4"/>
  <c r="A1072" i="4"/>
  <c r="X1071" i="4"/>
  <c r="V1071" i="4"/>
  <c r="T1071" i="4"/>
  <c r="S1071" i="4"/>
  <c r="R1071" i="4"/>
  <c r="Q1071" i="4"/>
  <c r="P1071" i="4"/>
  <c r="O1071" i="4"/>
  <c r="W1071" i="4" s="1"/>
  <c r="N1071" i="4"/>
  <c r="M1071" i="4"/>
  <c r="L1071" i="4"/>
  <c r="K1071" i="4"/>
  <c r="J1071" i="4"/>
  <c r="I1071" i="4"/>
  <c r="H1071" i="4"/>
  <c r="G1071" i="4"/>
  <c r="F1071" i="4"/>
  <c r="E1071" i="4"/>
  <c r="U1071" i="4" s="1"/>
  <c r="D1071" i="4"/>
  <c r="C1071" i="4"/>
  <c r="B1071" i="4"/>
  <c r="A1071" i="4"/>
  <c r="X1070" i="4"/>
  <c r="W1070" i="4"/>
  <c r="V1070" i="4"/>
  <c r="T1070" i="4"/>
  <c r="S1070" i="4"/>
  <c r="R1070" i="4"/>
  <c r="Q1070" i="4"/>
  <c r="P1070" i="4"/>
  <c r="O1070" i="4"/>
  <c r="N1070" i="4"/>
  <c r="M1070" i="4"/>
  <c r="L1070" i="4"/>
  <c r="K1070" i="4"/>
  <c r="J1070" i="4"/>
  <c r="I1070" i="4"/>
  <c r="H1070" i="4"/>
  <c r="G1070" i="4"/>
  <c r="F1070" i="4"/>
  <c r="E1070" i="4"/>
  <c r="U1070" i="4" s="1"/>
  <c r="D1070" i="4"/>
  <c r="C1070" i="4"/>
  <c r="B1070" i="4"/>
  <c r="A1070" i="4"/>
  <c r="X1069" i="4"/>
  <c r="V1069" i="4"/>
  <c r="T1069" i="4"/>
  <c r="S1069" i="4"/>
  <c r="R1069" i="4"/>
  <c r="Q1069" i="4"/>
  <c r="P1069" i="4"/>
  <c r="O1069" i="4"/>
  <c r="W1069" i="4" s="1"/>
  <c r="N1069" i="4"/>
  <c r="M1069" i="4"/>
  <c r="L1069" i="4"/>
  <c r="K1069" i="4"/>
  <c r="J1069" i="4"/>
  <c r="I1069" i="4"/>
  <c r="H1069" i="4"/>
  <c r="G1069" i="4"/>
  <c r="F1069" i="4"/>
  <c r="E1069" i="4"/>
  <c r="U1069" i="4" s="1"/>
  <c r="D1069" i="4"/>
  <c r="C1069" i="4"/>
  <c r="B1069" i="4"/>
  <c r="A1069" i="4"/>
  <c r="X1068" i="4"/>
  <c r="W1068" i="4"/>
  <c r="V1068" i="4"/>
  <c r="T1068" i="4"/>
  <c r="S1068" i="4"/>
  <c r="R1068" i="4"/>
  <c r="Q1068" i="4"/>
  <c r="P1068" i="4"/>
  <c r="O1068" i="4"/>
  <c r="N1068" i="4"/>
  <c r="M1068" i="4"/>
  <c r="L1068" i="4"/>
  <c r="K1068" i="4"/>
  <c r="J1068" i="4"/>
  <c r="I1068" i="4"/>
  <c r="H1068" i="4"/>
  <c r="G1068" i="4"/>
  <c r="F1068" i="4"/>
  <c r="E1068" i="4"/>
  <c r="U1068" i="4" s="1"/>
  <c r="D1068" i="4"/>
  <c r="C1068" i="4"/>
  <c r="B1068" i="4"/>
  <c r="A1068" i="4"/>
  <c r="X1067" i="4"/>
  <c r="V1067" i="4"/>
  <c r="T1067" i="4"/>
  <c r="S1067" i="4"/>
  <c r="R1067" i="4"/>
  <c r="Q1067" i="4"/>
  <c r="P1067" i="4"/>
  <c r="O1067" i="4"/>
  <c r="W1067" i="4" s="1"/>
  <c r="N1067" i="4"/>
  <c r="M1067" i="4"/>
  <c r="L1067" i="4"/>
  <c r="K1067" i="4"/>
  <c r="J1067" i="4"/>
  <c r="I1067" i="4"/>
  <c r="H1067" i="4"/>
  <c r="G1067" i="4"/>
  <c r="F1067" i="4"/>
  <c r="E1067" i="4"/>
  <c r="U1067" i="4" s="1"/>
  <c r="D1067" i="4"/>
  <c r="C1067" i="4"/>
  <c r="B1067" i="4"/>
  <c r="A1067" i="4"/>
  <c r="X1066" i="4"/>
  <c r="W1066" i="4"/>
  <c r="V1066" i="4"/>
  <c r="T1066" i="4"/>
  <c r="S1066" i="4"/>
  <c r="R1066" i="4"/>
  <c r="Q1066" i="4"/>
  <c r="P1066" i="4"/>
  <c r="O1066" i="4"/>
  <c r="N1066" i="4"/>
  <c r="M1066" i="4"/>
  <c r="L1066" i="4"/>
  <c r="K1066" i="4"/>
  <c r="J1066" i="4"/>
  <c r="I1066" i="4"/>
  <c r="H1066" i="4"/>
  <c r="G1066" i="4"/>
  <c r="F1066" i="4"/>
  <c r="E1066" i="4"/>
  <c r="U1066" i="4" s="1"/>
  <c r="D1066" i="4"/>
  <c r="C1066" i="4"/>
  <c r="B1066" i="4"/>
  <c r="A1066" i="4"/>
  <c r="X1065" i="4"/>
  <c r="V1065" i="4"/>
  <c r="T1065" i="4"/>
  <c r="S1065" i="4"/>
  <c r="R1065" i="4"/>
  <c r="Q1065" i="4"/>
  <c r="P1065" i="4"/>
  <c r="O1065" i="4"/>
  <c r="W1065" i="4" s="1"/>
  <c r="N1065" i="4"/>
  <c r="M1065" i="4"/>
  <c r="L1065" i="4"/>
  <c r="K1065" i="4"/>
  <c r="J1065" i="4"/>
  <c r="I1065" i="4"/>
  <c r="H1065" i="4"/>
  <c r="G1065" i="4"/>
  <c r="F1065" i="4"/>
  <c r="E1065" i="4"/>
  <c r="U1065" i="4" s="1"/>
  <c r="D1065" i="4"/>
  <c r="C1065" i="4"/>
  <c r="B1065" i="4"/>
  <c r="A1065" i="4"/>
  <c r="X1064" i="4"/>
  <c r="W1064" i="4"/>
  <c r="V1064" i="4"/>
  <c r="T1064" i="4"/>
  <c r="S1064" i="4"/>
  <c r="R1064" i="4"/>
  <c r="Q1064" i="4"/>
  <c r="P1064" i="4"/>
  <c r="O1064" i="4"/>
  <c r="N1064" i="4"/>
  <c r="M1064" i="4"/>
  <c r="L1064" i="4"/>
  <c r="K1064" i="4"/>
  <c r="J1064" i="4"/>
  <c r="I1064" i="4"/>
  <c r="H1064" i="4"/>
  <c r="G1064" i="4"/>
  <c r="F1064" i="4"/>
  <c r="E1064" i="4"/>
  <c r="U1064" i="4" s="1"/>
  <c r="D1064" i="4"/>
  <c r="C1064" i="4"/>
  <c r="B1064" i="4"/>
  <c r="A1064" i="4"/>
  <c r="X1063" i="4"/>
  <c r="V1063" i="4"/>
  <c r="T1063" i="4"/>
  <c r="S1063" i="4"/>
  <c r="R1063" i="4"/>
  <c r="Q1063" i="4"/>
  <c r="P1063" i="4"/>
  <c r="O1063" i="4"/>
  <c r="W1063" i="4" s="1"/>
  <c r="N1063" i="4"/>
  <c r="M1063" i="4"/>
  <c r="L1063" i="4"/>
  <c r="K1063" i="4"/>
  <c r="J1063" i="4"/>
  <c r="I1063" i="4"/>
  <c r="H1063" i="4"/>
  <c r="G1063" i="4"/>
  <c r="F1063" i="4"/>
  <c r="E1063" i="4"/>
  <c r="U1063" i="4" s="1"/>
  <c r="D1063" i="4"/>
  <c r="C1063" i="4"/>
  <c r="B1063" i="4"/>
  <c r="A1063" i="4"/>
  <c r="X1062" i="4"/>
  <c r="W1062" i="4"/>
  <c r="V1062" i="4"/>
  <c r="T1062" i="4"/>
  <c r="S1062" i="4"/>
  <c r="R1062" i="4"/>
  <c r="Q1062" i="4"/>
  <c r="P1062" i="4"/>
  <c r="O1062" i="4"/>
  <c r="N1062" i="4"/>
  <c r="M1062" i="4"/>
  <c r="L1062" i="4"/>
  <c r="K1062" i="4"/>
  <c r="J1062" i="4"/>
  <c r="I1062" i="4"/>
  <c r="H1062" i="4"/>
  <c r="G1062" i="4"/>
  <c r="F1062" i="4"/>
  <c r="E1062" i="4"/>
  <c r="U1062" i="4" s="1"/>
  <c r="D1062" i="4"/>
  <c r="C1062" i="4"/>
  <c r="B1062" i="4"/>
  <c r="A1062" i="4"/>
  <c r="X1061" i="4"/>
  <c r="V1061" i="4"/>
  <c r="T1061" i="4"/>
  <c r="S1061" i="4"/>
  <c r="R1061" i="4"/>
  <c r="Q1061" i="4"/>
  <c r="P1061" i="4"/>
  <c r="O1061" i="4"/>
  <c r="W1061" i="4" s="1"/>
  <c r="N1061" i="4"/>
  <c r="M1061" i="4"/>
  <c r="L1061" i="4"/>
  <c r="K1061" i="4"/>
  <c r="J1061" i="4"/>
  <c r="I1061" i="4"/>
  <c r="H1061" i="4"/>
  <c r="G1061" i="4"/>
  <c r="F1061" i="4"/>
  <c r="E1061" i="4"/>
  <c r="U1061" i="4" s="1"/>
  <c r="D1061" i="4"/>
  <c r="C1061" i="4"/>
  <c r="B1061" i="4"/>
  <c r="A1061" i="4"/>
  <c r="X1060" i="4"/>
  <c r="W1060" i="4"/>
  <c r="V1060" i="4"/>
  <c r="T1060" i="4"/>
  <c r="S1060" i="4"/>
  <c r="R1060" i="4"/>
  <c r="Q1060" i="4"/>
  <c r="P1060" i="4"/>
  <c r="O1060" i="4"/>
  <c r="N1060" i="4"/>
  <c r="M1060" i="4"/>
  <c r="L1060" i="4"/>
  <c r="K1060" i="4"/>
  <c r="J1060" i="4"/>
  <c r="I1060" i="4"/>
  <c r="H1060" i="4"/>
  <c r="G1060" i="4"/>
  <c r="F1060" i="4"/>
  <c r="E1060" i="4"/>
  <c r="U1060" i="4" s="1"/>
  <c r="D1060" i="4"/>
  <c r="C1060" i="4"/>
  <c r="B1060" i="4"/>
  <c r="A1060" i="4"/>
  <c r="X1059" i="4"/>
  <c r="V1059" i="4"/>
  <c r="T1059" i="4"/>
  <c r="S1059" i="4"/>
  <c r="R1059" i="4"/>
  <c r="Q1059" i="4"/>
  <c r="P1059" i="4"/>
  <c r="O1059" i="4"/>
  <c r="W1059" i="4" s="1"/>
  <c r="N1059" i="4"/>
  <c r="M1059" i="4"/>
  <c r="L1059" i="4"/>
  <c r="K1059" i="4"/>
  <c r="J1059" i="4"/>
  <c r="I1059" i="4"/>
  <c r="H1059" i="4"/>
  <c r="G1059" i="4"/>
  <c r="F1059" i="4"/>
  <c r="E1059" i="4"/>
  <c r="U1059" i="4" s="1"/>
  <c r="D1059" i="4"/>
  <c r="C1059" i="4"/>
  <c r="B1059" i="4"/>
  <c r="A1059" i="4"/>
  <c r="X1058" i="4"/>
  <c r="W1058" i="4"/>
  <c r="V1058" i="4"/>
  <c r="T1058" i="4"/>
  <c r="S1058" i="4"/>
  <c r="R1058" i="4"/>
  <c r="Q1058" i="4"/>
  <c r="P1058" i="4"/>
  <c r="O1058" i="4"/>
  <c r="N1058" i="4"/>
  <c r="M1058" i="4"/>
  <c r="L1058" i="4"/>
  <c r="K1058" i="4"/>
  <c r="J1058" i="4"/>
  <c r="I1058" i="4"/>
  <c r="H1058" i="4"/>
  <c r="G1058" i="4"/>
  <c r="F1058" i="4"/>
  <c r="E1058" i="4"/>
  <c r="U1058" i="4" s="1"/>
  <c r="D1058" i="4"/>
  <c r="C1058" i="4"/>
  <c r="B1058" i="4"/>
  <c r="A1058" i="4"/>
  <c r="X1057" i="4"/>
  <c r="V1057" i="4"/>
  <c r="T1057" i="4"/>
  <c r="S1057" i="4"/>
  <c r="R1057" i="4"/>
  <c r="Q1057" i="4"/>
  <c r="P1057" i="4"/>
  <c r="O1057" i="4"/>
  <c r="W1057" i="4" s="1"/>
  <c r="N1057" i="4"/>
  <c r="M1057" i="4"/>
  <c r="L1057" i="4"/>
  <c r="K1057" i="4"/>
  <c r="J1057" i="4"/>
  <c r="I1057" i="4"/>
  <c r="H1057" i="4"/>
  <c r="G1057" i="4"/>
  <c r="F1057" i="4"/>
  <c r="E1057" i="4"/>
  <c r="U1057" i="4" s="1"/>
  <c r="D1057" i="4"/>
  <c r="C1057" i="4"/>
  <c r="B1057" i="4"/>
  <c r="A1057" i="4"/>
  <c r="X1056" i="4"/>
  <c r="W1056" i="4"/>
  <c r="V1056" i="4"/>
  <c r="T1056" i="4"/>
  <c r="S1056" i="4"/>
  <c r="R1056" i="4"/>
  <c r="Q1056" i="4"/>
  <c r="P1056" i="4"/>
  <c r="O1056" i="4"/>
  <c r="N1056" i="4"/>
  <c r="M1056" i="4"/>
  <c r="L1056" i="4"/>
  <c r="K1056" i="4"/>
  <c r="J1056" i="4"/>
  <c r="I1056" i="4"/>
  <c r="H1056" i="4"/>
  <c r="G1056" i="4"/>
  <c r="F1056" i="4"/>
  <c r="E1056" i="4"/>
  <c r="U1056" i="4" s="1"/>
  <c r="D1056" i="4"/>
  <c r="C1056" i="4"/>
  <c r="B1056" i="4"/>
  <c r="A1056" i="4"/>
  <c r="X1055" i="4"/>
  <c r="V1055" i="4"/>
  <c r="T1055" i="4"/>
  <c r="S1055" i="4"/>
  <c r="R1055" i="4"/>
  <c r="Q1055" i="4"/>
  <c r="P1055" i="4"/>
  <c r="O1055" i="4"/>
  <c r="W1055" i="4" s="1"/>
  <c r="N1055" i="4"/>
  <c r="M1055" i="4"/>
  <c r="L1055" i="4"/>
  <c r="K1055" i="4"/>
  <c r="J1055" i="4"/>
  <c r="I1055" i="4"/>
  <c r="H1055" i="4"/>
  <c r="G1055" i="4"/>
  <c r="F1055" i="4"/>
  <c r="E1055" i="4"/>
  <c r="U1055" i="4" s="1"/>
  <c r="D1055" i="4"/>
  <c r="C1055" i="4"/>
  <c r="B1055" i="4"/>
  <c r="A1055" i="4"/>
  <c r="X1054" i="4"/>
  <c r="W1054" i="4"/>
  <c r="V1054" i="4"/>
  <c r="T1054" i="4"/>
  <c r="S1054" i="4"/>
  <c r="R1054" i="4"/>
  <c r="Q1054" i="4"/>
  <c r="P1054" i="4"/>
  <c r="O1054" i="4"/>
  <c r="N1054" i="4"/>
  <c r="M1054" i="4"/>
  <c r="L1054" i="4"/>
  <c r="K1054" i="4"/>
  <c r="J1054" i="4"/>
  <c r="I1054" i="4"/>
  <c r="H1054" i="4"/>
  <c r="G1054" i="4"/>
  <c r="F1054" i="4"/>
  <c r="E1054" i="4"/>
  <c r="U1054" i="4" s="1"/>
  <c r="D1054" i="4"/>
  <c r="C1054" i="4"/>
  <c r="B1054" i="4"/>
  <c r="A1054" i="4"/>
  <c r="X1053" i="4"/>
  <c r="V1053" i="4"/>
  <c r="T1053" i="4"/>
  <c r="S1053" i="4"/>
  <c r="R1053" i="4"/>
  <c r="Q1053" i="4"/>
  <c r="P1053" i="4"/>
  <c r="O1053" i="4"/>
  <c r="W1053" i="4" s="1"/>
  <c r="N1053" i="4"/>
  <c r="M1053" i="4"/>
  <c r="L1053" i="4"/>
  <c r="K1053" i="4"/>
  <c r="J1053" i="4"/>
  <c r="I1053" i="4"/>
  <c r="H1053" i="4"/>
  <c r="G1053" i="4"/>
  <c r="F1053" i="4"/>
  <c r="E1053" i="4"/>
  <c r="U1053" i="4" s="1"/>
  <c r="D1053" i="4"/>
  <c r="C1053" i="4"/>
  <c r="B1053" i="4"/>
  <c r="A1053" i="4"/>
  <c r="X1052" i="4"/>
  <c r="W1052" i="4"/>
  <c r="V1052" i="4"/>
  <c r="T1052" i="4"/>
  <c r="S1052" i="4"/>
  <c r="R1052" i="4"/>
  <c r="Q1052" i="4"/>
  <c r="P1052" i="4"/>
  <c r="O1052" i="4"/>
  <c r="N1052" i="4"/>
  <c r="M1052" i="4"/>
  <c r="L1052" i="4"/>
  <c r="K1052" i="4"/>
  <c r="J1052" i="4"/>
  <c r="I1052" i="4"/>
  <c r="H1052" i="4"/>
  <c r="G1052" i="4"/>
  <c r="F1052" i="4"/>
  <c r="E1052" i="4"/>
  <c r="U1052" i="4" s="1"/>
  <c r="D1052" i="4"/>
  <c r="C1052" i="4"/>
  <c r="B1052" i="4"/>
  <c r="A1052" i="4"/>
  <c r="X1051" i="4"/>
  <c r="V1051" i="4"/>
  <c r="T1051" i="4"/>
  <c r="S1051" i="4"/>
  <c r="R1051" i="4"/>
  <c r="Q1051" i="4"/>
  <c r="P1051" i="4"/>
  <c r="O1051" i="4"/>
  <c r="W1051" i="4" s="1"/>
  <c r="N1051" i="4"/>
  <c r="M1051" i="4"/>
  <c r="L1051" i="4"/>
  <c r="K1051" i="4"/>
  <c r="J1051" i="4"/>
  <c r="I1051" i="4"/>
  <c r="H1051" i="4"/>
  <c r="G1051" i="4"/>
  <c r="F1051" i="4"/>
  <c r="E1051" i="4"/>
  <c r="U1051" i="4" s="1"/>
  <c r="D1051" i="4"/>
  <c r="C1051" i="4"/>
  <c r="B1051" i="4"/>
  <c r="A1051" i="4"/>
  <c r="X1050" i="4"/>
  <c r="W1050" i="4"/>
  <c r="V1050" i="4"/>
  <c r="T1050" i="4"/>
  <c r="S1050" i="4"/>
  <c r="R1050" i="4"/>
  <c r="Q1050" i="4"/>
  <c r="P1050" i="4"/>
  <c r="O1050" i="4"/>
  <c r="N1050" i="4"/>
  <c r="M1050" i="4"/>
  <c r="L1050" i="4"/>
  <c r="K1050" i="4"/>
  <c r="J1050" i="4"/>
  <c r="I1050" i="4"/>
  <c r="H1050" i="4"/>
  <c r="G1050" i="4"/>
  <c r="F1050" i="4"/>
  <c r="E1050" i="4"/>
  <c r="U1050" i="4" s="1"/>
  <c r="D1050" i="4"/>
  <c r="C1050" i="4"/>
  <c r="B1050" i="4"/>
  <c r="A1050" i="4"/>
  <c r="X1049" i="4"/>
  <c r="V1049" i="4"/>
  <c r="T1049" i="4"/>
  <c r="S1049" i="4"/>
  <c r="R1049" i="4"/>
  <c r="Q1049" i="4"/>
  <c r="P1049" i="4"/>
  <c r="O1049" i="4"/>
  <c r="W1049" i="4" s="1"/>
  <c r="N1049" i="4"/>
  <c r="M1049" i="4"/>
  <c r="L1049" i="4"/>
  <c r="K1049" i="4"/>
  <c r="J1049" i="4"/>
  <c r="I1049" i="4"/>
  <c r="H1049" i="4"/>
  <c r="G1049" i="4"/>
  <c r="F1049" i="4"/>
  <c r="E1049" i="4"/>
  <c r="U1049" i="4" s="1"/>
  <c r="D1049" i="4"/>
  <c r="C1049" i="4"/>
  <c r="B1049" i="4"/>
  <c r="A1049" i="4"/>
  <c r="X1048" i="4"/>
  <c r="W1048" i="4"/>
  <c r="V1048" i="4"/>
  <c r="T1048" i="4"/>
  <c r="S1048" i="4"/>
  <c r="R1048" i="4"/>
  <c r="Q1048" i="4"/>
  <c r="P1048" i="4"/>
  <c r="O1048" i="4"/>
  <c r="N1048" i="4"/>
  <c r="M1048" i="4"/>
  <c r="L1048" i="4"/>
  <c r="K1048" i="4"/>
  <c r="J1048" i="4"/>
  <c r="I1048" i="4"/>
  <c r="H1048" i="4"/>
  <c r="G1048" i="4"/>
  <c r="F1048" i="4"/>
  <c r="E1048" i="4"/>
  <c r="U1048" i="4" s="1"/>
  <c r="D1048" i="4"/>
  <c r="C1048" i="4"/>
  <c r="B1048" i="4"/>
  <c r="A1048" i="4"/>
  <c r="X1047" i="4"/>
  <c r="V1047" i="4"/>
  <c r="T1047" i="4"/>
  <c r="S1047" i="4"/>
  <c r="R1047" i="4"/>
  <c r="Q1047" i="4"/>
  <c r="P1047" i="4"/>
  <c r="O1047" i="4"/>
  <c r="W1047" i="4" s="1"/>
  <c r="N1047" i="4"/>
  <c r="M1047" i="4"/>
  <c r="L1047" i="4"/>
  <c r="K1047" i="4"/>
  <c r="J1047" i="4"/>
  <c r="I1047" i="4"/>
  <c r="H1047" i="4"/>
  <c r="G1047" i="4"/>
  <c r="F1047" i="4"/>
  <c r="E1047" i="4"/>
  <c r="U1047" i="4" s="1"/>
  <c r="D1047" i="4"/>
  <c r="C1047" i="4"/>
  <c r="B1047" i="4"/>
  <c r="A1047" i="4"/>
  <c r="X1046" i="4"/>
  <c r="W1046" i="4"/>
  <c r="V1046" i="4"/>
  <c r="T1046" i="4"/>
  <c r="S1046" i="4"/>
  <c r="R1046" i="4"/>
  <c r="Q1046" i="4"/>
  <c r="P1046" i="4"/>
  <c r="O1046" i="4"/>
  <c r="N1046" i="4"/>
  <c r="M1046" i="4"/>
  <c r="L1046" i="4"/>
  <c r="K1046" i="4"/>
  <c r="J1046" i="4"/>
  <c r="I1046" i="4"/>
  <c r="H1046" i="4"/>
  <c r="G1046" i="4"/>
  <c r="F1046" i="4"/>
  <c r="E1046" i="4"/>
  <c r="U1046" i="4" s="1"/>
  <c r="D1046" i="4"/>
  <c r="C1046" i="4"/>
  <c r="B1046" i="4"/>
  <c r="A1046" i="4"/>
  <c r="X1045" i="4"/>
  <c r="V1045" i="4"/>
  <c r="T1045" i="4"/>
  <c r="S1045" i="4"/>
  <c r="R1045" i="4"/>
  <c r="Q1045" i="4"/>
  <c r="P1045" i="4"/>
  <c r="O1045" i="4"/>
  <c r="W1045" i="4" s="1"/>
  <c r="N1045" i="4"/>
  <c r="M1045" i="4"/>
  <c r="L1045" i="4"/>
  <c r="K1045" i="4"/>
  <c r="J1045" i="4"/>
  <c r="I1045" i="4"/>
  <c r="H1045" i="4"/>
  <c r="G1045" i="4"/>
  <c r="F1045" i="4"/>
  <c r="E1045" i="4"/>
  <c r="U1045" i="4" s="1"/>
  <c r="D1045" i="4"/>
  <c r="C1045" i="4"/>
  <c r="B1045" i="4"/>
  <c r="A1045" i="4"/>
  <c r="X1044" i="4"/>
  <c r="W1044" i="4"/>
  <c r="V1044" i="4"/>
  <c r="T1044" i="4"/>
  <c r="S1044" i="4"/>
  <c r="R1044" i="4"/>
  <c r="Q1044" i="4"/>
  <c r="P1044" i="4"/>
  <c r="O1044" i="4"/>
  <c r="N1044" i="4"/>
  <c r="M1044" i="4"/>
  <c r="L1044" i="4"/>
  <c r="K1044" i="4"/>
  <c r="J1044" i="4"/>
  <c r="I1044" i="4"/>
  <c r="H1044" i="4"/>
  <c r="G1044" i="4"/>
  <c r="F1044" i="4"/>
  <c r="E1044" i="4"/>
  <c r="U1044" i="4" s="1"/>
  <c r="D1044" i="4"/>
  <c r="C1044" i="4"/>
  <c r="B1044" i="4"/>
  <c r="A1044" i="4"/>
  <c r="X1043" i="4"/>
  <c r="V1043" i="4"/>
  <c r="T1043" i="4"/>
  <c r="S1043" i="4"/>
  <c r="R1043" i="4"/>
  <c r="Q1043" i="4"/>
  <c r="P1043" i="4"/>
  <c r="O1043" i="4"/>
  <c r="W1043" i="4" s="1"/>
  <c r="N1043" i="4"/>
  <c r="M1043" i="4"/>
  <c r="L1043" i="4"/>
  <c r="K1043" i="4"/>
  <c r="J1043" i="4"/>
  <c r="I1043" i="4"/>
  <c r="H1043" i="4"/>
  <c r="G1043" i="4"/>
  <c r="F1043" i="4"/>
  <c r="E1043" i="4"/>
  <c r="U1043" i="4" s="1"/>
  <c r="D1043" i="4"/>
  <c r="C1043" i="4"/>
  <c r="B1043" i="4"/>
  <c r="A1043" i="4"/>
  <c r="X1042" i="4"/>
  <c r="W1042" i="4"/>
  <c r="V1042" i="4"/>
  <c r="T1042" i="4"/>
  <c r="S1042" i="4"/>
  <c r="R1042" i="4"/>
  <c r="Q1042" i="4"/>
  <c r="P1042" i="4"/>
  <c r="O1042" i="4"/>
  <c r="N1042" i="4"/>
  <c r="M1042" i="4"/>
  <c r="L1042" i="4"/>
  <c r="K1042" i="4"/>
  <c r="J1042" i="4"/>
  <c r="I1042" i="4"/>
  <c r="H1042" i="4"/>
  <c r="G1042" i="4"/>
  <c r="F1042" i="4"/>
  <c r="E1042" i="4"/>
  <c r="U1042" i="4" s="1"/>
  <c r="D1042" i="4"/>
  <c r="C1042" i="4"/>
  <c r="B1042" i="4"/>
  <c r="A1042" i="4"/>
  <c r="X1041" i="4"/>
  <c r="V1041" i="4"/>
  <c r="T1041" i="4"/>
  <c r="S1041" i="4"/>
  <c r="R1041" i="4"/>
  <c r="Q1041" i="4"/>
  <c r="P1041" i="4"/>
  <c r="O1041" i="4"/>
  <c r="W1041" i="4" s="1"/>
  <c r="N1041" i="4"/>
  <c r="M1041" i="4"/>
  <c r="L1041" i="4"/>
  <c r="K1041" i="4"/>
  <c r="J1041" i="4"/>
  <c r="I1041" i="4"/>
  <c r="H1041" i="4"/>
  <c r="G1041" i="4"/>
  <c r="F1041" i="4"/>
  <c r="E1041" i="4"/>
  <c r="U1041" i="4" s="1"/>
  <c r="D1041" i="4"/>
  <c r="C1041" i="4"/>
  <c r="B1041" i="4"/>
  <c r="A1041" i="4"/>
  <c r="X1040" i="4"/>
  <c r="W1040" i="4"/>
  <c r="V1040" i="4"/>
  <c r="T1040" i="4"/>
  <c r="S1040" i="4"/>
  <c r="R1040" i="4"/>
  <c r="Q1040" i="4"/>
  <c r="P1040" i="4"/>
  <c r="O1040" i="4"/>
  <c r="N1040" i="4"/>
  <c r="M1040" i="4"/>
  <c r="L1040" i="4"/>
  <c r="K1040" i="4"/>
  <c r="J1040" i="4"/>
  <c r="I1040" i="4"/>
  <c r="H1040" i="4"/>
  <c r="G1040" i="4"/>
  <c r="F1040" i="4"/>
  <c r="E1040" i="4"/>
  <c r="U1040" i="4" s="1"/>
  <c r="D1040" i="4"/>
  <c r="C1040" i="4"/>
  <c r="B1040" i="4"/>
  <c r="A1040" i="4"/>
  <c r="X1039" i="4"/>
  <c r="V1039" i="4"/>
  <c r="U1039" i="4"/>
  <c r="T1039" i="4"/>
  <c r="S1039" i="4"/>
  <c r="R1039" i="4"/>
  <c r="Q1039" i="4"/>
  <c r="P1039" i="4"/>
  <c r="O1039" i="4"/>
  <c r="W1039" i="4" s="1"/>
  <c r="N1039" i="4"/>
  <c r="M1039" i="4"/>
  <c r="L1039" i="4"/>
  <c r="K1039" i="4"/>
  <c r="J1039" i="4"/>
  <c r="I1039" i="4"/>
  <c r="H1039" i="4"/>
  <c r="G1039" i="4"/>
  <c r="F1039" i="4"/>
  <c r="E1039" i="4"/>
  <c r="D1039" i="4"/>
  <c r="C1039" i="4"/>
  <c r="B1039" i="4"/>
  <c r="A1039" i="4"/>
  <c r="X1038" i="4"/>
  <c r="W1038" i="4"/>
  <c r="V1038" i="4"/>
  <c r="T1038" i="4"/>
  <c r="S1038" i="4"/>
  <c r="R1038" i="4"/>
  <c r="Q1038" i="4"/>
  <c r="P1038" i="4"/>
  <c r="O1038" i="4"/>
  <c r="N1038" i="4"/>
  <c r="M1038" i="4"/>
  <c r="L1038" i="4"/>
  <c r="K1038" i="4"/>
  <c r="J1038" i="4"/>
  <c r="I1038" i="4"/>
  <c r="H1038" i="4"/>
  <c r="G1038" i="4"/>
  <c r="F1038" i="4"/>
  <c r="E1038" i="4"/>
  <c r="U1038" i="4" s="1"/>
  <c r="D1038" i="4"/>
  <c r="C1038" i="4"/>
  <c r="B1038" i="4"/>
  <c r="A1038" i="4"/>
  <c r="X1037" i="4"/>
  <c r="V1037" i="4"/>
  <c r="T1037" i="4"/>
  <c r="S1037" i="4"/>
  <c r="R1037" i="4"/>
  <c r="Q1037" i="4"/>
  <c r="P1037" i="4"/>
  <c r="O1037" i="4"/>
  <c r="W1037" i="4" s="1"/>
  <c r="N1037" i="4"/>
  <c r="M1037" i="4"/>
  <c r="L1037" i="4"/>
  <c r="K1037" i="4"/>
  <c r="J1037" i="4"/>
  <c r="I1037" i="4"/>
  <c r="H1037" i="4"/>
  <c r="G1037" i="4"/>
  <c r="F1037" i="4"/>
  <c r="E1037" i="4"/>
  <c r="U1037" i="4" s="1"/>
  <c r="D1037" i="4"/>
  <c r="C1037" i="4"/>
  <c r="B1037" i="4"/>
  <c r="A1037" i="4"/>
  <c r="X1036" i="4"/>
  <c r="W1036" i="4"/>
  <c r="V1036" i="4"/>
  <c r="T1036" i="4"/>
  <c r="S1036" i="4"/>
  <c r="R1036" i="4"/>
  <c r="Q1036" i="4"/>
  <c r="P1036" i="4"/>
  <c r="O1036" i="4"/>
  <c r="N1036" i="4"/>
  <c r="M1036" i="4"/>
  <c r="L1036" i="4"/>
  <c r="K1036" i="4"/>
  <c r="J1036" i="4"/>
  <c r="I1036" i="4"/>
  <c r="H1036" i="4"/>
  <c r="G1036" i="4"/>
  <c r="F1036" i="4"/>
  <c r="E1036" i="4"/>
  <c r="U1036" i="4" s="1"/>
  <c r="D1036" i="4"/>
  <c r="C1036" i="4"/>
  <c r="B1036" i="4"/>
  <c r="A1036" i="4"/>
  <c r="X1035" i="4"/>
  <c r="V1035" i="4"/>
  <c r="T1035" i="4"/>
  <c r="S1035" i="4"/>
  <c r="R1035" i="4"/>
  <c r="Q1035" i="4"/>
  <c r="P1035" i="4"/>
  <c r="O1035" i="4"/>
  <c r="W1035" i="4" s="1"/>
  <c r="N1035" i="4"/>
  <c r="M1035" i="4"/>
  <c r="L1035" i="4"/>
  <c r="K1035" i="4"/>
  <c r="J1035" i="4"/>
  <c r="I1035" i="4"/>
  <c r="H1035" i="4"/>
  <c r="G1035" i="4"/>
  <c r="F1035" i="4"/>
  <c r="E1035" i="4"/>
  <c r="U1035" i="4" s="1"/>
  <c r="D1035" i="4"/>
  <c r="C1035" i="4"/>
  <c r="B1035" i="4"/>
  <c r="A1035" i="4"/>
  <c r="X1034" i="4"/>
  <c r="W1034" i="4"/>
  <c r="V1034" i="4"/>
  <c r="T1034" i="4"/>
  <c r="S1034" i="4"/>
  <c r="R1034" i="4"/>
  <c r="Q1034" i="4"/>
  <c r="P1034" i="4"/>
  <c r="O1034" i="4"/>
  <c r="N1034" i="4"/>
  <c r="M1034" i="4"/>
  <c r="L1034" i="4"/>
  <c r="K1034" i="4"/>
  <c r="J1034" i="4"/>
  <c r="I1034" i="4"/>
  <c r="H1034" i="4"/>
  <c r="G1034" i="4"/>
  <c r="F1034" i="4"/>
  <c r="E1034" i="4"/>
  <c r="U1034" i="4" s="1"/>
  <c r="D1034" i="4"/>
  <c r="C1034" i="4"/>
  <c r="B1034" i="4"/>
  <c r="A1034" i="4"/>
  <c r="X1033" i="4"/>
  <c r="V1033" i="4"/>
  <c r="T1033" i="4"/>
  <c r="S1033" i="4"/>
  <c r="R1033" i="4"/>
  <c r="Q1033" i="4"/>
  <c r="P1033" i="4"/>
  <c r="O1033" i="4"/>
  <c r="W1033" i="4" s="1"/>
  <c r="N1033" i="4"/>
  <c r="M1033" i="4"/>
  <c r="L1033" i="4"/>
  <c r="K1033" i="4"/>
  <c r="J1033" i="4"/>
  <c r="I1033" i="4"/>
  <c r="H1033" i="4"/>
  <c r="G1033" i="4"/>
  <c r="F1033" i="4"/>
  <c r="E1033" i="4"/>
  <c r="U1033" i="4" s="1"/>
  <c r="D1033" i="4"/>
  <c r="C1033" i="4"/>
  <c r="B1033" i="4"/>
  <c r="A1033" i="4"/>
  <c r="X1032" i="4"/>
  <c r="W1032" i="4"/>
  <c r="V1032" i="4"/>
  <c r="T1032" i="4"/>
  <c r="S1032" i="4"/>
  <c r="R1032" i="4"/>
  <c r="Q1032" i="4"/>
  <c r="P1032" i="4"/>
  <c r="O1032" i="4"/>
  <c r="N1032" i="4"/>
  <c r="M1032" i="4"/>
  <c r="L1032" i="4"/>
  <c r="K1032" i="4"/>
  <c r="J1032" i="4"/>
  <c r="I1032" i="4"/>
  <c r="H1032" i="4"/>
  <c r="G1032" i="4"/>
  <c r="F1032" i="4"/>
  <c r="E1032" i="4"/>
  <c r="U1032" i="4" s="1"/>
  <c r="D1032" i="4"/>
  <c r="C1032" i="4"/>
  <c r="B1032" i="4"/>
  <c r="A1032" i="4"/>
  <c r="X1031" i="4"/>
  <c r="V1031" i="4"/>
  <c r="T1031" i="4"/>
  <c r="S1031" i="4"/>
  <c r="R1031" i="4"/>
  <c r="Q1031" i="4"/>
  <c r="P1031" i="4"/>
  <c r="O1031" i="4"/>
  <c r="W1031" i="4" s="1"/>
  <c r="N1031" i="4"/>
  <c r="M1031" i="4"/>
  <c r="L1031" i="4"/>
  <c r="K1031" i="4"/>
  <c r="J1031" i="4"/>
  <c r="I1031" i="4"/>
  <c r="H1031" i="4"/>
  <c r="G1031" i="4"/>
  <c r="F1031" i="4"/>
  <c r="E1031" i="4"/>
  <c r="U1031" i="4" s="1"/>
  <c r="D1031" i="4"/>
  <c r="C1031" i="4"/>
  <c r="B1031" i="4"/>
  <c r="A1031" i="4"/>
  <c r="X1030" i="4"/>
  <c r="W1030" i="4"/>
  <c r="V1030" i="4"/>
  <c r="T1030" i="4"/>
  <c r="S1030" i="4"/>
  <c r="R1030" i="4"/>
  <c r="Q1030" i="4"/>
  <c r="P1030" i="4"/>
  <c r="O1030" i="4"/>
  <c r="N1030" i="4"/>
  <c r="M1030" i="4"/>
  <c r="L1030" i="4"/>
  <c r="K1030" i="4"/>
  <c r="J1030" i="4"/>
  <c r="I1030" i="4"/>
  <c r="H1030" i="4"/>
  <c r="G1030" i="4"/>
  <c r="F1030" i="4"/>
  <c r="E1030" i="4"/>
  <c r="U1030" i="4" s="1"/>
  <c r="D1030" i="4"/>
  <c r="C1030" i="4"/>
  <c r="B1030" i="4"/>
  <c r="A1030" i="4"/>
  <c r="X1029" i="4"/>
  <c r="V1029" i="4"/>
  <c r="T1029" i="4"/>
  <c r="S1029" i="4"/>
  <c r="R1029" i="4"/>
  <c r="Q1029" i="4"/>
  <c r="P1029" i="4"/>
  <c r="O1029" i="4"/>
  <c r="W1029" i="4" s="1"/>
  <c r="N1029" i="4"/>
  <c r="M1029" i="4"/>
  <c r="L1029" i="4"/>
  <c r="K1029" i="4"/>
  <c r="J1029" i="4"/>
  <c r="I1029" i="4"/>
  <c r="H1029" i="4"/>
  <c r="G1029" i="4"/>
  <c r="F1029" i="4"/>
  <c r="E1029" i="4"/>
  <c r="U1029" i="4" s="1"/>
  <c r="D1029" i="4"/>
  <c r="C1029" i="4"/>
  <c r="B1029" i="4"/>
  <c r="A1029" i="4"/>
  <c r="X1028" i="4"/>
  <c r="W1028" i="4"/>
  <c r="V1028" i="4"/>
  <c r="T1028" i="4"/>
  <c r="S1028" i="4"/>
  <c r="R1028" i="4"/>
  <c r="Q1028" i="4"/>
  <c r="P1028" i="4"/>
  <c r="O1028" i="4"/>
  <c r="N1028" i="4"/>
  <c r="M1028" i="4"/>
  <c r="L1028" i="4"/>
  <c r="K1028" i="4"/>
  <c r="J1028" i="4"/>
  <c r="I1028" i="4"/>
  <c r="H1028" i="4"/>
  <c r="G1028" i="4"/>
  <c r="F1028" i="4"/>
  <c r="E1028" i="4"/>
  <c r="U1028" i="4" s="1"/>
  <c r="D1028" i="4"/>
  <c r="C1028" i="4"/>
  <c r="B1028" i="4"/>
  <c r="A1028" i="4"/>
  <c r="X1027" i="4"/>
  <c r="V1027" i="4"/>
  <c r="T1027" i="4"/>
  <c r="S1027" i="4"/>
  <c r="R1027" i="4"/>
  <c r="Q1027" i="4"/>
  <c r="P1027" i="4"/>
  <c r="O1027" i="4"/>
  <c r="W1027" i="4" s="1"/>
  <c r="N1027" i="4"/>
  <c r="M1027" i="4"/>
  <c r="L1027" i="4"/>
  <c r="K1027" i="4"/>
  <c r="J1027" i="4"/>
  <c r="I1027" i="4"/>
  <c r="H1027" i="4"/>
  <c r="G1027" i="4"/>
  <c r="F1027" i="4"/>
  <c r="E1027" i="4"/>
  <c r="U1027" i="4" s="1"/>
  <c r="D1027" i="4"/>
  <c r="C1027" i="4"/>
  <c r="B1027" i="4"/>
  <c r="A1027" i="4"/>
  <c r="X1026" i="4"/>
  <c r="W1026" i="4"/>
  <c r="V1026" i="4"/>
  <c r="T1026" i="4"/>
  <c r="S1026" i="4"/>
  <c r="R1026" i="4"/>
  <c r="Q1026" i="4"/>
  <c r="P1026" i="4"/>
  <c r="O1026" i="4"/>
  <c r="N1026" i="4"/>
  <c r="M1026" i="4"/>
  <c r="L1026" i="4"/>
  <c r="K1026" i="4"/>
  <c r="J1026" i="4"/>
  <c r="I1026" i="4"/>
  <c r="H1026" i="4"/>
  <c r="G1026" i="4"/>
  <c r="F1026" i="4"/>
  <c r="E1026" i="4"/>
  <c r="U1026" i="4" s="1"/>
  <c r="D1026" i="4"/>
  <c r="C1026" i="4"/>
  <c r="B1026" i="4"/>
  <c r="A1026" i="4"/>
  <c r="X1025" i="4"/>
  <c r="V1025" i="4"/>
  <c r="T1025" i="4"/>
  <c r="S1025" i="4"/>
  <c r="R1025" i="4"/>
  <c r="Q1025" i="4"/>
  <c r="P1025" i="4"/>
  <c r="O1025" i="4"/>
  <c r="W1025" i="4" s="1"/>
  <c r="N1025" i="4"/>
  <c r="M1025" i="4"/>
  <c r="L1025" i="4"/>
  <c r="K1025" i="4"/>
  <c r="J1025" i="4"/>
  <c r="I1025" i="4"/>
  <c r="H1025" i="4"/>
  <c r="G1025" i="4"/>
  <c r="F1025" i="4"/>
  <c r="E1025" i="4"/>
  <c r="U1025" i="4" s="1"/>
  <c r="D1025" i="4"/>
  <c r="C1025" i="4"/>
  <c r="B1025" i="4"/>
  <c r="A1025" i="4"/>
  <c r="X1024" i="4"/>
  <c r="W1024" i="4"/>
  <c r="V1024" i="4"/>
  <c r="T1024" i="4"/>
  <c r="S1024" i="4"/>
  <c r="R1024" i="4"/>
  <c r="Q1024" i="4"/>
  <c r="P1024" i="4"/>
  <c r="O1024" i="4"/>
  <c r="N1024" i="4"/>
  <c r="M1024" i="4"/>
  <c r="L1024" i="4"/>
  <c r="K1024" i="4"/>
  <c r="J1024" i="4"/>
  <c r="I1024" i="4"/>
  <c r="H1024" i="4"/>
  <c r="G1024" i="4"/>
  <c r="F1024" i="4"/>
  <c r="E1024" i="4"/>
  <c r="U1024" i="4" s="1"/>
  <c r="D1024" i="4"/>
  <c r="C1024" i="4"/>
  <c r="B1024" i="4"/>
  <c r="A1024" i="4"/>
  <c r="X1023" i="4"/>
  <c r="V1023" i="4"/>
  <c r="T1023" i="4"/>
  <c r="S1023" i="4"/>
  <c r="R1023" i="4"/>
  <c r="Q1023" i="4"/>
  <c r="P1023" i="4"/>
  <c r="O1023" i="4"/>
  <c r="W1023" i="4" s="1"/>
  <c r="N1023" i="4"/>
  <c r="M1023" i="4"/>
  <c r="L1023" i="4"/>
  <c r="K1023" i="4"/>
  <c r="J1023" i="4"/>
  <c r="I1023" i="4"/>
  <c r="H1023" i="4"/>
  <c r="G1023" i="4"/>
  <c r="F1023" i="4"/>
  <c r="E1023" i="4"/>
  <c r="U1023" i="4" s="1"/>
  <c r="D1023" i="4"/>
  <c r="C1023" i="4"/>
  <c r="B1023" i="4"/>
  <c r="A1023" i="4"/>
  <c r="X1022" i="4"/>
  <c r="W1022" i="4"/>
  <c r="V1022" i="4"/>
  <c r="T1022" i="4"/>
  <c r="S1022" i="4"/>
  <c r="R1022" i="4"/>
  <c r="Q1022" i="4"/>
  <c r="P1022" i="4"/>
  <c r="O1022" i="4"/>
  <c r="N1022" i="4"/>
  <c r="M1022" i="4"/>
  <c r="L1022" i="4"/>
  <c r="K1022" i="4"/>
  <c r="J1022" i="4"/>
  <c r="I1022" i="4"/>
  <c r="H1022" i="4"/>
  <c r="G1022" i="4"/>
  <c r="F1022" i="4"/>
  <c r="E1022" i="4"/>
  <c r="U1022" i="4" s="1"/>
  <c r="D1022" i="4"/>
  <c r="C1022" i="4"/>
  <c r="B1022" i="4"/>
  <c r="A1022" i="4"/>
  <c r="X1021" i="4"/>
  <c r="V1021" i="4"/>
  <c r="T1021" i="4"/>
  <c r="S1021" i="4"/>
  <c r="R1021" i="4"/>
  <c r="Q1021" i="4"/>
  <c r="P1021" i="4"/>
  <c r="O1021" i="4"/>
  <c r="W1021" i="4" s="1"/>
  <c r="N1021" i="4"/>
  <c r="M1021" i="4"/>
  <c r="L1021" i="4"/>
  <c r="K1021" i="4"/>
  <c r="J1021" i="4"/>
  <c r="I1021" i="4"/>
  <c r="H1021" i="4"/>
  <c r="G1021" i="4"/>
  <c r="F1021" i="4"/>
  <c r="E1021" i="4"/>
  <c r="U1021" i="4" s="1"/>
  <c r="D1021" i="4"/>
  <c r="C1021" i="4"/>
  <c r="B1021" i="4"/>
  <c r="A1021" i="4"/>
  <c r="X1020" i="4"/>
  <c r="W1020" i="4"/>
  <c r="V1020" i="4"/>
  <c r="T1020" i="4"/>
  <c r="S1020" i="4"/>
  <c r="R1020" i="4"/>
  <c r="Q1020" i="4"/>
  <c r="P1020" i="4"/>
  <c r="O1020" i="4"/>
  <c r="N1020" i="4"/>
  <c r="M1020" i="4"/>
  <c r="L1020" i="4"/>
  <c r="K1020" i="4"/>
  <c r="J1020" i="4"/>
  <c r="I1020" i="4"/>
  <c r="H1020" i="4"/>
  <c r="G1020" i="4"/>
  <c r="F1020" i="4"/>
  <c r="E1020" i="4"/>
  <c r="U1020" i="4" s="1"/>
  <c r="D1020" i="4"/>
  <c r="C1020" i="4"/>
  <c r="B1020" i="4"/>
  <c r="A1020" i="4"/>
  <c r="X1019" i="4"/>
  <c r="V1019" i="4"/>
  <c r="T1019" i="4"/>
  <c r="S1019" i="4"/>
  <c r="R1019" i="4"/>
  <c r="Q1019" i="4"/>
  <c r="P1019" i="4"/>
  <c r="O1019" i="4"/>
  <c r="W1019" i="4" s="1"/>
  <c r="N1019" i="4"/>
  <c r="M1019" i="4"/>
  <c r="L1019" i="4"/>
  <c r="K1019" i="4"/>
  <c r="J1019" i="4"/>
  <c r="I1019" i="4"/>
  <c r="H1019" i="4"/>
  <c r="G1019" i="4"/>
  <c r="F1019" i="4"/>
  <c r="E1019" i="4"/>
  <c r="U1019" i="4" s="1"/>
  <c r="D1019" i="4"/>
  <c r="C1019" i="4"/>
  <c r="B1019" i="4"/>
  <c r="A1019" i="4"/>
  <c r="X1018" i="4"/>
  <c r="W1018" i="4"/>
  <c r="V1018" i="4"/>
  <c r="T1018" i="4"/>
  <c r="S1018" i="4"/>
  <c r="R1018" i="4"/>
  <c r="Q1018" i="4"/>
  <c r="P1018" i="4"/>
  <c r="O1018" i="4"/>
  <c r="N1018" i="4"/>
  <c r="M1018" i="4"/>
  <c r="L1018" i="4"/>
  <c r="K1018" i="4"/>
  <c r="J1018" i="4"/>
  <c r="I1018" i="4"/>
  <c r="H1018" i="4"/>
  <c r="G1018" i="4"/>
  <c r="F1018" i="4"/>
  <c r="E1018" i="4"/>
  <c r="U1018" i="4" s="1"/>
  <c r="D1018" i="4"/>
  <c r="C1018" i="4"/>
  <c r="B1018" i="4"/>
  <c r="A1018" i="4"/>
  <c r="X1017" i="4"/>
  <c r="V1017" i="4"/>
  <c r="T1017" i="4"/>
  <c r="S1017" i="4"/>
  <c r="R1017" i="4"/>
  <c r="Q1017" i="4"/>
  <c r="P1017" i="4"/>
  <c r="O1017" i="4"/>
  <c r="W1017" i="4" s="1"/>
  <c r="N1017" i="4"/>
  <c r="M1017" i="4"/>
  <c r="L1017" i="4"/>
  <c r="K1017" i="4"/>
  <c r="J1017" i="4"/>
  <c r="I1017" i="4"/>
  <c r="H1017" i="4"/>
  <c r="G1017" i="4"/>
  <c r="F1017" i="4"/>
  <c r="E1017" i="4"/>
  <c r="U1017" i="4" s="1"/>
  <c r="D1017" i="4"/>
  <c r="C1017" i="4"/>
  <c r="B1017" i="4"/>
  <c r="A1017" i="4"/>
  <c r="X1016" i="4"/>
  <c r="T1016" i="4"/>
  <c r="S1016" i="4"/>
  <c r="W1016" i="4" s="1"/>
  <c r="R1016" i="4"/>
  <c r="Q1016" i="4"/>
  <c r="P1016" i="4"/>
  <c r="O1016" i="4"/>
  <c r="N1016" i="4"/>
  <c r="M1016" i="4"/>
  <c r="L1016" i="4"/>
  <c r="K1016" i="4"/>
  <c r="J1016" i="4"/>
  <c r="I1016" i="4"/>
  <c r="H1016" i="4"/>
  <c r="G1016" i="4"/>
  <c r="F1016" i="4"/>
  <c r="E1016" i="4"/>
  <c r="U1016" i="4" s="1"/>
  <c r="D1016" i="4"/>
  <c r="C1016" i="4"/>
  <c r="V1016" i="4" s="1"/>
  <c r="B1016" i="4"/>
  <c r="A1016" i="4"/>
  <c r="X1015" i="4"/>
  <c r="V1015" i="4"/>
  <c r="T1015" i="4"/>
  <c r="S1015" i="4"/>
  <c r="R1015" i="4"/>
  <c r="Q1015" i="4"/>
  <c r="P1015" i="4"/>
  <c r="O1015" i="4"/>
  <c r="W1015" i="4" s="1"/>
  <c r="N1015" i="4"/>
  <c r="M1015" i="4"/>
  <c r="L1015" i="4"/>
  <c r="K1015" i="4"/>
  <c r="J1015" i="4"/>
  <c r="I1015" i="4"/>
  <c r="H1015" i="4"/>
  <c r="G1015" i="4"/>
  <c r="F1015" i="4"/>
  <c r="E1015" i="4"/>
  <c r="U1015" i="4" s="1"/>
  <c r="D1015" i="4"/>
  <c r="C1015" i="4"/>
  <c r="B1015" i="4"/>
  <c r="A1015" i="4"/>
  <c r="X1014" i="4"/>
  <c r="T1014" i="4"/>
  <c r="S1014" i="4"/>
  <c r="W1014" i="4" s="1"/>
  <c r="R1014" i="4"/>
  <c r="Q1014" i="4"/>
  <c r="P1014" i="4"/>
  <c r="O1014" i="4"/>
  <c r="N1014" i="4"/>
  <c r="M1014" i="4"/>
  <c r="L1014" i="4"/>
  <c r="K1014" i="4"/>
  <c r="J1014" i="4"/>
  <c r="I1014" i="4"/>
  <c r="H1014" i="4"/>
  <c r="G1014" i="4"/>
  <c r="F1014" i="4"/>
  <c r="E1014" i="4"/>
  <c r="U1014" i="4" s="1"/>
  <c r="D1014" i="4"/>
  <c r="C1014" i="4"/>
  <c r="V1014" i="4" s="1"/>
  <c r="B1014" i="4"/>
  <c r="A1014" i="4"/>
  <c r="X1013" i="4"/>
  <c r="V1013" i="4"/>
  <c r="T1013" i="4"/>
  <c r="S1013" i="4"/>
  <c r="R1013" i="4"/>
  <c r="Q1013" i="4"/>
  <c r="P1013" i="4"/>
  <c r="O1013" i="4"/>
  <c r="W1013" i="4" s="1"/>
  <c r="N1013" i="4"/>
  <c r="M1013" i="4"/>
  <c r="L1013" i="4"/>
  <c r="K1013" i="4"/>
  <c r="J1013" i="4"/>
  <c r="I1013" i="4"/>
  <c r="H1013" i="4"/>
  <c r="G1013" i="4"/>
  <c r="F1013" i="4"/>
  <c r="E1013" i="4"/>
  <c r="U1013" i="4" s="1"/>
  <c r="D1013" i="4"/>
  <c r="C1013" i="4"/>
  <c r="B1013" i="4"/>
  <c r="A1013" i="4"/>
  <c r="X1012" i="4"/>
  <c r="T1012" i="4"/>
  <c r="S1012" i="4"/>
  <c r="W1012" i="4" s="1"/>
  <c r="R1012" i="4"/>
  <c r="Q1012" i="4"/>
  <c r="P1012" i="4"/>
  <c r="O1012" i="4"/>
  <c r="N1012" i="4"/>
  <c r="M1012" i="4"/>
  <c r="L1012" i="4"/>
  <c r="K1012" i="4"/>
  <c r="J1012" i="4"/>
  <c r="I1012" i="4"/>
  <c r="H1012" i="4"/>
  <c r="G1012" i="4"/>
  <c r="F1012" i="4"/>
  <c r="E1012" i="4"/>
  <c r="U1012" i="4" s="1"/>
  <c r="D1012" i="4"/>
  <c r="C1012" i="4"/>
  <c r="V1012" i="4" s="1"/>
  <c r="B1012" i="4"/>
  <c r="A1012" i="4"/>
  <c r="X1011" i="4"/>
  <c r="V1011" i="4"/>
  <c r="T1011" i="4"/>
  <c r="S1011" i="4"/>
  <c r="R1011" i="4"/>
  <c r="Q1011" i="4"/>
  <c r="P1011" i="4"/>
  <c r="O1011" i="4"/>
  <c r="W1011" i="4" s="1"/>
  <c r="N1011" i="4"/>
  <c r="M1011" i="4"/>
  <c r="L1011" i="4"/>
  <c r="K1011" i="4"/>
  <c r="J1011" i="4"/>
  <c r="I1011" i="4"/>
  <c r="H1011" i="4"/>
  <c r="G1011" i="4"/>
  <c r="F1011" i="4"/>
  <c r="E1011" i="4"/>
  <c r="U1011" i="4" s="1"/>
  <c r="D1011" i="4"/>
  <c r="C1011" i="4"/>
  <c r="B1011" i="4"/>
  <c r="A1011" i="4"/>
  <c r="X1010" i="4"/>
  <c r="W1010" i="4"/>
  <c r="T1010" i="4"/>
  <c r="S1010" i="4"/>
  <c r="R1010" i="4"/>
  <c r="Q1010" i="4"/>
  <c r="P1010" i="4"/>
  <c r="O1010" i="4"/>
  <c r="N1010" i="4"/>
  <c r="M1010" i="4"/>
  <c r="L1010" i="4"/>
  <c r="K1010" i="4"/>
  <c r="J1010" i="4"/>
  <c r="I1010" i="4"/>
  <c r="H1010" i="4"/>
  <c r="G1010" i="4"/>
  <c r="F1010" i="4"/>
  <c r="E1010" i="4"/>
  <c r="U1010" i="4" s="1"/>
  <c r="D1010" i="4"/>
  <c r="C1010" i="4"/>
  <c r="V1010" i="4" s="1"/>
  <c r="B1010" i="4"/>
  <c r="A1010" i="4"/>
  <c r="X1009" i="4"/>
  <c r="V1009" i="4"/>
  <c r="T1009" i="4"/>
  <c r="S1009" i="4"/>
  <c r="R1009" i="4"/>
  <c r="Q1009" i="4"/>
  <c r="P1009" i="4"/>
  <c r="O1009" i="4"/>
  <c r="W1009" i="4" s="1"/>
  <c r="N1009" i="4"/>
  <c r="M1009" i="4"/>
  <c r="L1009" i="4"/>
  <c r="K1009" i="4"/>
  <c r="J1009" i="4"/>
  <c r="I1009" i="4"/>
  <c r="H1009" i="4"/>
  <c r="G1009" i="4"/>
  <c r="F1009" i="4"/>
  <c r="E1009" i="4"/>
  <c r="U1009" i="4" s="1"/>
  <c r="D1009" i="4"/>
  <c r="C1009" i="4"/>
  <c r="B1009" i="4"/>
  <c r="A1009" i="4"/>
  <c r="X1008" i="4"/>
  <c r="W1008" i="4"/>
  <c r="V1008" i="4"/>
  <c r="T1008" i="4"/>
  <c r="S1008" i="4"/>
  <c r="R1008" i="4"/>
  <c r="Q1008" i="4"/>
  <c r="P1008" i="4"/>
  <c r="O1008" i="4"/>
  <c r="N1008" i="4"/>
  <c r="M1008" i="4"/>
  <c r="L1008" i="4"/>
  <c r="K1008" i="4"/>
  <c r="J1008" i="4"/>
  <c r="I1008" i="4"/>
  <c r="H1008" i="4"/>
  <c r="G1008" i="4"/>
  <c r="F1008" i="4"/>
  <c r="E1008" i="4"/>
  <c r="U1008" i="4" s="1"/>
  <c r="D1008" i="4"/>
  <c r="C1008" i="4"/>
  <c r="B1008" i="4"/>
  <c r="A1008" i="4"/>
  <c r="X1007" i="4"/>
  <c r="V1007" i="4"/>
  <c r="T1007" i="4"/>
  <c r="S1007" i="4"/>
  <c r="R1007" i="4"/>
  <c r="Q1007" i="4"/>
  <c r="P1007" i="4"/>
  <c r="O1007" i="4"/>
  <c r="W1007" i="4" s="1"/>
  <c r="N1007" i="4"/>
  <c r="M1007" i="4"/>
  <c r="L1007" i="4"/>
  <c r="K1007" i="4"/>
  <c r="J1007" i="4"/>
  <c r="I1007" i="4"/>
  <c r="H1007" i="4"/>
  <c r="G1007" i="4"/>
  <c r="F1007" i="4"/>
  <c r="E1007" i="4"/>
  <c r="U1007" i="4" s="1"/>
  <c r="D1007" i="4"/>
  <c r="C1007" i="4"/>
  <c r="B1007" i="4"/>
  <c r="A1007" i="4"/>
  <c r="X1006" i="4"/>
  <c r="W1006" i="4"/>
  <c r="V1006" i="4"/>
  <c r="T1006" i="4"/>
  <c r="S1006" i="4"/>
  <c r="R1006" i="4"/>
  <c r="Q1006" i="4"/>
  <c r="P1006" i="4"/>
  <c r="O1006" i="4"/>
  <c r="N1006" i="4"/>
  <c r="M1006" i="4"/>
  <c r="L1006" i="4"/>
  <c r="K1006" i="4"/>
  <c r="J1006" i="4"/>
  <c r="I1006" i="4"/>
  <c r="H1006" i="4"/>
  <c r="G1006" i="4"/>
  <c r="F1006" i="4"/>
  <c r="E1006" i="4"/>
  <c r="U1006" i="4" s="1"/>
  <c r="D1006" i="4"/>
  <c r="C1006" i="4"/>
  <c r="B1006" i="4"/>
  <c r="A1006" i="4"/>
  <c r="X1005" i="4"/>
  <c r="V1005" i="4"/>
  <c r="T1005" i="4"/>
  <c r="S1005" i="4"/>
  <c r="R1005" i="4"/>
  <c r="Q1005" i="4"/>
  <c r="P1005" i="4"/>
  <c r="O1005" i="4"/>
  <c r="W1005" i="4" s="1"/>
  <c r="N1005" i="4"/>
  <c r="M1005" i="4"/>
  <c r="L1005" i="4"/>
  <c r="K1005" i="4"/>
  <c r="J1005" i="4"/>
  <c r="I1005" i="4"/>
  <c r="H1005" i="4"/>
  <c r="G1005" i="4"/>
  <c r="F1005" i="4"/>
  <c r="E1005" i="4"/>
  <c r="U1005" i="4" s="1"/>
  <c r="D1005" i="4"/>
  <c r="C1005" i="4"/>
  <c r="B1005" i="4"/>
  <c r="A1005" i="4"/>
  <c r="X1004" i="4"/>
  <c r="V1004" i="4"/>
  <c r="T1004" i="4"/>
  <c r="S1004" i="4"/>
  <c r="W1004" i="4" s="1"/>
  <c r="R1004" i="4"/>
  <c r="Q1004" i="4"/>
  <c r="P1004" i="4"/>
  <c r="O1004" i="4"/>
  <c r="N1004" i="4"/>
  <c r="M1004" i="4"/>
  <c r="L1004" i="4"/>
  <c r="K1004" i="4"/>
  <c r="J1004" i="4"/>
  <c r="I1004" i="4"/>
  <c r="H1004" i="4"/>
  <c r="G1004" i="4"/>
  <c r="F1004" i="4"/>
  <c r="E1004" i="4"/>
  <c r="U1004" i="4" s="1"/>
  <c r="D1004" i="4"/>
  <c r="C1004" i="4"/>
  <c r="B1004" i="4"/>
  <c r="A1004" i="4"/>
  <c r="X1003" i="4"/>
  <c r="V1003" i="4"/>
  <c r="T1003" i="4"/>
  <c r="S1003" i="4"/>
  <c r="R1003" i="4"/>
  <c r="Q1003" i="4"/>
  <c r="P1003" i="4"/>
  <c r="O1003" i="4"/>
  <c r="W1003" i="4" s="1"/>
  <c r="N1003" i="4"/>
  <c r="M1003" i="4"/>
  <c r="L1003" i="4"/>
  <c r="K1003" i="4"/>
  <c r="J1003" i="4"/>
  <c r="I1003" i="4"/>
  <c r="H1003" i="4"/>
  <c r="G1003" i="4"/>
  <c r="F1003" i="4"/>
  <c r="E1003" i="4"/>
  <c r="U1003" i="4" s="1"/>
  <c r="D1003" i="4"/>
  <c r="C1003" i="4"/>
  <c r="B1003" i="4"/>
  <c r="A1003" i="4"/>
  <c r="X1002" i="4"/>
  <c r="T1002" i="4"/>
  <c r="S1002" i="4"/>
  <c r="W1002" i="4" s="1"/>
  <c r="R1002" i="4"/>
  <c r="Q1002" i="4"/>
  <c r="P1002" i="4"/>
  <c r="O1002" i="4"/>
  <c r="N1002" i="4"/>
  <c r="M1002" i="4"/>
  <c r="L1002" i="4"/>
  <c r="K1002" i="4"/>
  <c r="J1002" i="4"/>
  <c r="I1002" i="4"/>
  <c r="H1002" i="4"/>
  <c r="G1002" i="4"/>
  <c r="F1002" i="4"/>
  <c r="E1002" i="4"/>
  <c r="U1002" i="4" s="1"/>
  <c r="D1002" i="4"/>
  <c r="C1002" i="4"/>
  <c r="V1002" i="4" s="1"/>
  <c r="B1002" i="4"/>
  <c r="A1002" i="4"/>
  <c r="X1001" i="4"/>
  <c r="V1001" i="4"/>
  <c r="T1001" i="4"/>
  <c r="S1001" i="4"/>
  <c r="R1001" i="4"/>
  <c r="Q1001" i="4"/>
  <c r="P1001" i="4"/>
  <c r="O1001" i="4"/>
  <c r="W1001" i="4" s="1"/>
  <c r="N1001" i="4"/>
  <c r="M1001" i="4"/>
  <c r="L1001" i="4"/>
  <c r="K1001" i="4"/>
  <c r="J1001" i="4"/>
  <c r="I1001" i="4"/>
  <c r="H1001" i="4"/>
  <c r="G1001" i="4"/>
  <c r="F1001" i="4"/>
  <c r="E1001" i="4"/>
  <c r="U1001" i="4" s="1"/>
  <c r="D1001" i="4"/>
  <c r="C1001" i="4"/>
  <c r="B1001" i="4"/>
  <c r="A1001" i="4"/>
  <c r="X1000" i="4"/>
  <c r="T1000" i="4"/>
  <c r="S1000" i="4"/>
  <c r="W1000" i="4" s="1"/>
  <c r="R1000" i="4"/>
  <c r="Q1000" i="4"/>
  <c r="P1000" i="4"/>
  <c r="O1000" i="4"/>
  <c r="N1000" i="4"/>
  <c r="M1000" i="4"/>
  <c r="L1000" i="4"/>
  <c r="K1000" i="4"/>
  <c r="J1000" i="4"/>
  <c r="I1000" i="4"/>
  <c r="H1000" i="4"/>
  <c r="G1000" i="4"/>
  <c r="F1000" i="4"/>
  <c r="E1000" i="4"/>
  <c r="U1000" i="4" s="1"/>
  <c r="D1000" i="4"/>
  <c r="C1000" i="4"/>
  <c r="V1000" i="4" s="1"/>
  <c r="B1000" i="4"/>
  <c r="A1000" i="4"/>
  <c r="X999" i="4"/>
  <c r="V999" i="4"/>
  <c r="T999" i="4"/>
  <c r="S999" i="4"/>
  <c r="R999" i="4"/>
  <c r="Q999" i="4"/>
  <c r="P999" i="4"/>
  <c r="O999" i="4"/>
  <c r="W999" i="4" s="1"/>
  <c r="N999" i="4"/>
  <c r="M999" i="4"/>
  <c r="L999" i="4"/>
  <c r="K999" i="4"/>
  <c r="J999" i="4"/>
  <c r="I999" i="4"/>
  <c r="H999" i="4"/>
  <c r="G999" i="4"/>
  <c r="F999" i="4"/>
  <c r="E999" i="4"/>
  <c r="U999" i="4" s="1"/>
  <c r="D999" i="4"/>
  <c r="C999" i="4"/>
  <c r="B999" i="4"/>
  <c r="A999" i="4"/>
  <c r="X998" i="4"/>
  <c r="W998" i="4"/>
  <c r="T998" i="4"/>
  <c r="S998" i="4"/>
  <c r="R998" i="4"/>
  <c r="Q998" i="4"/>
  <c r="P998" i="4"/>
  <c r="O998" i="4"/>
  <c r="N998" i="4"/>
  <c r="M998" i="4"/>
  <c r="L998" i="4"/>
  <c r="K998" i="4"/>
  <c r="J998" i="4"/>
  <c r="I998" i="4"/>
  <c r="H998" i="4"/>
  <c r="G998" i="4"/>
  <c r="F998" i="4"/>
  <c r="E998" i="4"/>
  <c r="U998" i="4" s="1"/>
  <c r="D998" i="4"/>
  <c r="C998" i="4"/>
  <c r="V998" i="4" s="1"/>
  <c r="B998" i="4"/>
  <c r="A998" i="4"/>
  <c r="X997" i="4"/>
  <c r="V997" i="4"/>
  <c r="T997" i="4"/>
  <c r="S997" i="4"/>
  <c r="R997" i="4"/>
  <c r="Q997" i="4"/>
  <c r="P997" i="4"/>
  <c r="O997" i="4"/>
  <c r="W997" i="4" s="1"/>
  <c r="N997" i="4"/>
  <c r="M997" i="4"/>
  <c r="L997" i="4"/>
  <c r="K997" i="4"/>
  <c r="J997" i="4"/>
  <c r="I997" i="4"/>
  <c r="H997" i="4"/>
  <c r="G997" i="4"/>
  <c r="F997" i="4"/>
  <c r="E997" i="4"/>
  <c r="U997" i="4" s="1"/>
  <c r="D997" i="4"/>
  <c r="C997" i="4"/>
  <c r="B997" i="4"/>
  <c r="A997" i="4"/>
  <c r="X996" i="4"/>
  <c r="W996" i="4"/>
  <c r="V996" i="4"/>
  <c r="T996" i="4"/>
  <c r="S996" i="4"/>
  <c r="R996" i="4"/>
  <c r="Q996" i="4"/>
  <c r="P996" i="4"/>
  <c r="O996" i="4"/>
  <c r="N996" i="4"/>
  <c r="M996" i="4"/>
  <c r="L996" i="4"/>
  <c r="K996" i="4"/>
  <c r="J996" i="4"/>
  <c r="I996" i="4"/>
  <c r="H996" i="4"/>
  <c r="G996" i="4"/>
  <c r="F996" i="4"/>
  <c r="E996" i="4"/>
  <c r="U996" i="4" s="1"/>
  <c r="D996" i="4"/>
  <c r="C996" i="4"/>
  <c r="B996" i="4"/>
  <c r="A996" i="4"/>
  <c r="X995" i="4"/>
  <c r="V995" i="4"/>
  <c r="T995" i="4"/>
  <c r="S995" i="4"/>
  <c r="R995" i="4"/>
  <c r="Q995" i="4"/>
  <c r="P995" i="4"/>
  <c r="O995" i="4"/>
  <c r="W995" i="4" s="1"/>
  <c r="N995" i="4"/>
  <c r="M995" i="4"/>
  <c r="L995" i="4"/>
  <c r="K995" i="4"/>
  <c r="J995" i="4"/>
  <c r="I995" i="4"/>
  <c r="H995" i="4"/>
  <c r="G995" i="4"/>
  <c r="F995" i="4"/>
  <c r="E995" i="4"/>
  <c r="U995" i="4" s="1"/>
  <c r="D995" i="4"/>
  <c r="C995" i="4"/>
  <c r="B995" i="4"/>
  <c r="A995" i="4"/>
  <c r="X994" i="4"/>
  <c r="W994" i="4"/>
  <c r="T994" i="4"/>
  <c r="S994" i="4"/>
  <c r="R994" i="4"/>
  <c r="Q994" i="4"/>
  <c r="P994" i="4"/>
  <c r="O994" i="4"/>
  <c r="N994" i="4"/>
  <c r="M994" i="4"/>
  <c r="L994" i="4"/>
  <c r="K994" i="4"/>
  <c r="J994" i="4"/>
  <c r="I994" i="4"/>
  <c r="H994" i="4"/>
  <c r="G994" i="4"/>
  <c r="F994" i="4"/>
  <c r="E994" i="4"/>
  <c r="U994" i="4" s="1"/>
  <c r="D994" i="4"/>
  <c r="C994" i="4"/>
  <c r="V994" i="4" s="1"/>
  <c r="B994" i="4"/>
  <c r="A994" i="4"/>
  <c r="X993" i="4"/>
  <c r="V993" i="4"/>
  <c r="T993" i="4"/>
  <c r="S993" i="4"/>
  <c r="R993" i="4"/>
  <c r="Q993" i="4"/>
  <c r="P993" i="4"/>
  <c r="O993" i="4"/>
  <c r="W993" i="4" s="1"/>
  <c r="N993" i="4"/>
  <c r="M993" i="4"/>
  <c r="L993" i="4"/>
  <c r="K993" i="4"/>
  <c r="J993" i="4"/>
  <c r="I993" i="4"/>
  <c r="H993" i="4"/>
  <c r="G993" i="4"/>
  <c r="F993" i="4"/>
  <c r="E993" i="4"/>
  <c r="U993" i="4" s="1"/>
  <c r="D993" i="4"/>
  <c r="C993" i="4"/>
  <c r="B993" i="4"/>
  <c r="A993" i="4"/>
  <c r="X992" i="4"/>
  <c r="W992" i="4"/>
  <c r="V992" i="4"/>
  <c r="T992" i="4"/>
  <c r="S992" i="4"/>
  <c r="R992" i="4"/>
  <c r="Q992" i="4"/>
  <c r="P992" i="4"/>
  <c r="O992" i="4"/>
  <c r="N992" i="4"/>
  <c r="M992" i="4"/>
  <c r="L992" i="4"/>
  <c r="K992" i="4"/>
  <c r="J992" i="4"/>
  <c r="I992" i="4"/>
  <c r="H992" i="4"/>
  <c r="G992" i="4"/>
  <c r="F992" i="4"/>
  <c r="E992" i="4"/>
  <c r="U992" i="4" s="1"/>
  <c r="D992" i="4"/>
  <c r="C992" i="4"/>
  <c r="B992" i="4"/>
  <c r="A992" i="4"/>
  <c r="X991" i="4"/>
  <c r="V991" i="4"/>
  <c r="T991" i="4"/>
  <c r="S991" i="4"/>
  <c r="R991" i="4"/>
  <c r="Q991" i="4"/>
  <c r="P991" i="4"/>
  <c r="O991" i="4"/>
  <c r="W991" i="4" s="1"/>
  <c r="N991" i="4"/>
  <c r="M991" i="4"/>
  <c r="L991" i="4"/>
  <c r="K991" i="4"/>
  <c r="J991" i="4"/>
  <c r="I991" i="4"/>
  <c r="H991" i="4"/>
  <c r="G991" i="4"/>
  <c r="F991" i="4"/>
  <c r="E991" i="4"/>
  <c r="U991" i="4" s="1"/>
  <c r="D991" i="4"/>
  <c r="C991" i="4"/>
  <c r="B991" i="4"/>
  <c r="A991" i="4"/>
  <c r="X990" i="4"/>
  <c r="T990" i="4"/>
  <c r="S990" i="4"/>
  <c r="W990" i="4" s="1"/>
  <c r="R990" i="4"/>
  <c r="Q990" i="4"/>
  <c r="P990" i="4"/>
  <c r="O990" i="4"/>
  <c r="N990" i="4"/>
  <c r="M990" i="4"/>
  <c r="L990" i="4"/>
  <c r="K990" i="4"/>
  <c r="J990" i="4"/>
  <c r="I990" i="4"/>
  <c r="H990" i="4"/>
  <c r="G990" i="4"/>
  <c r="F990" i="4"/>
  <c r="E990" i="4"/>
  <c r="U990" i="4" s="1"/>
  <c r="D990" i="4"/>
  <c r="C990" i="4"/>
  <c r="V990" i="4" s="1"/>
  <c r="B990" i="4"/>
  <c r="A990" i="4"/>
  <c r="X989" i="4"/>
  <c r="V989" i="4"/>
  <c r="T989" i="4"/>
  <c r="S989" i="4"/>
  <c r="R989" i="4"/>
  <c r="Q989" i="4"/>
  <c r="P989" i="4"/>
  <c r="O989" i="4"/>
  <c r="W989" i="4" s="1"/>
  <c r="N989" i="4"/>
  <c r="M989" i="4"/>
  <c r="L989" i="4"/>
  <c r="K989" i="4"/>
  <c r="J989" i="4"/>
  <c r="I989" i="4"/>
  <c r="H989" i="4"/>
  <c r="G989" i="4"/>
  <c r="F989" i="4"/>
  <c r="E989" i="4"/>
  <c r="U989" i="4" s="1"/>
  <c r="D989" i="4"/>
  <c r="C989" i="4"/>
  <c r="B989" i="4"/>
  <c r="A989" i="4"/>
  <c r="X988" i="4"/>
  <c r="T988" i="4"/>
  <c r="S988" i="4"/>
  <c r="W988" i="4" s="1"/>
  <c r="R988" i="4"/>
  <c r="Q988" i="4"/>
  <c r="P988" i="4"/>
  <c r="O988" i="4"/>
  <c r="N988" i="4"/>
  <c r="M988" i="4"/>
  <c r="L988" i="4"/>
  <c r="K988" i="4"/>
  <c r="J988" i="4"/>
  <c r="I988" i="4"/>
  <c r="H988" i="4"/>
  <c r="G988" i="4"/>
  <c r="F988" i="4"/>
  <c r="E988" i="4"/>
  <c r="U988" i="4" s="1"/>
  <c r="D988" i="4"/>
  <c r="C988" i="4"/>
  <c r="V988" i="4" s="1"/>
  <c r="B988" i="4"/>
  <c r="A988" i="4"/>
  <c r="X987" i="4"/>
  <c r="V987" i="4"/>
  <c r="T987" i="4"/>
  <c r="S987" i="4"/>
  <c r="R987" i="4"/>
  <c r="Q987" i="4"/>
  <c r="P987" i="4"/>
  <c r="O987" i="4"/>
  <c r="W987" i="4" s="1"/>
  <c r="N987" i="4"/>
  <c r="M987" i="4"/>
  <c r="L987" i="4"/>
  <c r="K987" i="4"/>
  <c r="J987" i="4"/>
  <c r="I987" i="4"/>
  <c r="H987" i="4"/>
  <c r="G987" i="4"/>
  <c r="F987" i="4"/>
  <c r="E987" i="4"/>
  <c r="U987" i="4" s="1"/>
  <c r="D987" i="4"/>
  <c r="C987" i="4"/>
  <c r="B987" i="4"/>
  <c r="A987" i="4"/>
  <c r="X986" i="4"/>
  <c r="T986" i="4"/>
  <c r="S986" i="4"/>
  <c r="W986" i="4" s="1"/>
  <c r="R986" i="4"/>
  <c r="Q986" i="4"/>
  <c r="P986" i="4"/>
  <c r="O986" i="4"/>
  <c r="N986" i="4"/>
  <c r="M986" i="4"/>
  <c r="L986" i="4"/>
  <c r="K986" i="4"/>
  <c r="J986" i="4"/>
  <c r="I986" i="4"/>
  <c r="H986" i="4"/>
  <c r="G986" i="4"/>
  <c r="F986" i="4"/>
  <c r="E986" i="4"/>
  <c r="U986" i="4" s="1"/>
  <c r="D986" i="4"/>
  <c r="C986" i="4"/>
  <c r="V986" i="4" s="1"/>
  <c r="B986" i="4"/>
  <c r="A986" i="4"/>
  <c r="X985" i="4"/>
  <c r="V985" i="4"/>
  <c r="T985" i="4"/>
  <c r="S985" i="4"/>
  <c r="R985" i="4"/>
  <c r="Q985" i="4"/>
  <c r="P985" i="4"/>
  <c r="O985" i="4"/>
  <c r="W985" i="4" s="1"/>
  <c r="N985" i="4"/>
  <c r="M985" i="4"/>
  <c r="L985" i="4"/>
  <c r="K985" i="4"/>
  <c r="J985" i="4"/>
  <c r="I985" i="4"/>
  <c r="H985" i="4"/>
  <c r="G985" i="4"/>
  <c r="F985" i="4"/>
  <c r="E985" i="4"/>
  <c r="U985" i="4" s="1"/>
  <c r="D985" i="4"/>
  <c r="C985" i="4"/>
  <c r="B985" i="4"/>
  <c r="A985" i="4"/>
  <c r="X984" i="4"/>
  <c r="V984" i="4"/>
  <c r="T984" i="4"/>
  <c r="S984" i="4"/>
  <c r="W984" i="4" s="1"/>
  <c r="R984" i="4"/>
  <c r="Q984" i="4"/>
  <c r="P984" i="4"/>
  <c r="O984" i="4"/>
  <c r="N984" i="4"/>
  <c r="M984" i="4"/>
  <c r="L984" i="4"/>
  <c r="K984" i="4"/>
  <c r="J984" i="4"/>
  <c r="I984" i="4"/>
  <c r="H984" i="4"/>
  <c r="G984" i="4"/>
  <c r="F984" i="4"/>
  <c r="E984" i="4"/>
  <c r="U984" i="4" s="1"/>
  <c r="D984" i="4"/>
  <c r="C984" i="4"/>
  <c r="B984" i="4"/>
  <c r="A984" i="4"/>
  <c r="X983" i="4"/>
  <c r="V983" i="4"/>
  <c r="T983" i="4"/>
  <c r="S983" i="4"/>
  <c r="R983" i="4"/>
  <c r="Q983" i="4"/>
  <c r="P983" i="4"/>
  <c r="O983" i="4"/>
  <c r="W983" i="4" s="1"/>
  <c r="N983" i="4"/>
  <c r="M983" i="4"/>
  <c r="L983" i="4"/>
  <c r="K983" i="4"/>
  <c r="J983" i="4"/>
  <c r="I983" i="4"/>
  <c r="H983" i="4"/>
  <c r="G983" i="4"/>
  <c r="F983" i="4"/>
  <c r="E983" i="4"/>
  <c r="U983" i="4" s="1"/>
  <c r="D983" i="4"/>
  <c r="C983" i="4"/>
  <c r="B983" i="4"/>
  <c r="A983" i="4"/>
  <c r="X982" i="4"/>
  <c r="T982" i="4"/>
  <c r="S982" i="4"/>
  <c r="W982" i="4" s="1"/>
  <c r="R982" i="4"/>
  <c r="Q982" i="4"/>
  <c r="P982" i="4"/>
  <c r="O982" i="4"/>
  <c r="N982" i="4"/>
  <c r="M982" i="4"/>
  <c r="L982" i="4"/>
  <c r="K982" i="4"/>
  <c r="J982" i="4"/>
  <c r="I982" i="4"/>
  <c r="H982" i="4"/>
  <c r="G982" i="4"/>
  <c r="F982" i="4"/>
  <c r="E982" i="4"/>
  <c r="U982" i="4" s="1"/>
  <c r="D982" i="4"/>
  <c r="C982" i="4"/>
  <c r="V982" i="4" s="1"/>
  <c r="B982" i="4"/>
  <c r="A982" i="4"/>
  <c r="X981" i="4"/>
  <c r="V981" i="4"/>
  <c r="T981" i="4"/>
  <c r="S981" i="4"/>
  <c r="R981" i="4"/>
  <c r="Q981" i="4"/>
  <c r="P981" i="4"/>
  <c r="O981" i="4"/>
  <c r="W981" i="4" s="1"/>
  <c r="N981" i="4"/>
  <c r="M981" i="4"/>
  <c r="L981" i="4"/>
  <c r="K981" i="4"/>
  <c r="J981" i="4"/>
  <c r="I981" i="4"/>
  <c r="H981" i="4"/>
  <c r="G981" i="4"/>
  <c r="F981" i="4"/>
  <c r="E981" i="4"/>
  <c r="U981" i="4" s="1"/>
  <c r="D981" i="4"/>
  <c r="C981" i="4"/>
  <c r="B981" i="4"/>
  <c r="A981" i="4"/>
  <c r="X980" i="4"/>
  <c r="T980" i="4"/>
  <c r="S980" i="4"/>
  <c r="W980" i="4" s="1"/>
  <c r="R980" i="4"/>
  <c r="Q980" i="4"/>
  <c r="P980" i="4"/>
  <c r="O980" i="4"/>
  <c r="N980" i="4"/>
  <c r="M980" i="4"/>
  <c r="L980" i="4"/>
  <c r="K980" i="4"/>
  <c r="J980" i="4"/>
  <c r="I980" i="4"/>
  <c r="H980" i="4"/>
  <c r="G980" i="4"/>
  <c r="F980" i="4"/>
  <c r="E980" i="4"/>
  <c r="U980" i="4" s="1"/>
  <c r="D980" i="4"/>
  <c r="C980" i="4"/>
  <c r="V980" i="4" s="1"/>
  <c r="B980" i="4"/>
  <c r="A980" i="4"/>
  <c r="X979" i="4"/>
  <c r="V979" i="4"/>
  <c r="T979" i="4"/>
  <c r="S979" i="4"/>
  <c r="R979" i="4"/>
  <c r="Q979" i="4"/>
  <c r="P979" i="4"/>
  <c r="O979" i="4"/>
  <c r="W979" i="4" s="1"/>
  <c r="N979" i="4"/>
  <c r="M979" i="4"/>
  <c r="L979" i="4"/>
  <c r="K979" i="4"/>
  <c r="J979" i="4"/>
  <c r="I979" i="4"/>
  <c r="H979" i="4"/>
  <c r="G979" i="4"/>
  <c r="F979" i="4"/>
  <c r="E979" i="4"/>
  <c r="U979" i="4" s="1"/>
  <c r="D979" i="4"/>
  <c r="C979" i="4"/>
  <c r="B979" i="4"/>
  <c r="A979" i="4"/>
  <c r="X978" i="4"/>
  <c r="W978" i="4"/>
  <c r="T978" i="4"/>
  <c r="S978" i="4"/>
  <c r="R978" i="4"/>
  <c r="Q978" i="4"/>
  <c r="P978" i="4"/>
  <c r="O978" i="4"/>
  <c r="N978" i="4"/>
  <c r="M978" i="4"/>
  <c r="L978" i="4"/>
  <c r="K978" i="4"/>
  <c r="J978" i="4"/>
  <c r="I978" i="4"/>
  <c r="H978" i="4"/>
  <c r="G978" i="4"/>
  <c r="F978" i="4"/>
  <c r="E978" i="4"/>
  <c r="U978" i="4" s="1"/>
  <c r="D978" i="4"/>
  <c r="C978" i="4"/>
  <c r="V978" i="4" s="1"/>
  <c r="B978" i="4"/>
  <c r="A978" i="4"/>
  <c r="X977" i="4"/>
  <c r="V977" i="4"/>
  <c r="T977" i="4"/>
  <c r="S977" i="4"/>
  <c r="R977" i="4"/>
  <c r="Q977" i="4"/>
  <c r="P977" i="4"/>
  <c r="O977" i="4"/>
  <c r="W977" i="4" s="1"/>
  <c r="N977" i="4"/>
  <c r="M977" i="4"/>
  <c r="L977" i="4"/>
  <c r="K977" i="4"/>
  <c r="J977" i="4"/>
  <c r="I977" i="4"/>
  <c r="H977" i="4"/>
  <c r="G977" i="4"/>
  <c r="F977" i="4"/>
  <c r="E977" i="4"/>
  <c r="U977" i="4" s="1"/>
  <c r="D977" i="4"/>
  <c r="C977" i="4"/>
  <c r="B977" i="4"/>
  <c r="A977" i="4"/>
  <c r="X976" i="4"/>
  <c r="W976" i="4"/>
  <c r="V976" i="4"/>
  <c r="T976" i="4"/>
  <c r="S976" i="4"/>
  <c r="R976" i="4"/>
  <c r="Q976" i="4"/>
  <c r="P976" i="4"/>
  <c r="O976" i="4"/>
  <c r="N976" i="4"/>
  <c r="M976" i="4"/>
  <c r="L976" i="4"/>
  <c r="K976" i="4"/>
  <c r="J976" i="4"/>
  <c r="I976" i="4"/>
  <c r="H976" i="4"/>
  <c r="G976" i="4"/>
  <c r="F976" i="4"/>
  <c r="E976" i="4"/>
  <c r="U976" i="4" s="1"/>
  <c r="D976" i="4"/>
  <c r="C976" i="4"/>
  <c r="B976" i="4"/>
  <c r="A976" i="4"/>
  <c r="X975" i="4"/>
  <c r="V975" i="4"/>
  <c r="T975" i="4"/>
  <c r="S975" i="4"/>
  <c r="R975" i="4"/>
  <c r="Q975" i="4"/>
  <c r="P975" i="4"/>
  <c r="O975" i="4"/>
  <c r="W975" i="4" s="1"/>
  <c r="N975" i="4"/>
  <c r="M975" i="4"/>
  <c r="L975" i="4"/>
  <c r="K975" i="4"/>
  <c r="J975" i="4"/>
  <c r="I975" i="4"/>
  <c r="H975" i="4"/>
  <c r="G975" i="4"/>
  <c r="F975" i="4"/>
  <c r="E975" i="4"/>
  <c r="U975" i="4" s="1"/>
  <c r="D975" i="4"/>
  <c r="C975" i="4"/>
  <c r="B975" i="4"/>
  <c r="A975" i="4"/>
  <c r="X974" i="4"/>
  <c r="W974" i="4"/>
  <c r="V974" i="4"/>
  <c r="T974" i="4"/>
  <c r="S974" i="4"/>
  <c r="R974" i="4"/>
  <c r="Q974" i="4"/>
  <c r="P974" i="4"/>
  <c r="O974" i="4"/>
  <c r="N974" i="4"/>
  <c r="M974" i="4"/>
  <c r="L974" i="4"/>
  <c r="K974" i="4"/>
  <c r="J974" i="4"/>
  <c r="I974" i="4"/>
  <c r="H974" i="4"/>
  <c r="G974" i="4"/>
  <c r="F974" i="4"/>
  <c r="E974" i="4"/>
  <c r="U974" i="4" s="1"/>
  <c r="D974" i="4"/>
  <c r="C974" i="4"/>
  <c r="B974" i="4"/>
  <c r="A974" i="4"/>
  <c r="X973" i="4"/>
  <c r="V973" i="4"/>
  <c r="T973" i="4"/>
  <c r="S973" i="4"/>
  <c r="R973" i="4"/>
  <c r="Q973" i="4"/>
  <c r="P973" i="4"/>
  <c r="O973" i="4"/>
  <c r="W973" i="4" s="1"/>
  <c r="N973" i="4"/>
  <c r="M973" i="4"/>
  <c r="L973" i="4"/>
  <c r="K973" i="4"/>
  <c r="J973" i="4"/>
  <c r="I973" i="4"/>
  <c r="H973" i="4"/>
  <c r="G973" i="4"/>
  <c r="F973" i="4"/>
  <c r="E973" i="4"/>
  <c r="U973" i="4" s="1"/>
  <c r="D973" i="4"/>
  <c r="C973" i="4"/>
  <c r="B973" i="4"/>
  <c r="A973" i="4"/>
  <c r="X972" i="4"/>
  <c r="W972" i="4"/>
  <c r="V972" i="4"/>
  <c r="T972" i="4"/>
  <c r="S972" i="4"/>
  <c r="R972" i="4"/>
  <c r="Q972" i="4"/>
  <c r="P972" i="4"/>
  <c r="O972" i="4"/>
  <c r="N972" i="4"/>
  <c r="M972" i="4"/>
  <c r="L972" i="4"/>
  <c r="K972" i="4"/>
  <c r="J972" i="4"/>
  <c r="I972" i="4"/>
  <c r="H972" i="4"/>
  <c r="G972" i="4"/>
  <c r="F972" i="4"/>
  <c r="E972" i="4"/>
  <c r="U972" i="4" s="1"/>
  <c r="D972" i="4"/>
  <c r="C972" i="4"/>
  <c r="B972" i="4"/>
  <c r="A972" i="4"/>
  <c r="X971" i="4"/>
  <c r="V971" i="4"/>
  <c r="T971" i="4"/>
  <c r="S971" i="4"/>
  <c r="R971" i="4"/>
  <c r="Q971" i="4"/>
  <c r="P971" i="4"/>
  <c r="O971" i="4"/>
  <c r="W971" i="4" s="1"/>
  <c r="N971" i="4"/>
  <c r="M971" i="4"/>
  <c r="L971" i="4"/>
  <c r="K971" i="4"/>
  <c r="J971" i="4"/>
  <c r="I971" i="4"/>
  <c r="H971" i="4"/>
  <c r="G971" i="4"/>
  <c r="F971" i="4"/>
  <c r="E971" i="4"/>
  <c r="U971" i="4" s="1"/>
  <c r="D971" i="4"/>
  <c r="C971" i="4"/>
  <c r="B971" i="4"/>
  <c r="A971" i="4"/>
  <c r="X970" i="4"/>
  <c r="W970" i="4"/>
  <c r="V970" i="4"/>
  <c r="T970" i="4"/>
  <c r="S970" i="4"/>
  <c r="R970" i="4"/>
  <c r="Q970" i="4"/>
  <c r="P970" i="4"/>
  <c r="O970" i="4"/>
  <c r="N970" i="4"/>
  <c r="M970" i="4"/>
  <c r="L970" i="4"/>
  <c r="K970" i="4"/>
  <c r="J970" i="4"/>
  <c r="I970" i="4"/>
  <c r="H970" i="4"/>
  <c r="G970" i="4"/>
  <c r="F970" i="4"/>
  <c r="E970" i="4"/>
  <c r="U970" i="4" s="1"/>
  <c r="D970" i="4"/>
  <c r="C970" i="4"/>
  <c r="B970" i="4"/>
  <c r="A970" i="4"/>
  <c r="X969" i="4"/>
  <c r="V969" i="4"/>
  <c r="T969" i="4"/>
  <c r="S969" i="4"/>
  <c r="R969" i="4"/>
  <c r="Q969" i="4"/>
  <c r="P969" i="4"/>
  <c r="O969" i="4"/>
  <c r="W969" i="4" s="1"/>
  <c r="N969" i="4"/>
  <c r="M969" i="4"/>
  <c r="L969" i="4"/>
  <c r="K969" i="4"/>
  <c r="J969" i="4"/>
  <c r="I969" i="4"/>
  <c r="H969" i="4"/>
  <c r="G969" i="4"/>
  <c r="F969" i="4"/>
  <c r="E969" i="4"/>
  <c r="U969" i="4" s="1"/>
  <c r="D969" i="4"/>
  <c r="C969" i="4"/>
  <c r="B969" i="4"/>
  <c r="A969" i="4"/>
  <c r="X968" i="4"/>
  <c r="W968" i="4"/>
  <c r="T968" i="4"/>
  <c r="S968" i="4"/>
  <c r="R968" i="4"/>
  <c r="Q968" i="4"/>
  <c r="P968" i="4"/>
  <c r="O968" i="4"/>
  <c r="N968" i="4"/>
  <c r="M968" i="4"/>
  <c r="L968" i="4"/>
  <c r="K968" i="4"/>
  <c r="J968" i="4"/>
  <c r="I968" i="4"/>
  <c r="H968" i="4"/>
  <c r="G968" i="4"/>
  <c r="F968" i="4"/>
  <c r="E968" i="4"/>
  <c r="U968" i="4" s="1"/>
  <c r="D968" i="4"/>
  <c r="C968" i="4"/>
  <c r="V968" i="4" s="1"/>
  <c r="B968" i="4"/>
  <c r="A968" i="4"/>
  <c r="X967" i="4"/>
  <c r="V967" i="4"/>
  <c r="T967" i="4"/>
  <c r="S967" i="4"/>
  <c r="R967" i="4"/>
  <c r="Q967" i="4"/>
  <c r="P967" i="4"/>
  <c r="O967" i="4"/>
  <c r="W967" i="4" s="1"/>
  <c r="N967" i="4"/>
  <c r="M967" i="4"/>
  <c r="L967" i="4"/>
  <c r="K967" i="4"/>
  <c r="J967" i="4"/>
  <c r="I967" i="4"/>
  <c r="H967" i="4"/>
  <c r="G967" i="4"/>
  <c r="F967" i="4"/>
  <c r="E967" i="4"/>
  <c r="U967" i="4" s="1"/>
  <c r="D967" i="4"/>
  <c r="C967" i="4"/>
  <c r="B967" i="4"/>
  <c r="A967" i="4"/>
  <c r="X966" i="4"/>
  <c r="W966" i="4"/>
  <c r="T966" i="4"/>
  <c r="S966" i="4"/>
  <c r="R966" i="4"/>
  <c r="Q966" i="4"/>
  <c r="P966" i="4"/>
  <c r="O966" i="4"/>
  <c r="N966" i="4"/>
  <c r="M966" i="4"/>
  <c r="L966" i="4"/>
  <c r="K966" i="4"/>
  <c r="J966" i="4"/>
  <c r="I966" i="4"/>
  <c r="H966" i="4"/>
  <c r="G966" i="4"/>
  <c r="F966" i="4"/>
  <c r="E966" i="4"/>
  <c r="U966" i="4" s="1"/>
  <c r="D966" i="4"/>
  <c r="C966" i="4"/>
  <c r="V966" i="4" s="1"/>
  <c r="B966" i="4"/>
  <c r="A966" i="4"/>
  <c r="X965" i="4"/>
  <c r="V965" i="4"/>
  <c r="T965" i="4"/>
  <c r="S965" i="4"/>
  <c r="R965" i="4"/>
  <c r="Q965" i="4"/>
  <c r="P965" i="4"/>
  <c r="O965" i="4"/>
  <c r="W965" i="4" s="1"/>
  <c r="N965" i="4"/>
  <c r="M965" i="4"/>
  <c r="L965" i="4"/>
  <c r="K965" i="4"/>
  <c r="J965" i="4"/>
  <c r="I965" i="4"/>
  <c r="H965" i="4"/>
  <c r="G965" i="4"/>
  <c r="F965" i="4"/>
  <c r="E965" i="4"/>
  <c r="U965" i="4" s="1"/>
  <c r="D965" i="4"/>
  <c r="C965" i="4"/>
  <c r="B965" i="4"/>
  <c r="A965" i="4"/>
  <c r="X964" i="4"/>
  <c r="T964" i="4"/>
  <c r="S964" i="4"/>
  <c r="W964" i="4" s="1"/>
  <c r="R964" i="4"/>
  <c r="Q964" i="4"/>
  <c r="P964" i="4"/>
  <c r="O964" i="4"/>
  <c r="N964" i="4"/>
  <c r="M964" i="4"/>
  <c r="L964" i="4"/>
  <c r="K964" i="4"/>
  <c r="J964" i="4"/>
  <c r="I964" i="4"/>
  <c r="H964" i="4"/>
  <c r="G964" i="4"/>
  <c r="F964" i="4"/>
  <c r="E964" i="4"/>
  <c r="U964" i="4" s="1"/>
  <c r="D964" i="4"/>
  <c r="C964" i="4"/>
  <c r="V964" i="4" s="1"/>
  <c r="B964" i="4"/>
  <c r="A964" i="4"/>
  <c r="X963" i="4"/>
  <c r="V963" i="4"/>
  <c r="T963" i="4"/>
  <c r="S963" i="4"/>
  <c r="R963" i="4"/>
  <c r="Q963" i="4"/>
  <c r="P963" i="4"/>
  <c r="O963" i="4"/>
  <c r="W963" i="4" s="1"/>
  <c r="N963" i="4"/>
  <c r="M963" i="4"/>
  <c r="L963" i="4"/>
  <c r="K963" i="4"/>
  <c r="J963" i="4"/>
  <c r="I963" i="4"/>
  <c r="H963" i="4"/>
  <c r="G963" i="4"/>
  <c r="F963" i="4"/>
  <c r="E963" i="4"/>
  <c r="U963" i="4" s="1"/>
  <c r="D963" i="4"/>
  <c r="C963" i="4"/>
  <c r="B963" i="4"/>
  <c r="A963" i="4"/>
  <c r="X962" i="4"/>
  <c r="T962" i="4"/>
  <c r="S962" i="4"/>
  <c r="R962" i="4"/>
  <c r="Q962" i="4"/>
  <c r="P962" i="4"/>
  <c r="O962" i="4"/>
  <c r="N962" i="4"/>
  <c r="M962" i="4"/>
  <c r="L962" i="4"/>
  <c r="W962" i="4" s="1"/>
  <c r="K962" i="4"/>
  <c r="J962" i="4"/>
  <c r="I962" i="4"/>
  <c r="H962" i="4"/>
  <c r="G962" i="4"/>
  <c r="F962" i="4"/>
  <c r="E962" i="4"/>
  <c r="U962" i="4" s="1"/>
  <c r="D962" i="4"/>
  <c r="C962" i="4"/>
  <c r="V962" i="4" s="1"/>
  <c r="B962" i="4"/>
  <c r="A962" i="4"/>
  <c r="X961" i="4"/>
  <c r="V961" i="4"/>
  <c r="T961" i="4"/>
  <c r="S961" i="4"/>
  <c r="R961" i="4"/>
  <c r="Q961" i="4"/>
  <c r="P961" i="4"/>
  <c r="O961" i="4"/>
  <c r="W961" i="4" s="1"/>
  <c r="N961" i="4"/>
  <c r="M961" i="4"/>
  <c r="L961" i="4"/>
  <c r="K961" i="4"/>
  <c r="J961" i="4"/>
  <c r="I961" i="4"/>
  <c r="H961" i="4"/>
  <c r="G961" i="4"/>
  <c r="F961" i="4"/>
  <c r="E961" i="4"/>
  <c r="U961" i="4" s="1"/>
  <c r="D961" i="4"/>
  <c r="C961" i="4"/>
  <c r="B961" i="4"/>
  <c r="A961" i="4"/>
  <c r="X960" i="4"/>
  <c r="T960" i="4"/>
  <c r="S960" i="4"/>
  <c r="R960" i="4"/>
  <c r="Q960" i="4"/>
  <c r="P960" i="4"/>
  <c r="O960" i="4"/>
  <c r="N960" i="4"/>
  <c r="M960" i="4"/>
  <c r="L960" i="4"/>
  <c r="K960" i="4"/>
  <c r="J960" i="4"/>
  <c r="I960" i="4"/>
  <c r="H960" i="4"/>
  <c r="G960" i="4"/>
  <c r="F960" i="4"/>
  <c r="E960" i="4"/>
  <c r="U960" i="4" s="1"/>
  <c r="D960" i="4"/>
  <c r="C960" i="4"/>
  <c r="V960" i="4" s="1"/>
  <c r="B960" i="4"/>
  <c r="A960" i="4"/>
  <c r="X959" i="4"/>
  <c r="V959" i="4"/>
  <c r="T959" i="4"/>
  <c r="S959" i="4"/>
  <c r="R959" i="4"/>
  <c r="Q959" i="4"/>
  <c r="P959" i="4"/>
  <c r="O959" i="4"/>
  <c r="W959" i="4" s="1"/>
  <c r="N959" i="4"/>
  <c r="M959" i="4"/>
  <c r="L959" i="4"/>
  <c r="K959" i="4"/>
  <c r="J959" i="4"/>
  <c r="I959" i="4"/>
  <c r="H959" i="4"/>
  <c r="G959" i="4"/>
  <c r="F959" i="4"/>
  <c r="E959" i="4"/>
  <c r="U959" i="4" s="1"/>
  <c r="D959" i="4"/>
  <c r="C959" i="4"/>
  <c r="B959" i="4"/>
  <c r="A959" i="4"/>
  <c r="X958" i="4"/>
  <c r="W958" i="4"/>
  <c r="T958" i="4"/>
  <c r="S958" i="4"/>
  <c r="R958" i="4"/>
  <c r="Q958" i="4"/>
  <c r="P958" i="4"/>
  <c r="O958" i="4"/>
  <c r="N958" i="4"/>
  <c r="M958" i="4"/>
  <c r="L958" i="4"/>
  <c r="K958" i="4"/>
  <c r="J958" i="4"/>
  <c r="I958" i="4"/>
  <c r="H958" i="4"/>
  <c r="G958" i="4"/>
  <c r="F958" i="4"/>
  <c r="E958" i="4"/>
  <c r="U958" i="4" s="1"/>
  <c r="D958" i="4"/>
  <c r="C958" i="4"/>
  <c r="V958" i="4" s="1"/>
  <c r="B958" i="4"/>
  <c r="A958" i="4"/>
  <c r="X957" i="4"/>
  <c r="V957" i="4"/>
  <c r="T957" i="4"/>
  <c r="S957" i="4"/>
  <c r="R957" i="4"/>
  <c r="Q957" i="4"/>
  <c r="P957" i="4"/>
  <c r="O957" i="4"/>
  <c r="W957" i="4" s="1"/>
  <c r="N957" i="4"/>
  <c r="M957" i="4"/>
  <c r="L957" i="4"/>
  <c r="K957" i="4"/>
  <c r="J957" i="4"/>
  <c r="I957" i="4"/>
  <c r="H957" i="4"/>
  <c r="G957" i="4"/>
  <c r="F957" i="4"/>
  <c r="E957" i="4"/>
  <c r="U957" i="4" s="1"/>
  <c r="D957" i="4"/>
  <c r="C957" i="4"/>
  <c r="B957" i="4"/>
  <c r="A957" i="4"/>
  <c r="X956" i="4"/>
  <c r="T956" i="4"/>
  <c r="S956" i="4"/>
  <c r="R956" i="4"/>
  <c r="Q956" i="4"/>
  <c r="P956" i="4"/>
  <c r="O956" i="4"/>
  <c r="N956" i="4"/>
  <c r="M956" i="4"/>
  <c r="L956" i="4"/>
  <c r="K956" i="4"/>
  <c r="J956" i="4"/>
  <c r="I956" i="4"/>
  <c r="H956" i="4"/>
  <c r="G956" i="4"/>
  <c r="F956" i="4"/>
  <c r="E956" i="4"/>
  <c r="U956" i="4" s="1"/>
  <c r="D956" i="4"/>
  <c r="C956" i="4"/>
  <c r="V956" i="4" s="1"/>
  <c r="B956" i="4"/>
  <c r="A956" i="4"/>
  <c r="X955" i="4"/>
  <c r="V955" i="4"/>
  <c r="T955" i="4"/>
  <c r="S955" i="4"/>
  <c r="R955" i="4"/>
  <c r="Q955" i="4"/>
  <c r="P955" i="4"/>
  <c r="O955" i="4"/>
  <c r="W955" i="4" s="1"/>
  <c r="N955" i="4"/>
  <c r="M955" i="4"/>
  <c r="L955" i="4"/>
  <c r="K955" i="4"/>
  <c r="J955" i="4"/>
  <c r="I955" i="4"/>
  <c r="H955" i="4"/>
  <c r="G955" i="4"/>
  <c r="F955" i="4"/>
  <c r="E955" i="4"/>
  <c r="U955" i="4" s="1"/>
  <c r="D955" i="4"/>
  <c r="C955" i="4"/>
  <c r="B955" i="4"/>
  <c r="A955" i="4"/>
  <c r="X954" i="4"/>
  <c r="T954" i="4"/>
  <c r="S954" i="4"/>
  <c r="W954" i="4" s="1"/>
  <c r="R954" i="4"/>
  <c r="Q954" i="4"/>
  <c r="P954" i="4"/>
  <c r="O954" i="4"/>
  <c r="N954" i="4"/>
  <c r="M954" i="4"/>
  <c r="L954" i="4"/>
  <c r="K954" i="4"/>
  <c r="J954" i="4"/>
  <c r="I954" i="4"/>
  <c r="H954" i="4"/>
  <c r="G954" i="4"/>
  <c r="F954" i="4"/>
  <c r="E954" i="4"/>
  <c r="U954" i="4" s="1"/>
  <c r="D954" i="4"/>
  <c r="C954" i="4"/>
  <c r="V954" i="4" s="1"/>
  <c r="B954" i="4"/>
  <c r="A954" i="4"/>
  <c r="X953" i="4"/>
  <c r="V953" i="4"/>
  <c r="T953" i="4"/>
  <c r="S953" i="4"/>
  <c r="R953" i="4"/>
  <c r="Q953" i="4"/>
  <c r="P953" i="4"/>
  <c r="O953" i="4"/>
  <c r="W953" i="4" s="1"/>
  <c r="N953" i="4"/>
  <c r="M953" i="4"/>
  <c r="L953" i="4"/>
  <c r="K953" i="4"/>
  <c r="J953" i="4"/>
  <c r="I953" i="4"/>
  <c r="H953" i="4"/>
  <c r="G953" i="4"/>
  <c r="F953" i="4"/>
  <c r="E953" i="4"/>
  <c r="U953" i="4" s="1"/>
  <c r="D953" i="4"/>
  <c r="C953" i="4"/>
  <c r="B953" i="4"/>
  <c r="A953" i="4"/>
  <c r="X952" i="4"/>
  <c r="W952" i="4"/>
  <c r="T952" i="4"/>
  <c r="S952" i="4"/>
  <c r="R952" i="4"/>
  <c r="Q952" i="4"/>
  <c r="P952" i="4"/>
  <c r="O952" i="4"/>
  <c r="N952" i="4"/>
  <c r="M952" i="4"/>
  <c r="L952" i="4"/>
  <c r="K952" i="4"/>
  <c r="J952" i="4"/>
  <c r="I952" i="4"/>
  <c r="H952" i="4"/>
  <c r="G952" i="4"/>
  <c r="F952" i="4"/>
  <c r="E952" i="4"/>
  <c r="U952" i="4" s="1"/>
  <c r="D952" i="4"/>
  <c r="C952" i="4"/>
  <c r="V952" i="4" s="1"/>
  <c r="B952" i="4"/>
  <c r="A952" i="4"/>
  <c r="X951" i="4"/>
  <c r="V951" i="4"/>
  <c r="T951" i="4"/>
  <c r="S951" i="4"/>
  <c r="R951" i="4"/>
  <c r="Q951" i="4"/>
  <c r="P951" i="4"/>
  <c r="O951" i="4"/>
  <c r="W951" i="4" s="1"/>
  <c r="N951" i="4"/>
  <c r="M951" i="4"/>
  <c r="L951" i="4"/>
  <c r="K951" i="4"/>
  <c r="J951" i="4"/>
  <c r="I951" i="4"/>
  <c r="H951" i="4"/>
  <c r="G951" i="4"/>
  <c r="F951" i="4"/>
  <c r="E951" i="4"/>
  <c r="U951" i="4" s="1"/>
  <c r="D951" i="4"/>
  <c r="C951" i="4"/>
  <c r="B951" i="4"/>
  <c r="A951" i="4"/>
  <c r="X950" i="4"/>
  <c r="T950" i="4"/>
  <c r="S950" i="4"/>
  <c r="R950" i="4"/>
  <c r="Q950" i="4"/>
  <c r="P950" i="4"/>
  <c r="O950" i="4"/>
  <c r="N950" i="4"/>
  <c r="M950" i="4"/>
  <c r="L950" i="4"/>
  <c r="W950" i="4" s="1"/>
  <c r="K950" i="4"/>
  <c r="J950" i="4"/>
  <c r="I950" i="4"/>
  <c r="H950" i="4"/>
  <c r="G950" i="4"/>
  <c r="F950" i="4"/>
  <c r="E950" i="4"/>
  <c r="U950" i="4" s="1"/>
  <c r="D950" i="4"/>
  <c r="C950" i="4"/>
  <c r="V950" i="4" s="1"/>
  <c r="B950" i="4"/>
  <c r="A950" i="4"/>
  <c r="X949" i="4"/>
  <c r="V949" i="4"/>
  <c r="T949" i="4"/>
  <c r="S949" i="4"/>
  <c r="R949" i="4"/>
  <c r="Q949" i="4"/>
  <c r="P949" i="4"/>
  <c r="O949" i="4"/>
  <c r="W949" i="4" s="1"/>
  <c r="N949" i="4"/>
  <c r="M949" i="4"/>
  <c r="L949" i="4"/>
  <c r="K949" i="4"/>
  <c r="J949" i="4"/>
  <c r="I949" i="4"/>
  <c r="H949" i="4"/>
  <c r="G949" i="4"/>
  <c r="F949" i="4"/>
  <c r="E949" i="4"/>
  <c r="U949" i="4" s="1"/>
  <c r="D949" i="4"/>
  <c r="C949" i="4"/>
  <c r="B949" i="4"/>
  <c r="A949" i="4"/>
  <c r="X948" i="4"/>
  <c r="W948" i="4"/>
  <c r="T948" i="4"/>
  <c r="S948" i="4"/>
  <c r="R948" i="4"/>
  <c r="Q948" i="4"/>
  <c r="P948" i="4"/>
  <c r="O948" i="4"/>
  <c r="N948" i="4"/>
  <c r="M948" i="4"/>
  <c r="L948" i="4"/>
  <c r="K948" i="4"/>
  <c r="J948" i="4"/>
  <c r="I948" i="4"/>
  <c r="H948" i="4"/>
  <c r="G948" i="4"/>
  <c r="F948" i="4"/>
  <c r="E948" i="4"/>
  <c r="U948" i="4" s="1"/>
  <c r="D948" i="4"/>
  <c r="C948" i="4"/>
  <c r="V948" i="4" s="1"/>
  <c r="B948" i="4"/>
  <c r="A948" i="4"/>
  <c r="X947" i="4"/>
  <c r="V947" i="4"/>
  <c r="T947" i="4"/>
  <c r="S947" i="4"/>
  <c r="R947" i="4"/>
  <c r="Q947" i="4"/>
  <c r="P947" i="4"/>
  <c r="O947" i="4"/>
  <c r="W947" i="4" s="1"/>
  <c r="N947" i="4"/>
  <c r="M947" i="4"/>
  <c r="L947" i="4"/>
  <c r="K947" i="4"/>
  <c r="J947" i="4"/>
  <c r="I947" i="4"/>
  <c r="H947" i="4"/>
  <c r="G947" i="4"/>
  <c r="F947" i="4"/>
  <c r="E947" i="4"/>
  <c r="U947" i="4" s="1"/>
  <c r="D947" i="4"/>
  <c r="C947" i="4"/>
  <c r="B947" i="4"/>
  <c r="A947" i="4"/>
  <c r="X946" i="4"/>
  <c r="T946" i="4"/>
  <c r="S946" i="4"/>
  <c r="R946" i="4"/>
  <c r="Q946" i="4"/>
  <c r="P946" i="4"/>
  <c r="O946" i="4"/>
  <c r="N946" i="4"/>
  <c r="M946" i="4"/>
  <c r="L946" i="4"/>
  <c r="W946" i="4" s="1"/>
  <c r="K946" i="4"/>
  <c r="J946" i="4"/>
  <c r="I946" i="4"/>
  <c r="H946" i="4"/>
  <c r="G946" i="4"/>
  <c r="F946" i="4"/>
  <c r="E946" i="4"/>
  <c r="U946" i="4" s="1"/>
  <c r="D946" i="4"/>
  <c r="C946" i="4"/>
  <c r="V946" i="4" s="1"/>
  <c r="B946" i="4"/>
  <c r="A946" i="4"/>
  <c r="X945" i="4"/>
  <c r="V945" i="4"/>
  <c r="T945" i="4"/>
  <c r="S945" i="4"/>
  <c r="R945" i="4"/>
  <c r="Q945" i="4"/>
  <c r="P945" i="4"/>
  <c r="O945" i="4"/>
  <c r="W945" i="4" s="1"/>
  <c r="N945" i="4"/>
  <c r="M945" i="4"/>
  <c r="L945" i="4"/>
  <c r="K945" i="4"/>
  <c r="J945" i="4"/>
  <c r="I945" i="4"/>
  <c r="H945" i="4"/>
  <c r="G945" i="4"/>
  <c r="F945" i="4"/>
  <c r="E945" i="4"/>
  <c r="U945" i="4" s="1"/>
  <c r="D945" i="4"/>
  <c r="C945" i="4"/>
  <c r="B945" i="4"/>
  <c r="A945" i="4"/>
  <c r="X944" i="4"/>
  <c r="W944" i="4"/>
  <c r="T944" i="4"/>
  <c r="S944" i="4"/>
  <c r="R944" i="4"/>
  <c r="Q944" i="4"/>
  <c r="P944" i="4"/>
  <c r="O944" i="4"/>
  <c r="N944" i="4"/>
  <c r="M944" i="4"/>
  <c r="L944" i="4"/>
  <c r="K944" i="4"/>
  <c r="J944" i="4"/>
  <c r="I944" i="4"/>
  <c r="H944" i="4"/>
  <c r="G944" i="4"/>
  <c r="F944" i="4"/>
  <c r="E944" i="4"/>
  <c r="U944" i="4" s="1"/>
  <c r="D944" i="4"/>
  <c r="C944" i="4"/>
  <c r="V944" i="4" s="1"/>
  <c r="B944" i="4"/>
  <c r="A944" i="4"/>
  <c r="X943" i="4"/>
  <c r="V943" i="4"/>
  <c r="T943" i="4"/>
  <c r="S943" i="4"/>
  <c r="R943" i="4"/>
  <c r="Q943" i="4"/>
  <c r="P943" i="4"/>
  <c r="O943" i="4"/>
  <c r="W943" i="4" s="1"/>
  <c r="N943" i="4"/>
  <c r="M943" i="4"/>
  <c r="L943" i="4"/>
  <c r="K943" i="4"/>
  <c r="J943" i="4"/>
  <c r="I943" i="4"/>
  <c r="H943" i="4"/>
  <c r="G943" i="4"/>
  <c r="F943" i="4"/>
  <c r="E943" i="4"/>
  <c r="U943" i="4" s="1"/>
  <c r="D943" i="4"/>
  <c r="C943" i="4"/>
  <c r="B943" i="4"/>
  <c r="A943" i="4"/>
  <c r="X942" i="4"/>
  <c r="W942" i="4"/>
  <c r="T942" i="4"/>
  <c r="S942" i="4"/>
  <c r="R942" i="4"/>
  <c r="Q942" i="4"/>
  <c r="P942" i="4"/>
  <c r="O942" i="4"/>
  <c r="N942" i="4"/>
  <c r="M942" i="4"/>
  <c r="L942" i="4"/>
  <c r="K942" i="4"/>
  <c r="J942" i="4"/>
  <c r="I942" i="4"/>
  <c r="H942" i="4"/>
  <c r="G942" i="4"/>
  <c r="F942" i="4"/>
  <c r="E942" i="4"/>
  <c r="U942" i="4" s="1"/>
  <c r="D942" i="4"/>
  <c r="C942" i="4"/>
  <c r="V942" i="4" s="1"/>
  <c r="B942" i="4"/>
  <c r="A942" i="4"/>
  <c r="X941" i="4"/>
  <c r="V941" i="4"/>
  <c r="T941" i="4"/>
  <c r="S941" i="4"/>
  <c r="R941" i="4"/>
  <c r="Q941" i="4"/>
  <c r="P941" i="4"/>
  <c r="O941" i="4"/>
  <c r="W941" i="4" s="1"/>
  <c r="N941" i="4"/>
  <c r="M941" i="4"/>
  <c r="L941" i="4"/>
  <c r="K941" i="4"/>
  <c r="J941" i="4"/>
  <c r="I941" i="4"/>
  <c r="H941" i="4"/>
  <c r="G941" i="4"/>
  <c r="F941" i="4"/>
  <c r="E941" i="4"/>
  <c r="U941" i="4" s="1"/>
  <c r="D941" i="4"/>
  <c r="C941" i="4"/>
  <c r="B941" i="4"/>
  <c r="A941" i="4"/>
  <c r="X940" i="4"/>
  <c r="T940" i="4"/>
  <c r="S940" i="4"/>
  <c r="W940" i="4" s="1"/>
  <c r="R940" i="4"/>
  <c r="Q940" i="4"/>
  <c r="P940" i="4"/>
  <c r="O940" i="4"/>
  <c r="N940" i="4"/>
  <c r="M940" i="4"/>
  <c r="L940" i="4"/>
  <c r="K940" i="4"/>
  <c r="J940" i="4"/>
  <c r="I940" i="4"/>
  <c r="H940" i="4"/>
  <c r="G940" i="4"/>
  <c r="F940" i="4"/>
  <c r="E940" i="4"/>
  <c r="U940" i="4" s="1"/>
  <c r="D940" i="4"/>
  <c r="C940" i="4"/>
  <c r="V940" i="4" s="1"/>
  <c r="B940" i="4"/>
  <c r="A940" i="4"/>
  <c r="X939" i="4"/>
  <c r="V939" i="4"/>
  <c r="T939" i="4"/>
  <c r="S939" i="4"/>
  <c r="R939" i="4"/>
  <c r="Q939" i="4"/>
  <c r="P939" i="4"/>
  <c r="O939" i="4"/>
  <c r="W939" i="4" s="1"/>
  <c r="N939" i="4"/>
  <c r="M939" i="4"/>
  <c r="L939" i="4"/>
  <c r="K939" i="4"/>
  <c r="J939" i="4"/>
  <c r="I939" i="4"/>
  <c r="H939" i="4"/>
  <c r="G939" i="4"/>
  <c r="F939" i="4"/>
  <c r="E939" i="4"/>
  <c r="U939" i="4" s="1"/>
  <c r="D939" i="4"/>
  <c r="C939" i="4"/>
  <c r="B939" i="4"/>
  <c r="A939" i="4"/>
  <c r="X938" i="4"/>
  <c r="T938" i="4"/>
  <c r="S938" i="4"/>
  <c r="R938" i="4"/>
  <c r="Q938" i="4"/>
  <c r="P938" i="4"/>
  <c r="O938" i="4"/>
  <c r="N938" i="4"/>
  <c r="M938" i="4"/>
  <c r="L938" i="4"/>
  <c r="W938" i="4" s="1"/>
  <c r="K938" i="4"/>
  <c r="J938" i="4"/>
  <c r="I938" i="4"/>
  <c r="H938" i="4"/>
  <c r="G938" i="4"/>
  <c r="F938" i="4"/>
  <c r="E938" i="4"/>
  <c r="U938" i="4" s="1"/>
  <c r="D938" i="4"/>
  <c r="C938" i="4"/>
  <c r="V938" i="4" s="1"/>
  <c r="B938" i="4"/>
  <c r="A938" i="4"/>
  <c r="X937" i="4"/>
  <c r="V937" i="4"/>
  <c r="T937" i="4"/>
  <c r="S937" i="4"/>
  <c r="R937" i="4"/>
  <c r="Q937" i="4"/>
  <c r="P937" i="4"/>
  <c r="O937" i="4"/>
  <c r="W937" i="4" s="1"/>
  <c r="N937" i="4"/>
  <c r="M937" i="4"/>
  <c r="L937" i="4"/>
  <c r="K937" i="4"/>
  <c r="J937" i="4"/>
  <c r="I937" i="4"/>
  <c r="H937" i="4"/>
  <c r="G937" i="4"/>
  <c r="F937" i="4"/>
  <c r="E937" i="4"/>
  <c r="U937" i="4" s="1"/>
  <c r="D937" i="4"/>
  <c r="C937" i="4"/>
  <c r="B937" i="4"/>
  <c r="A937" i="4"/>
  <c r="X936" i="4"/>
  <c r="T936" i="4"/>
  <c r="S936" i="4"/>
  <c r="R936" i="4"/>
  <c r="Q936" i="4"/>
  <c r="P936" i="4"/>
  <c r="O936" i="4"/>
  <c r="N936" i="4"/>
  <c r="M936" i="4"/>
  <c r="L936" i="4"/>
  <c r="W936" i="4" s="1"/>
  <c r="K936" i="4"/>
  <c r="J936" i="4"/>
  <c r="I936" i="4"/>
  <c r="H936" i="4"/>
  <c r="G936" i="4"/>
  <c r="F936" i="4"/>
  <c r="E936" i="4"/>
  <c r="U936" i="4" s="1"/>
  <c r="D936" i="4"/>
  <c r="C936" i="4"/>
  <c r="V936" i="4" s="1"/>
  <c r="B936" i="4"/>
  <c r="A936" i="4"/>
  <c r="X935" i="4"/>
  <c r="V935" i="4"/>
  <c r="T935" i="4"/>
  <c r="S935" i="4"/>
  <c r="R935" i="4"/>
  <c r="Q935" i="4"/>
  <c r="P935" i="4"/>
  <c r="O935" i="4"/>
  <c r="W935" i="4" s="1"/>
  <c r="N935" i="4"/>
  <c r="M935" i="4"/>
  <c r="L935" i="4"/>
  <c r="K935" i="4"/>
  <c r="J935" i="4"/>
  <c r="I935" i="4"/>
  <c r="H935" i="4"/>
  <c r="G935" i="4"/>
  <c r="F935" i="4"/>
  <c r="E935" i="4"/>
  <c r="U935" i="4" s="1"/>
  <c r="D935" i="4"/>
  <c r="C935" i="4"/>
  <c r="B935" i="4"/>
  <c r="A935" i="4"/>
  <c r="X934" i="4"/>
  <c r="W934" i="4"/>
  <c r="T934" i="4"/>
  <c r="S934" i="4"/>
  <c r="R934" i="4"/>
  <c r="Q934" i="4"/>
  <c r="P934" i="4"/>
  <c r="O934" i="4"/>
  <c r="N934" i="4"/>
  <c r="M934" i="4"/>
  <c r="L934" i="4"/>
  <c r="K934" i="4"/>
  <c r="J934" i="4"/>
  <c r="I934" i="4"/>
  <c r="H934" i="4"/>
  <c r="G934" i="4"/>
  <c r="F934" i="4"/>
  <c r="E934" i="4"/>
  <c r="U934" i="4" s="1"/>
  <c r="D934" i="4"/>
  <c r="C934" i="4"/>
  <c r="V934" i="4" s="1"/>
  <c r="B934" i="4"/>
  <c r="A934" i="4"/>
  <c r="X933" i="4"/>
  <c r="V933" i="4"/>
  <c r="T933" i="4"/>
  <c r="S933" i="4"/>
  <c r="R933" i="4"/>
  <c r="Q933" i="4"/>
  <c r="P933" i="4"/>
  <c r="O933" i="4"/>
  <c r="W933" i="4" s="1"/>
  <c r="N933" i="4"/>
  <c r="M933" i="4"/>
  <c r="L933" i="4"/>
  <c r="K933" i="4"/>
  <c r="J933" i="4"/>
  <c r="I933" i="4"/>
  <c r="H933" i="4"/>
  <c r="G933" i="4"/>
  <c r="F933" i="4"/>
  <c r="E933" i="4"/>
  <c r="U933" i="4" s="1"/>
  <c r="D933" i="4"/>
  <c r="C933" i="4"/>
  <c r="B933" i="4"/>
  <c r="A933" i="4"/>
  <c r="X932" i="4"/>
  <c r="T932" i="4"/>
  <c r="S932" i="4"/>
  <c r="W932" i="4" s="1"/>
  <c r="R932" i="4"/>
  <c r="Q932" i="4"/>
  <c r="P932" i="4"/>
  <c r="O932" i="4"/>
  <c r="N932" i="4"/>
  <c r="M932" i="4"/>
  <c r="L932" i="4"/>
  <c r="K932" i="4"/>
  <c r="J932" i="4"/>
  <c r="I932" i="4"/>
  <c r="H932" i="4"/>
  <c r="G932" i="4"/>
  <c r="F932" i="4"/>
  <c r="E932" i="4"/>
  <c r="U932" i="4" s="1"/>
  <c r="D932" i="4"/>
  <c r="C932" i="4"/>
  <c r="V932" i="4" s="1"/>
  <c r="B932" i="4"/>
  <c r="A932" i="4"/>
  <c r="X931" i="4"/>
  <c r="V931" i="4"/>
  <c r="T931" i="4"/>
  <c r="S931" i="4"/>
  <c r="R931" i="4"/>
  <c r="Q931" i="4"/>
  <c r="P931" i="4"/>
  <c r="O931" i="4"/>
  <c r="W931" i="4" s="1"/>
  <c r="N931" i="4"/>
  <c r="M931" i="4"/>
  <c r="L931" i="4"/>
  <c r="K931" i="4"/>
  <c r="J931" i="4"/>
  <c r="I931" i="4"/>
  <c r="H931" i="4"/>
  <c r="G931" i="4"/>
  <c r="F931" i="4"/>
  <c r="E931" i="4"/>
  <c r="U931" i="4" s="1"/>
  <c r="D931" i="4"/>
  <c r="C931" i="4"/>
  <c r="B931" i="4"/>
  <c r="A931" i="4"/>
  <c r="X930" i="4"/>
  <c r="T930" i="4"/>
  <c r="S930" i="4"/>
  <c r="R930" i="4"/>
  <c r="Q930" i="4"/>
  <c r="P930" i="4"/>
  <c r="O930" i="4"/>
  <c r="N930" i="4"/>
  <c r="M930" i="4"/>
  <c r="L930" i="4"/>
  <c r="W930" i="4" s="1"/>
  <c r="K930" i="4"/>
  <c r="J930" i="4"/>
  <c r="I930" i="4"/>
  <c r="H930" i="4"/>
  <c r="G930" i="4"/>
  <c r="F930" i="4"/>
  <c r="E930" i="4"/>
  <c r="U930" i="4" s="1"/>
  <c r="D930" i="4"/>
  <c r="C930" i="4"/>
  <c r="V930" i="4" s="1"/>
  <c r="B930" i="4"/>
  <c r="A930" i="4"/>
  <c r="X929" i="4"/>
  <c r="V929" i="4"/>
  <c r="T929" i="4"/>
  <c r="S929" i="4"/>
  <c r="R929" i="4"/>
  <c r="Q929" i="4"/>
  <c r="P929" i="4"/>
  <c r="O929" i="4"/>
  <c r="W929" i="4" s="1"/>
  <c r="N929" i="4"/>
  <c r="M929" i="4"/>
  <c r="L929" i="4"/>
  <c r="K929" i="4"/>
  <c r="J929" i="4"/>
  <c r="I929" i="4"/>
  <c r="H929" i="4"/>
  <c r="G929" i="4"/>
  <c r="F929" i="4"/>
  <c r="E929" i="4"/>
  <c r="U929" i="4" s="1"/>
  <c r="D929" i="4"/>
  <c r="C929" i="4"/>
  <c r="B929" i="4"/>
  <c r="A929" i="4"/>
  <c r="X928" i="4"/>
  <c r="T928" i="4"/>
  <c r="S928" i="4"/>
  <c r="R928" i="4"/>
  <c r="Q928" i="4"/>
  <c r="P928" i="4"/>
  <c r="O928" i="4"/>
  <c r="N928" i="4"/>
  <c r="M928" i="4"/>
  <c r="L928" i="4"/>
  <c r="W928" i="4" s="1"/>
  <c r="K928" i="4"/>
  <c r="J928" i="4"/>
  <c r="I928" i="4"/>
  <c r="H928" i="4"/>
  <c r="G928" i="4"/>
  <c r="F928" i="4"/>
  <c r="E928" i="4"/>
  <c r="U928" i="4" s="1"/>
  <c r="D928" i="4"/>
  <c r="C928" i="4"/>
  <c r="V928" i="4" s="1"/>
  <c r="B928" i="4"/>
  <c r="A928" i="4"/>
  <c r="X927" i="4"/>
  <c r="V927" i="4"/>
  <c r="T927" i="4"/>
  <c r="S927" i="4"/>
  <c r="R927" i="4"/>
  <c r="Q927" i="4"/>
  <c r="P927" i="4"/>
  <c r="O927" i="4"/>
  <c r="W927" i="4" s="1"/>
  <c r="N927" i="4"/>
  <c r="M927" i="4"/>
  <c r="L927" i="4"/>
  <c r="K927" i="4"/>
  <c r="J927" i="4"/>
  <c r="I927" i="4"/>
  <c r="H927" i="4"/>
  <c r="G927" i="4"/>
  <c r="F927" i="4"/>
  <c r="E927" i="4"/>
  <c r="U927" i="4" s="1"/>
  <c r="D927" i="4"/>
  <c r="C927" i="4"/>
  <c r="B927" i="4"/>
  <c r="A927" i="4"/>
  <c r="X926" i="4"/>
  <c r="W926" i="4"/>
  <c r="T926" i="4"/>
  <c r="S926" i="4"/>
  <c r="R926" i="4"/>
  <c r="Q926" i="4"/>
  <c r="P926" i="4"/>
  <c r="O926" i="4"/>
  <c r="N926" i="4"/>
  <c r="M926" i="4"/>
  <c r="L926" i="4"/>
  <c r="K926" i="4"/>
  <c r="J926" i="4"/>
  <c r="I926" i="4"/>
  <c r="H926" i="4"/>
  <c r="G926" i="4"/>
  <c r="F926" i="4"/>
  <c r="E926" i="4"/>
  <c r="U926" i="4" s="1"/>
  <c r="D926" i="4"/>
  <c r="C926" i="4"/>
  <c r="V926" i="4" s="1"/>
  <c r="B926" i="4"/>
  <c r="A926" i="4"/>
  <c r="X925" i="4"/>
  <c r="V925" i="4"/>
  <c r="T925" i="4"/>
  <c r="S925" i="4"/>
  <c r="R925" i="4"/>
  <c r="Q925" i="4"/>
  <c r="P925" i="4"/>
  <c r="O925" i="4"/>
  <c r="W925" i="4" s="1"/>
  <c r="N925" i="4"/>
  <c r="M925" i="4"/>
  <c r="L925" i="4"/>
  <c r="K925" i="4"/>
  <c r="J925" i="4"/>
  <c r="I925" i="4"/>
  <c r="H925" i="4"/>
  <c r="G925" i="4"/>
  <c r="F925" i="4"/>
  <c r="E925" i="4"/>
  <c r="U925" i="4" s="1"/>
  <c r="D925" i="4"/>
  <c r="C925" i="4"/>
  <c r="B925" i="4"/>
  <c r="A925" i="4"/>
  <c r="X924" i="4"/>
  <c r="T924" i="4"/>
  <c r="S924" i="4"/>
  <c r="R924" i="4"/>
  <c r="Q924" i="4"/>
  <c r="P924" i="4"/>
  <c r="O924" i="4"/>
  <c r="N924" i="4"/>
  <c r="M924" i="4"/>
  <c r="L924" i="4"/>
  <c r="K924" i="4"/>
  <c r="J924" i="4"/>
  <c r="I924" i="4"/>
  <c r="H924" i="4"/>
  <c r="G924" i="4"/>
  <c r="F924" i="4"/>
  <c r="E924" i="4"/>
  <c r="U924" i="4" s="1"/>
  <c r="D924" i="4"/>
  <c r="C924" i="4"/>
  <c r="V924" i="4" s="1"/>
  <c r="B924" i="4"/>
  <c r="A924" i="4"/>
  <c r="X923" i="4"/>
  <c r="V923" i="4"/>
  <c r="T923" i="4"/>
  <c r="S923" i="4"/>
  <c r="R923" i="4"/>
  <c r="Q923" i="4"/>
  <c r="P923" i="4"/>
  <c r="O923" i="4"/>
  <c r="W923" i="4" s="1"/>
  <c r="N923" i="4"/>
  <c r="M923" i="4"/>
  <c r="L923" i="4"/>
  <c r="K923" i="4"/>
  <c r="J923" i="4"/>
  <c r="I923" i="4"/>
  <c r="H923" i="4"/>
  <c r="G923" i="4"/>
  <c r="F923" i="4"/>
  <c r="E923" i="4"/>
  <c r="U923" i="4" s="1"/>
  <c r="D923" i="4"/>
  <c r="C923" i="4"/>
  <c r="B923" i="4"/>
  <c r="A923" i="4"/>
  <c r="X922" i="4"/>
  <c r="T922" i="4"/>
  <c r="S922" i="4"/>
  <c r="W922" i="4" s="1"/>
  <c r="R922" i="4"/>
  <c r="Q922" i="4"/>
  <c r="P922" i="4"/>
  <c r="O922" i="4"/>
  <c r="N922" i="4"/>
  <c r="M922" i="4"/>
  <c r="L922" i="4"/>
  <c r="K922" i="4"/>
  <c r="J922" i="4"/>
  <c r="I922" i="4"/>
  <c r="H922" i="4"/>
  <c r="G922" i="4"/>
  <c r="F922" i="4"/>
  <c r="E922" i="4"/>
  <c r="U922" i="4" s="1"/>
  <c r="D922" i="4"/>
  <c r="C922" i="4"/>
  <c r="V922" i="4" s="1"/>
  <c r="B922" i="4"/>
  <c r="A922" i="4"/>
  <c r="X921" i="4"/>
  <c r="V921" i="4"/>
  <c r="T921" i="4"/>
  <c r="S921" i="4"/>
  <c r="R921" i="4"/>
  <c r="Q921" i="4"/>
  <c r="P921" i="4"/>
  <c r="O921" i="4"/>
  <c r="W921" i="4" s="1"/>
  <c r="N921" i="4"/>
  <c r="M921" i="4"/>
  <c r="L921" i="4"/>
  <c r="K921" i="4"/>
  <c r="J921" i="4"/>
  <c r="I921" i="4"/>
  <c r="H921" i="4"/>
  <c r="G921" i="4"/>
  <c r="F921" i="4"/>
  <c r="E921" i="4"/>
  <c r="U921" i="4" s="1"/>
  <c r="D921" i="4"/>
  <c r="C921" i="4"/>
  <c r="B921" i="4"/>
  <c r="A921" i="4"/>
  <c r="X920" i="4"/>
  <c r="T920" i="4"/>
  <c r="S920" i="4"/>
  <c r="R920" i="4"/>
  <c r="Q920" i="4"/>
  <c r="P920" i="4"/>
  <c r="O920" i="4"/>
  <c r="N920" i="4"/>
  <c r="M920" i="4"/>
  <c r="L920" i="4"/>
  <c r="W920" i="4" s="1"/>
  <c r="K920" i="4"/>
  <c r="J920" i="4"/>
  <c r="I920" i="4"/>
  <c r="H920" i="4"/>
  <c r="G920" i="4"/>
  <c r="F920" i="4"/>
  <c r="E920" i="4"/>
  <c r="U920" i="4" s="1"/>
  <c r="D920" i="4"/>
  <c r="C920" i="4"/>
  <c r="V920" i="4" s="1"/>
  <c r="B920" i="4"/>
  <c r="A920" i="4"/>
  <c r="X919" i="4"/>
  <c r="V919" i="4"/>
  <c r="T919" i="4"/>
  <c r="S919" i="4"/>
  <c r="R919" i="4"/>
  <c r="Q919" i="4"/>
  <c r="P919" i="4"/>
  <c r="O919" i="4"/>
  <c r="W919" i="4" s="1"/>
  <c r="N919" i="4"/>
  <c r="M919" i="4"/>
  <c r="L919" i="4"/>
  <c r="K919" i="4"/>
  <c r="J919" i="4"/>
  <c r="I919" i="4"/>
  <c r="H919" i="4"/>
  <c r="G919" i="4"/>
  <c r="F919" i="4"/>
  <c r="E919" i="4"/>
  <c r="U919" i="4" s="1"/>
  <c r="D919" i="4"/>
  <c r="C919" i="4"/>
  <c r="B919" i="4"/>
  <c r="A919" i="4"/>
  <c r="X918" i="4"/>
  <c r="T918" i="4"/>
  <c r="S918" i="4"/>
  <c r="R918" i="4"/>
  <c r="Q918" i="4"/>
  <c r="P918" i="4"/>
  <c r="O918" i="4"/>
  <c r="N918" i="4"/>
  <c r="M918" i="4"/>
  <c r="L918" i="4"/>
  <c r="K918" i="4"/>
  <c r="J918" i="4"/>
  <c r="I918" i="4"/>
  <c r="H918" i="4"/>
  <c r="G918" i="4"/>
  <c r="F918" i="4"/>
  <c r="E918" i="4"/>
  <c r="U918" i="4" s="1"/>
  <c r="D918" i="4"/>
  <c r="C918" i="4"/>
  <c r="V918" i="4" s="1"/>
  <c r="B918" i="4"/>
  <c r="A918" i="4"/>
  <c r="X917" i="4"/>
  <c r="T917" i="4"/>
  <c r="S917" i="4"/>
  <c r="R917" i="4"/>
  <c r="Q917" i="4"/>
  <c r="P917" i="4"/>
  <c r="O917" i="4"/>
  <c r="W917" i="4" s="1"/>
  <c r="N917" i="4"/>
  <c r="M917" i="4"/>
  <c r="L917" i="4"/>
  <c r="K917" i="4"/>
  <c r="J917" i="4"/>
  <c r="I917" i="4"/>
  <c r="H917" i="4"/>
  <c r="G917" i="4"/>
  <c r="F917" i="4"/>
  <c r="E917" i="4"/>
  <c r="U917" i="4" s="1"/>
  <c r="D917" i="4"/>
  <c r="C917" i="4"/>
  <c r="V917" i="4" s="1"/>
  <c r="B917" i="4"/>
  <c r="A917" i="4"/>
  <c r="X916" i="4"/>
  <c r="W916" i="4"/>
  <c r="T916" i="4"/>
  <c r="S916" i="4"/>
  <c r="R916" i="4"/>
  <c r="Q916" i="4"/>
  <c r="P916" i="4"/>
  <c r="O916" i="4"/>
  <c r="N916" i="4"/>
  <c r="M916" i="4"/>
  <c r="L916" i="4"/>
  <c r="K916" i="4"/>
  <c r="J916" i="4"/>
  <c r="I916" i="4"/>
  <c r="H916" i="4"/>
  <c r="G916" i="4"/>
  <c r="F916" i="4"/>
  <c r="E916" i="4"/>
  <c r="U916" i="4" s="1"/>
  <c r="D916" i="4"/>
  <c r="C916" i="4"/>
  <c r="V916" i="4" s="1"/>
  <c r="B916" i="4"/>
  <c r="A916" i="4"/>
  <c r="X915" i="4"/>
  <c r="V915" i="4"/>
  <c r="T915" i="4"/>
  <c r="S915" i="4"/>
  <c r="R915" i="4"/>
  <c r="Q915" i="4"/>
  <c r="P915" i="4"/>
  <c r="O915" i="4"/>
  <c r="W915" i="4" s="1"/>
  <c r="N915" i="4"/>
  <c r="M915" i="4"/>
  <c r="L915" i="4"/>
  <c r="K915" i="4"/>
  <c r="J915" i="4"/>
  <c r="I915" i="4"/>
  <c r="H915" i="4"/>
  <c r="G915" i="4"/>
  <c r="F915" i="4"/>
  <c r="E915" i="4"/>
  <c r="U915" i="4" s="1"/>
  <c r="D915" i="4"/>
  <c r="C915" i="4"/>
  <c r="B915" i="4"/>
  <c r="A915" i="4"/>
  <c r="X914" i="4"/>
  <c r="T914" i="4"/>
  <c r="S914" i="4"/>
  <c r="R914" i="4"/>
  <c r="Q914" i="4"/>
  <c r="P914" i="4"/>
  <c r="O914" i="4"/>
  <c r="N914" i="4"/>
  <c r="M914" i="4"/>
  <c r="L914" i="4"/>
  <c r="K914" i="4"/>
  <c r="J914" i="4"/>
  <c r="I914" i="4"/>
  <c r="H914" i="4"/>
  <c r="G914" i="4"/>
  <c r="F914" i="4"/>
  <c r="E914" i="4"/>
  <c r="U914" i="4" s="1"/>
  <c r="D914" i="4"/>
  <c r="C914" i="4"/>
  <c r="V914" i="4" s="1"/>
  <c r="B914" i="4"/>
  <c r="A914" i="4"/>
  <c r="X913" i="4"/>
  <c r="T913" i="4"/>
  <c r="S913" i="4"/>
  <c r="R913" i="4"/>
  <c r="Q913" i="4"/>
  <c r="P913" i="4"/>
  <c r="O913" i="4"/>
  <c r="W913" i="4" s="1"/>
  <c r="N913" i="4"/>
  <c r="M913" i="4"/>
  <c r="L913" i="4"/>
  <c r="K913" i="4"/>
  <c r="J913" i="4"/>
  <c r="I913" i="4"/>
  <c r="H913" i="4"/>
  <c r="G913" i="4"/>
  <c r="F913" i="4"/>
  <c r="E913" i="4"/>
  <c r="U913" i="4" s="1"/>
  <c r="D913" i="4"/>
  <c r="C913" i="4"/>
  <c r="V913" i="4" s="1"/>
  <c r="B913" i="4"/>
  <c r="A913" i="4"/>
  <c r="X912" i="4"/>
  <c r="W912" i="4"/>
  <c r="T912" i="4"/>
  <c r="S912" i="4"/>
  <c r="R912" i="4"/>
  <c r="Q912" i="4"/>
  <c r="P912" i="4"/>
  <c r="O912" i="4"/>
  <c r="N912" i="4"/>
  <c r="M912" i="4"/>
  <c r="L912" i="4"/>
  <c r="K912" i="4"/>
  <c r="J912" i="4"/>
  <c r="I912" i="4"/>
  <c r="H912" i="4"/>
  <c r="G912" i="4"/>
  <c r="F912" i="4"/>
  <c r="E912" i="4"/>
  <c r="U912" i="4" s="1"/>
  <c r="D912" i="4"/>
  <c r="C912" i="4"/>
  <c r="V912" i="4" s="1"/>
  <c r="B912" i="4"/>
  <c r="A912" i="4"/>
  <c r="X911" i="4"/>
  <c r="V911" i="4"/>
  <c r="T911" i="4"/>
  <c r="S911" i="4"/>
  <c r="R911" i="4"/>
  <c r="Q911" i="4"/>
  <c r="P911" i="4"/>
  <c r="O911" i="4"/>
  <c r="W911" i="4" s="1"/>
  <c r="N911" i="4"/>
  <c r="M911" i="4"/>
  <c r="L911" i="4"/>
  <c r="K911" i="4"/>
  <c r="J911" i="4"/>
  <c r="I911" i="4"/>
  <c r="H911" i="4"/>
  <c r="G911" i="4"/>
  <c r="F911" i="4"/>
  <c r="E911" i="4"/>
  <c r="U911" i="4" s="1"/>
  <c r="D911" i="4"/>
  <c r="C911" i="4"/>
  <c r="B911" i="4"/>
  <c r="A911" i="4"/>
  <c r="X910" i="4"/>
  <c r="T910" i="4"/>
  <c r="S910" i="4"/>
  <c r="R910" i="4"/>
  <c r="Q910" i="4"/>
  <c r="P910" i="4"/>
  <c r="O910" i="4"/>
  <c r="N910" i="4"/>
  <c r="M910" i="4"/>
  <c r="L910" i="4"/>
  <c r="W910" i="4" s="1"/>
  <c r="K910" i="4"/>
  <c r="J910" i="4"/>
  <c r="I910" i="4"/>
  <c r="H910" i="4"/>
  <c r="G910" i="4"/>
  <c r="F910" i="4"/>
  <c r="E910" i="4"/>
  <c r="U910" i="4" s="1"/>
  <c r="D910" i="4"/>
  <c r="C910" i="4"/>
  <c r="V910" i="4" s="1"/>
  <c r="B910" i="4"/>
  <c r="A910" i="4"/>
  <c r="X909" i="4"/>
  <c r="T909" i="4"/>
  <c r="S909" i="4"/>
  <c r="R909" i="4"/>
  <c r="Q909" i="4"/>
  <c r="P909" i="4"/>
  <c r="O909" i="4"/>
  <c r="W909" i="4" s="1"/>
  <c r="N909" i="4"/>
  <c r="M909" i="4"/>
  <c r="L909" i="4"/>
  <c r="K909" i="4"/>
  <c r="J909" i="4"/>
  <c r="I909" i="4"/>
  <c r="H909" i="4"/>
  <c r="G909" i="4"/>
  <c r="F909" i="4"/>
  <c r="E909" i="4"/>
  <c r="U909" i="4" s="1"/>
  <c r="D909" i="4"/>
  <c r="C909" i="4"/>
  <c r="V909" i="4" s="1"/>
  <c r="B909" i="4"/>
  <c r="A909" i="4"/>
  <c r="X908" i="4"/>
  <c r="T908" i="4"/>
  <c r="S908" i="4"/>
  <c r="W908" i="4" s="1"/>
  <c r="R908" i="4"/>
  <c r="Q908" i="4"/>
  <c r="P908" i="4"/>
  <c r="O908" i="4"/>
  <c r="N908" i="4"/>
  <c r="M908" i="4"/>
  <c r="L908" i="4"/>
  <c r="K908" i="4"/>
  <c r="J908" i="4"/>
  <c r="I908" i="4"/>
  <c r="H908" i="4"/>
  <c r="G908" i="4"/>
  <c r="F908" i="4"/>
  <c r="E908" i="4"/>
  <c r="U908" i="4" s="1"/>
  <c r="D908" i="4"/>
  <c r="C908" i="4"/>
  <c r="V908" i="4" s="1"/>
  <c r="B908" i="4"/>
  <c r="A908" i="4"/>
  <c r="X907" i="4"/>
  <c r="T907" i="4"/>
  <c r="S907" i="4"/>
  <c r="R907" i="4"/>
  <c r="Q907" i="4"/>
  <c r="P907" i="4"/>
  <c r="O907" i="4"/>
  <c r="N907" i="4"/>
  <c r="M907" i="4"/>
  <c r="L907" i="4"/>
  <c r="K907" i="4"/>
  <c r="J907" i="4"/>
  <c r="I907" i="4"/>
  <c r="H907" i="4"/>
  <c r="G907" i="4"/>
  <c r="F907" i="4"/>
  <c r="E907" i="4"/>
  <c r="U907" i="4" s="1"/>
  <c r="D907" i="4"/>
  <c r="C907" i="4"/>
  <c r="V907" i="4" s="1"/>
  <c r="B907" i="4"/>
  <c r="A907" i="4"/>
  <c r="X906" i="4"/>
  <c r="T906" i="4"/>
  <c r="S906" i="4"/>
  <c r="R906" i="4"/>
  <c r="Q906" i="4"/>
  <c r="P906" i="4"/>
  <c r="O906" i="4"/>
  <c r="N906" i="4"/>
  <c r="M906" i="4"/>
  <c r="L906" i="4"/>
  <c r="K906" i="4"/>
  <c r="J906" i="4"/>
  <c r="I906" i="4"/>
  <c r="H906" i="4"/>
  <c r="G906" i="4"/>
  <c r="F906" i="4"/>
  <c r="E906" i="4"/>
  <c r="U906" i="4" s="1"/>
  <c r="D906" i="4"/>
  <c r="C906" i="4"/>
  <c r="V906" i="4" s="1"/>
  <c r="B906" i="4"/>
  <c r="A906" i="4"/>
  <c r="X905" i="4"/>
  <c r="V905" i="4"/>
  <c r="T905" i="4"/>
  <c r="S905" i="4"/>
  <c r="R905" i="4"/>
  <c r="Q905" i="4"/>
  <c r="P905" i="4"/>
  <c r="O905" i="4"/>
  <c r="W905" i="4" s="1"/>
  <c r="N905" i="4"/>
  <c r="M905" i="4"/>
  <c r="L905" i="4"/>
  <c r="K905" i="4"/>
  <c r="J905" i="4"/>
  <c r="I905" i="4"/>
  <c r="H905" i="4"/>
  <c r="G905" i="4"/>
  <c r="F905" i="4"/>
  <c r="E905" i="4"/>
  <c r="U905" i="4" s="1"/>
  <c r="D905" i="4"/>
  <c r="C905" i="4"/>
  <c r="B905" i="4"/>
  <c r="A905" i="4"/>
  <c r="X904" i="4"/>
  <c r="W904" i="4"/>
  <c r="V904" i="4"/>
  <c r="T904" i="4"/>
  <c r="S904" i="4"/>
  <c r="R904" i="4"/>
  <c r="Q904" i="4"/>
  <c r="P904" i="4"/>
  <c r="O904" i="4"/>
  <c r="N904" i="4"/>
  <c r="M904" i="4"/>
  <c r="L904" i="4"/>
  <c r="K904" i="4"/>
  <c r="J904" i="4"/>
  <c r="I904" i="4"/>
  <c r="H904" i="4"/>
  <c r="G904" i="4"/>
  <c r="F904" i="4"/>
  <c r="E904" i="4"/>
  <c r="U904" i="4" s="1"/>
  <c r="D904" i="4"/>
  <c r="C904" i="4"/>
  <c r="B904" i="4"/>
  <c r="A904" i="4"/>
  <c r="X903" i="4"/>
  <c r="V903" i="4"/>
  <c r="T903" i="4"/>
  <c r="S903" i="4"/>
  <c r="R903" i="4"/>
  <c r="Q903" i="4"/>
  <c r="P903" i="4"/>
  <c r="O903" i="4"/>
  <c r="W903" i="4" s="1"/>
  <c r="N903" i="4"/>
  <c r="M903" i="4"/>
  <c r="L903" i="4"/>
  <c r="K903" i="4"/>
  <c r="J903" i="4"/>
  <c r="I903" i="4"/>
  <c r="H903" i="4"/>
  <c r="G903" i="4"/>
  <c r="F903" i="4"/>
  <c r="E903" i="4"/>
  <c r="U903" i="4" s="1"/>
  <c r="D903" i="4"/>
  <c r="C903" i="4"/>
  <c r="B903" i="4"/>
  <c r="A903" i="4"/>
  <c r="X902" i="4"/>
  <c r="T902" i="4"/>
  <c r="S902" i="4"/>
  <c r="R902" i="4"/>
  <c r="Q902" i="4"/>
  <c r="P902" i="4"/>
  <c r="O902" i="4"/>
  <c r="N902" i="4"/>
  <c r="M902" i="4"/>
  <c r="L902" i="4"/>
  <c r="W902" i="4" s="1"/>
  <c r="K902" i="4"/>
  <c r="J902" i="4"/>
  <c r="I902" i="4"/>
  <c r="H902" i="4"/>
  <c r="G902" i="4"/>
  <c r="F902" i="4"/>
  <c r="E902" i="4"/>
  <c r="U902" i="4" s="1"/>
  <c r="D902" i="4"/>
  <c r="C902" i="4"/>
  <c r="V902" i="4" s="1"/>
  <c r="B902" i="4"/>
  <c r="A902" i="4"/>
  <c r="X901" i="4"/>
  <c r="V901" i="4"/>
  <c r="T901" i="4"/>
  <c r="S901" i="4"/>
  <c r="R901" i="4"/>
  <c r="Q901" i="4"/>
  <c r="P901" i="4"/>
  <c r="O901" i="4"/>
  <c r="N901" i="4"/>
  <c r="M901" i="4"/>
  <c r="L901" i="4"/>
  <c r="K901" i="4"/>
  <c r="J901" i="4"/>
  <c r="I901" i="4"/>
  <c r="H901" i="4"/>
  <c r="G901" i="4"/>
  <c r="F901" i="4"/>
  <c r="E901" i="4"/>
  <c r="U901" i="4" s="1"/>
  <c r="D901" i="4"/>
  <c r="C901" i="4"/>
  <c r="B901" i="4"/>
  <c r="A901" i="4"/>
  <c r="X900" i="4"/>
  <c r="T900" i="4"/>
  <c r="S900" i="4"/>
  <c r="R900" i="4"/>
  <c r="Q900" i="4"/>
  <c r="P900" i="4"/>
  <c r="O900" i="4"/>
  <c r="N900" i="4"/>
  <c r="M900" i="4"/>
  <c r="L900" i="4"/>
  <c r="W900" i="4" s="1"/>
  <c r="K900" i="4"/>
  <c r="J900" i="4"/>
  <c r="I900" i="4"/>
  <c r="H900" i="4"/>
  <c r="G900" i="4"/>
  <c r="F900" i="4"/>
  <c r="E900" i="4"/>
  <c r="U900" i="4" s="1"/>
  <c r="D900" i="4"/>
  <c r="C900" i="4"/>
  <c r="V900" i="4" s="1"/>
  <c r="B900" i="4"/>
  <c r="A900" i="4"/>
  <c r="X899" i="4"/>
  <c r="T899" i="4"/>
  <c r="S899" i="4"/>
  <c r="R899" i="4"/>
  <c r="Q899" i="4"/>
  <c r="P899" i="4"/>
  <c r="O899" i="4"/>
  <c r="W899" i="4" s="1"/>
  <c r="N899" i="4"/>
  <c r="M899" i="4"/>
  <c r="L899" i="4"/>
  <c r="K899" i="4"/>
  <c r="J899" i="4"/>
  <c r="I899" i="4"/>
  <c r="H899" i="4"/>
  <c r="G899" i="4"/>
  <c r="F899" i="4"/>
  <c r="E899" i="4"/>
  <c r="U899" i="4" s="1"/>
  <c r="D899" i="4"/>
  <c r="C899" i="4"/>
  <c r="V899" i="4" s="1"/>
  <c r="B899" i="4"/>
  <c r="A899" i="4"/>
  <c r="X898" i="4"/>
  <c r="V898" i="4"/>
  <c r="T898" i="4"/>
  <c r="S898" i="4"/>
  <c r="W898" i="4" s="1"/>
  <c r="R898" i="4"/>
  <c r="Q898" i="4"/>
  <c r="P898" i="4"/>
  <c r="O898" i="4"/>
  <c r="N898" i="4"/>
  <c r="M898" i="4"/>
  <c r="L898" i="4"/>
  <c r="K898" i="4"/>
  <c r="J898" i="4"/>
  <c r="I898" i="4"/>
  <c r="H898" i="4"/>
  <c r="G898" i="4"/>
  <c r="F898" i="4"/>
  <c r="E898" i="4"/>
  <c r="U898" i="4" s="1"/>
  <c r="D898" i="4"/>
  <c r="C898" i="4"/>
  <c r="B898" i="4"/>
  <c r="A898" i="4"/>
  <c r="X897" i="4"/>
  <c r="V897" i="4"/>
  <c r="T897" i="4"/>
  <c r="S897" i="4"/>
  <c r="R897" i="4"/>
  <c r="Q897" i="4"/>
  <c r="P897" i="4"/>
  <c r="O897" i="4"/>
  <c r="W897" i="4" s="1"/>
  <c r="N897" i="4"/>
  <c r="M897" i="4"/>
  <c r="L897" i="4"/>
  <c r="K897" i="4"/>
  <c r="J897" i="4"/>
  <c r="I897" i="4"/>
  <c r="H897" i="4"/>
  <c r="G897" i="4"/>
  <c r="F897" i="4"/>
  <c r="E897" i="4"/>
  <c r="U897" i="4" s="1"/>
  <c r="D897" i="4"/>
  <c r="C897" i="4"/>
  <c r="B897" i="4"/>
  <c r="A897" i="4"/>
  <c r="X896" i="4"/>
  <c r="V896" i="4"/>
  <c r="T896" i="4"/>
  <c r="S896" i="4"/>
  <c r="W896" i="4" s="1"/>
  <c r="R896" i="4"/>
  <c r="Q896" i="4"/>
  <c r="P896" i="4"/>
  <c r="O896" i="4"/>
  <c r="N896" i="4"/>
  <c r="M896" i="4"/>
  <c r="L896" i="4"/>
  <c r="K896" i="4"/>
  <c r="J896" i="4"/>
  <c r="I896" i="4"/>
  <c r="H896" i="4"/>
  <c r="G896" i="4"/>
  <c r="F896" i="4"/>
  <c r="E896" i="4"/>
  <c r="U896" i="4" s="1"/>
  <c r="D896" i="4"/>
  <c r="C896" i="4"/>
  <c r="B896" i="4"/>
  <c r="A896" i="4"/>
  <c r="X895" i="4"/>
  <c r="V895" i="4"/>
  <c r="T895" i="4"/>
  <c r="S895" i="4"/>
  <c r="R895" i="4"/>
  <c r="Q895" i="4"/>
  <c r="P895" i="4"/>
  <c r="O895" i="4"/>
  <c r="W895" i="4" s="1"/>
  <c r="N895" i="4"/>
  <c r="M895" i="4"/>
  <c r="L895" i="4"/>
  <c r="K895" i="4"/>
  <c r="J895" i="4"/>
  <c r="I895" i="4"/>
  <c r="H895" i="4"/>
  <c r="G895" i="4"/>
  <c r="F895" i="4"/>
  <c r="E895" i="4"/>
  <c r="U895" i="4" s="1"/>
  <c r="D895" i="4"/>
  <c r="C895" i="4"/>
  <c r="B895" i="4"/>
  <c r="A895" i="4"/>
  <c r="X894" i="4"/>
  <c r="W894" i="4"/>
  <c r="T894" i="4"/>
  <c r="S894" i="4"/>
  <c r="R894" i="4"/>
  <c r="Q894" i="4"/>
  <c r="P894" i="4"/>
  <c r="O894" i="4"/>
  <c r="N894" i="4"/>
  <c r="M894" i="4"/>
  <c r="L894" i="4"/>
  <c r="K894" i="4"/>
  <c r="J894" i="4"/>
  <c r="I894" i="4"/>
  <c r="H894" i="4"/>
  <c r="G894" i="4"/>
  <c r="F894" i="4"/>
  <c r="E894" i="4"/>
  <c r="U894" i="4" s="1"/>
  <c r="D894" i="4"/>
  <c r="C894" i="4"/>
  <c r="V894" i="4" s="1"/>
  <c r="B894" i="4"/>
  <c r="A894" i="4"/>
  <c r="X893" i="4"/>
  <c r="V893" i="4"/>
  <c r="T893" i="4"/>
  <c r="S893" i="4"/>
  <c r="R893" i="4"/>
  <c r="Q893" i="4"/>
  <c r="P893" i="4"/>
  <c r="O893" i="4"/>
  <c r="N893" i="4"/>
  <c r="M893" i="4"/>
  <c r="L893" i="4"/>
  <c r="K893" i="4"/>
  <c r="J893" i="4"/>
  <c r="I893" i="4"/>
  <c r="H893" i="4"/>
  <c r="G893" i="4"/>
  <c r="F893" i="4"/>
  <c r="E893" i="4"/>
  <c r="U893" i="4" s="1"/>
  <c r="D893" i="4"/>
  <c r="C893" i="4"/>
  <c r="B893" i="4"/>
  <c r="A893" i="4"/>
  <c r="X892" i="4"/>
  <c r="T892" i="4"/>
  <c r="S892" i="4"/>
  <c r="R892" i="4"/>
  <c r="Q892" i="4"/>
  <c r="P892" i="4"/>
  <c r="O892" i="4"/>
  <c r="N892" i="4"/>
  <c r="M892" i="4"/>
  <c r="L892" i="4"/>
  <c r="W892" i="4" s="1"/>
  <c r="K892" i="4"/>
  <c r="J892" i="4"/>
  <c r="I892" i="4"/>
  <c r="H892" i="4"/>
  <c r="G892" i="4"/>
  <c r="F892" i="4"/>
  <c r="E892" i="4"/>
  <c r="U892" i="4" s="1"/>
  <c r="D892" i="4"/>
  <c r="C892" i="4"/>
  <c r="V892" i="4" s="1"/>
  <c r="B892" i="4"/>
  <c r="A892" i="4"/>
  <c r="X891" i="4"/>
  <c r="V891" i="4"/>
  <c r="T891" i="4"/>
  <c r="S891" i="4"/>
  <c r="R891" i="4"/>
  <c r="Q891" i="4"/>
  <c r="P891" i="4"/>
  <c r="O891" i="4"/>
  <c r="N891" i="4"/>
  <c r="M891" i="4"/>
  <c r="L891" i="4"/>
  <c r="K891" i="4"/>
  <c r="J891" i="4"/>
  <c r="I891" i="4"/>
  <c r="H891" i="4"/>
  <c r="G891" i="4"/>
  <c r="F891" i="4"/>
  <c r="E891" i="4"/>
  <c r="U891" i="4" s="1"/>
  <c r="D891" i="4"/>
  <c r="C891" i="4"/>
  <c r="B891" i="4"/>
  <c r="A891" i="4"/>
  <c r="X890" i="4"/>
  <c r="T890" i="4"/>
  <c r="S890" i="4"/>
  <c r="R890" i="4"/>
  <c r="Q890" i="4"/>
  <c r="P890" i="4"/>
  <c r="O890" i="4"/>
  <c r="N890" i="4"/>
  <c r="M890" i="4"/>
  <c r="L890" i="4"/>
  <c r="W890" i="4" s="1"/>
  <c r="K890" i="4"/>
  <c r="J890" i="4"/>
  <c r="I890" i="4"/>
  <c r="H890" i="4"/>
  <c r="G890" i="4"/>
  <c r="F890" i="4"/>
  <c r="E890" i="4"/>
  <c r="U890" i="4" s="1"/>
  <c r="D890" i="4"/>
  <c r="C890" i="4"/>
  <c r="V890" i="4" s="1"/>
  <c r="B890" i="4"/>
  <c r="A890" i="4"/>
  <c r="X889" i="4"/>
  <c r="V889" i="4"/>
  <c r="T889" i="4"/>
  <c r="S889" i="4"/>
  <c r="R889" i="4"/>
  <c r="Q889" i="4"/>
  <c r="P889" i="4"/>
  <c r="O889" i="4"/>
  <c r="W889" i="4" s="1"/>
  <c r="N889" i="4"/>
  <c r="M889" i="4"/>
  <c r="L889" i="4"/>
  <c r="K889" i="4"/>
  <c r="J889" i="4"/>
  <c r="I889" i="4"/>
  <c r="H889" i="4"/>
  <c r="G889" i="4"/>
  <c r="F889" i="4"/>
  <c r="E889" i="4"/>
  <c r="U889" i="4" s="1"/>
  <c r="D889" i="4"/>
  <c r="C889" i="4"/>
  <c r="B889" i="4"/>
  <c r="A889" i="4"/>
  <c r="X888" i="4"/>
  <c r="W888" i="4"/>
  <c r="V888" i="4"/>
  <c r="T888" i="4"/>
  <c r="S888" i="4"/>
  <c r="R888" i="4"/>
  <c r="Q888" i="4"/>
  <c r="P888" i="4"/>
  <c r="O888" i="4"/>
  <c r="N888" i="4"/>
  <c r="M888" i="4"/>
  <c r="L888" i="4"/>
  <c r="K888" i="4"/>
  <c r="J888" i="4"/>
  <c r="I888" i="4"/>
  <c r="H888" i="4"/>
  <c r="G888" i="4"/>
  <c r="F888" i="4"/>
  <c r="E888" i="4"/>
  <c r="U888" i="4" s="1"/>
  <c r="D888" i="4"/>
  <c r="C888" i="4"/>
  <c r="B888" i="4"/>
  <c r="A888" i="4"/>
  <c r="X887" i="4"/>
  <c r="V887" i="4"/>
  <c r="T887" i="4"/>
  <c r="S887" i="4"/>
  <c r="R887" i="4"/>
  <c r="Q887" i="4"/>
  <c r="P887" i="4"/>
  <c r="O887" i="4"/>
  <c r="W887" i="4" s="1"/>
  <c r="N887" i="4"/>
  <c r="M887" i="4"/>
  <c r="L887" i="4"/>
  <c r="K887" i="4"/>
  <c r="J887" i="4"/>
  <c r="I887" i="4"/>
  <c r="H887" i="4"/>
  <c r="G887" i="4"/>
  <c r="F887" i="4"/>
  <c r="E887" i="4"/>
  <c r="U887" i="4" s="1"/>
  <c r="D887" i="4"/>
  <c r="C887" i="4"/>
  <c r="B887" i="4"/>
  <c r="A887" i="4"/>
  <c r="X886" i="4"/>
  <c r="W886" i="4"/>
  <c r="V886" i="4"/>
  <c r="T886" i="4"/>
  <c r="S886" i="4"/>
  <c r="R886" i="4"/>
  <c r="Q886" i="4"/>
  <c r="P886" i="4"/>
  <c r="O886" i="4"/>
  <c r="N886" i="4"/>
  <c r="M886" i="4"/>
  <c r="L886" i="4"/>
  <c r="K886" i="4"/>
  <c r="J886" i="4"/>
  <c r="I886" i="4"/>
  <c r="H886" i="4"/>
  <c r="G886" i="4"/>
  <c r="F886" i="4"/>
  <c r="E886" i="4"/>
  <c r="U886" i="4" s="1"/>
  <c r="D886" i="4"/>
  <c r="C886" i="4"/>
  <c r="B886" i="4"/>
  <c r="A886" i="4"/>
  <c r="X885" i="4"/>
  <c r="T885" i="4"/>
  <c r="S885" i="4"/>
  <c r="R885" i="4"/>
  <c r="Q885" i="4"/>
  <c r="P885" i="4"/>
  <c r="O885" i="4"/>
  <c r="W885" i="4" s="1"/>
  <c r="N885" i="4"/>
  <c r="M885" i="4"/>
  <c r="L885" i="4"/>
  <c r="K885" i="4"/>
  <c r="J885" i="4"/>
  <c r="I885" i="4"/>
  <c r="H885" i="4"/>
  <c r="G885" i="4"/>
  <c r="F885" i="4"/>
  <c r="E885" i="4"/>
  <c r="U885" i="4" s="1"/>
  <c r="D885" i="4"/>
  <c r="C885" i="4"/>
  <c r="V885" i="4" s="1"/>
  <c r="B885" i="4"/>
  <c r="A885" i="4"/>
  <c r="X884" i="4"/>
  <c r="T884" i="4"/>
  <c r="S884" i="4"/>
  <c r="W884" i="4" s="1"/>
  <c r="R884" i="4"/>
  <c r="Q884" i="4"/>
  <c r="P884" i="4"/>
  <c r="O884" i="4"/>
  <c r="N884" i="4"/>
  <c r="M884" i="4"/>
  <c r="L884" i="4"/>
  <c r="K884" i="4"/>
  <c r="J884" i="4"/>
  <c r="I884" i="4"/>
  <c r="H884" i="4"/>
  <c r="G884" i="4"/>
  <c r="F884" i="4"/>
  <c r="E884" i="4"/>
  <c r="U884" i="4" s="1"/>
  <c r="D884" i="4"/>
  <c r="C884" i="4"/>
  <c r="V884" i="4" s="1"/>
  <c r="B884" i="4"/>
  <c r="A884" i="4"/>
  <c r="X883" i="4"/>
  <c r="T883" i="4"/>
  <c r="S883" i="4"/>
  <c r="R883" i="4"/>
  <c r="Q883" i="4"/>
  <c r="P883" i="4"/>
  <c r="O883" i="4"/>
  <c r="N883" i="4"/>
  <c r="M883" i="4"/>
  <c r="L883" i="4"/>
  <c r="K883" i="4"/>
  <c r="J883" i="4"/>
  <c r="I883" i="4"/>
  <c r="H883" i="4"/>
  <c r="G883" i="4"/>
  <c r="F883" i="4"/>
  <c r="E883" i="4"/>
  <c r="U883" i="4" s="1"/>
  <c r="D883" i="4"/>
  <c r="C883" i="4"/>
  <c r="V883" i="4" s="1"/>
  <c r="B883" i="4"/>
  <c r="A883" i="4"/>
  <c r="X882" i="4"/>
  <c r="W882" i="4"/>
  <c r="V882" i="4"/>
  <c r="T882" i="4"/>
  <c r="S882" i="4"/>
  <c r="R882" i="4"/>
  <c r="Q882" i="4"/>
  <c r="P882" i="4"/>
  <c r="O882" i="4"/>
  <c r="N882" i="4"/>
  <c r="M882" i="4"/>
  <c r="L882" i="4"/>
  <c r="K882" i="4"/>
  <c r="J882" i="4"/>
  <c r="I882" i="4"/>
  <c r="H882" i="4"/>
  <c r="G882" i="4"/>
  <c r="F882" i="4"/>
  <c r="E882" i="4"/>
  <c r="U882" i="4" s="1"/>
  <c r="D882" i="4"/>
  <c r="C882" i="4"/>
  <c r="B882" i="4"/>
  <c r="A882" i="4"/>
  <c r="X881" i="4"/>
  <c r="V881" i="4"/>
  <c r="T881" i="4"/>
  <c r="S881" i="4"/>
  <c r="R881" i="4"/>
  <c r="Q881" i="4"/>
  <c r="P881" i="4"/>
  <c r="O881" i="4"/>
  <c r="W881" i="4" s="1"/>
  <c r="N881" i="4"/>
  <c r="M881" i="4"/>
  <c r="L881" i="4"/>
  <c r="K881" i="4"/>
  <c r="J881" i="4"/>
  <c r="I881" i="4"/>
  <c r="H881" i="4"/>
  <c r="G881" i="4"/>
  <c r="F881" i="4"/>
  <c r="E881" i="4"/>
  <c r="U881" i="4" s="1"/>
  <c r="D881" i="4"/>
  <c r="C881" i="4"/>
  <c r="B881" i="4"/>
  <c r="A881" i="4"/>
  <c r="X880" i="4"/>
  <c r="V880" i="4"/>
  <c r="T880" i="4"/>
  <c r="S880" i="4"/>
  <c r="W880" i="4" s="1"/>
  <c r="R880" i="4"/>
  <c r="Q880" i="4"/>
  <c r="P880" i="4"/>
  <c r="O880" i="4"/>
  <c r="N880" i="4"/>
  <c r="M880" i="4"/>
  <c r="L880" i="4"/>
  <c r="K880" i="4"/>
  <c r="J880" i="4"/>
  <c r="I880" i="4"/>
  <c r="H880" i="4"/>
  <c r="G880" i="4"/>
  <c r="F880" i="4"/>
  <c r="E880" i="4"/>
  <c r="U880" i="4" s="1"/>
  <c r="D880" i="4"/>
  <c r="C880" i="4"/>
  <c r="B880" i="4"/>
  <c r="A880" i="4"/>
  <c r="X879" i="4"/>
  <c r="V879" i="4"/>
  <c r="T879" i="4"/>
  <c r="S879" i="4"/>
  <c r="R879" i="4"/>
  <c r="Q879" i="4"/>
  <c r="P879" i="4"/>
  <c r="O879" i="4"/>
  <c r="W879" i="4" s="1"/>
  <c r="N879" i="4"/>
  <c r="M879" i="4"/>
  <c r="L879" i="4"/>
  <c r="K879" i="4"/>
  <c r="J879" i="4"/>
  <c r="I879" i="4"/>
  <c r="H879" i="4"/>
  <c r="G879" i="4"/>
  <c r="F879" i="4"/>
  <c r="E879" i="4"/>
  <c r="U879" i="4" s="1"/>
  <c r="D879" i="4"/>
  <c r="C879" i="4"/>
  <c r="B879" i="4"/>
  <c r="A879" i="4"/>
  <c r="X878" i="4"/>
  <c r="T878" i="4"/>
  <c r="S878" i="4"/>
  <c r="R878" i="4"/>
  <c r="Q878" i="4"/>
  <c r="P878" i="4"/>
  <c r="O878" i="4"/>
  <c r="N878" i="4"/>
  <c r="M878" i="4"/>
  <c r="L878" i="4"/>
  <c r="W878" i="4" s="1"/>
  <c r="K878" i="4"/>
  <c r="J878" i="4"/>
  <c r="I878" i="4"/>
  <c r="H878" i="4"/>
  <c r="G878" i="4"/>
  <c r="F878" i="4"/>
  <c r="E878" i="4"/>
  <c r="U878" i="4" s="1"/>
  <c r="D878" i="4"/>
  <c r="C878" i="4"/>
  <c r="V878" i="4" s="1"/>
  <c r="B878" i="4"/>
  <c r="A878" i="4"/>
  <c r="X877" i="4"/>
  <c r="T877" i="4"/>
  <c r="S877" i="4"/>
  <c r="R877" i="4"/>
  <c r="Q877" i="4"/>
  <c r="P877" i="4"/>
  <c r="O877" i="4"/>
  <c r="N877" i="4"/>
  <c r="M877" i="4"/>
  <c r="L877" i="4"/>
  <c r="K877" i="4"/>
  <c r="J877" i="4"/>
  <c r="I877" i="4"/>
  <c r="H877" i="4"/>
  <c r="G877" i="4"/>
  <c r="F877" i="4"/>
  <c r="E877" i="4"/>
  <c r="U877" i="4" s="1"/>
  <c r="D877" i="4"/>
  <c r="C877" i="4"/>
  <c r="V877" i="4" s="1"/>
  <c r="B877" i="4"/>
  <c r="A877" i="4"/>
  <c r="X876" i="4"/>
  <c r="V876" i="4"/>
  <c r="T876" i="4"/>
  <c r="S876" i="4"/>
  <c r="R876" i="4"/>
  <c r="Q876" i="4"/>
  <c r="P876" i="4"/>
  <c r="O876" i="4"/>
  <c r="N876" i="4"/>
  <c r="M876" i="4"/>
  <c r="L876" i="4"/>
  <c r="W876" i="4" s="1"/>
  <c r="K876" i="4"/>
  <c r="J876" i="4"/>
  <c r="I876" i="4"/>
  <c r="H876" i="4"/>
  <c r="G876" i="4"/>
  <c r="F876" i="4"/>
  <c r="E876" i="4"/>
  <c r="U876" i="4" s="1"/>
  <c r="D876" i="4"/>
  <c r="C876" i="4"/>
  <c r="B876" i="4"/>
  <c r="A876" i="4"/>
  <c r="X875" i="4"/>
  <c r="T875" i="4"/>
  <c r="S875" i="4"/>
  <c r="R875" i="4"/>
  <c r="Q875" i="4"/>
  <c r="P875" i="4"/>
  <c r="O875" i="4"/>
  <c r="N875" i="4"/>
  <c r="M875" i="4"/>
  <c r="L875" i="4"/>
  <c r="K875" i="4"/>
  <c r="J875" i="4"/>
  <c r="I875" i="4"/>
  <c r="H875" i="4"/>
  <c r="G875" i="4"/>
  <c r="F875" i="4"/>
  <c r="E875" i="4"/>
  <c r="U875" i="4" s="1"/>
  <c r="D875" i="4"/>
  <c r="C875" i="4"/>
  <c r="V875" i="4" s="1"/>
  <c r="B875" i="4"/>
  <c r="A875" i="4"/>
  <c r="X874" i="4"/>
  <c r="T874" i="4"/>
  <c r="S874" i="4"/>
  <c r="R874" i="4"/>
  <c r="Q874" i="4"/>
  <c r="P874" i="4"/>
  <c r="O874" i="4"/>
  <c r="N874" i="4"/>
  <c r="M874" i="4"/>
  <c r="L874" i="4"/>
  <c r="K874" i="4"/>
  <c r="J874" i="4"/>
  <c r="I874" i="4"/>
  <c r="H874" i="4"/>
  <c r="G874" i="4"/>
  <c r="F874" i="4"/>
  <c r="E874" i="4"/>
  <c r="U874" i="4" s="1"/>
  <c r="D874" i="4"/>
  <c r="C874" i="4"/>
  <c r="V874" i="4" s="1"/>
  <c r="B874" i="4"/>
  <c r="A874" i="4"/>
  <c r="X873" i="4"/>
  <c r="T873" i="4"/>
  <c r="S873" i="4"/>
  <c r="R873" i="4"/>
  <c r="Q873" i="4"/>
  <c r="P873" i="4"/>
  <c r="O873" i="4"/>
  <c r="W873" i="4" s="1"/>
  <c r="N873" i="4"/>
  <c r="M873" i="4"/>
  <c r="L873" i="4"/>
  <c r="K873" i="4"/>
  <c r="J873" i="4"/>
  <c r="I873" i="4"/>
  <c r="H873" i="4"/>
  <c r="G873" i="4"/>
  <c r="F873" i="4"/>
  <c r="E873" i="4"/>
  <c r="U873" i="4" s="1"/>
  <c r="D873" i="4"/>
  <c r="C873" i="4"/>
  <c r="V873" i="4" s="1"/>
  <c r="B873" i="4"/>
  <c r="A873" i="4"/>
  <c r="X872" i="4"/>
  <c r="W872" i="4"/>
  <c r="V872" i="4"/>
  <c r="T872" i="4"/>
  <c r="S872" i="4"/>
  <c r="R872" i="4"/>
  <c r="Q872" i="4"/>
  <c r="P872" i="4"/>
  <c r="O872" i="4"/>
  <c r="N872" i="4"/>
  <c r="M872" i="4"/>
  <c r="L872" i="4"/>
  <c r="K872" i="4"/>
  <c r="J872" i="4"/>
  <c r="I872" i="4"/>
  <c r="H872" i="4"/>
  <c r="G872" i="4"/>
  <c r="F872" i="4"/>
  <c r="E872" i="4"/>
  <c r="U872" i="4" s="1"/>
  <c r="D872" i="4"/>
  <c r="C872" i="4"/>
  <c r="B872" i="4"/>
  <c r="A872" i="4"/>
  <c r="X871" i="4"/>
  <c r="V871" i="4"/>
  <c r="T871" i="4"/>
  <c r="S871" i="4"/>
  <c r="R871" i="4"/>
  <c r="Q871" i="4"/>
  <c r="P871" i="4"/>
  <c r="O871" i="4"/>
  <c r="W871" i="4" s="1"/>
  <c r="N871" i="4"/>
  <c r="M871" i="4"/>
  <c r="L871" i="4"/>
  <c r="K871" i="4"/>
  <c r="J871" i="4"/>
  <c r="I871" i="4"/>
  <c r="H871" i="4"/>
  <c r="G871" i="4"/>
  <c r="F871" i="4"/>
  <c r="E871" i="4"/>
  <c r="U871" i="4" s="1"/>
  <c r="D871" i="4"/>
  <c r="C871" i="4"/>
  <c r="B871" i="4"/>
  <c r="A871" i="4"/>
  <c r="X870" i="4"/>
  <c r="T870" i="4"/>
  <c r="S870" i="4"/>
  <c r="R870" i="4"/>
  <c r="Q870" i="4"/>
  <c r="P870" i="4"/>
  <c r="O870" i="4"/>
  <c r="N870" i="4"/>
  <c r="M870" i="4"/>
  <c r="L870" i="4"/>
  <c r="K870" i="4"/>
  <c r="J870" i="4"/>
  <c r="I870" i="4"/>
  <c r="H870" i="4"/>
  <c r="G870" i="4"/>
  <c r="F870" i="4"/>
  <c r="E870" i="4"/>
  <c r="U870" i="4" s="1"/>
  <c r="D870" i="4"/>
  <c r="C870" i="4"/>
  <c r="V870" i="4" s="1"/>
  <c r="B870" i="4"/>
  <c r="A870" i="4"/>
  <c r="X869" i="4"/>
  <c r="T869" i="4"/>
  <c r="S869" i="4"/>
  <c r="W869" i="4" s="1"/>
  <c r="R869" i="4"/>
  <c r="Q869" i="4"/>
  <c r="P869" i="4"/>
  <c r="O869" i="4"/>
  <c r="N869" i="4"/>
  <c r="M869" i="4"/>
  <c r="L869" i="4"/>
  <c r="K869" i="4"/>
  <c r="J869" i="4"/>
  <c r="I869" i="4"/>
  <c r="H869" i="4"/>
  <c r="G869" i="4"/>
  <c r="F869" i="4"/>
  <c r="E869" i="4"/>
  <c r="U869" i="4" s="1"/>
  <c r="D869" i="4"/>
  <c r="C869" i="4"/>
  <c r="V869" i="4" s="1"/>
  <c r="B869" i="4"/>
  <c r="A869" i="4"/>
  <c r="X868" i="4"/>
  <c r="T868" i="4"/>
  <c r="S868" i="4"/>
  <c r="R868" i="4"/>
  <c r="Q868" i="4"/>
  <c r="P868" i="4"/>
  <c r="O868" i="4"/>
  <c r="N868" i="4"/>
  <c r="M868" i="4"/>
  <c r="L868" i="4"/>
  <c r="W868" i="4" s="1"/>
  <c r="K868" i="4"/>
  <c r="J868" i="4"/>
  <c r="I868" i="4"/>
  <c r="H868" i="4"/>
  <c r="G868" i="4"/>
  <c r="F868" i="4"/>
  <c r="E868" i="4"/>
  <c r="U868" i="4" s="1"/>
  <c r="D868" i="4"/>
  <c r="C868" i="4"/>
  <c r="V868" i="4" s="1"/>
  <c r="B868" i="4"/>
  <c r="A868" i="4"/>
  <c r="X867" i="4"/>
  <c r="V867" i="4"/>
  <c r="T867" i="4"/>
  <c r="S867" i="4"/>
  <c r="R867" i="4"/>
  <c r="Q867" i="4"/>
  <c r="P867" i="4"/>
  <c r="O867" i="4"/>
  <c r="N867" i="4"/>
  <c r="M867" i="4"/>
  <c r="L867" i="4"/>
  <c r="K867" i="4"/>
  <c r="J867" i="4"/>
  <c r="I867" i="4"/>
  <c r="H867" i="4"/>
  <c r="G867" i="4"/>
  <c r="F867" i="4"/>
  <c r="E867" i="4"/>
  <c r="U867" i="4" s="1"/>
  <c r="D867" i="4"/>
  <c r="C867" i="4"/>
  <c r="B867" i="4"/>
  <c r="A867" i="4"/>
  <c r="X866" i="4"/>
  <c r="T866" i="4"/>
  <c r="S866" i="4"/>
  <c r="R866" i="4"/>
  <c r="Q866" i="4"/>
  <c r="P866" i="4"/>
  <c r="O866" i="4"/>
  <c r="N866" i="4"/>
  <c r="M866" i="4"/>
  <c r="L866" i="4"/>
  <c r="W866" i="4" s="1"/>
  <c r="K866" i="4"/>
  <c r="J866" i="4"/>
  <c r="I866" i="4"/>
  <c r="H866" i="4"/>
  <c r="G866" i="4"/>
  <c r="F866" i="4"/>
  <c r="E866" i="4"/>
  <c r="U866" i="4" s="1"/>
  <c r="D866" i="4"/>
  <c r="C866" i="4"/>
  <c r="V866" i="4" s="1"/>
  <c r="B866" i="4"/>
  <c r="A866" i="4"/>
  <c r="X865" i="4"/>
  <c r="T865" i="4"/>
  <c r="S865" i="4"/>
  <c r="R865" i="4"/>
  <c r="Q865" i="4"/>
  <c r="P865" i="4"/>
  <c r="O865" i="4"/>
  <c r="N865" i="4"/>
  <c r="M865" i="4"/>
  <c r="L865" i="4"/>
  <c r="K865" i="4"/>
  <c r="J865" i="4"/>
  <c r="I865" i="4"/>
  <c r="H865" i="4"/>
  <c r="G865" i="4"/>
  <c r="F865" i="4"/>
  <c r="E865" i="4"/>
  <c r="U865" i="4" s="1"/>
  <c r="D865" i="4"/>
  <c r="C865" i="4"/>
  <c r="V865" i="4" s="1"/>
  <c r="B865" i="4"/>
  <c r="A865" i="4"/>
  <c r="X864" i="4"/>
  <c r="W864" i="4"/>
  <c r="V864" i="4"/>
  <c r="T864" i="4"/>
  <c r="S864" i="4"/>
  <c r="R864" i="4"/>
  <c r="Q864" i="4"/>
  <c r="P864" i="4"/>
  <c r="O864" i="4"/>
  <c r="N864" i="4"/>
  <c r="M864" i="4"/>
  <c r="L864" i="4"/>
  <c r="K864" i="4"/>
  <c r="J864" i="4"/>
  <c r="I864" i="4"/>
  <c r="H864" i="4"/>
  <c r="G864" i="4"/>
  <c r="F864" i="4"/>
  <c r="E864" i="4"/>
  <c r="U864" i="4" s="1"/>
  <c r="D864" i="4"/>
  <c r="C864" i="4"/>
  <c r="B864" i="4"/>
  <c r="A864" i="4"/>
  <c r="X863" i="4"/>
  <c r="T863" i="4"/>
  <c r="S863" i="4"/>
  <c r="R863" i="4"/>
  <c r="Q863" i="4"/>
  <c r="P863" i="4"/>
  <c r="O863" i="4"/>
  <c r="W863" i="4" s="1"/>
  <c r="N863" i="4"/>
  <c r="M863" i="4"/>
  <c r="L863" i="4"/>
  <c r="K863" i="4"/>
  <c r="J863" i="4"/>
  <c r="I863" i="4"/>
  <c r="H863" i="4"/>
  <c r="G863" i="4"/>
  <c r="F863" i="4"/>
  <c r="E863" i="4"/>
  <c r="U863" i="4" s="1"/>
  <c r="D863" i="4"/>
  <c r="C863" i="4"/>
  <c r="V863" i="4" s="1"/>
  <c r="B863" i="4"/>
  <c r="A863" i="4"/>
  <c r="X862" i="4"/>
  <c r="T862" i="4"/>
  <c r="S862" i="4"/>
  <c r="W862" i="4" s="1"/>
  <c r="R862" i="4"/>
  <c r="Q862" i="4"/>
  <c r="P862" i="4"/>
  <c r="O862" i="4"/>
  <c r="N862" i="4"/>
  <c r="M862" i="4"/>
  <c r="L862" i="4"/>
  <c r="K862" i="4"/>
  <c r="J862" i="4"/>
  <c r="I862" i="4"/>
  <c r="H862" i="4"/>
  <c r="G862" i="4"/>
  <c r="F862" i="4"/>
  <c r="E862" i="4"/>
  <c r="U862" i="4" s="1"/>
  <c r="D862" i="4"/>
  <c r="C862" i="4"/>
  <c r="V862" i="4" s="1"/>
  <c r="B862" i="4"/>
  <c r="A862" i="4"/>
  <c r="X861" i="4"/>
  <c r="T861" i="4"/>
  <c r="S861" i="4"/>
  <c r="R861" i="4"/>
  <c r="Q861" i="4"/>
  <c r="P861" i="4"/>
  <c r="O861" i="4"/>
  <c r="W861" i="4" s="1"/>
  <c r="N861" i="4"/>
  <c r="M861" i="4"/>
  <c r="L861" i="4"/>
  <c r="K861" i="4"/>
  <c r="J861" i="4"/>
  <c r="I861" i="4"/>
  <c r="H861" i="4"/>
  <c r="G861" i="4"/>
  <c r="F861" i="4"/>
  <c r="E861" i="4"/>
  <c r="U861" i="4" s="1"/>
  <c r="D861" i="4"/>
  <c r="C861" i="4"/>
  <c r="V861" i="4" s="1"/>
  <c r="B861" i="4"/>
  <c r="A861" i="4"/>
  <c r="X860" i="4"/>
  <c r="T860" i="4"/>
  <c r="S860" i="4"/>
  <c r="R860" i="4"/>
  <c r="Q860" i="4"/>
  <c r="P860" i="4"/>
  <c r="O860" i="4"/>
  <c r="N860" i="4"/>
  <c r="M860" i="4"/>
  <c r="L860" i="4"/>
  <c r="K860" i="4"/>
  <c r="J860" i="4"/>
  <c r="I860" i="4"/>
  <c r="H860" i="4"/>
  <c r="G860" i="4"/>
  <c r="F860" i="4"/>
  <c r="E860" i="4"/>
  <c r="U860" i="4" s="1"/>
  <c r="D860" i="4"/>
  <c r="C860" i="4"/>
  <c r="V860" i="4" s="1"/>
  <c r="B860" i="4"/>
  <c r="A860" i="4"/>
  <c r="X859" i="4"/>
  <c r="W859" i="4"/>
  <c r="V859" i="4"/>
  <c r="T859" i="4"/>
  <c r="S859" i="4"/>
  <c r="R859" i="4"/>
  <c r="Q859" i="4"/>
  <c r="P859" i="4"/>
  <c r="O859" i="4"/>
  <c r="N859" i="4"/>
  <c r="M859" i="4"/>
  <c r="L859" i="4"/>
  <c r="K859" i="4"/>
  <c r="J859" i="4"/>
  <c r="I859" i="4"/>
  <c r="H859" i="4"/>
  <c r="G859" i="4"/>
  <c r="F859" i="4"/>
  <c r="E859" i="4"/>
  <c r="U859" i="4" s="1"/>
  <c r="D859" i="4"/>
  <c r="C859" i="4"/>
  <c r="B859" i="4"/>
  <c r="A859" i="4"/>
  <c r="X858" i="4"/>
  <c r="V858" i="4"/>
  <c r="T858" i="4"/>
  <c r="S858" i="4"/>
  <c r="R858" i="4"/>
  <c r="Q858" i="4"/>
  <c r="P858" i="4"/>
  <c r="O858" i="4"/>
  <c r="W858" i="4" s="1"/>
  <c r="N858" i="4"/>
  <c r="M858" i="4"/>
  <c r="L858" i="4"/>
  <c r="K858" i="4"/>
  <c r="J858" i="4"/>
  <c r="I858" i="4"/>
  <c r="H858" i="4"/>
  <c r="G858" i="4"/>
  <c r="F858" i="4"/>
  <c r="E858" i="4"/>
  <c r="U858" i="4" s="1"/>
  <c r="D858" i="4"/>
  <c r="C858" i="4"/>
  <c r="B858" i="4"/>
  <c r="A858" i="4"/>
  <c r="X857" i="4"/>
  <c r="W857" i="4"/>
  <c r="V857" i="4"/>
  <c r="T857" i="4"/>
  <c r="S857" i="4"/>
  <c r="R857" i="4"/>
  <c r="Q857" i="4"/>
  <c r="P857" i="4"/>
  <c r="O857" i="4"/>
  <c r="N857" i="4"/>
  <c r="M857" i="4"/>
  <c r="L857" i="4"/>
  <c r="K857" i="4"/>
  <c r="J857" i="4"/>
  <c r="I857" i="4"/>
  <c r="H857" i="4"/>
  <c r="G857" i="4"/>
  <c r="F857" i="4"/>
  <c r="E857" i="4"/>
  <c r="U857" i="4" s="1"/>
  <c r="D857" i="4"/>
  <c r="C857" i="4"/>
  <c r="B857" i="4"/>
  <c r="A857" i="4"/>
  <c r="X856" i="4"/>
  <c r="T856" i="4"/>
  <c r="S856" i="4"/>
  <c r="R856" i="4"/>
  <c r="Q856" i="4"/>
  <c r="P856" i="4"/>
  <c r="O856" i="4"/>
  <c r="N856" i="4"/>
  <c r="M856" i="4"/>
  <c r="L856" i="4"/>
  <c r="K856" i="4"/>
  <c r="J856" i="4"/>
  <c r="I856" i="4"/>
  <c r="H856" i="4"/>
  <c r="G856" i="4"/>
  <c r="F856" i="4"/>
  <c r="E856" i="4"/>
  <c r="U856" i="4" s="1"/>
  <c r="D856" i="4"/>
  <c r="C856" i="4"/>
  <c r="V856" i="4" s="1"/>
  <c r="B856" i="4"/>
  <c r="A856" i="4"/>
  <c r="X855" i="4"/>
  <c r="W855" i="4"/>
  <c r="V855" i="4"/>
  <c r="T855" i="4"/>
  <c r="S855" i="4"/>
  <c r="R855" i="4"/>
  <c r="Q855" i="4"/>
  <c r="P855" i="4"/>
  <c r="O855" i="4"/>
  <c r="N855" i="4"/>
  <c r="M855" i="4"/>
  <c r="L855" i="4"/>
  <c r="K855" i="4"/>
  <c r="J855" i="4"/>
  <c r="I855" i="4"/>
  <c r="H855" i="4"/>
  <c r="G855" i="4"/>
  <c r="F855" i="4"/>
  <c r="E855" i="4"/>
  <c r="U855" i="4" s="1"/>
  <c r="D855" i="4"/>
  <c r="C855" i="4"/>
  <c r="B855" i="4"/>
  <c r="A855" i="4"/>
  <c r="X854" i="4"/>
  <c r="T854" i="4"/>
  <c r="S854" i="4"/>
  <c r="R854" i="4"/>
  <c r="Q854" i="4"/>
  <c r="P854" i="4"/>
  <c r="O854" i="4"/>
  <c r="W854" i="4" s="1"/>
  <c r="N854" i="4"/>
  <c r="M854" i="4"/>
  <c r="L854" i="4"/>
  <c r="K854" i="4"/>
  <c r="J854" i="4"/>
  <c r="I854" i="4"/>
  <c r="H854" i="4"/>
  <c r="G854" i="4"/>
  <c r="F854" i="4"/>
  <c r="E854" i="4"/>
  <c r="U854" i="4" s="1"/>
  <c r="D854" i="4"/>
  <c r="C854" i="4"/>
  <c r="V854" i="4" s="1"/>
  <c r="B854" i="4"/>
  <c r="A854" i="4"/>
  <c r="X853" i="4"/>
  <c r="W853" i="4"/>
  <c r="V853" i="4"/>
  <c r="T853" i="4"/>
  <c r="S853" i="4"/>
  <c r="R853" i="4"/>
  <c r="Q853" i="4"/>
  <c r="P853" i="4"/>
  <c r="O853" i="4"/>
  <c r="N853" i="4"/>
  <c r="M853" i="4"/>
  <c r="L853" i="4"/>
  <c r="K853" i="4"/>
  <c r="J853" i="4"/>
  <c r="I853" i="4"/>
  <c r="H853" i="4"/>
  <c r="G853" i="4"/>
  <c r="F853" i="4"/>
  <c r="E853" i="4"/>
  <c r="U853" i="4" s="1"/>
  <c r="D853" i="4"/>
  <c r="C853" i="4"/>
  <c r="B853" i="4"/>
  <c r="A853" i="4"/>
  <c r="X852" i="4"/>
  <c r="V852" i="4"/>
  <c r="T852" i="4"/>
  <c r="S852" i="4"/>
  <c r="R852" i="4"/>
  <c r="Q852" i="4"/>
  <c r="P852" i="4"/>
  <c r="O852" i="4"/>
  <c r="N852" i="4"/>
  <c r="M852" i="4"/>
  <c r="L852" i="4"/>
  <c r="K852" i="4"/>
  <c r="J852" i="4"/>
  <c r="I852" i="4"/>
  <c r="H852" i="4"/>
  <c r="G852" i="4"/>
  <c r="F852" i="4"/>
  <c r="E852" i="4"/>
  <c r="U852" i="4" s="1"/>
  <c r="D852" i="4"/>
  <c r="C852" i="4"/>
  <c r="B852" i="4"/>
  <c r="A852" i="4"/>
  <c r="X851" i="4"/>
  <c r="T851" i="4"/>
  <c r="S851" i="4"/>
  <c r="W851" i="4" s="1"/>
  <c r="R851" i="4"/>
  <c r="Q851" i="4"/>
  <c r="P851" i="4"/>
  <c r="O851" i="4"/>
  <c r="N851" i="4"/>
  <c r="M851" i="4"/>
  <c r="L851" i="4"/>
  <c r="K851" i="4"/>
  <c r="J851" i="4"/>
  <c r="I851" i="4"/>
  <c r="H851" i="4"/>
  <c r="G851" i="4"/>
  <c r="F851" i="4"/>
  <c r="E851" i="4"/>
  <c r="U851" i="4" s="1"/>
  <c r="D851" i="4"/>
  <c r="C851" i="4"/>
  <c r="V851" i="4" s="1"/>
  <c r="B851" i="4"/>
  <c r="A851" i="4"/>
  <c r="X850" i="4"/>
  <c r="T850" i="4"/>
  <c r="S850" i="4"/>
  <c r="R850" i="4"/>
  <c r="Q850" i="4"/>
  <c r="P850" i="4"/>
  <c r="O850" i="4"/>
  <c r="W850" i="4" s="1"/>
  <c r="N850" i="4"/>
  <c r="M850" i="4"/>
  <c r="L850" i="4"/>
  <c r="K850" i="4"/>
  <c r="J850" i="4"/>
  <c r="I850" i="4"/>
  <c r="H850" i="4"/>
  <c r="G850" i="4"/>
  <c r="F850" i="4"/>
  <c r="E850" i="4"/>
  <c r="U850" i="4" s="1"/>
  <c r="D850" i="4"/>
  <c r="C850" i="4"/>
  <c r="V850" i="4" s="1"/>
  <c r="B850" i="4"/>
  <c r="A850" i="4"/>
  <c r="X849" i="4"/>
  <c r="T849" i="4"/>
  <c r="S849" i="4"/>
  <c r="W849" i="4" s="1"/>
  <c r="R849" i="4"/>
  <c r="Q849" i="4"/>
  <c r="P849" i="4"/>
  <c r="O849" i="4"/>
  <c r="N849" i="4"/>
  <c r="M849" i="4"/>
  <c r="L849" i="4"/>
  <c r="K849" i="4"/>
  <c r="J849" i="4"/>
  <c r="I849" i="4"/>
  <c r="H849" i="4"/>
  <c r="G849" i="4"/>
  <c r="F849" i="4"/>
  <c r="E849" i="4"/>
  <c r="U849" i="4" s="1"/>
  <c r="D849" i="4"/>
  <c r="C849" i="4"/>
  <c r="V849" i="4" s="1"/>
  <c r="B849" i="4"/>
  <c r="A849" i="4"/>
  <c r="X848" i="4"/>
  <c r="T848" i="4"/>
  <c r="S848" i="4"/>
  <c r="R848" i="4"/>
  <c r="Q848" i="4"/>
  <c r="P848" i="4"/>
  <c r="O848" i="4"/>
  <c r="N848" i="4"/>
  <c r="M848" i="4"/>
  <c r="L848" i="4"/>
  <c r="K848" i="4"/>
  <c r="J848" i="4"/>
  <c r="I848" i="4"/>
  <c r="H848" i="4"/>
  <c r="G848" i="4"/>
  <c r="F848" i="4"/>
  <c r="E848" i="4"/>
  <c r="U848" i="4" s="1"/>
  <c r="D848" i="4"/>
  <c r="C848" i="4"/>
  <c r="V848" i="4" s="1"/>
  <c r="B848" i="4"/>
  <c r="A848" i="4"/>
  <c r="X847" i="4"/>
  <c r="W847" i="4"/>
  <c r="V847" i="4"/>
  <c r="T847" i="4"/>
  <c r="S847" i="4"/>
  <c r="R847" i="4"/>
  <c r="Q847" i="4"/>
  <c r="P847" i="4"/>
  <c r="O847" i="4"/>
  <c r="N847" i="4"/>
  <c r="M847" i="4"/>
  <c r="L847" i="4"/>
  <c r="K847" i="4"/>
  <c r="J847" i="4"/>
  <c r="I847" i="4"/>
  <c r="H847" i="4"/>
  <c r="G847" i="4"/>
  <c r="F847" i="4"/>
  <c r="E847" i="4"/>
  <c r="U847" i="4" s="1"/>
  <c r="D847" i="4"/>
  <c r="C847" i="4"/>
  <c r="B847" i="4"/>
  <c r="A847" i="4"/>
  <c r="X846" i="4"/>
  <c r="T846" i="4"/>
  <c r="S846" i="4"/>
  <c r="R846" i="4"/>
  <c r="Q846" i="4"/>
  <c r="P846" i="4"/>
  <c r="O846" i="4"/>
  <c r="N846" i="4"/>
  <c r="M846" i="4"/>
  <c r="L846" i="4"/>
  <c r="K846" i="4"/>
  <c r="J846" i="4"/>
  <c r="I846" i="4"/>
  <c r="H846" i="4"/>
  <c r="G846" i="4"/>
  <c r="F846" i="4"/>
  <c r="E846" i="4"/>
  <c r="U846" i="4" s="1"/>
  <c r="D846" i="4"/>
  <c r="C846" i="4"/>
  <c r="V846" i="4" s="1"/>
  <c r="B846" i="4"/>
  <c r="A846" i="4"/>
  <c r="X845" i="4"/>
  <c r="T845" i="4"/>
  <c r="S845" i="4"/>
  <c r="R845" i="4"/>
  <c r="Q845" i="4"/>
  <c r="P845" i="4"/>
  <c r="O845" i="4"/>
  <c r="W845" i="4" s="1"/>
  <c r="N845" i="4"/>
  <c r="M845" i="4"/>
  <c r="L845" i="4"/>
  <c r="K845" i="4"/>
  <c r="J845" i="4"/>
  <c r="I845" i="4"/>
  <c r="H845" i="4"/>
  <c r="G845" i="4"/>
  <c r="F845" i="4"/>
  <c r="E845" i="4"/>
  <c r="U845" i="4" s="1"/>
  <c r="D845" i="4"/>
  <c r="C845" i="4"/>
  <c r="V845" i="4" s="1"/>
  <c r="B845" i="4"/>
  <c r="A845" i="4"/>
  <c r="X844" i="4"/>
  <c r="T844" i="4"/>
  <c r="S844" i="4"/>
  <c r="R844" i="4"/>
  <c r="Q844" i="4"/>
  <c r="P844" i="4"/>
  <c r="O844" i="4"/>
  <c r="W844" i="4" s="1"/>
  <c r="N844" i="4"/>
  <c r="M844" i="4"/>
  <c r="L844" i="4"/>
  <c r="K844" i="4"/>
  <c r="J844" i="4"/>
  <c r="I844" i="4"/>
  <c r="H844" i="4"/>
  <c r="G844" i="4"/>
  <c r="F844" i="4"/>
  <c r="E844" i="4"/>
  <c r="U844" i="4" s="1"/>
  <c r="D844" i="4"/>
  <c r="C844" i="4"/>
  <c r="V844" i="4" s="1"/>
  <c r="B844" i="4"/>
  <c r="A844" i="4"/>
  <c r="X843" i="4"/>
  <c r="T843" i="4"/>
  <c r="S843" i="4"/>
  <c r="R843" i="4"/>
  <c r="Q843" i="4"/>
  <c r="P843" i="4"/>
  <c r="O843" i="4"/>
  <c r="W843" i="4" s="1"/>
  <c r="N843" i="4"/>
  <c r="M843" i="4"/>
  <c r="L843" i="4"/>
  <c r="K843" i="4"/>
  <c r="J843" i="4"/>
  <c r="I843" i="4"/>
  <c r="H843" i="4"/>
  <c r="G843" i="4"/>
  <c r="F843" i="4"/>
  <c r="E843" i="4"/>
  <c r="U843" i="4" s="1"/>
  <c r="D843" i="4"/>
  <c r="C843" i="4"/>
  <c r="V843" i="4" s="1"/>
  <c r="B843" i="4"/>
  <c r="A843" i="4"/>
  <c r="X842" i="4"/>
  <c r="V842" i="4"/>
  <c r="T842" i="4"/>
  <c r="S842" i="4"/>
  <c r="R842" i="4"/>
  <c r="Q842" i="4"/>
  <c r="P842" i="4"/>
  <c r="O842" i="4"/>
  <c r="W842" i="4" s="1"/>
  <c r="N842" i="4"/>
  <c r="M842" i="4"/>
  <c r="L842" i="4"/>
  <c r="K842" i="4"/>
  <c r="J842" i="4"/>
  <c r="I842" i="4"/>
  <c r="H842" i="4"/>
  <c r="G842" i="4"/>
  <c r="F842" i="4"/>
  <c r="E842" i="4"/>
  <c r="U842" i="4" s="1"/>
  <c r="D842" i="4"/>
  <c r="C842" i="4"/>
  <c r="B842" i="4"/>
  <c r="A842" i="4"/>
  <c r="X841" i="4"/>
  <c r="W841" i="4"/>
  <c r="V841" i="4"/>
  <c r="T841" i="4"/>
  <c r="S841" i="4"/>
  <c r="R841" i="4"/>
  <c r="Q841" i="4"/>
  <c r="P841" i="4"/>
  <c r="O841" i="4"/>
  <c r="N841" i="4"/>
  <c r="M841" i="4"/>
  <c r="L841" i="4"/>
  <c r="K841" i="4"/>
  <c r="J841" i="4"/>
  <c r="I841" i="4"/>
  <c r="H841" i="4"/>
  <c r="G841" i="4"/>
  <c r="F841" i="4"/>
  <c r="E841" i="4"/>
  <c r="U841" i="4" s="1"/>
  <c r="D841" i="4"/>
  <c r="C841" i="4"/>
  <c r="B841" i="4"/>
  <c r="A841" i="4"/>
  <c r="X840" i="4"/>
  <c r="V840" i="4"/>
  <c r="T840" i="4"/>
  <c r="S840" i="4"/>
  <c r="R840" i="4"/>
  <c r="Q840" i="4"/>
  <c r="P840" i="4"/>
  <c r="O840" i="4"/>
  <c r="W840" i="4" s="1"/>
  <c r="N840" i="4"/>
  <c r="M840" i="4"/>
  <c r="L840" i="4"/>
  <c r="K840" i="4"/>
  <c r="J840" i="4"/>
  <c r="I840" i="4"/>
  <c r="H840" i="4"/>
  <c r="G840" i="4"/>
  <c r="F840" i="4"/>
  <c r="E840" i="4"/>
  <c r="U840" i="4" s="1"/>
  <c r="D840" i="4"/>
  <c r="C840" i="4"/>
  <c r="B840" i="4"/>
  <c r="A840" i="4"/>
  <c r="X839" i="4"/>
  <c r="W839" i="4"/>
  <c r="V839" i="4"/>
  <c r="T839" i="4"/>
  <c r="S839" i="4"/>
  <c r="R839" i="4"/>
  <c r="Q839" i="4"/>
  <c r="P839" i="4"/>
  <c r="O839" i="4"/>
  <c r="N839" i="4"/>
  <c r="M839" i="4"/>
  <c r="L839" i="4"/>
  <c r="K839" i="4"/>
  <c r="J839" i="4"/>
  <c r="I839" i="4"/>
  <c r="H839" i="4"/>
  <c r="G839" i="4"/>
  <c r="F839" i="4"/>
  <c r="E839" i="4"/>
  <c r="U839" i="4" s="1"/>
  <c r="D839" i="4"/>
  <c r="C839" i="4"/>
  <c r="B839" i="4"/>
  <c r="A839" i="4"/>
  <c r="X838" i="4"/>
  <c r="V838" i="4"/>
  <c r="T838" i="4"/>
  <c r="S838" i="4"/>
  <c r="R838" i="4"/>
  <c r="Q838" i="4"/>
  <c r="P838" i="4"/>
  <c r="O838" i="4"/>
  <c r="N838" i="4"/>
  <c r="M838" i="4"/>
  <c r="L838" i="4"/>
  <c r="K838" i="4"/>
  <c r="J838" i="4"/>
  <c r="I838" i="4"/>
  <c r="H838" i="4"/>
  <c r="G838" i="4"/>
  <c r="F838" i="4"/>
  <c r="E838" i="4"/>
  <c r="U838" i="4" s="1"/>
  <c r="D838" i="4"/>
  <c r="C838" i="4"/>
  <c r="B838" i="4"/>
  <c r="A838" i="4"/>
  <c r="X837" i="4"/>
  <c r="W837" i="4"/>
  <c r="V837" i="4"/>
  <c r="T837" i="4"/>
  <c r="S837" i="4"/>
  <c r="R837" i="4"/>
  <c r="Q837" i="4"/>
  <c r="P837" i="4"/>
  <c r="O837" i="4"/>
  <c r="N837" i="4"/>
  <c r="M837" i="4"/>
  <c r="L837" i="4"/>
  <c r="K837" i="4"/>
  <c r="J837" i="4"/>
  <c r="I837" i="4"/>
  <c r="H837" i="4"/>
  <c r="G837" i="4"/>
  <c r="F837" i="4"/>
  <c r="E837" i="4"/>
  <c r="U837" i="4" s="1"/>
  <c r="D837" i="4"/>
  <c r="C837" i="4"/>
  <c r="B837" i="4"/>
  <c r="A837" i="4"/>
  <c r="X836" i="4"/>
  <c r="T836" i="4"/>
  <c r="S836" i="4"/>
  <c r="R836" i="4"/>
  <c r="Q836" i="4"/>
  <c r="P836" i="4"/>
  <c r="O836" i="4"/>
  <c r="W836" i="4" s="1"/>
  <c r="N836" i="4"/>
  <c r="M836" i="4"/>
  <c r="L836" i="4"/>
  <c r="K836" i="4"/>
  <c r="J836" i="4"/>
  <c r="I836" i="4"/>
  <c r="H836" i="4"/>
  <c r="G836" i="4"/>
  <c r="F836" i="4"/>
  <c r="E836" i="4"/>
  <c r="U836" i="4" s="1"/>
  <c r="D836" i="4"/>
  <c r="C836" i="4"/>
  <c r="V836" i="4" s="1"/>
  <c r="B836" i="4"/>
  <c r="A836" i="4"/>
  <c r="X835" i="4"/>
  <c r="W835" i="4"/>
  <c r="V835" i="4"/>
  <c r="T835" i="4"/>
  <c r="S835" i="4"/>
  <c r="R835" i="4"/>
  <c r="Q835" i="4"/>
  <c r="P835" i="4"/>
  <c r="O835" i="4"/>
  <c r="N835" i="4"/>
  <c r="M835" i="4"/>
  <c r="L835" i="4"/>
  <c r="K835" i="4"/>
  <c r="J835" i="4"/>
  <c r="I835" i="4"/>
  <c r="H835" i="4"/>
  <c r="G835" i="4"/>
  <c r="F835" i="4"/>
  <c r="E835" i="4"/>
  <c r="U835" i="4" s="1"/>
  <c r="D835" i="4"/>
  <c r="C835" i="4"/>
  <c r="B835" i="4"/>
  <c r="A835" i="4"/>
  <c r="X834" i="4"/>
  <c r="T834" i="4"/>
  <c r="S834" i="4"/>
  <c r="R834" i="4"/>
  <c r="Q834" i="4"/>
  <c r="P834" i="4"/>
  <c r="O834" i="4"/>
  <c r="N834" i="4"/>
  <c r="M834" i="4"/>
  <c r="L834" i="4"/>
  <c r="W834" i="4" s="1"/>
  <c r="K834" i="4"/>
  <c r="J834" i="4"/>
  <c r="I834" i="4"/>
  <c r="H834" i="4"/>
  <c r="G834" i="4"/>
  <c r="F834" i="4"/>
  <c r="E834" i="4"/>
  <c r="U834" i="4" s="1"/>
  <c r="D834" i="4"/>
  <c r="C834" i="4"/>
  <c r="V834" i="4" s="1"/>
  <c r="B834" i="4"/>
  <c r="A834" i="4"/>
  <c r="X833" i="4"/>
  <c r="T833" i="4"/>
  <c r="S833" i="4"/>
  <c r="R833" i="4"/>
  <c r="Q833" i="4"/>
  <c r="P833" i="4"/>
  <c r="O833" i="4"/>
  <c r="N833" i="4"/>
  <c r="M833" i="4"/>
  <c r="L833" i="4"/>
  <c r="K833" i="4"/>
  <c r="J833" i="4"/>
  <c r="I833" i="4"/>
  <c r="H833" i="4"/>
  <c r="G833" i="4"/>
  <c r="F833" i="4"/>
  <c r="E833" i="4"/>
  <c r="U833" i="4" s="1"/>
  <c r="D833" i="4"/>
  <c r="C833" i="4"/>
  <c r="V833" i="4" s="1"/>
  <c r="B833" i="4"/>
  <c r="A833" i="4"/>
  <c r="X832" i="4"/>
  <c r="T832" i="4"/>
  <c r="S832" i="4"/>
  <c r="R832" i="4"/>
  <c r="Q832" i="4"/>
  <c r="P832" i="4"/>
  <c r="O832" i="4"/>
  <c r="N832" i="4"/>
  <c r="M832" i="4"/>
  <c r="L832" i="4"/>
  <c r="W832" i="4" s="1"/>
  <c r="K832" i="4"/>
  <c r="J832" i="4"/>
  <c r="I832" i="4"/>
  <c r="H832" i="4"/>
  <c r="G832" i="4"/>
  <c r="F832" i="4"/>
  <c r="E832" i="4"/>
  <c r="U832" i="4" s="1"/>
  <c r="D832" i="4"/>
  <c r="C832" i="4"/>
  <c r="V832" i="4" s="1"/>
  <c r="B832" i="4"/>
  <c r="A832" i="4"/>
  <c r="X831" i="4"/>
  <c r="T831" i="4"/>
  <c r="S831" i="4"/>
  <c r="R831" i="4"/>
  <c r="Q831" i="4"/>
  <c r="P831" i="4"/>
  <c r="O831" i="4"/>
  <c r="N831" i="4"/>
  <c r="M831" i="4"/>
  <c r="L831" i="4"/>
  <c r="K831" i="4"/>
  <c r="J831" i="4"/>
  <c r="I831" i="4"/>
  <c r="H831" i="4"/>
  <c r="G831" i="4"/>
  <c r="F831" i="4"/>
  <c r="E831" i="4"/>
  <c r="U831" i="4" s="1"/>
  <c r="D831" i="4"/>
  <c r="C831" i="4"/>
  <c r="V831" i="4" s="1"/>
  <c r="B831" i="4"/>
  <c r="A831" i="4"/>
  <c r="X830" i="4"/>
  <c r="T830" i="4"/>
  <c r="S830" i="4"/>
  <c r="R830" i="4"/>
  <c r="Q830" i="4"/>
  <c r="P830" i="4"/>
  <c r="O830" i="4"/>
  <c r="N830" i="4"/>
  <c r="M830" i="4"/>
  <c r="L830" i="4"/>
  <c r="W830" i="4" s="1"/>
  <c r="K830" i="4"/>
  <c r="J830" i="4"/>
  <c r="I830" i="4"/>
  <c r="H830" i="4"/>
  <c r="G830" i="4"/>
  <c r="F830" i="4"/>
  <c r="E830" i="4"/>
  <c r="U830" i="4" s="1"/>
  <c r="D830" i="4"/>
  <c r="C830" i="4"/>
  <c r="V830" i="4" s="1"/>
  <c r="B830" i="4"/>
  <c r="A830" i="4"/>
  <c r="X829" i="4"/>
  <c r="T829" i="4"/>
  <c r="S829" i="4"/>
  <c r="R829" i="4"/>
  <c r="Q829" i="4"/>
  <c r="P829" i="4"/>
  <c r="O829" i="4"/>
  <c r="W829" i="4" s="1"/>
  <c r="N829" i="4"/>
  <c r="M829" i="4"/>
  <c r="L829" i="4"/>
  <c r="K829" i="4"/>
  <c r="J829" i="4"/>
  <c r="I829" i="4"/>
  <c r="H829" i="4"/>
  <c r="G829" i="4"/>
  <c r="F829" i="4"/>
  <c r="E829" i="4"/>
  <c r="U829" i="4" s="1"/>
  <c r="D829" i="4"/>
  <c r="C829" i="4"/>
  <c r="V829" i="4" s="1"/>
  <c r="B829" i="4"/>
  <c r="A829" i="4"/>
  <c r="X828" i="4"/>
  <c r="W828" i="4"/>
  <c r="T828" i="4"/>
  <c r="S828" i="4"/>
  <c r="R828" i="4"/>
  <c r="Q828" i="4"/>
  <c r="P828" i="4"/>
  <c r="O828" i="4"/>
  <c r="N828" i="4"/>
  <c r="M828" i="4"/>
  <c r="L828" i="4"/>
  <c r="K828" i="4"/>
  <c r="J828" i="4"/>
  <c r="I828" i="4"/>
  <c r="H828" i="4"/>
  <c r="G828" i="4"/>
  <c r="F828" i="4"/>
  <c r="E828" i="4"/>
  <c r="U828" i="4" s="1"/>
  <c r="D828" i="4"/>
  <c r="C828" i="4"/>
  <c r="V828" i="4" s="1"/>
  <c r="B828" i="4"/>
  <c r="A828" i="4"/>
  <c r="X827" i="4"/>
  <c r="T827" i="4"/>
  <c r="S827" i="4"/>
  <c r="R827" i="4"/>
  <c r="Q827" i="4"/>
  <c r="P827" i="4"/>
  <c r="O827" i="4"/>
  <c r="N827" i="4"/>
  <c r="M827" i="4"/>
  <c r="L827" i="4"/>
  <c r="K827" i="4"/>
  <c r="J827" i="4"/>
  <c r="I827" i="4"/>
  <c r="H827" i="4"/>
  <c r="G827" i="4"/>
  <c r="F827" i="4"/>
  <c r="E827" i="4"/>
  <c r="U827" i="4" s="1"/>
  <c r="D827" i="4"/>
  <c r="C827" i="4"/>
  <c r="V827" i="4" s="1"/>
  <c r="B827" i="4"/>
  <c r="A827" i="4"/>
  <c r="X826" i="4"/>
  <c r="W826" i="4"/>
  <c r="V826" i="4"/>
  <c r="T826" i="4"/>
  <c r="S826" i="4"/>
  <c r="R826" i="4"/>
  <c r="Q826" i="4"/>
  <c r="P826" i="4"/>
  <c r="O826" i="4"/>
  <c r="N826" i="4"/>
  <c r="M826" i="4"/>
  <c r="L826" i="4"/>
  <c r="K826" i="4"/>
  <c r="J826" i="4"/>
  <c r="I826" i="4"/>
  <c r="H826" i="4"/>
  <c r="G826" i="4"/>
  <c r="F826" i="4"/>
  <c r="E826" i="4"/>
  <c r="U826" i="4" s="1"/>
  <c r="D826" i="4"/>
  <c r="C826" i="4"/>
  <c r="B826" i="4"/>
  <c r="A826" i="4"/>
  <c r="X825" i="4"/>
  <c r="T825" i="4"/>
  <c r="S825" i="4"/>
  <c r="R825" i="4"/>
  <c r="Q825" i="4"/>
  <c r="P825" i="4"/>
  <c r="O825" i="4"/>
  <c r="W825" i="4" s="1"/>
  <c r="N825" i="4"/>
  <c r="M825" i="4"/>
  <c r="L825" i="4"/>
  <c r="K825" i="4"/>
  <c r="J825" i="4"/>
  <c r="I825" i="4"/>
  <c r="H825" i="4"/>
  <c r="G825" i="4"/>
  <c r="F825" i="4"/>
  <c r="E825" i="4"/>
  <c r="U825" i="4" s="1"/>
  <c r="D825" i="4"/>
  <c r="C825" i="4"/>
  <c r="V825" i="4" s="1"/>
  <c r="B825" i="4"/>
  <c r="A825" i="4"/>
  <c r="X824" i="4"/>
  <c r="W824" i="4"/>
  <c r="V824" i="4"/>
  <c r="T824" i="4"/>
  <c r="S824" i="4"/>
  <c r="R824" i="4"/>
  <c r="Q824" i="4"/>
  <c r="P824" i="4"/>
  <c r="O824" i="4"/>
  <c r="N824" i="4"/>
  <c r="M824" i="4"/>
  <c r="L824" i="4"/>
  <c r="K824" i="4"/>
  <c r="J824" i="4"/>
  <c r="I824" i="4"/>
  <c r="H824" i="4"/>
  <c r="G824" i="4"/>
  <c r="F824" i="4"/>
  <c r="E824" i="4"/>
  <c r="U824" i="4" s="1"/>
  <c r="D824" i="4"/>
  <c r="C824" i="4"/>
  <c r="B824" i="4"/>
  <c r="A824" i="4"/>
  <c r="X823" i="4"/>
  <c r="V823" i="4"/>
  <c r="T823" i="4"/>
  <c r="S823" i="4"/>
  <c r="R823" i="4"/>
  <c r="Q823" i="4"/>
  <c r="P823" i="4"/>
  <c r="O823" i="4"/>
  <c r="W823" i="4" s="1"/>
  <c r="N823" i="4"/>
  <c r="M823" i="4"/>
  <c r="L823" i="4"/>
  <c r="K823" i="4"/>
  <c r="J823" i="4"/>
  <c r="I823" i="4"/>
  <c r="H823" i="4"/>
  <c r="G823" i="4"/>
  <c r="F823" i="4"/>
  <c r="E823" i="4"/>
  <c r="U823" i="4" s="1"/>
  <c r="D823" i="4"/>
  <c r="C823" i="4"/>
  <c r="B823" i="4"/>
  <c r="A823" i="4"/>
  <c r="X822" i="4"/>
  <c r="W822" i="4"/>
  <c r="V822" i="4"/>
  <c r="T822" i="4"/>
  <c r="S822" i="4"/>
  <c r="R822" i="4"/>
  <c r="Q822" i="4"/>
  <c r="P822" i="4"/>
  <c r="O822" i="4"/>
  <c r="N822" i="4"/>
  <c r="M822" i="4"/>
  <c r="L822" i="4"/>
  <c r="K822" i="4"/>
  <c r="J822" i="4"/>
  <c r="I822" i="4"/>
  <c r="H822" i="4"/>
  <c r="G822" i="4"/>
  <c r="F822" i="4"/>
  <c r="E822" i="4"/>
  <c r="U822" i="4" s="1"/>
  <c r="D822" i="4"/>
  <c r="C822" i="4"/>
  <c r="B822" i="4"/>
  <c r="A822" i="4"/>
  <c r="X821" i="4"/>
  <c r="T821" i="4"/>
  <c r="S821" i="4"/>
  <c r="R821" i="4"/>
  <c r="Q821" i="4"/>
  <c r="P821" i="4"/>
  <c r="O821" i="4"/>
  <c r="N821" i="4"/>
  <c r="M821" i="4"/>
  <c r="L821" i="4"/>
  <c r="K821" i="4"/>
  <c r="J821" i="4"/>
  <c r="I821" i="4"/>
  <c r="H821" i="4"/>
  <c r="G821" i="4"/>
  <c r="F821" i="4"/>
  <c r="E821" i="4"/>
  <c r="U821" i="4" s="1"/>
  <c r="D821" i="4"/>
  <c r="C821" i="4"/>
  <c r="V821" i="4" s="1"/>
  <c r="B821" i="4"/>
  <c r="A821" i="4"/>
  <c r="X820" i="4"/>
  <c r="T820" i="4"/>
  <c r="S820" i="4"/>
  <c r="W820" i="4" s="1"/>
  <c r="R820" i="4"/>
  <c r="Q820" i="4"/>
  <c r="P820" i="4"/>
  <c r="O820" i="4"/>
  <c r="N820" i="4"/>
  <c r="M820" i="4"/>
  <c r="L820" i="4"/>
  <c r="K820" i="4"/>
  <c r="J820" i="4"/>
  <c r="I820" i="4"/>
  <c r="H820" i="4"/>
  <c r="G820" i="4"/>
  <c r="F820" i="4"/>
  <c r="E820" i="4"/>
  <c r="U820" i="4" s="1"/>
  <c r="D820" i="4"/>
  <c r="C820" i="4"/>
  <c r="V820" i="4" s="1"/>
  <c r="B820" i="4"/>
  <c r="A820" i="4"/>
  <c r="X819" i="4"/>
  <c r="T819" i="4"/>
  <c r="S819" i="4"/>
  <c r="R819" i="4"/>
  <c r="Q819" i="4"/>
  <c r="P819" i="4"/>
  <c r="O819" i="4"/>
  <c r="W819" i="4" s="1"/>
  <c r="N819" i="4"/>
  <c r="M819" i="4"/>
  <c r="L819" i="4"/>
  <c r="K819" i="4"/>
  <c r="J819" i="4"/>
  <c r="I819" i="4"/>
  <c r="H819" i="4"/>
  <c r="G819" i="4"/>
  <c r="F819" i="4"/>
  <c r="E819" i="4"/>
  <c r="U819" i="4" s="1"/>
  <c r="D819" i="4"/>
  <c r="C819" i="4"/>
  <c r="V819" i="4" s="1"/>
  <c r="B819" i="4"/>
  <c r="A819" i="4"/>
  <c r="X818" i="4"/>
  <c r="W818" i="4"/>
  <c r="T818" i="4"/>
  <c r="S818" i="4"/>
  <c r="R818" i="4"/>
  <c r="Q818" i="4"/>
  <c r="P818" i="4"/>
  <c r="O818" i="4"/>
  <c r="N818" i="4"/>
  <c r="M818" i="4"/>
  <c r="L818" i="4"/>
  <c r="K818" i="4"/>
  <c r="J818" i="4"/>
  <c r="I818" i="4"/>
  <c r="H818" i="4"/>
  <c r="G818" i="4"/>
  <c r="F818" i="4"/>
  <c r="E818" i="4"/>
  <c r="U818" i="4" s="1"/>
  <c r="D818" i="4"/>
  <c r="C818" i="4"/>
  <c r="V818" i="4" s="1"/>
  <c r="B818" i="4"/>
  <c r="A818" i="4"/>
  <c r="X817" i="4"/>
  <c r="T817" i="4"/>
  <c r="S817" i="4"/>
  <c r="R817" i="4"/>
  <c r="Q817" i="4"/>
  <c r="P817" i="4"/>
  <c r="O817" i="4"/>
  <c r="W817" i="4" s="1"/>
  <c r="N817" i="4"/>
  <c r="M817" i="4"/>
  <c r="L817" i="4"/>
  <c r="K817" i="4"/>
  <c r="J817" i="4"/>
  <c r="I817" i="4"/>
  <c r="H817" i="4"/>
  <c r="G817" i="4"/>
  <c r="F817" i="4"/>
  <c r="E817" i="4"/>
  <c r="U817" i="4" s="1"/>
  <c r="D817" i="4"/>
  <c r="C817" i="4"/>
  <c r="V817" i="4" s="1"/>
  <c r="B817" i="4"/>
  <c r="A817" i="4"/>
  <c r="X816" i="4"/>
  <c r="V816" i="4"/>
  <c r="T816" i="4"/>
  <c r="S816" i="4"/>
  <c r="R816" i="4"/>
  <c r="Q816" i="4"/>
  <c r="P816" i="4"/>
  <c r="O816" i="4"/>
  <c r="N816" i="4"/>
  <c r="M816" i="4"/>
  <c r="L816" i="4"/>
  <c r="W816" i="4" s="1"/>
  <c r="K816" i="4"/>
  <c r="J816" i="4"/>
  <c r="I816" i="4"/>
  <c r="H816" i="4"/>
  <c r="G816" i="4"/>
  <c r="F816" i="4"/>
  <c r="E816" i="4"/>
  <c r="U816" i="4" s="1"/>
  <c r="D816" i="4"/>
  <c r="C816" i="4"/>
  <c r="B816" i="4"/>
  <c r="A816" i="4"/>
  <c r="X815" i="4"/>
  <c r="T815" i="4"/>
  <c r="S815" i="4"/>
  <c r="R815" i="4"/>
  <c r="Q815" i="4"/>
  <c r="P815" i="4"/>
  <c r="O815" i="4"/>
  <c r="N815" i="4"/>
  <c r="M815" i="4"/>
  <c r="L815" i="4"/>
  <c r="K815" i="4"/>
  <c r="J815" i="4"/>
  <c r="I815" i="4"/>
  <c r="H815" i="4"/>
  <c r="G815" i="4"/>
  <c r="F815" i="4"/>
  <c r="E815" i="4"/>
  <c r="U815" i="4" s="1"/>
  <c r="D815" i="4"/>
  <c r="C815" i="4"/>
  <c r="V815" i="4" s="1"/>
  <c r="B815" i="4"/>
  <c r="A815" i="4"/>
  <c r="X814" i="4"/>
  <c r="T814" i="4"/>
  <c r="S814" i="4"/>
  <c r="R814" i="4"/>
  <c r="Q814" i="4"/>
  <c r="P814" i="4"/>
  <c r="O814" i="4"/>
  <c r="N814" i="4"/>
  <c r="M814" i="4"/>
  <c r="L814" i="4"/>
  <c r="K814" i="4"/>
  <c r="J814" i="4"/>
  <c r="I814" i="4"/>
  <c r="H814" i="4"/>
  <c r="G814" i="4"/>
  <c r="F814" i="4"/>
  <c r="E814" i="4"/>
  <c r="U814" i="4" s="1"/>
  <c r="D814" i="4"/>
  <c r="C814" i="4"/>
  <c r="V814" i="4" s="1"/>
  <c r="B814" i="4"/>
  <c r="A814" i="4"/>
  <c r="X813" i="4"/>
  <c r="T813" i="4"/>
  <c r="S813" i="4"/>
  <c r="R813" i="4"/>
  <c r="Q813" i="4"/>
  <c r="P813" i="4"/>
  <c r="O813" i="4"/>
  <c r="W813" i="4" s="1"/>
  <c r="N813" i="4"/>
  <c r="M813" i="4"/>
  <c r="L813" i="4"/>
  <c r="K813" i="4"/>
  <c r="J813" i="4"/>
  <c r="I813" i="4"/>
  <c r="H813" i="4"/>
  <c r="G813" i="4"/>
  <c r="F813" i="4"/>
  <c r="E813" i="4"/>
  <c r="U813" i="4" s="1"/>
  <c r="D813" i="4"/>
  <c r="C813" i="4"/>
  <c r="V813" i="4" s="1"/>
  <c r="B813" i="4"/>
  <c r="A813" i="4"/>
  <c r="X812" i="4"/>
  <c r="T812" i="4"/>
  <c r="S812" i="4"/>
  <c r="W812" i="4" s="1"/>
  <c r="R812" i="4"/>
  <c r="Q812" i="4"/>
  <c r="P812" i="4"/>
  <c r="O812" i="4"/>
  <c r="N812" i="4"/>
  <c r="M812" i="4"/>
  <c r="L812" i="4"/>
  <c r="K812" i="4"/>
  <c r="J812" i="4"/>
  <c r="I812" i="4"/>
  <c r="H812" i="4"/>
  <c r="G812" i="4"/>
  <c r="F812" i="4"/>
  <c r="E812" i="4"/>
  <c r="U812" i="4" s="1"/>
  <c r="D812" i="4"/>
  <c r="C812" i="4"/>
  <c r="V812" i="4" s="1"/>
  <c r="B812" i="4"/>
  <c r="A812" i="4"/>
  <c r="X811" i="4"/>
  <c r="V811" i="4"/>
  <c r="T811" i="4"/>
  <c r="S811" i="4"/>
  <c r="R811" i="4"/>
  <c r="Q811" i="4"/>
  <c r="P811" i="4"/>
  <c r="O811" i="4"/>
  <c r="W811" i="4" s="1"/>
  <c r="N811" i="4"/>
  <c r="M811" i="4"/>
  <c r="L811" i="4"/>
  <c r="K811" i="4"/>
  <c r="J811" i="4"/>
  <c r="I811" i="4"/>
  <c r="H811" i="4"/>
  <c r="G811" i="4"/>
  <c r="F811" i="4"/>
  <c r="E811" i="4"/>
  <c r="U811" i="4" s="1"/>
  <c r="D811" i="4"/>
  <c r="C811" i="4"/>
  <c r="B811" i="4"/>
  <c r="A811" i="4"/>
  <c r="X810" i="4"/>
  <c r="V810" i="4"/>
  <c r="T810" i="4"/>
  <c r="S810" i="4"/>
  <c r="W810" i="4" s="1"/>
  <c r="R810" i="4"/>
  <c r="Q810" i="4"/>
  <c r="P810" i="4"/>
  <c r="O810" i="4"/>
  <c r="N810" i="4"/>
  <c r="M810" i="4"/>
  <c r="L810" i="4"/>
  <c r="K810" i="4"/>
  <c r="J810" i="4"/>
  <c r="I810" i="4"/>
  <c r="H810" i="4"/>
  <c r="G810" i="4"/>
  <c r="F810" i="4"/>
  <c r="E810" i="4"/>
  <c r="U810" i="4" s="1"/>
  <c r="D810" i="4"/>
  <c r="C810" i="4"/>
  <c r="B810" i="4"/>
  <c r="A810" i="4"/>
  <c r="X809" i="4"/>
  <c r="V809" i="4"/>
  <c r="T809" i="4"/>
  <c r="S809" i="4"/>
  <c r="R809" i="4"/>
  <c r="Q809" i="4"/>
  <c r="P809" i="4"/>
  <c r="O809" i="4"/>
  <c r="W809" i="4" s="1"/>
  <c r="N809" i="4"/>
  <c r="M809" i="4"/>
  <c r="L809" i="4"/>
  <c r="K809" i="4"/>
  <c r="J809" i="4"/>
  <c r="I809" i="4"/>
  <c r="H809" i="4"/>
  <c r="G809" i="4"/>
  <c r="F809" i="4"/>
  <c r="E809" i="4"/>
  <c r="U809" i="4" s="1"/>
  <c r="D809" i="4"/>
  <c r="C809" i="4"/>
  <c r="B809" i="4"/>
  <c r="A809" i="4"/>
  <c r="X808" i="4"/>
  <c r="T808" i="4"/>
  <c r="S808" i="4"/>
  <c r="W808" i="4" s="1"/>
  <c r="R808" i="4"/>
  <c r="Q808" i="4"/>
  <c r="P808" i="4"/>
  <c r="O808" i="4"/>
  <c r="N808" i="4"/>
  <c r="M808" i="4"/>
  <c r="L808" i="4"/>
  <c r="K808" i="4"/>
  <c r="J808" i="4"/>
  <c r="I808" i="4"/>
  <c r="H808" i="4"/>
  <c r="G808" i="4"/>
  <c r="F808" i="4"/>
  <c r="E808" i="4"/>
  <c r="U808" i="4" s="1"/>
  <c r="D808" i="4"/>
  <c r="C808" i="4"/>
  <c r="V808" i="4" s="1"/>
  <c r="B808" i="4"/>
  <c r="A808" i="4"/>
  <c r="X807" i="4"/>
  <c r="V807" i="4"/>
  <c r="T807" i="4"/>
  <c r="S807" i="4"/>
  <c r="R807" i="4"/>
  <c r="Q807" i="4"/>
  <c r="P807" i="4"/>
  <c r="O807" i="4"/>
  <c r="W807" i="4" s="1"/>
  <c r="N807" i="4"/>
  <c r="M807" i="4"/>
  <c r="L807" i="4"/>
  <c r="K807" i="4"/>
  <c r="J807" i="4"/>
  <c r="I807" i="4"/>
  <c r="H807" i="4"/>
  <c r="G807" i="4"/>
  <c r="F807" i="4"/>
  <c r="E807" i="4"/>
  <c r="U807" i="4" s="1"/>
  <c r="D807" i="4"/>
  <c r="C807" i="4"/>
  <c r="B807" i="4"/>
  <c r="A807" i="4"/>
  <c r="X806" i="4"/>
  <c r="V806" i="4"/>
  <c r="T806" i="4"/>
  <c r="S806" i="4"/>
  <c r="R806" i="4"/>
  <c r="Q806" i="4"/>
  <c r="P806" i="4"/>
  <c r="O806" i="4"/>
  <c r="N806" i="4"/>
  <c r="M806" i="4"/>
  <c r="L806" i="4"/>
  <c r="W806" i="4" s="1"/>
  <c r="K806" i="4"/>
  <c r="J806" i="4"/>
  <c r="I806" i="4"/>
  <c r="H806" i="4"/>
  <c r="G806" i="4"/>
  <c r="F806" i="4"/>
  <c r="E806" i="4"/>
  <c r="U806" i="4" s="1"/>
  <c r="D806" i="4"/>
  <c r="C806" i="4"/>
  <c r="B806" i="4"/>
  <c r="A806" i="4"/>
  <c r="X805" i="4"/>
  <c r="T805" i="4"/>
  <c r="S805" i="4"/>
  <c r="R805" i="4"/>
  <c r="Q805" i="4"/>
  <c r="P805" i="4"/>
  <c r="O805" i="4"/>
  <c r="N805" i="4"/>
  <c r="M805" i="4"/>
  <c r="L805" i="4"/>
  <c r="K805" i="4"/>
  <c r="J805" i="4"/>
  <c r="I805" i="4"/>
  <c r="H805" i="4"/>
  <c r="G805" i="4"/>
  <c r="F805" i="4"/>
  <c r="E805" i="4"/>
  <c r="U805" i="4" s="1"/>
  <c r="D805" i="4"/>
  <c r="C805" i="4"/>
  <c r="V805" i="4" s="1"/>
  <c r="B805" i="4"/>
  <c r="A805" i="4"/>
  <c r="X804" i="4"/>
  <c r="V804" i="4"/>
  <c r="T804" i="4"/>
  <c r="S804" i="4"/>
  <c r="R804" i="4"/>
  <c r="Q804" i="4"/>
  <c r="P804" i="4"/>
  <c r="O804" i="4"/>
  <c r="N804" i="4"/>
  <c r="M804" i="4"/>
  <c r="L804" i="4"/>
  <c r="K804" i="4"/>
  <c r="J804" i="4"/>
  <c r="I804" i="4"/>
  <c r="H804" i="4"/>
  <c r="G804" i="4"/>
  <c r="F804" i="4"/>
  <c r="E804" i="4"/>
  <c r="U804" i="4" s="1"/>
  <c r="D804" i="4"/>
  <c r="C804" i="4"/>
  <c r="B804" i="4"/>
  <c r="A804" i="4"/>
  <c r="X803" i="4"/>
  <c r="V803" i="4"/>
  <c r="T803" i="4"/>
  <c r="S803" i="4"/>
  <c r="R803" i="4"/>
  <c r="Q803" i="4"/>
  <c r="P803" i="4"/>
  <c r="O803" i="4"/>
  <c r="N803" i="4"/>
  <c r="M803" i="4"/>
  <c r="L803" i="4"/>
  <c r="K803" i="4"/>
  <c r="J803" i="4"/>
  <c r="I803" i="4"/>
  <c r="H803" i="4"/>
  <c r="G803" i="4"/>
  <c r="F803" i="4"/>
  <c r="E803" i="4"/>
  <c r="U803" i="4" s="1"/>
  <c r="D803" i="4"/>
  <c r="C803" i="4"/>
  <c r="B803" i="4"/>
  <c r="A803" i="4"/>
  <c r="X802" i="4"/>
  <c r="T802" i="4"/>
  <c r="S802" i="4"/>
  <c r="R802" i="4"/>
  <c r="Q802" i="4"/>
  <c r="P802" i="4"/>
  <c r="O802" i="4"/>
  <c r="N802" i="4"/>
  <c r="M802" i="4"/>
  <c r="L802" i="4"/>
  <c r="W802" i="4" s="1"/>
  <c r="K802" i="4"/>
  <c r="J802" i="4"/>
  <c r="I802" i="4"/>
  <c r="H802" i="4"/>
  <c r="G802" i="4"/>
  <c r="F802" i="4"/>
  <c r="E802" i="4"/>
  <c r="U802" i="4" s="1"/>
  <c r="D802" i="4"/>
  <c r="C802" i="4"/>
  <c r="V802" i="4" s="1"/>
  <c r="B802" i="4"/>
  <c r="A802" i="4"/>
  <c r="X801" i="4"/>
  <c r="T801" i="4"/>
  <c r="S801" i="4"/>
  <c r="R801" i="4"/>
  <c r="Q801" i="4"/>
  <c r="P801" i="4"/>
  <c r="O801" i="4"/>
  <c r="N801" i="4"/>
  <c r="M801" i="4"/>
  <c r="L801" i="4"/>
  <c r="K801" i="4"/>
  <c r="J801" i="4"/>
  <c r="I801" i="4"/>
  <c r="H801" i="4"/>
  <c r="G801" i="4"/>
  <c r="F801" i="4"/>
  <c r="E801" i="4"/>
  <c r="U801" i="4" s="1"/>
  <c r="D801" i="4"/>
  <c r="C801" i="4"/>
  <c r="V801" i="4" s="1"/>
  <c r="B801" i="4"/>
  <c r="A801" i="4"/>
  <c r="X800" i="4"/>
  <c r="T800" i="4"/>
  <c r="S800" i="4"/>
  <c r="R800" i="4"/>
  <c r="Q800" i="4"/>
  <c r="P800" i="4"/>
  <c r="O800" i="4"/>
  <c r="N800" i="4"/>
  <c r="M800" i="4"/>
  <c r="L800" i="4"/>
  <c r="W800" i="4" s="1"/>
  <c r="K800" i="4"/>
  <c r="J800" i="4"/>
  <c r="I800" i="4"/>
  <c r="H800" i="4"/>
  <c r="G800" i="4"/>
  <c r="F800" i="4"/>
  <c r="E800" i="4"/>
  <c r="U800" i="4" s="1"/>
  <c r="D800" i="4"/>
  <c r="C800" i="4"/>
  <c r="V800" i="4" s="1"/>
  <c r="B800" i="4"/>
  <c r="A800" i="4"/>
  <c r="X799" i="4"/>
  <c r="T799" i="4"/>
  <c r="S799" i="4"/>
  <c r="R799" i="4"/>
  <c r="Q799" i="4"/>
  <c r="P799" i="4"/>
  <c r="O799" i="4"/>
  <c r="N799" i="4"/>
  <c r="M799" i="4"/>
  <c r="L799" i="4"/>
  <c r="K799" i="4"/>
  <c r="J799" i="4"/>
  <c r="I799" i="4"/>
  <c r="H799" i="4"/>
  <c r="G799" i="4"/>
  <c r="F799" i="4"/>
  <c r="E799" i="4"/>
  <c r="U799" i="4" s="1"/>
  <c r="D799" i="4"/>
  <c r="C799" i="4"/>
  <c r="V799" i="4" s="1"/>
  <c r="B799" i="4"/>
  <c r="A799" i="4"/>
  <c r="X798" i="4"/>
  <c r="T798" i="4"/>
  <c r="S798" i="4"/>
  <c r="R798" i="4"/>
  <c r="Q798" i="4"/>
  <c r="P798" i="4"/>
  <c r="O798" i="4"/>
  <c r="N798" i="4"/>
  <c r="M798" i="4"/>
  <c r="L798" i="4"/>
  <c r="K798" i="4"/>
  <c r="J798" i="4"/>
  <c r="I798" i="4"/>
  <c r="H798" i="4"/>
  <c r="G798" i="4"/>
  <c r="F798" i="4"/>
  <c r="E798" i="4"/>
  <c r="U798" i="4" s="1"/>
  <c r="D798" i="4"/>
  <c r="C798" i="4"/>
  <c r="V798" i="4" s="1"/>
  <c r="B798" i="4"/>
  <c r="A798" i="4"/>
  <c r="X797" i="4"/>
  <c r="T797" i="4"/>
  <c r="S797" i="4"/>
  <c r="R797" i="4"/>
  <c r="Q797" i="4"/>
  <c r="P797" i="4"/>
  <c r="O797" i="4"/>
  <c r="W797" i="4" s="1"/>
  <c r="N797" i="4"/>
  <c r="M797" i="4"/>
  <c r="L797" i="4"/>
  <c r="K797" i="4"/>
  <c r="J797" i="4"/>
  <c r="I797" i="4"/>
  <c r="H797" i="4"/>
  <c r="G797" i="4"/>
  <c r="F797" i="4"/>
  <c r="E797" i="4"/>
  <c r="U797" i="4" s="1"/>
  <c r="D797" i="4"/>
  <c r="C797" i="4"/>
  <c r="V797" i="4" s="1"/>
  <c r="B797" i="4"/>
  <c r="A797" i="4"/>
  <c r="X796" i="4"/>
  <c r="T796" i="4"/>
  <c r="S796" i="4"/>
  <c r="R796" i="4"/>
  <c r="Q796" i="4"/>
  <c r="P796" i="4"/>
  <c r="O796" i="4"/>
  <c r="N796" i="4"/>
  <c r="M796" i="4"/>
  <c r="L796" i="4"/>
  <c r="W796" i="4" s="1"/>
  <c r="K796" i="4"/>
  <c r="J796" i="4"/>
  <c r="I796" i="4"/>
  <c r="H796" i="4"/>
  <c r="G796" i="4"/>
  <c r="F796" i="4"/>
  <c r="E796" i="4"/>
  <c r="U796" i="4" s="1"/>
  <c r="D796" i="4"/>
  <c r="C796" i="4"/>
  <c r="V796" i="4" s="1"/>
  <c r="B796" i="4"/>
  <c r="A796" i="4"/>
  <c r="X795" i="4"/>
  <c r="T795" i="4"/>
  <c r="S795" i="4"/>
  <c r="R795" i="4"/>
  <c r="Q795" i="4"/>
  <c r="P795" i="4"/>
  <c r="O795" i="4"/>
  <c r="W795" i="4" s="1"/>
  <c r="N795" i="4"/>
  <c r="M795" i="4"/>
  <c r="L795" i="4"/>
  <c r="K795" i="4"/>
  <c r="J795" i="4"/>
  <c r="I795" i="4"/>
  <c r="H795" i="4"/>
  <c r="G795" i="4"/>
  <c r="F795" i="4"/>
  <c r="E795" i="4"/>
  <c r="U795" i="4" s="1"/>
  <c r="D795" i="4"/>
  <c r="C795" i="4"/>
  <c r="V795" i="4" s="1"/>
  <c r="B795" i="4"/>
  <c r="A795" i="4"/>
  <c r="X794" i="4"/>
  <c r="W794" i="4"/>
  <c r="V794" i="4"/>
  <c r="T794" i="4"/>
  <c r="S794" i="4"/>
  <c r="R794" i="4"/>
  <c r="Q794" i="4"/>
  <c r="P794" i="4"/>
  <c r="O794" i="4"/>
  <c r="N794" i="4"/>
  <c r="M794" i="4"/>
  <c r="L794" i="4"/>
  <c r="K794" i="4"/>
  <c r="J794" i="4"/>
  <c r="I794" i="4"/>
  <c r="H794" i="4"/>
  <c r="G794" i="4"/>
  <c r="F794" i="4"/>
  <c r="E794" i="4"/>
  <c r="U794" i="4" s="1"/>
  <c r="D794" i="4"/>
  <c r="C794" i="4"/>
  <c r="B794" i="4"/>
  <c r="A794" i="4"/>
  <c r="X793" i="4"/>
  <c r="T793" i="4"/>
  <c r="S793" i="4"/>
  <c r="R793" i="4"/>
  <c r="Q793" i="4"/>
  <c r="P793" i="4"/>
  <c r="O793" i="4"/>
  <c r="W793" i="4" s="1"/>
  <c r="N793" i="4"/>
  <c r="M793" i="4"/>
  <c r="L793" i="4"/>
  <c r="K793" i="4"/>
  <c r="J793" i="4"/>
  <c r="I793" i="4"/>
  <c r="H793" i="4"/>
  <c r="G793" i="4"/>
  <c r="F793" i="4"/>
  <c r="E793" i="4"/>
  <c r="U793" i="4" s="1"/>
  <c r="D793" i="4"/>
  <c r="C793" i="4"/>
  <c r="V793" i="4" s="1"/>
  <c r="B793" i="4"/>
  <c r="A793" i="4"/>
  <c r="X792" i="4"/>
  <c r="W792" i="4"/>
  <c r="V792" i="4"/>
  <c r="T792" i="4"/>
  <c r="S792" i="4"/>
  <c r="R792" i="4"/>
  <c r="Q792" i="4"/>
  <c r="P792" i="4"/>
  <c r="O792" i="4"/>
  <c r="N792" i="4"/>
  <c r="M792" i="4"/>
  <c r="L792" i="4"/>
  <c r="K792" i="4"/>
  <c r="J792" i="4"/>
  <c r="I792" i="4"/>
  <c r="H792" i="4"/>
  <c r="G792" i="4"/>
  <c r="F792" i="4"/>
  <c r="E792" i="4"/>
  <c r="U792" i="4" s="1"/>
  <c r="D792" i="4"/>
  <c r="C792" i="4"/>
  <c r="B792" i="4"/>
  <c r="A792" i="4"/>
  <c r="X791" i="4"/>
  <c r="V791" i="4"/>
  <c r="T791" i="4"/>
  <c r="S791" i="4"/>
  <c r="R791" i="4"/>
  <c r="Q791" i="4"/>
  <c r="P791" i="4"/>
  <c r="O791" i="4"/>
  <c r="W791" i="4" s="1"/>
  <c r="N791" i="4"/>
  <c r="M791" i="4"/>
  <c r="L791" i="4"/>
  <c r="K791" i="4"/>
  <c r="J791" i="4"/>
  <c r="I791" i="4"/>
  <c r="H791" i="4"/>
  <c r="G791" i="4"/>
  <c r="F791" i="4"/>
  <c r="E791" i="4"/>
  <c r="U791" i="4" s="1"/>
  <c r="D791" i="4"/>
  <c r="C791" i="4"/>
  <c r="B791" i="4"/>
  <c r="A791" i="4"/>
  <c r="X790" i="4"/>
  <c r="W790" i="4"/>
  <c r="V790" i="4"/>
  <c r="T790" i="4"/>
  <c r="S790" i="4"/>
  <c r="R790" i="4"/>
  <c r="Q790" i="4"/>
  <c r="P790" i="4"/>
  <c r="O790" i="4"/>
  <c r="N790" i="4"/>
  <c r="M790" i="4"/>
  <c r="L790" i="4"/>
  <c r="K790" i="4"/>
  <c r="J790" i="4"/>
  <c r="I790" i="4"/>
  <c r="H790" i="4"/>
  <c r="G790" i="4"/>
  <c r="F790" i="4"/>
  <c r="E790" i="4"/>
  <c r="U790" i="4" s="1"/>
  <c r="D790" i="4"/>
  <c r="C790" i="4"/>
  <c r="B790" i="4"/>
  <c r="A790" i="4"/>
  <c r="X789" i="4"/>
  <c r="T789" i="4"/>
  <c r="S789" i="4"/>
  <c r="R789" i="4"/>
  <c r="Q789" i="4"/>
  <c r="P789" i="4"/>
  <c r="O789" i="4"/>
  <c r="N789" i="4"/>
  <c r="M789" i="4"/>
  <c r="L789" i="4"/>
  <c r="K789" i="4"/>
  <c r="J789" i="4"/>
  <c r="I789" i="4"/>
  <c r="H789" i="4"/>
  <c r="G789" i="4"/>
  <c r="F789" i="4"/>
  <c r="E789" i="4"/>
  <c r="U789" i="4" s="1"/>
  <c r="D789" i="4"/>
  <c r="C789" i="4"/>
  <c r="V789" i="4" s="1"/>
  <c r="B789" i="4"/>
  <c r="A789" i="4"/>
  <c r="X788" i="4"/>
  <c r="T788" i="4"/>
  <c r="S788" i="4"/>
  <c r="W788" i="4" s="1"/>
  <c r="R788" i="4"/>
  <c r="Q788" i="4"/>
  <c r="P788" i="4"/>
  <c r="O788" i="4"/>
  <c r="N788" i="4"/>
  <c r="M788" i="4"/>
  <c r="L788" i="4"/>
  <c r="K788" i="4"/>
  <c r="J788" i="4"/>
  <c r="I788" i="4"/>
  <c r="H788" i="4"/>
  <c r="G788" i="4"/>
  <c r="F788" i="4"/>
  <c r="E788" i="4"/>
  <c r="U788" i="4" s="1"/>
  <c r="D788" i="4"/>
  <c r="C788" i="4"/>
  <c r="V788" i="4" s="1"/>
  <c r="B788" i="4"/>
  <c r="A788" i="4"/>
  <c r="X787" i="4"/>
  <c r="T787" i="4"/>
  <c r="S787" i="4"/>
  <c r="R787" i="4"/>
  <c r="Q787" i="4"/>
  <c r="P787" i="4"/>
  <c r="O787" i="4"/>
  <c r="W787" i="4" s="1"/>
  <c r="N787" i="4"/>
  <c r="M787" i="4"/>
  <c r="L787" i="4"/>
  <c r="K787" i="4"/>
  <c r="J787" i="4"/>
  <c r="I787" i="4"/>
  <c r="H787" i="4"/>
  <c r="G787" i="4"/>
  <c r="F787" i="4"/>
  <c r="E787" i="4"/>
  <c r="U787" i="4" s="1"/>
  <c r="D787" i="4"/>
  <c r="C787" i="4"/>
  <c r="V787" i="4" s="1"/>
  <c r="B787" i="4"/>
  <c r="A787" i="4"/>
  <c r="X786" i="4"/>
  <c r="V786" i="4"/>
  <c r="T786" i="4"/>
  <c r="S786" i="4"/>
  <c r="W786" i="4" s="1"/>
  <c r="R786" i="4"/>
  <c r="Q786" i="4"/>
  <c r="P786" i="4"/>
  <c r="O786" i="4"/>
  <c r="N786" i="4"/>
  <c r="M786" i="4"/>
  <c r="L786" i="4"/>
  <c r="K786" i="4"/>
  <c r="J786" i="4"/>
  <c r="I786" i="4"/>
  <c r="H786" i="4"/>
  <c r="G786" i="4"/>
  <c r="F786" i="4"/>
  <c r="E786" i="4"/>
  <c r="U786" i="4" s="1"/>
  <c r="D786" i="4"/>
  <c r="C786" i="4"/>
  <c r="B786" i="4"/>
  <c r="A786" i="4"/>
  <c r="X785" i="4"/>
  <c r="T785" i="4"/>
  <c r="S785" i="4"/>
  <c r="R785" i="4"/>
  <c r="Q785" i="4"/>
  <c r="P785" i="4"/>
  <c r="O785" i="4"/>
  <c r="W785" i="4" s="1"/>
  <c r="N785" i="4"/>
  <c r="M785" i="4"/>
  <c r="L785" i="4"/>
  <c r="K785" i="4"/>
  <c r="J785" i="4"/>
  <c r="I785" i="4"/>
  <c r="H785" i="4"/>
  <c r="G785" i="4"/>
  <c r="F785" i="4"/>
  <c r="E785" i="4"/>
  <c r="U785" i="4" s="1"/>
  <c r="D785" i="4"/>
  <c r="C785" i="4"/>
  <c r="V785" i="4" s="1"/>
  <c r="B785" i="4"/>
  <c r="A785" i="4"/>
  <c r="X784" i="4"/>
  <c r="V784" i="4"/>
  <c r="T784" i="4"/>
  <c r="S784" i="4"/>
  <c r="R784" i="4"/>
  <c r="Q784" i="4"/>
  <c r="P784" i="4"/>
  <c r="O784" i="4"/>
  <c r="N784" i="4"/>
  <c r="M784" i="4"/>
  <c r="L784" i="4"/>
  <c r="W784" i="4" s="1"/>
  <c r="K784" i="4"/>
  <c r="J784" i="4"/>
  <c r="I784" i="4"/>
  <c r="H784" i="4"/>
  <c r="G784" i="4"/>
  <c r="F784" i="4"/>
  <c r="E784" i="4"/>
  <c r="U784" i="4" s="1"/>
  <c r="D784" i="4"/>
  <c r="C784" i="4"/>
  <c r="B784" i="4"/>
  <c r="A784" i="4"/>
  <c r="X783" i="4"/>
  <c r="T783" i="4"/>
  <c r="S783" i="4"/>
  <c r="R783" i="4"/>
  <c r="Q783" i="4"/>
  <c r="P783" i="4"/>
  <c r="O783" i="4"/>
  <c r="N783" i="4"/>
  <c r="M783" i="4"/>
  <c r="L783" i="4"/>
  <c r="K783" i="4"/>
  <c r="J783" i="4"/>
  <c r="I783" i="4"/>
  <c r="H783" i="4"/>
  <c r="G783" i="4"/>
  <c r="F783" i="4"/>
  <c r="E783" i="4"/>
  <c r="U783" i="4" s="1"/>
  <c r="D783" i="4"/>
  <c r="C783" i="4"/>
  <c r="V783" i="4" s="1"/>
  <c r="B783" i="4"/>
  <c r="A783" i="4"/>
  <c r="X782" i="4"/>
  <c r="T782" i="4"/>
  <c r="S782" i="4"/>
  <c r="R782" i="4"/>
  <c r="Q782" i="4"/>
  <c r="P782" i="4"/>
  <c r="O782" i="4"/>
  <c r="N782" i="4"/>
  <c r="M782" i="4"/>
  <c r="L782" i="4"/>
  <c r="W782" i="4" s="1"/>
  <c r="K782" i="4"/>
  <c r="J782" i="4"/>
  <c r="I782" i="4"/>
  <c r="H782" i="4"/>
  <c r="G782" i="4"/>
  <c r="F782" i="4"/>
  <c r="E782" i="4"/>
  <c r="U782" i="4" s="1"/>
  <c r="D782" i="4"/>
  <c r="C782" i="4"/>
  <c r="V782" i="4" s="1"/>
  <c r="B782" i="4"/>
  <c r="A782" i="4"/>
  <c r="X781" i="4"/>
  <c r="T781" i="4"/>
  <c r="S781" i="4"/>
  <c r="R781" i="4"/>
  <c r="Q781" i="4"/>
  <c r="P781" i="4"/>
  <c r="O781" i="4"/>
  <c r="W781" i="4" s="1"/>
  <c r="N781" i="4"/>
  <c r="M781" i="4"/>
  <c r="L781" i="4"/>
  <c r="K781" i="4"/>
  <c r="J781" i="4"/>
  <c r="I781" i="4"/>
  <c r="H781" i="4"/>
  <c r="G781" i="4"/>
  <c r="F781" i="4"/>
  <c r="E781" i="4"/>
  <c r="U781" i="4" s="1"/>
  <c r="D781" i="4"/>
  <c r="C781" i="4"/>
  <c r="V781" i="4" s="1"/>
  <c r="B781" i="4"/>
  <c r="A781" i="4"/>
  <c r="X780" i="4"/>
  <c r="W780" i="4"/>
  <c r="T780" i="4"/>
  <c r="S780" i="4"/>
  <c r="R780" i="4"/>
  <c r="Q780" i="4"/>
  <c r="P780" i="4"/>
  <c r="O780" i="4"/>
  <c r="N780" i="4"/>
  <c r="M780" i="4"/>
  <c r="L780" i="4"/>
  <c r="K780" i="4"/>
  <c r="J780" i="4"/>
  <c r="I780" i="4"/>
  <c r="H780" i="4"/>
  <c r="G780" i="4"/>
  <c r="F780" i="4"/>
  <c r="E780" i="4"/>
  <c r="U780" i="4" s="1"/>
  <c r="D780" i="4"/>
  <c r="C780" i="4"/>
  <c r="V780" i="4" s="1"/>
  <c r="B780" i="4"/>
  <c r="A780" i="4"/>
  <c r="X779" i="4"/>
  <c r="V779" i="4"/>
  <c r="T779" i="4"/>
  <c r="S779" i="4"/>
  <c r="R779" i="4"/>
  <c r="Q779" i="4"/>
  <c r="P779" i="4"/>
  <c r="O779" i="4"/>
  <c r="W779" i="4" s="1"/>
  <c r="N779" i="4"/>
  <c r="M779" i="4"/>
  <c r="L779" i="4"/>
  <c r="K779" i="4"/>
  <c r="J779" i="4"/>
  <c r="I779" i="4"/>
  <c r="H779" i="4"/>
  <c r="G779" i="4"/>
  <c r="F779" i="4"/>
  <c r="E779" i="4"/>
  <c r="U779" i="4" s="1"/>
  <c r="D779" i="4"/>
  <c r="C779" i="4"/>
  <c r="B779" i="4"/>
  <c r="A779" i="4"/>
  <c r="X778" i="4"/>
  <c r="T778" i="4"/>
  <c r="S778" i="4"/>
  <c r="W778" i="4" s="1"/>
  <c r="R778" i="4"/>
  <c r="Q778" i="4"/>
  <c r="P778" i="4"/>
  <c r="O778" i="4"/>
  <c r="N778" i="4"/>
  <c r="M778" i="4"/>
  <c r="L778" i="4"/>
  <c r="K778" i="4"/>
  <c r="J778" i="4"/>
  <c r="I778" i="4"/>
  <c r="H778" i="4"/>
  <c r="G778" i="4"/>
  <c r="F778" i="4"/>
  <c r="E778" i="4"/>
  <c r="U778" i="4" s="1"/>
  <c r="D778" i="4"/>
  <c r="C778" i="4"/>
  <c r="V778" i="4" s="1"/>
  <c r="B778" i="4"/>
  <c r="A778" i="4"/>
  <c r="X777" i="4"/>
  <c r="V777" i="4"/>
  <c r="T777" i="4"/>
  <c r="S777" i="4"/>
  <c r="R777" i="4"/>
  <c r="Q777" i="4"/>
  <c r="P777" i="4"/>
  <c r="O777" i="4"/>
  <c r="W777" i="4" s="1"/>
  <c r="N777" i="4"/>
  <c r="M777" i="4"/>
  <c r="L777" i="4"/>
  <c r="K777" i="4"/>
  <c r="J777" i="4"/>
  <c r="I777" i="4"/>
  <c r="H777" i="4"/>
  <c r="G777" i="4"/>
  <c r="F777" i="4"/>
  <c r="E777" i="4"/>
  <c r="U777" i="4" s="1"/>
  <c r="D777" i="4"/>
  <c r="C777" i="4"/>
  <c r="B777" i="4"/>
  <c r="A777" i="4"/>
  <c r="X776" i="4"/>
  <c r="T776" i="4"/>
  <c r="S776" i="4"/>
  <c r="W776" i="4" s="1"/>
  <c r="R776" i="4"/>
  <c r="Q776" i="4"/>
  <c r="P776" i="4"/>
  <c r="O776" i="4"/>
  <c r="N776" i="4"/>
  <c r="M776" i="4"/>
  <c r="L776" i="4"/>
  <c r="K776" i="4"/>
  <c r="J776" i="4"/>
  <c r="I776" i="4"/>
  <c r="H776" i="4"/>
  <c r="G776" i="4"/>
  <c r="F776" i="4"/>
  <c r="E776" i="4"/>
  <c r="U776" i="4" s="1"/>
  <c r="D776" i="4"/>
  <c r="C776" i="4"/>
  <c r="V776" i="4" s="1"/>
  <c r="B776" i="4"/>
  <c r="A776" i="4"/>
  <c r="X775" i="4"/>
  <c r="V775" i="4"/>
  <c r="T775" i="4"/>
  <c r="S775" i="4"/>
  <c r="R775" i="4"/>
  <c r="Q775" i="4"/>
  <c r="P775" i="4"/>
  <c r="O775" i="4"/>
  <c r="W775" i="4" s="1"/>
  <c r="N775" i="4"/>
  <c r="M775" i="4"/>
  <c r="L775" i="4"/>
  <c r="K775" i="4"/>
  <c r="J775" i="4"/>
  <c r="I775" i="4"/>
  <c r="H775" i="4"/>
  <c r="G775" i="4"/>
  <c r="F775" i="4"/>
  <c r="E775" i="4"/>
  <c r="U775" i="4" s="1"/>
  <c r="D775" i="4"/>
  <c r="C775" i="4"/>
  <c r="B775" i="4"/>
  <c r="A775" i="4"/>
  <c r="X774" i="4"/>
  <c r="V774" i="4"/>
  <c r="T774" i="4"/>
  <c r="S774" i="4"/>
  <c r="R774" i="4"/>
  <c r="Q774" i="4"/>
  <c r="P774" i="4"/>
  <c r="O774" i="4"/>
  <c r="N774" i="4"/>
  <c r="M774" i="4"/>
  <c r="L774" i="4"/>
  <c r="W774" i="4" s="1"/>
  <c r="K774" i="4"/>
  <c r="J774" i="4"/>
  <c r="I774" i="4"/>
  <c r="H774" i="4"/>
  <c r="G774" i="4"/>
  <c r="F774" i="4"/>
  <c r="E774" i="4"/>
  <c r="U774" i="4" s="1"/>
  <c r="D774" i="4"/>
  <c r="C774" i="4"/>
  <c r="B774" i="4"/>
  <c r="A774" i="4"/>
  <c r="X773" i="4"/>
  <c r="T773" i="4"/>
  <c r="S773" i="4"/>
  <c r="R773" i="4"/>
  <c r="Q773" i="4"/>
  <c r="P773" i="4"/>
  <c r="O773" i="4"/>
  <c r="N773" i="4"/>
  <c r="M773" i="4"/>
  <c r="L773" i="4"/>
  <c r="K773" i="4"/>
  <c r="J773" i="4"/>
  <c r="I773" i="4"/>
  <c r="H773" i="4"/>
  <c r="G773" i="4"/>
  <c r="F773" i="4"/>
  <c r="E773" i="4"/>
  <c r="U773" i="4" s="1"/>
  <c r="D773" i="4"/>
  <c r="C773" i="4"/>
  <c r="V773" i="4" s="1"/>
  <c r="B773" i="4"/>
  <c r="A773" i="4"/>
  <c r="X772" i="4"/>
  <c r="V772" i="4"/>
  <c r="T772" i="4"/>
  <c r="S772" i="4"/>
  <c r="R772" i="4"/>
  <c r="Q772" i="4"/>
  <c r="P772" i="4"/>
  <c r="O772" i="4"/>
  <c r="N772" i="4"/>
  <c r="M772" i="4"/>
  <c r="L772" i="4"/>
  <c r="W772" i="4" s="1"/>
  <c r="K772" i="4"/>
  <c r="J772" i="4"/>
  <c r="I772" i="4"/>
  <c r="H772" i="4"/>
  <c r="G772" i="4"/>
  <c r="F772" i="4"/>
  <c r="E772" i="4"/>
  <c r="U772" i="4" s="1"/>
  <c r="D772" i="4"/>
  <c r="C772" i="4"/>
  <c r="B772" i="4"/>
  <c r="A772" i="4"/>
  <c r="X771" i="4"/>
  <c r="V771" i="4"/>
  <c r="T771" i="4"/>
  <c r="S771" i="4"/>
  <c r="R771" i="4"/>
  <c r="Q771" i="4"/>
  <c r="P771" i="4"/>
  <c r="O771" i="4"/>
  <c r="N771" i="4"/>
  <c r="M771" i="4"/>
  <c r="L771" i="4"/>
  <c r="K771" i="4"/>
  <c r="J771" i="4"/>
  <c r="I771" i="4"/>
  <c r="H771" i="4"/>
  <c r="G771" i="4"/>
  <c r="F771" i="4"/>
  <c r="E771" i="4"/>
  <c r="U771" i="4" s="1"/>
  <c r="D771" i="4"/>
  <c r="C771" i="4"/>
  <c r="B771" i="4"/>
  <c r="A771" i="4"/>
  <c r="X770" i="4"/>
  <c r="T770" i="4"/>
  <c r="S770" i="4"/>
  <c r="R770" i="4"/>
  <c r="Q770" i="4"/>
  <c r="P770" i="4"/>
  <c r="O770" i="4"/>
  <c r="N770" i="4"/>
  <c r="M770" i="4"/>
  <c r="L770" i="4"/>
  <c r="W770" i="4" s="1"/>
  <c r="K770" i="4"/>
  <c r="J770" i="4"/>
  <c r="I770" i="4"/>
  <c r="H770" i="4"/>
  <c r="G770" i="4"/>
  <c r="F770" i="4"/>
  <c r="E770" i="4"/>
  <c r="U770" i="4" s="1"/>
  <c r="D770" i="4"/>
  <c r="C770" i="4"/>
  <c r="V770" i="4" s="1"/>
  <c r="B770" i="4"/>
  <c r="A770" i="4"/>
  <c r="X769" i="4"/>
  <c r="T769" i="4"/>
  <c r="S769" i="4"/>
  <c r="R769" i="4"/>
  <c r="Q769" i="4"/>
  <c r="P769" i="4"/>
  <c r="O769" i="4"/>
  <c r="N769" i="4"/>
  <c r="M769" i="4"/>
  <c r="L769" i="4"/>
  <c r="K769" i="4"/>
  <c r="J769" i="4"/>
  <c r="I769" i="4"/>
  <c r="H769" i="4"/>
  <c r="G769" i="4"/>
  <c r="F769" i="4"/>
  <c r="E769" i="4"/>
  <c r="U769" i="4" s="1"/>
  <c r="D769" i="4"/>
  <c r="C769" i="4"/>
  <c r="V769" i="4" s="1"/>
  <c r="B769" i="4"/>
  <c r="A769" i="4"/>
  <c r="X768" i="4"/>
  <c r="T768" i="4"/>
  <c r="S768" i="4"/>
  <c r="R768" i="4"/>
  <c r="Q768" i="4"/>
  <c r="P768" i="4"/>
  <c r="O768" i="4"/>
  <c r="N768" i="4"/>
  <c r="M768" i="4"/>
  <c r="L768" i="4"/>
  <c r="W768" i="4" s="1"/>
  <c r="K768" i="4"/>
  <c r="J768" i="4"/>
  <c r="I768" i="4"/>
  <c r="H768" i="4"/>
  <c r="G768" i="4"/>
  <c r="F768" i="4"/>
  <c r="E768" i="4"/>
  <c r="U768" i="4" s="1"/>
  <c r="D768" i="4"/>
  <c r="C768" i="4"/>
  <c r="V768" i="4" s="1"/>
  <c r="B768" i="4"/>
  <c r="A768" i="4"/>
  <c r="X767" i="4"/>
  <c r="T767" i="4"/>
  <c r="S767" i="4"/>
  <c r="R767" i="4"/>
  <c r="Q767" i="4"/>
  <c r="P767" i="4"/>
  <c r="O767" i="4"/>
  <c r="N767" i="4"/>
  <c r="M767" i="4"/>
  <c r="L767" i="4"/>
  <c r="K767" i="4"/>
  <c r="J767" i="4"/>
  <c r="I767" i="4"/>
  <c r="H767" i="4"/>
  <c r="G767" i="4"/>
  <c r="F767" i="4"/>
  <c r="E767" i="4"/>
  <c r="U767" i="4" s="1"/>
  <c r="D767" i="4"/>
  <c r="C767" i="4"/>
  <c r="V767" i="4" s="1"/>
  <c r="B767" i="4"/>
  <c r="A767" i="4"/>
  <c r="X766" i="4"/>
  <c r="T766" i="4"/>
  <c r="S766" i="4"/>
  <c r="R766" i="4"/>
  <c r="Q766" i="4"/>
  <c r="P766" i="4"/>
  <c r="O766" i="4"/>
  <c r="N766" i="4"/>
  <c r="M766" i="4"/>
  <c r="L766" i="4"/>
  <c r="K766" i="4"/>
  <c r="J766" i="4"/>
  <c r="I766" i="4"/>
  <c r="H766" i="4"/>
  <c r="G766" i="4"/>
  <c r="F766" i="4"/>
  <c r="E766" i="4"/>
  <c r="U766" i="4" s="1"/>
  <c r="D766" i="4"/>
  <c r="C766" i="4"/>
  <c r="V766" i="4" s="1"/>
  <c r="B766" i="4"/>
  <c r="A766" i="4"/>
  <c r="X765" i="4"/>
  <c r="V765" i="4"/>
  <c r="T765" i="4"/>
  <c r="S765" i="4"/>
  <c r="R765" i="4"/>
  <c r="Q765" i="4"/>
  <c r="P765" i="4"/>
  <c r="O765" i="4"/>
  <c r="W765" i="4" s="1"/>
  <c r="N765" i="4"/>
  <c r="M765" i="4"/>
  <c r="L765" i="4"/>
  <c r="K765" i="4"/>
  <c r="J765" i="4"/>
  <c r="I765" i="4"/>
  <c r="H765" i="4"/>
  <c r="G765" i="4"/>
  <c r="F765" i="4"/>
  <c r="E765" i="4"/>
  <c r="U765" i="4" s="1"/>
  <c r="D765" i="4"/>
  <c r="C765" i="4"/>
  <c r="B765" i="4"/>
  <c r="A765" i="4"/>
  <c r="X764" i="4"/>
  <c r="T764" i="4"/>
  <c r="S764" i="4"/>
  <c r="R764" i="4"/>
  <c r="Q764" i="4"/>
  <c r="P764" i="4"/>
  <c r="O764" i="4"/>
  <c r="N764" i="4"/>
  <c r="M764" i="4"/>
  <c r="L764" i="4"/>
  <c r="W764" i="4" s="1"/>
  <c r="K764" i="4"/>
  <c r="J764" i="4"/>
  <c r="I764" i="4"/>
  <c r="H764" i="4"/>
  <c r="G764" i="4"/>
  <c r="F764" i="4"/>
  <c r="E764" i="4"/>
  <c r="U764" i="4" s="1"/>
  <c r="D764" i="4"/>
  <c r="C764" i="4"/>
  <c r="V764" i="4" s="1"/>
  <c r="B764" i="4"/>
  <c r="A764" i="4"/>
  <c r="X763" i="4"/>
  <c r="T763" i="4"/>
  <c r="S763" i="4"/>
  <c r="R763" i="4"/>
  <c r="Q763" i="4"/>
  <c r="P763" i="4"/>
  <c r="O763" i="4"/>
  <c r="W763" i="4" s="1"/>
  <c r="N763" i="4"/>
  <c r="M763" i="4"/>
  <c r="L763" i="4"/>
  <c r="K763" i="4"/>
  <c r="J763" i="4"/>
  <c r="I763" i="4"/>
  <c r="H763" i="4"/>
  <c r="G763" i="4"/>
  <c r="F763" i="4"/>
  <c r="E763" i="4"/>
  <c r="U763" i="4" s="1"/>
  <c r="D763" i="4"/>
  <c r="C763" i="4"/>
  <c r="V763" i="4" s="1"/>
  <c r="B763" i="4"/>
  <c r="A763" i="4"/>
  <c r="X762" i="4"/>
  <c r="W762" i="4"/>
  <c r="V762" i="4"/>
  <c r="T762" i="4"/>
  <c r="S762" i="4"/>
  <c r="R762" i="4"/>
  <c r="Q762" i="4"/>
  <c r="P762" i="4"/>
  <c r="O762" i="4"/>
  <c r="N762" i="4"/>
  <c r="M762" i="4"/>
  <c r="L762" i="4"/>
  <c r="K762" i="4"/>
  <c r="J762" i="4"/>
  <c r="I762" i="4"/>
  <c r="H762" i="4"/>
  <c r="G762" i="4"/>
  <c r="F762" i="4"/>
  <c r="E762" i="4"/>
  <c r="U762" i="4" s="1"/>
  <c r="D762" i="4"/>
  <c r="C762" i="4"/>
  <c r="B762" i="4"/>
  <c r="A762" i="4"/>
  <c r="X761" i="4"/>
  <c r="T761" i="4"/>
  <c r="S761" i="4"/>
  <c r="R761" i="4"/>
  <c r="Q761" i="4"/>
  <c r="P761" i="4"/>
  <c r="O761" i="4"/>
  <c r="W761" i="4" s="1"/>
  <c r="N761" i="4"/>
  <c r="M761" i="4"/>
  <c r="L761" i="4"/>
  <c r="K761" i="4"/>
  <c r="J761" i="4"/>
  <c r="I761" i="4"/>
  <c r="H761" i="4"/>
  <c r="G761" i="4"/>
  <c r="F761" i="4"/>
  <c r="E761" i="4"/>
  <c r="U761" i="4" s="1"/>
  <c r="D761" i="4"/>
  <c r="C761" i="4"/>
  <c r="V761" i="4" s="1"/>
  <c r="B761" i="4"/>
  <c r="A761" i="4"/>
  <c r="X760" i="4"/>
  <c r="W760" i="4"/>
  <c r="V760" i="4"/>
  <c r="T760" i="4"/>
  <c r="S760" i="4"/>
  <c r="R760" i="4"/>
  <c r="Q760" i="4"/>
  <c r="P760" i="4"/>
  <c r="O760" i="4"/>
  <c r="N760" i="4"/>
  <c r="M760" i="4"/>
  <c r="L760" i="4"/>
  <c r="K760" i="4"/>
  <c r="J760" i="4"/>
  <c r="I760" i="4"/>
  <c r="H760" i="4"/>
  <c r="G760" i="4"/>
  <c r="F760" i="4"/>
  <c r="E760" i="4"/>
  <c r="U760" i="4" s="1"/>
  <c r="D760" i="4"/>
  <c r="C760" i="4"/>
  <c r="B760" i="4"/>
  <c r="A760" i="4"/>
  <c r="X759" i="4"/>
  <c r="T759" i="4"/>
  <c r="S759" i="4"/>
  <c r="R759" i="4"/>
  <c r="Q759" i="4"/>
  <c r="P759" i="4"/>
  <c r="O759" i="4"/>
  <c r="W759" i="4" s="1"/>
  <c r="N759" i="4"/>
  <c r="M759" i="4"/>
  <c r="L759" i="4"/>
  <c r="K759" i="4"/>
  <c r="J759" i="4"/>
  <c r="I759" i="4"/>
  <c r="H759" i="4"/>
  <c r="G759" i="4"/>
  <c r="F759" i="4"/>
  <c r="E759" i="4"/>
  <c r="U759" i="4" s="1"/>
  <c r="D759" i="4"/>
  <c r="C759" i="4"/>
  <c r="V759" i="4" s="1"/>
  <c r="B759" i="4"/>
  <c r="A759" i="4"/>
  <c r="X758" i="4"/>
  <c r="V758" i="4"/>
  <c r="T758" i="4"/>
  <c r="S758" i="4"/>
  <c r="R758" i="4"/>
  <c r="Q758" i="4"/>
  <c r="P758" i="4"/>
  <c r="O758" i="4"/>
  <c r="N758" i="4"/>
  <c r="M758" i="4"/>
  <c r="L758" i="4"/>
  <c r="W758" i="4" s="1"/>
  <c r="K758" i="4"/>
  <c r="J758" i="4"/>
  <c r="I758" i="4"/>
  <c r="H758" i="4"/>
  <c r="G758" i="4"/>
  <c r="F758" i="4"/>
  <c r="E758" i="4"/>
  <c r="U758" i="4" s="1"/>
  <c r="D758" i="4"/>
  <c r="C758" i="4"/>
  <c r="B758" i="4"/>
  <c r="A758" i="4"/>
  <c r="X757" i="4"/>
  <c r="V757" i="4"/>
  <c r="T757" i="4"/>
  <c r="S757" i="4"/>
  <c r="R757" i="4"/>
  <c r="Q757" i="4"/>
  <c r="P757" i="4"/>
  <c r="O757" i="4"/>
  <c r="W757" i="4" s="1"/>
  <c r="N757" i="4"/>
  <c r="M757" i="4"/>
  <c r="L757" i="4"/>
  <c r="K757" i="4"/>
  <c r="J757" i="4"/>
  <c r="I757" i="4"/>
  <c r="H757" i="4"/>
  <c r="G757" i="4"/>
  <c r="F757" i="4"/>
  <c r="E757" i="4"/>
  <c r="U757" i="4" s="1"/>
  <c r="D757" i="4"/>
  <c r="C757" i="4"/>
  <c r="B757" i="4"/>
  <c r="A757" i="4"/>
  <c r="X756" i="4"/>
  <c r="T756" i="4"/>
  <c r="S756" i="4"/>
  <c r="W756" i="4" s="1"/>
  <c r="R756" i="4"/>
  <c r="Q756" i="4"/>
  <c r="P756" i="4"/>
  <c r="O756" i="4"/>
  <c r="N756" i="4"/>
  <c r="M756" i="4"/>
  <c r="L756" i="4"/>
  <c r="K756" i="4"/>
  <c r="J756" i="4"/>
  <c r="I756" i="4"/>
  <c r="H756" i="4"/>
  <c r="G756" i="4"/>
  <c r="F756" i="4"/>
  <c r="E756" i="4"/>
  <c r="U756" i="4" s="1"/>
  <c r="D756" i="4"/>
  <c r="C756" i="4"/>
  <c r="V756" i="4" s="1"/>
  <c r="B756" i="4"/>
  <c r="A756" i="4"/>
  <c r="X755" i="4"/>
  <c r="T755" i="4"/>
  <c r="S755" i="4"/>
  <c r="R755" i="4"/>
  <c r="Q755" i="4"/>
  <c r="P755" i="4"/>
  <c r="O755" i="4"/>
  <c r="W755" i="4" s="1"/>
  <c r="N755" i="4"/>
  <c r="M755" i="4"/>
  <c r="L755" i="4"/>
  <c r="K755" i="4"/>
  <c r="J755" i="4"/>
  <c r="I755" i="4"/>
  <c r="H755" i="4"/>
  <c r="G755" i="4"/>
  <c r="F755" i="4"/>
  <c r="E755" i="4"/>
  <c r="U755" i="4" s="1"/>
  <c r="D755" i="4"/>
  <c r="C755" i="4"/>
  <c r="V755" i="4" s="1"/>
  <c r="B755" i="4"/>
  <c r="A755" i="4"/>
  <c r="X754" i="4"/>
  <c r="W754" i="4"/>
  <c r="V754" i="4"/>
  <c r="T754" i="4"/>
  <c r="S754" i="4"/>
  <c r="R754" i="4"/>
  <c r="Q754" i="4"/>
  <c r="P754" i="4"/>
  <c r="O754" i="4"/>
  <c r="N754" i="4"/>
  <c r="M754" i="4"/>
  <c r="L754" i="4"/>
  <c r="K754" i="4"/>
  <c r="J754" i="4"/>
  <c r="I754" i="4"/>
  <c r="H754" i="4"/>
  <c r="G754" i="4"/>
  <c r="F754" i="4"/>
  <c r="E754" i="4"/>
  <c r="U754" i="4" s="1"/>
  <c r="D754" i="4"/>
  <c r="C754" i="4"/>
  <c r="B754" i="4"/>
  <c r="A754" i="4"/>
  <c r="X753" i="4"/>
  <c r="T753" i="4"/>
  <c r="S753" i="4"/>
  <c r="R753" i="4"/>
  <c r="Q753" i="4"/>
  <c r="P753" i="4"/>
  <c r="O753" i="4"/>
  <c r="W753" i="4" s="1"/>
  <c r="N753" i="4"/>
  <c r="M753" i="4"/>
  <c r="L753" i="4"/>
  <c r="K753" i="4"/>
  <c r="J753" i="4"/>
  <c r="I753" i="4"/>
  <c r="H753" i="4"/>
  <c r="G753" i="4"/>
  <c r="F753" i="4"/>
  <c r="E753" i="4"/>
  <c r="U753" i="4" s="1"/>
  <c r="D753" i="4"/>
  <c r="C753" i="4"/>
  <c r="V753" i="4" s="1"/>
  <c r="B753" i="4"/>
  <c r="A753" i="4"/>
  <c r="X752" i="4"/>
  <c r="T752" i="4"/>
  <c r="S752" i="4"/>
  <c r="R752" i="4"/>
  <c r="Q752" i="4"/>
  <c r="P752" i="4"/>
  <c r="O752" i="4"/>
  <c r="N752" i="4"/>
  <c r="M752" i="4"/>
  <c r="L752" i="4"/>
  <c r="K752" i="4"/>
  <c r="J752" i="4"/>
  <c r="I752" i="4"/>
  <c r="H752" i="4"/>
  <c r="G752" i="4"/>
  <c r="F752" i="4"/>
  <c r="E752" i="4"/>
  <c r="U752" i="4" s="1"/>
  <c r="D752" i="4"/>
  <c r="C752" i="4"/>
  <c r="V752" i="4" s="1"/>
  <c r="B752" i="4"/>
  <c r="A752" i="4"/>
  <c r="X751" i="4"/>
  <c r="T751" i="4"/>
  <c r="S751" i="4"/>
  <c r="R751" i="4"/>
  <c r="Q751" i="4"/>
  <c r="P751" i="4"/>
  <c r="O751" i="4"/>
  <c r="W751" i="4" s="1"/>
  <c r="N751" i="4"/>
  <c r="M751" i="4"/>
  <c r="L751" i="4"/>
  <c r="K751" i="4"/>
  <c r="J751" i="4"/>
  <c r="I751" i="4"/>
  <c r="H751" i="4"/>
  <c r="G751" i="4"/>
  <c r="F751" i="4"/>
  <c r="E751" i="4"/>
  <c r="U751" i="4" s="1"/>
  <c r="D751" i="4"/>
  <c r="C751" i="4"/>
  <c r="V751" i="4" s="1"/>
  <c r="B751" i="4"/>
  <c r="A751" i="4"/>
  <c r="X750" i="4"/>
  <c r="W750" i="4"/>
  <c r="T750" i="4"/>
  <c r="S750" i="4"/>
  <c r="R750" i="4"/>
  <c r="Q750" i="4"/>
  <c r="P750" i="4"/>
  <c r="O750" i="4"/>
  <c r="N750" i="4"/>
  <c r="M750" i="4"/>
  <c r="L750" i="4"/>
  <c r="K750" i="4"/>
  <c r="J750" i="4"/>
  <c r="I750" i="4"/>
  <c r="H750" i="4"/>
  <c r="G750" i="4"/>
  <c r="F750" i="4"/>
  <c r="E750" i="4"/>
  <c r="U750" i="4" s="1"/>
  <c r="D750" i="4"/>
  <c r="C750" i="4"/>
  <c r="V750" i="4" s="1"/>
  <c r="B750" i="4"/>
  <c r="A750" i="4"/>
  <c r="X749" i="4"/>
  <c r="T749" i="4"/>
  <c r="S749" i="4"/>
  <c r="R749" i="4"/>
  <c r="Q749" i="4"/>
  <c r="P749" i="4"/>
  <c r="O749" i="4"/>
  <c r="W749" i="4" s="1"/>
  <c r="N749" i="4"/>
  <c r="M749" i="4"/>
  <c r="L749" i="4"/>
  <c r="K749" i="4"/>
  <c r="J749" i="4"/>
  <c r="I749" i="4"/>
  <c r="H749" i="4"/>
  <c r="G749" i="4"/>
  <c r="F749" i="4"/>
  <c r="E749" i="4"/>
  <c r="U749" i="4" s="1"/>
  <c r="D749" i="4"/>
  <c r="C749" i="4"/>
  <c r="V749" i="4" s="1"/>
  <c r="B749" i="4"/>
  <c r="A749" i="4"/>
  <c r="X748" i="4"/>
  <c r="T748" i="4"/>
  <c r="S748" i="4"/>
  <c r="W748" i="4" s="1"/>
  <c r="R748" i="4"/>
  <c r="Q748" i="4"/>
  <c r="P748" i="4"/>
  <c r="O748" i="4"/>
  <c r="N748" i="4"/>
  <c r="M748" i="4"/>
  <c r="L748" i="4"/>
  <c r="K748" i="4"/>
  <c r="J748" i="4"/>
  <c r="I748" i="4"/>
  <c r="H748" i="4"/>
  <c r="G748" i="4"/>
  <c r="F748" i="4"/>
  <c r="E748" i="4"/>
  <c r="U748" i="4" s="1"/>
  <c r="D748" i="4"/>
  <c r="C748" i="4"/>
  <c r="V748" i="4" s="1"/>
  <c r="B748" i="4"/>
  <c r="A748" i="4"/>
  <c r="X747" i="4"/>
  <c r="V747" i="4"/>
  <c r="T747" i="4"/>
  <c r="S747" i="4"/>
  <c r="R747" i="4"/>
  <c r="Q747" i="4"/>
  <c r="P747" i="4"/>
  <c r="O747" i="4"/>
  <c r="W747" i="4" s="1"/>
  <c r="N747" i="4"/>
  <c r="M747" i="4"/>
  <c r="L747" i="4"/>
  <c r="K747" i="4"/>
  <c r="J747" i="4"/>
  <c r="I747" i="4"/>
  <c r="H747" i="4"/>
  <c r="G747" i="4"/>
  <c r="F747" i="4"/>
  <c r="E747" i="4"/>
  <c r="U747" i="4" s="1"/>
  <c r="D747" i="4"/>
  <c r="C747" i="4"/>
  <c r="B747" i="4"/>
  <c r="A747" i="4"/>
  <c r="X746" i="4"/>
  <c r="V746" i="4"/>
  <c r="T746" i="4"/>
  <c r="S746" i="4"/>
  <c r="W746" i="4" s="1"/>
  <c r="R746" i="4"/>
  <c r="Q746" i="4"/>
  <c r="P746" i="4"/>
  <c r="O746" i="4"/>
  <c r="N746" i="4"/>
  <c r="M746" i="4"/>
  <c r="L746" i="4"/>
  <c r="K746" i="4"/>
  <c r="J746" i="4"/>
  <c r="I746" i="4"/>
  <c r="H746" i="4"/>
  <c r="G746" i="4"/>
  <c r="F746" i="4"/>
  <c r="E746" i="4"/>
  <c r="U746" i="4" s="1"/>
  <c r="D746" i="4"/>
  <c r="C746" i="4"/>
  <c r="B746" i="4"/>
  <c r="A746" i="4"/>
  <c r="X745" i="4"/>
  <c r="V745" i="4"/>
  <c r="T745" i="4"/>
  <c r="S745" i="4"/>
  <c r="R745" i="4"/>
  <c r="Q745" i="4"/>
  <c r="P745" i="4"/>
  <c r="O745" i="4"/>
  <c r="W745" i="4" s="1"/>
  <c r="N745" i="4"/>
  <c r="M745" i="4"/>
  <c r="L745" i="4"/>
  <c r="K745" i="4"/>
  <c r="J745" i="4"/>
  <c r="I745" i="4"/>
  <c r="H745" i="4"/>
  <c r="G745" i="4"/>
  <c r="F745" i="4"/>
  <c r="E745" i="4"/>
  <c r="U745" i="4" s="1"/>
  <c r="D745" i="4"/>
  <c r="C745" i="4"/>
  <c r="B745" i="4"/>
  <c r="A745" i="4"/>
  <c r="X744" i="4"/>
  <c r="T744" i="4"/>
  <c r="S744" i="4"/>
  <c r="W744" i="4" s="1"/>
  <c r="R744" i="4"/>
  <c r="Q744" i="4"/>
  <c r="P744" i="4"/>
  <c r="O744" i="4"/>
  <c r="N744" i="4"/>
  <c r="M744" i="4"/>
  <c r="L744" i="4"/>
  <c r="K744" i="4"/>
  <c r="J744" i="4"/>
  <c r="I744" i="4"/>
  <c r="H744" i="4"/>
  <c r="G744" i="4"/>
  <c r="F744" i="4"/>
  <c r="E744" i="4"/>
  <c r="U744" i="4" s="1"/>
  <c r="D744" i="4"/>
  <c r="C744" i="4"/>
  <c r="V744" i="4" s="1"/>
  <c r="B744" i="4"/>
  <c r="A744" i="4"/>
  <c r="X743" i="4"/>
  <c r="V743" i="4"/>
  <c r="T743" i="4"/>
  <c r="S743" i="4"/>
  <c r="R743" i="4"/>
  <c r="Q743" i="4"/>
  <c r="P743" i="4"/>
  <c r="O743" i="4"/>
  <c r="N743" i="4"/>
  <c r="M743" i="4"/>
  <c r="L743" i="4"/>
  <c r="K743" i="4"/>
  <c r="J743" i="4"/>
  <c r="I743" i="4"/>
  <c r="H743" i="4"/>
  <c r="G743" i="4"/>
  <c r="F743" i="4"/>
  <c r="E743" i="4"/>
  <c r="U743" i="4" s="1"/>
  <c r="D743" i="4"/>
  <c r="C743" i="4"/>
  <c r="B743" i="4"/>
  <c r="A743" i="4"/>
  <c r="X742" i="4"/>
  <c r="T742" i="4"/>
  <c r="S742" i="4"/>
  <c r="R742" i="4"/>
  <c r="Q742" i="4"/>
  <c r="P742" i="4"/>
  <c r="O742" i="4"/>
  <c r="N742" i="4"/>
  <c r="M742" i="4"/>
  <c r="L742" i="4"/>
  <c r="W742" i="4" s="1"/>
  <c r="K742" i="4"/>
  <c r="J742" i="4"/>
  <c r="I742" i="4"/>
  <c r="H742" i="4"/>
  <c r="G742" i="4"/>
  <c r="F742" i="4"/>
  <c r="E742" i="4"/>
  <c r="U742" i="4" s="1"/>
  <c r="D742" i="4"/>
  <c r="C742" i="4"/>
  <c r="V742" i="4" s="1"/>
  <c r="B742" i="4"/>
  <c r="A742" i="4"/>
  <c r="X741" i="4"/>
  <c r="T741" i="4"/>
  <c r="S741" i="4"/>
  <c r="R741" i="4"/>
  <c r="Q741" i="4"/>
  <c r="P741" i="4"/>
  <c r="O741" i="4"/>
  <c r="N741" i="4"/>
  <c r="M741" i="4"/>
  <c r="L741" i="4"/>
  <c r="K741" i="4"/>
  <c r="J741" i="4"/>
  <c r="I741" i="4"/>
  <c r="H741" i="4"/>
  <c r="G741" i="4"/>
  <c r="F741" i="4"/>
  <c r="E741" i="4"/>
  <c r="U741" i="4" s="1"/>
  <c r="D741" i="4"/>
  <c r="C741" i="4"/>
  <c r="V741" i="4" s="1"/>
  <c r="B741" i="4"/>
  <c r="A741" i="4"/>
  <c r="X740" i="4"/>
  <c r="T740" i="4"/>
  <c r="S740" i="4"/>
  <c r="R740" i="4"/>
  <c r="Q740" i="4"/>
  <c r="P740" i="4"/>
  <c r="O740" i="4"/>
  <c r="N740" i="4"/>
  <c r="M740" i="4"/>
  <c r="L740" i="4"/>
  <c r="K740" i="4"/>
  <c r="J740" i="4"/>
  <c r="I740" i="4"/>
  <c r="H740" i="4"/>
  <c r="G740" i="4"/>
  <c r="F740" i="4"/>
  <c r="E740" i="4"/>
  <c r="U740" i="4" s="1"/>
  <c r="D740" i="4"/>
  <c r="C740" i="4"/>
  <c r="V740" i="4" s="1"/>
  <c r="B740" i="4"/>
  <c r="A740" i="4"/>
  <c r="X739" i="4"/>
  <c r="V739" i="4"/>
  <c r="T739" i="4"/>
  <c r="S739" i="4"/>
  <c r="R739" i="4"/>
  <c r="Q739" i="4"/>
  <c r="P739" i="4"/>
  <c r="O739" i="4"/>
  <c r="N739" i="4"/>
  <c r="M739" i="4"/>
  <c r="L739" i="4"/>
  <c r="K739" i="4"/>
  <c r="J739" i="4"/>
  <c r="I739" i="4"/>
  <c r="H739" i="4"/>
  <c r="G739" i="4"/>
  <c r="F739" i="4"/>
  <c r="E739" i="4"/>
  <c r="U739" i="4" s="1"/>
  <c r="D739" i="4"/>
  <c r="C739" i="4"/>
  <c r="B739" i="4"/>
  <c r="A739" i="4"/>
  <c r="X738" i="4"/>
  <c r="T738" i="4"/>
  <c r="S738" i="4"/>
  <c r="R738" i="4"/>
  <c r="Q738" i="4"/>
  <c r="P738" i="4"/>
  <c r="O738" i="4"/>
  <c r="N738" i="4"/>
  <c r="M738" i="4"/>
  <c r="L738" i="4"/>
  <c r="W738" i="4" s="1"/>
  <c r="K738" i="4"/>
  <c r="J738" i="4"/>
  <c r="I738" i="4"/>
  <c r="H738" i="4"/>
  <c r="G738" i="4"/>
  <c r="F738" i="4"/>
  <c r="E738" i="4"/>
  <c r="U738" i="4" s="1"/>
  <c r="D738" i="4"/>
  <c r="C738" i="4"/>
  <c r="V738" i="4" s="1"/>
  <c r="B738" i="4"/>
  <c r="A738" i="4"/>
  <c r="X737" i="4"/>
  <c r="T737" i="4"/>
  <c r="S737" i="4"/>
  <c r="R737" i="4"/>
  <c r="Q737" i="4"/>
  <c r="P737" i="4"/>
  <c r="O737" i="4"/>
  <c r="N737" i="4"/>
  <c r="M737" i="4"/>
  <c r="L737" i="4"/>
  <c r="K737" i="4"/>
  <c r="J737" i="4"/>
  <c r="I737" i="4"/>
  <c r="H737" i="4"/>
  <c r="G737" i="4"/>
  <c r="F737" i="4"/>
  <c r="E737" i="4"/>
  <c r="U737" i="4" s="1"/>
  <c r="D737" i="4"/>
  <c r="C737" i="4"/>
  <c r="V737" i="4" s="1"/>
  <c r="B737" i="4"/>
  <c r="A737" i="4"/>
  <c r="X736" i="4"/>
  <c r="T736" i="4"/>
  <c r="S736" i="4"/>
  <c r="R736" i="4"/>
  <c r="Q736" i="4"/>
  <c r="P736" i="4"/>
  <c r="O736" i="4"/>
  <c r="N736" i="4"/>
  <c r="M736" i="4"/>
  <c r="L736" i="4"/>
  <c r="W736" i="4" s="1"/>
  <c r="K736" i="4"/>
  <c r="J736" i="4"/>
  <c r="I736" i="4"/>
  <c r="H736" i="4"/>
  <c r="G736" i="4"/>
  <c r="F736" i="4"/>
  <c r="E736" i="4"/>
  <c r="U736" i="4" s="1"/>
  <c r="D736" i="4"/>
  <c r="C736" i="4"/>
  <c r="V736" i="4" s="1"/>
  <c r="B736" i="4"/>
  <c r="A736" i="4"/>
  <c r="X735" i="4"/>
  <c r="T735" i="4"/>
  <c r="S735" i="4"/>
  <c r="R735" i="4"/>
  <c r="Q735" i="4"/>
  <c r="P735" i="4"/>
  <c r="O735" i="4"/>
  <c r="N735" i="4"/>
  <c r="M735" i="4"/>
  <c r="L735" i="4"/>
  <c r="K735" i="4"/>
  <c r="J735" i="4"/>
  <c r="I735" i="4"/>
  <c r="H735" i="4"/>
  <c r="G735" i="4"/>
  <c r="F735" i="4"/>
  <c r="E735" i="4"/>
  <c r="U735" i="4" s="1"/>
  <c r="D735" i="4"/>
  <c r="C735" i="4"/>
  <c r="V735" i="4" s="1"/>
  <c r="B735" i="4"/>
  <c r="A735" i="4"/>
  <c r="X734" i="4"/>
  <c r="T734" i="4"/>
  <c r="S734" i="4"/>
  <c r="R734" i="4"/>
  <c r="Q734" i="4"/>
  <c r="P734" i="4"/>
  <c r="O734" i="4"/>
  <c r="N734" i="4"/>
  <c r="M734" i="4"/>
  <c r="L734" i="4"/>
  <c r="W734" i="4" s="1"/>
  <c r="K734" i="4"/>
  <c r="J734" i="4"/>
  <c r="I734" i="4"/>
  <c r="H734" i="4"/>
  <c r="G734" i="4"/>
  <c r="F734" i="4"/>
  <c r="E734" i="4"/>
  <c r="U734" i="4" s="1"/>
  <c r="D734" i="4"/>
  <c r="C734" i="4"/>
  <c r="V734" i="4" s="1"/>
  <c r="B734" i="4"/>
  <c r="A734" i="4"/>
  <c r="X733" i="4"/>
  <c r="T733" i="4"/>
  <c r="S733" i="4"/>
  <c r="R733" i="4"/>
  <c r="Q733" i="4"/>
  <c r="P733" i="4"/>
  <c r="O733" i="4"/>
  <c r="N733" i="4"/>
  <c r="M733" i="4"/>
  <c r="L733" i="4"/>
  <c r="K733" i="4"/>
  <c r="J733" i="4"/>
  <c r="I733" i="4"/>
  <c r="H733" i="4"/>
  <c r="G733" i="4"/>
  <c r="F733" i="4"/>
  <c r="E733" i="4"/>
  <c r="U733" i="4" s="1"/>
  <c r="D733" i="4"/>
  <c r="C733" i="4"/>
  <c r="V733" i="4" s="1"/>
  <c r="B733" i="4"/>
  <c r="A733" i="4"/>
  <c r="X732" i="4"/>
  <c r="W732" i="4"/>
  <c r="T732" i="4"/>
  <c r="S732" i="4"/>
  <c r="R732" i="4"/>
  <c r="Q732" i="4"/>
  <c r="P732" i="4"/>
  <c r="O732" i="4"/>
  <c r="N732" i="4"/>
  <c r="M732" i="4"/>
  <c r="L732" i="4"/>
  <c r="K732" i="4"/>
  <c r="J732" i="4"/>
  <c r="I732" i="4"/>
  <c r="H732" i="4"/>
  <c r="G732" i="4"/>
  <c r="F732" i="4"/>
  <c r="E732" i="4"/>
  <c r="U732" i="4" s="1"/>
  <c r="D732" i="4"/>
  <c r="C732" i="4"/>
  <c r="V732" i="4" s="1"/>
  <c r="B732" i="4"/>
  <c r="A732" i="4"/>
  <c r="X731" i="4"/>
  <c r="V731" i="4"/>
  <c r="T731" i="4"/>
  <c r="S731" i="4"/>
  <c r="R731" i="4"/>
  <c r="Q731" i="4"/>
  <c r="P731" i="4"/>
  <c r="O731" i="4"/>
  <c r="W731" i="4" s="1"/>
  <c r="N731" i="4"/>
  <c r="M731" i="4"/>
  <c r="L731" i="4"/>
  <c r="K731" i="4"/>
  <c r="J731" i="4"/>
  <c r="I731" i="4"/>
  <c r="H731" i="4"/>
  <c r="G731" i="4"/>
  <c r="F731" i="4"/>
  <c r="E731" i="4"/>
  <c r="U731" i="4" s="1"/>
  <c r="D731" i="4"/>
  <c r="C731" i="4"/>
  <c r="B731" i="4"/>
  <c r="A731" i="4"/>
  <c r="X730" i="4"/>
  <c r="W730" i="4"/>
  <c r="V730" i="4"/>
  <c r="T730" i="4"/>
  <c r="S730" i="4"/>
  <c r="R730" i="4"/>
  <c r="Q730" i="4"/>
  <c r="P730" i="4"/>
  <c r="O730" i="4"/>
  <c r="N730" i="4"/>
  <c r="M730" i="4"/>
  <c r="L730" i="4"/>
  <c r="K730" i="4"/>
  <c r="J730" i="4"/>
  <c r="I730" i="4"/>
  <c r="H730" i="4"/>
  <c r="G730" i="4"/>
  <c r="F730" i="4"/>
  <c r="E730" i="4"/>
  <c r="U730" i="4" s="1"/>
  <c r="D730" i="4"/>
  <c r="C730" i="4"/>
  <c r="B730" i="4"/>
  <c r="A730" i="4"/>
  <c r="X729" i="4"/>
  <c r="T729" i="4"/>
  <c r="S729" i="4"/>
  <c r="R729" i="4"/>
  <c r="Q729" i="4"/>
  <c r="P729" i="4"/>
  <c r="O729" i="4"/>
  <c r="W729" i="4" s="1"/>
  <c r="N729" i="4"/>
  <c r="M729" i="4"/>
  <c r="L729" i="4"/>
  <c r="K729" i="4"/>
  <c r="J729" i="4"/>
  <c r="I729" i="4"/>
  <c r="H729" i="4"/>
  <c r="G729" i="4"/>
  <c r="F729" i="4"/>
  <c r="E729" i="4"/>
  <c r="U729" i="4" s="1"/>
  <c r="D729" i="4"/>
  <c r="C729" i="4"/>
  <c r="V729" i="4" s="1"/>
  <c r="B729" i="4"/>
  <c r="A729" i="4"/>
  <c r="X728" i="4"/>
  <c r="V728" i="4"/>
  <c r="T728" i="4"/>
  <c r="S728" i="4"/>
  <c r="R728" i="4"/>
  <c r="Q728" i="4"/>
  <c r="P728" i="4"/>
  <c r="O728" i="4"/>
  <c r="N728" i="4"/>
  <c r="M728" i="4"/>
  <c r="L728" i="4"/>
  <c r="W728" i="4" s="1"/>
  <c r="K728" i="4"/>
  <c r="J728" i="4"/>
  <c r="I728" i="4"/>
  <c r="H728" i="4"/>
  <c r="G728" i="4"/>
  <c r="F728" i="4"/>
  <c r="E728" i="4"/>
  <c r="U728" i="4" s="1"/>
  <c r="D728" i="4"/>
  <c r="C728" i="4"/>
  <c r="B728" i="4"/>
  <c r="A728" i="4"/>
  <c r="X727" i="4"/>
  <c r="T727" i="4"/>
  <c r="S727" i="4"/>
  <c r="R727" i="4"/>
  <c r="Q727" i="4"/>
  <c r="P727" i="4"/>
  <c r="O727" i="4"/>
  <c r="N727" i="4"/>
  <c r="M727" i="4"/>
  <c r="L727" i="4"/>
  <c r="K727" i="4"/>
  <c r="J727" i="4"/>
  <c r="I727" i="4"/>
  <c r="H727" i="4"/>
  <c r="G727" i="4"/>
  <c r="F727" i="4"/>
  <c r="E727" i="4"/>
  <c r="U727" i="4" s="1"/>
  <c r="D727" i="4"/>
  <c r="C727" i="4"/>
  <c r="V727" i="4" s="1"/>
  <c r="B727" i="4"/>
  <c r="A727" i="4"/>
  <c r="X726" i="4"/>
  <c r="V726" i="4"/>
  <c r="T726" i="4"/>
  <c r="S726" i="4"/>
  <c r="R726" i="4"/>
  <c r="Q726" i="4"/>
  <c r="P726" i="4"/>
  <c r="O726" i="4"/>
  <c r="N726" i="4"/>
  <c r="M726" i="4"/>
  <c r="L726" i="4"/>
  <c r="W726" i="4" s="1"/>
  <c r="K726" i="4"/>
  <c r="J726" i="4"/>
  <c r="I726" i="4"/>
  <c r="H726" i="4"/>
  <c r="G726" i="4"/>
  <c r="F726" i="4"/>
  <c r="E726" i="4"/>
  <c r="U726" i="4" s="1"/>
  <c r="D726" i="4"/>
  <c r="C726" i="4"/>
  <c r="B726" i="4"/>
  <c r="A726" i="4"/>
  <c r="X725" i="4"/>
  <c r="V725" i="4"/>
  <c r="T725" i="4"/>
  <c r="S725" i="4"/>
  <c r="R725" i="4"/>
  <c r="Q725" i="4"/>
  <c r="P725" i="4"/>
  <c r="O725" i="4"/>
  <c r="W725" i="4" s="1"/>
  <c r="N725" i="4"/>
  <c r="M725" i="4"/>
  <c r="L725" i="4"/>
  <c r="K725" i="4"/>
  <c r="J725" i="4"/>
  <c r="I725" i="4"/>
  <c r="H725" i="4"/>
  <c r="G725" i="4"/>
  <c r="F725" i="4"/>
  <c r="E725" i="4"/>
  <c r="U725" i="4" s="1"/>
  <c r="D725" i="4"/>
  <c r="C725" i="4"/>
  <c r="B725" i="4"/>
  <c r="A725" i="4"/>
  <c r="X724" i="4"/>
  <c r="W724" i="4"/>
  <c r="V724" i="4"/>
  <c r="T724" i="4"/>
  <c r="S724" i="4"/>
  <c r="R724" i="4"/>
  <c r="Q724" i="4"/>
  <c r="P724" i="4"/>
  <c r="O724" i="4"/>
  <c r="N724" i="4"/>
  <c r="M724" i="4"/>
  <c r="L724" i="4"/>
  <c r="K724" i="4"/>
  <c r="J724" i="4"/>
  <c r="I724" i="4"/>
  <c r="H724" i="4"/>
  <c r="G724" i="4"/>
  <c r="F724" i="4"/>
  <c r="E724" i="4"/>
  <c r="U724" i="4" s="1"/>
  <c r="D724" i="4"/>
  <c r="C724" i="4"/>
  <c r="B724" i="4"/>
  <c r="A724" i="4"/>
  <c r="X723" i="4"/>
  <c r="T723" i="4"/>
  <c r="S723" i="4"/>
  <c r="R723" i="4"/>
  <c r="Q723" i="4"/>
  <c r="P723" i="4"/>
  <c r="O723" i="4"/>
  <c r="N723" i="4"/>
  <c r="M723" i="4"/>
  <c r="L723" i="4"/>
  <c r="K723" i="4"/>
  <c r="J723" i="4"/>
  <c r="I723" i="4"/>
  <c r="H723" i="4"/>
  <c r="G723" i="4"/>
  <c r="F723" i="4"/>
  <c r="E723" i="4"/>
  <c r="U723" i="4" s="1"/>
  <c r="D723" i="4"/>
  <c r="C723" i="4"/>
  <c r="V723" i="4" s="1"/>
  <c r="B723" i="4"/>
  <c r="A723" i="4"/>
  <c r="X722" i="4"/>
  <c r="W722" i="4"/>
  <c r="V722" i="4"/>
  <c r="T722" i="4"/>
  <c r="S722" i="4"/>
  <c r="R722" i="4"/>
  <c r="Q722" i="4"/>
  <c r="P722" i="4"/>
  <c r="O722" i="4"/>
  <c r="N722" i="4"/>
  <c r="M722" i="4"/>
  <c r="L722" i="4"/>
  <c r="K722" i="4"/>
  <c r="J722" i="4"/>
  <c r="I722" i="4"/>
  <c r="H722" i="4"/>
  <c r="G722" i="4"/>
  <c r="F722" i="4"/>
  <c r="E722" i="4"/>
  <c r="U722" i="4" s="1"/>
  <c r="D722" i="4"/>
  <c r="C722" i="4"/>
  <c r="B722" i="4"/>
  <c r="A722" i="4"/>
  <c r="X721" i="4"/>
  <c r="T721" i="4"/>
  <c r="S721" i="4"/>
  <c r="R721" i="4"/>
  <c r="Q721" i="4"/>
  <c r="P721" i="4"/>
  <c r="O721" i="4"/>
  <c r="N721" i="4"/>
  <c r="M721" i="4"/>
  <c r="L721" i="4"/>
  <c r="K721" i="4"/>
  <c r="J721" i="4"/>
  <c r="I721" i="4"/>
  <c r="H721" i="4"/>
  <c r="G721" i="4"/>
  <c r="F721" i="4"/>
  <c r="E721" i="4"/>
  <c r="U721" i="4" s="1"/>
  <c r="D721" i="4"/>
  <c r="C721" i="4"/>
  <c r="V721" i="4" s="1"/>
  <c r="B721" i="4"/>
  <c r="A721" i="4"/>
  <c r="X720" i="4"/>
  <c r="T720" i="4"/>
  <c r="S720" i="4"/>
  <c r="R720" i="4"/>
  <c r="Q720" i="4"/>
  <c r="P720" i="4"/>
  <c r="O720" i="4"/>
  <c r="N720" i="4"/>
  <c r="M720" i="4"/>
  <c r="L720" i="4"/>
  <c r="W720" i="4" s="1"/>
  <c r="K720" i="4"/>
  <c r="J720" i="4"/>
  <c r="I720" i="4"/>
  <c r="H720" i="4"/>
  <c r="G720" i="4"/>
  <c r="F720" i="4"/>
  <c r="E720" i="4"/>
  <c r="U720" i="4" s="1"/>
  <c r="D720" i="4"/>
  <c r="C720" i="4"/>
  <c r="V720" i="4" s="1"/>
  <c r="B720" i="4"/>
  <c r="A720" i="4"/>
  <c r="X719" i="4"/>
  <c r="T719" i="4"/>
  <c r="S719" i="4"/>
  <c r="R719" i="4"/>
  <c r="Q719" i="4"/>
  <c r="P719" i="4"/>
  <c r="O719" i="4"/>
  <c r="N719" i="4"/>
  <c r="M719" i="4"/>
  <c r="L719" i="4"/>
  <c r="K719" i="4"/>
  <c r="J719" i="4"/>
  <c r="I719" i="4"/>
  <c r="H719" i="4"/>
  <c r="G719" i="4"/>
  <c r="F719" i="4"/>
  <c r="E719" i="4"/>
  <c r="U719" i="4" s="1"/>
  <c r="D719" i="4"/>
  <c r="C719" i="4"/>
  <c r="V719" i="4" s="1"/>
  <c r="B719" i="4"/>
  <c r="A719" i="4"/>
  <c r="X718" i="4"/>
  <c r="W718" i="4"/>
  <c r="V718" i="4"/>
  <c r="T718" i="4"/>
  <c r="S718" i="4"/>
  <c r="R718" i="4"/>
  <c r="Q718" i="4"/>
  <c r="P718" i="4"/>
  <c r="O718" i="4"/>
  <c r="N718" i="4"/>
  <c r="M718" i="4"/>
  <c r="L718" i="4"/>
  <c r="K718" i="4"/>
  <c r="J718" i="4"/>
  <c r="I718" i="4"/>
  <c r="H718" i="4"/>
  <c r="G718" i="4"/>
  <c r="F718" i="4"/>
  <c r="E718" i="4"/>
  <c r="U718" i="4" s="1"/>
  <c r="D718" i="4"/>
  <c r="C718" i="4"/>
  <c r="B718" i="4"/>
  <c r="A718" i="4"/>
  <c r="X717" i="4"/>
  <c r="T717" i="4"/>
  <c r="S717" i="4"/>
  <c r="R717" i="4"/>
  <c r="Q717" i="4"/>
  <c r="P717" i="4"/>
  <c r="O717" i="4"/>
  <c r="W717" i="4" s="1"/>
  <c r="N717" i="4"/>
  <c r="M717" i="4"/>
  <c r="L717" i="4"/>
  <c r="K717" i="4"/>
  <c r="J717" i="4"/>
  <c r="I717" i="4"/>
  <c r="H717" i="4"/>
  <c r="G717" i="4"/>
  <c r="F717" i="4"/>
  <c r="E717" i="4"/>
  <c r="U717" i="4" s="1"/>
  <c r="D717" i="4"/>
  <c r="C717" i="4"/>
  <c r="V717" i="4" s="1"/>
  <c r="B717" i="4"/>
  <c r="A717" i="4"/>
  <c r="X716" i="4"/>
  <c r="W716" i="4"/>
  <c r="V716" i="4"/>
  <c r="T716" i="4"/>
  <c r="S716" i="4"/>
  <c r="R716" i="4"/>
  <c r="Q716" i="4"/>
  <c r="P716" i="4"/>
  <c r="O716" i="4"/>
  <c r="N716" i="4"/>
  <c r="M716" i="4"/>
  <c r="L716" i="4"/>
  <c r="K716" i="4"/>
  <c r="J716" i="4"/>
  <c r="I716" i="4"/>
  <c r="H716" i="4"/>
  <c r="G716" i="4"/>
  <c r="F716" i="4"/>
  <c r="E716" i="4"/>
  <c r="U716" i="4" s="1"/>
  <c r="D716" i="4"/>
  <c r="C716" i="4"/>
  <c r="B716" i="4"/>
  <c r="A716" i="4"/>
  <c r="X715" i="4"/>
  <c r="V715" i="4"/>
  <c r="T715" i="4"/>
  <c r="S715" i="4"/>
  <c r="R715" i="4"/>
  <c r="Q715" i="4"/>
  <c r="P715" i="4"/>
  <c r="O715" i="4"/>
  <c r="N715" i="4"/>
  <c r="M715" i="4"/>
  <c r="L715" i="4"/>
  <c r="K715" i="4"/>
  <c r="J715" i="4"/>
  <c r="I715" i="4"/>
  <c r="H715" i="4"/>
  <c r="G715" i="4"/>
  <c r="F715" i="4"/>
  <c r="E715" i="4"/>
  <c r="U715" i="4" s="1"/>
  <c r="D715" i="4"/>
  <c r="C715" i="4"/>
  <c r="B715" i="4"/>
  <c r="A715" i="4"/>
  <c r="X714" i="4"/>
  <c r="T714" i="4"/>
  <c r="S714" i="4"/>
  <c r="W714" i="4" s="1"/>
  <c r="R714" i="4"/>
  <c r="Q714" i="4"/>
  <c r="P714" i="4"/>
  <c r="O714" i="4"/>
  <c r="N714" i="4"/>
  <c r="M714" i="4"/>
  <c r="L714" i="4"/>
  <c r="K714" i="4"/>
  <c r="J714" i="4"/>
  <c r="I714" i="4"/>
  <c r="H714" i="4"/>
  <c r="G714" i="4"/>
  <c r="F714" i="4"/>
  <c r="E714" i="4"/>
  <c r="U714" i="4" s="1"/>
  <c r="D714" i="4"/>
  <c r="C714" i="4"/>
  <c r="V714" i="4" s="1"/>
  <c r="B714" i="4"/>
  <c r="A714" i="4"/>
  <c r="X713" i="4"/>
  <c r="V713" i="4"/>
  <c r="T713" i="4"/>
  <c r="S713" i="4"/>
  <c r="R713" i="4"/>
  <c r="Q713" i="4"/>
  <c r="P713" i="4"/>
  <c r="O713" i="4"/>
  <c r="N713" i="4"/>
  <c r="M713" i="4"/>
  <c r="L713" i="4"/>
  <c r="K713" i="4"/>
  <c r="J713" i="4"/>
  <c r="I713" i="4"/>
  <c r="H713" i="4"/>
  <c r="G713" i="4"/>
  <c r="F713" i="4"/>
  <c r="E713" i="4"/>
  <c r="U713" i="4" s="1"/>
  <c r="D713" i="4"/>
  <c r="C713" i="4"/>
  <c r="B713" i="4"/>
  <c r="A713" i="4"/>
  <c r="X712" i="4"/>
  <c r="T712" i="4"/>
  <c r="S712" i="4"/>
  <c r="W712" i="4" s="1"/>
  <c r="R712" i="4"/>
  <c r="Q712" i="4"/>
  <c r="P712" i="4"/>
  <c r="O712" i="4"/>
  <c r="N712" i="4"/>
  <c r="M712" i="4"/>
  <c r="L712" i="4"/>
  <c r="K712" i="4"/>
  <c r="J712" i="4"/>
  <c r="I712" i="4"/>
  <c r="H712" i="4"/>
  <c r="G712" i="4"/>
  <c r="F712" i="4"/>
  <c r="E712" i="4"/>
  <c r="U712" i="4" s="1"/>
  <c r="D712" i="4"/>
  <c r="C712" i="4"/>
  <c r="V712" i="4" s="1"/>
  <c r="B712" i="4"/>
  <c r="A712" i="4"/>
  <c r="X711" i="4"/>
  <c r="V711" i="4"/>
  <c r="T711" i="4"/>
  <c r="S711" i="4"/>
  <c r="R711" i="4"/>
  <c r="Q711" i="4"/>
  <c r="P711" i="4"/>
  <c r="O711" i="4"/>
  <c r="W711" i="4" s="1"/>
  <c r="N711" i="4"/>
  <c r="M711" i="4"/>
  <c r="L711" i="4"/>
  <c r="K711" i="4"/>
  <c r="J711" i="4"/>
  <c r="I711" i="4"/>
  <c r="H711" i="4"/>
  <c r="G711" i="4"/>
  <c r="F711" i="4"/>
  <c r="E711" i="4"/>
  <c r="U711" i="4" s="1"/>
  <c r="D711" i="4"/>
  <c r="C711" i="4"/>
  <c r="B711" i="4"/>
  <c r="A711" i="4"/>
  <c r="X710" i="4"/>
  <c r="W710" i="4"/>
  <c r="T710" i="4"/>
  <c r="S710" i="4"/>
  <c r="R710" i="4"/>
  <c r="Q710" i="4"/>
  <c r="P710" i="4"/>
  <c r="O710" i="4"/>
  <c r="N710" i="4"/>
  <c r="M710" i="4"/>
  <c r="L710" i="4"/>
  <c r="K710" i="4"/>
  <c r="J710" i="4"/>
  <c r="I710" i="4"/>
  <c r="H710" i="4"/>
  <c r="G710" i="4"/>
  <c r="F710" i="4"/>
  <c r="E710" i="4"/>
  <c r="U710" i="4" s="1"/>
  <c r="D710" i="4"/>
  <c r="C710" i="4"/>
  <c r="V710" i="4" s="1"/>
  <c r="B710" i="4"/>
  <c r="A710" i="4"/>
  <c r="X709" i="4"/>
  <c r="V709" i="4"/>
  <c r="T709" i="4"/>
  <c r="S709" i="4"/>
  <c r="R709" i="4"/>
  <c r="Q709" i="4"/>
  <c r="P709" i="4"/>
  <c r="O709" i="4"/>
  <c r="N709" i="4"/>
  <c r="M709" i="4"/>
  <c r="L709" i="4"/>
  <c r="K709" i="4"/>
  <c r="J709" i="4"/>
  <c r="I709" i="4"/>
  <c r="H709" i="4"/>
  <c r="G709" i="4"/>
  <c r="F709" i="4"/>
  <c r="E709" i="4"/>
  <c r="U709" i="4" s="1"/>
  <c r="D709" i="4"/>
  <c r="C709" i="4"/>
  <c r="B709" i="4"/>
  <c r="A709" i="4"/>
  <c r="X708" i="4"/>
  <c r="V708" i="4"/>
  <c r="T708" i="4"/>
  <c r="S708" i="4"/>
  <c r="R708" i="4"/>
  <c r="Q708" i="4"/>
  <c r="P708" i="4"/>
  <c r="O708" i="4"/>
  <c r="N708" i="4"/>
  <c r="M708" i="4"/>
  <c r="L708" i="4"/>
  <c r="W708" i="4" s="1"/>
  <c r="K708" i="4"/>
  <c r="J708" i="4"/>
  <c r="I708" i="4"/>
  <c r="H708" i="4"/>
  <c r="G708" i="4"/>
  <c r="F708" i="4"/>
  <c r="E708" i="4"/>
  <c r="U708" i="4" s="1"/>
  <c r="D708" i="4"/>
  <c r="C708" i="4"/>
  <c r="B708" i="4"/>
  <c r="A708" i="4"/>
  <c r="X707" i="4"/>
  <c r="T707" i="4"/>
  <c r="S707" i="4"/>
  <c r="R707" i="4"/>
  <c r="Q707" i="4"/>
  <c r="P707" i="4"/>
  <c r="O707" i="4"/>
  <c r="N707" i="4"/>
  <c r="M707" i="4"/>
  <c r="L707" i="4"/>
  <c r="K707" i="4"/>
  <c r="J707" i="4"/>
  <c r="I707" i="4"/>
  <c r="H707" i="4"/>
  <c r="G707" i="4"/>
  <c r="F707" i="4"/>
  <c r="E707" i="4"/>
  <c r="U707" i="4" s="1"/>
  <c r="D707" i="4"/>
  <c r="C707" i="4"/>
  <c r="V707" i="4" s="1"/>
  <c r="B707" i="4"/>
  <c r="A707" i="4"/>
  <c r="X706" i="4"/>
  <c r="T706" i="4"/>
  <c r="S706" i="4"/>
  <c r="R706" i="4"/>
  <c r="Q706" i="4"/>
  <c r="P706" i="4"/>
  <c r="O706" i="4"/>
  <c r="N706" i="4"/>
  <c r="M706" i="4"/>
  <c r="L706" i="4"/>
  <c r="W706" i="4" s="1"/>
  <c r="K706" i="4"/>
  <c r="J706" i="4"/>
  <c r="I706" i="4"/>
  <c r="H706" i="4"/>
  <c r="G706" i="4"/>
  <c r="F706" i="4"/>
  <c r="E706" i="4"/>
  <c r="U706" i="4" s="1"/>
  <c r="D706" i="4"/>
  <c r="C706" i="4"/>
  <c r="V706" i="4" s="1"/>
  <c r="B706" i="4"/>
  <c r="A706" i="4"/>
  <c r="X705" i="4"/>
  <c r="V705" i="4"/>
  <c r="T705" i="4"/>
  <c r="S705" i="4"/>
  <c r="R705" i="4"/>
  <c r="Q705" i="4"/>
  <c r="P705" i="4"/>
  <c r="O705" i="4"/>
  <c r="N705" i="4"/>
  <c r="M705" i="4"/>
  <c r="L705" i="4"/>
  <c r="K705" i="4"/>
  <c r="J705" i="4"/>
  <c r="I705" i="4"/>
  <c r="H705" i="4"/>
  <c r="G705" i="4"/>
  <c r="F705" i="4"/>
  <c r="E705" i="4"/>
  <c r="U705" i="4" s="1"/>
  <c r="D705" i="4"/>
  <c r="C705" i="4"/>
  <c r="B705" i="4"/>
  <c r="A705" i="4"/>
  <c r="X704" i="4"/>
  <c r="T704" i="4"/>
  <c r="S704" i="4"/>
  <c r="R704" i="4"/>
  <c r="Q704" i="4"/>
  <c r="P704" i="4"/>
  <c r="O704" i="4"/>
  <c r="N704" i="4"/>
  <c r="M704" i="4"/>
  <c r="L704" i="4"/>
  <c r="W704" i="4" s="1"/>
  <c r="K704" i="4"/>
  <c r="J704" i="4"/>
  <c r="I704" i="4"/>
  <c r="H704" i="4"/>
  <c r="G704" i="4"/>
  <c r="F704" i="4"/>
  <c r="E704" i="4"/>
  <c r="U704" i="4" s="1"/>
  <c r="D704" i="4"/>
  <c r="C704" i="4"/>
  <c r="V704" i="4" s="1"/>
  <c r="B704" i="4"/>
  <c r="A704" i="4"/>
  <c r="X703" i="4"/>
  <c r="T703" i="4"/>
  <c r="S703" i="4"/>
  <c r="R703" i="4"/>
  <c r="Q703" i="4"/>
  <c r="P703" i="4"/>
  <c r="O703" i="4"/>
  <c r="N703" i="4"/>
  <c r="M703" i="4"/>
  <c r="L703" i="4"/>
  <c r="K703" i="4"/>
  <c r="J703" i="4"/>
  <c r="I703" i="4"/>
  <c r="H703" i="4"/>
  <c r="G703" i="4"/>
  <c r="F703" i="4"/>
  <c r="E703" i="4"/>
  <c r="U703" i="4" s="1"/>
  <c r="D703" i="4"/>
  <c r="C703" i="4"/>
  <c r="V703" i="4" s="1"/>
  <c r="B703" i="4"/>
  <c r="A703" i="4"/>
  <c r="X702" i="4"/>
  <c r="T702" i="4"/>
  <c r="S702" i="4"/>
  <c r="R702" i="4"/>
  <c r="Q702" i="4"/>
  <c r="P702" i="4"/>
  <c r="O702" i="4"/>
  <c r="N702" i="4"/>
  <c r="M702" i="4"/>
  <c r="L702" i="4"/>
  <c r="W702" i="4" s="1"/>
  <c r="K702" i="4"/>
  <c r="J702" i="4"/>
  <c r="I702" i="4"/>
  <c r="H702" i="4"/>
  <c r="G702" i="4"/>
  <c r="F702" i="4"/>
  <c r="E702" i="4"/>
  <c r="U702" i="4" s="1"/>
  <c r="D702" i="4"/>
  <c r="C702" i="4"/>
  <c r="V702" i="4" s="1"/>
  <c r="B702" i="4"/>
  <c r="A702" i="4"/>
  <c r="X701" i="4"/>
  <c r="V701" i="4"/>
  <c r="T701" i="4"/>
  <c r="S701" i="4"/>
  <c r="R701" i="4"/>
  <c r="Q701" i="4"/>
  <c r="P701" i="4"/>
  <c r="O701" i="4"/>
  <c r="N701" i="4"/>
  <c r="M701" i="4"/>
  <c r="L701" i="4"/>
  <c r="K701" i="4"/>
  <c r="J701" i="4"/>
  <c r="I701" i="4"/>
  <c r="H701" i="4"/>
  <c r="G701" i="4"/>
  <c r="F701" i="4"/>
  <c r="E701" i="4"/>
  <c r="U701" i="4" s="1"/>
  <c r="D701" i="4"/>
  <c r="C701" i="4"/>
  <c r="B701" i="4"/>
  <c r="A701" i="4"/>
  <c r="X700" i="4"/>
  <c r="T700" i="4"/>
  <c r="S700" i="4"/>
  <c r="R700" i="4"/>
  <c r="Q700" i="4"/>
  <c r="P700" i="4"/>
  <c r="O700" i="4"/>
  <c r="N700" i="4"/>
  <c r="M700" i="4"/>
  <c r="L700" i="4"/>
  <c r="W700" i="4" s="1"/>
  <c r="K700" i="4"/>
  <c r="J700" i="4"/>
  <c r="I700" i="4"/>
  <c r="H700" i="4"/>
  <c r="G700" i="4"/>
  <c r="F700" i="4"/>
  <c r="E700" i="4"/>
  <c r="U700" i="4" s="1"/>
  <c r="D700" i="4"/>
  <c r="C700" i="4"/>
  <c r="V700" i="4" s="1"/>
  <c r="B700" i="4"/>
  <c r="A700" i="4"/>
  <c r="X699" i="4"/>
  <c r="T699" i="4"/>
  <c r="S699" i="4"/>
  <c r="R699" i="4"/>
  <c r="Q699" i="4"/>
  <c r="P699" i="4"/>
  <c r="O699" i="4"/>
  <c r="N699" i="4"/>
  <c r="M699" i="4"/>
  <c r="L699" i="4"/>
  <c r="K699" i="4"/>
  <c r="J699" i="4"/>
  <c r="I699" i="4"/>
  <c r="H699" i="4"/>
  <c r="G699" i="4"/>
  <c r="F699" i="4"/>
  <c r="E699" i="4"/>
  <c r="U699" i="4" s="1"/>
  <c r="D699" i="4"/>
  <c r="C699" i="4"/>
  <c r="V699" i="4" s="1"/>
  <c r="B699" i="4"/>
  <c r="A699" i="4"/>
  <c r="X698" i="4"/>
  <c r="V698" i="4"/>
  <c r="T698" i="4"/>
  <c r="S698" i="4"/>
  <c r="R698" i="4"/>
  <c r="Q698" i="4"/>
  <c r="P698" i="4"/>
  <c r="O698" i="4"/>
  <c r="N698" i="4"/>
  <c r="M698" i="4"/>
  <c r="L698" i="4"/>
  <c r="W698" i="4" s="1"/>
  <c r="K698" i="4"/>
  <c r="J698" i="4"/>
  <c r="I698" i="4"/>
  <c r="H698" i="4"/>
  <c r="G698" i="4"/>
  <c r="F698" i="4"/>
  <c r="E698" i="4"/>
  <c r="U698" i="4" s="1"/>
  <c r="D698" i="4"/>
  <c r="C698" i="4"/>
  <c r="B698" i="4"/>
  <c r="A698" i="4"/>
  <c r="X697" i="4"/>
  <c r="T697" i="4"/>
  <c r="S697" i="4"/>
  <c r="R697" i="4"/>
  <c r="Q697" i="4"/>
  <c r="P697" i="4"/>
  <c r="O697" i="4"/>
  <c r="W697" i="4" s="1"/>
  <c r="N697" i="4"/>
  <c r="M697" i="4"/>
  <c r="L697" i="4"/>
  <c r="K697" i="4"/>
  <c r="J697" i="4"/>
  <c r="I697" i="4"/>
  <c r="H697" i="4"/>
  <c r="G697" i="4"/>
  <c r="F697" i="4"/>
  <c r="E697" i="4"/>
  <c r="U697" i="4" s="1"/>
  <c r="D697" i="4"/>
  <c r="C697" i="4"/>
  <c r="V697" i="4" s="1"/>
  <c r="B697" i="4"/>
  <c r="A697" i="4"/>
  <c r="X696" i="4"/>
  <c r="W696" i="4"/>
  <c r="V696" i="4"/>
  <c r="U696" i="4"/>
  <c r="T696" i="4"/>
  <c r="S696" i="4"/>
  <c r="R696" i="4"/>
  <c r="Q696" i="4"/>
  <c r="P696" i="4"/>
  <c r="O696" i="4"/>
  <c r="N696" i="4"/>
  <c r="M696" i="4"/>
  <c r="L696" i="4"/>
  <c r="K696" i="4"/>
  <c r="J696" i="4"/>
  <c r="I696" i="4"/>
  <c r="H696" i="4"/>
  <c r="G696" i="4"/>
  <c r="F696" i="4"/>
  <c r="E696" i="4"/>
  <c r="D696" i="4"/>
  <c r="C696" i="4"/>
  <c r="B696" i="4"/>
  <c r="A696" i="4"/>
  <c r="X695" i="4"/>
  <c r="T695" i="4"/>
  <c r="S695" i="4"/>
  <c r="R695" i="4"/>
  <c r="Q695" i="4"/>
  <c r="P695" i="4"/>
  <c r="O695" i="4"/>
  <c r="N695" i="4"/>
  <c r="M695" i="4"/>
  <c r="L695" i="4"/>
  <c r="K695" i="4"/>
  <c r="J695" i="4"/>
  <c r="I695" i="4"/>
  <c r="H695" i="4"/>
  <c r="G695" i="4"/>
  <c r="F695" i="4"/>
  <c r="E695" i="4"/>
  <c r="U695" i="4" s="1"/>
  <c r="D695" i="4"/>
  <c r="C695" i="4"/>
  <c r="V695" i="4" s="1"/>
  <c r="B695" i="4"/>
  <c r="A695" i="4"/>
  <c r="X694" i="4"/>
  <c r="V694" i="4"/>
  <c r="T694" i="4"/>
  <c r="S694" i="4"/>
  <c r="R694" i="4"/>
  <c r="Q694" i="4"/>
  <c r="P694" i="4"/>
  <c r="O694" i="4"/>
  <c r="N694" i="4"/>
  <c r="M694" i="4"/>
  <c r="L694" i="4"/>
  <c r="W694" i="4" s="1"/>
  <c r="K694" i="4"/>
  <c r="J694" i="4"/>
  <c r="I694" i="4"/>
  <c r="H694" i="4"/>
  <c r="G694" i="4"/>
  <c r="F694" i="4"/>
  <c r="E694" i="4"/>
  <c r="U694" i="4" s="1"/>
  <c r="D694" i="4"/>
  <c r="C694" i="4"/>
  <c r="B694" i="4"/>
  <c r="A694" i="4"/>
  <c r="T693" i="4"/>
  <c r="S693" i="4"/>
  <c r="R693" i="4"/>
  <c r="Q693" i="4"/>
  <c r="P693" i="4"/>
  <c r="O693" i="4"/>
  <c r="N693" i="4"/>
  <c r="M693" i="4"/>
  <c r="L693" i="4"/>
  <c r="K693" i="4"/>
  <c r="J693" i="4"/>
  <c r="I693" i="4"/>
  <c r="H693" i="4"/>
  <c r="G693" i="4"/>
  <c r="F693" i="4"/>
  <c r="E693" i="4"/>
  <c r="U693" i="4" s="1"/>
  <c r="D693" i="4"/>
  <c r="C693" i="4"/>
  <c r="V693" i="4" s="1"/>
  <c r="B693" i="4"/>
  <c r="X693" i="4" s="1"/>
  <c r="A693" i="4"/>
  <c r="X692" i="4"/>
  <c r="V692" i="4"/>
  <c r="T692" i="4"/>
  <c r="S692" i="4"/>
  <c r="R692" i="4"/>
  <c r="Q692" i="4"/>
  <c r="P692" i="4"/>
  <c r="O692" i="4"/>
  <c r="N692" i="4"/>
  <c r="M692" i="4"/>
  <c r="L692" i="4"/>
  <c r="W692" i="4" s="1"/>
  <c r="K692" i="4"/>
  <c r="J692" i="4"/>
  <c r="I692" i="4"/>
  <c r="H692" i="4"/>
  <c r="G692" i="4"/>
  <c r="F692" i="4"/>
  <c r="E692" i="4"/>
  <c r="U692" i="4" s="1"/>
  <c r="D692" i="4"/>
  <c r="C692" i="4"/>
  <c r="B692" i="4"/>
  <c r="A692" i="4"/>
  <c r="T691" i="4"/>
  <c r="S691" i="4"/>
  <c r="R691" i="4"/>
  <c r="Q691" i="4"/>
  <c r="P691" i="4"/>
  <c r="O691" i="4"/>
  <c r="W691" i="4" s="1"/>
  <c r="N691" i="4"/>
  <c r="M691" i="4"/>
  <c r="L691" i="4"/>
  <c r="K691" i="4"/>
  <c r="J691" i="4"/>
  <c r="I691" i="4"/>
  <c r="H691" i="4"/>
  <c r="G691" i="4"/>
  <c r="F691" i="4"/>
  <c r="E691" i="4"/>
  <c r="U691" i="4" s="1"/>
  <c r="D691" i="4"/>
  <c r="C691" i="4"/>
  <c r="V691" i="4" s="1"/>
  <c r="B691" i="4"/>
  <c r="X691" i="4" s="1"/>
  <c r="A691" i="4"/>
  <c r="X690" i="4"/>
  <c r="W690" i="4"/>
  <c r="V690" i="4"/>
  <c r="T690" i="4"/>
  <c r="S690" i="4"/>
  <c r="R690" i="4"/>
  <c r="Q690" i="4"/>
  <c r="P690" i="4"/>
  <c r="O690" i="4"/>
  <c r="N690" i="4"/>
  <c r="M690" i="4"/>
  <c r="L690" i="4"/>
  <c r="K690" i="4"/>
  <c r="J690" i="4"/>
  <c r="I690" i="4"/>
  <c r="H690" i="4"/>
  <c r="G690" i="4"/>
  <c r="F690" i="4"/>
  <c r="E690" i="4"/>
  <c r="U690" i="4" s="1"/>
  <c r="D690" i="4"/>
  <c r="C690" i="4"/>
  <c r="B690" i="4"/>
  <c r="A690" i="4"/>
  <c r="X689" i="4"/>
  <c r="T689" i="4"/>
  <c r="S689" i="4"/>
  <c r="R689" i="4"/>
  <c r="Q689" i="4"/>
  <c r="P689" i="4"/>
  <c r="O689" i="4"/>
  <c r="W689" i="4" s="1"/>
  <c r="N689" i="4"/>
  <c r="M689" i="4"/>
  <c r="L689" i="4"/>
  <c r="K689" i="4"/>
  <c r="J689" i="4"/>
  <c r="I689" i="4"/>
  <c r="H689" i="4"/>
  <c r="G689" i="4"/>
  <c r="F689" i="4"/>
  <c r="E689" i="4"/>
  <c r="U689" i="4" s="1"/>
  <c r="D689" i="4"/>
  <c r="C689" i="4"/>
  <c r="V689" i="4" s="1"/>
  <c r="B689" i="4"/>
  <c r="A689" i="4"/>
  <c r="X688" i="4"/>
  <c r="W688" i="4"/>
  <c r="V688" i="4"/>
  <c r="T688" i="4"/>
  <c r="S688" i="4"/>
  <c r="R688" i="4"/>
  <c r="Q688" i="4"/>
  <c r="P688" i="4"/>
  <c r="O688" i="4"/>
  <c r="N688" i="4"/>
  <c r="M688" i="4"/>
  <c r="L688" i="4"/>
  <c r="K688" i="4"/>
  <c r="J688" i="4"/>
  <c r="I688" i="4"/>
  <c r="H688" i="4"/>
  <c r="G688" i="4"/>
  <c r="F688" i="4"/>
  <c r="E688" i="4"/>
  <c r="U688" i="4" s="1"/>
  <c r="D688" i="4"/>
  <c r="C688" i="4"/>
  <c r="B688" i="4"/>
  <c r="A688" i="4"/>
  <c r="X687" i="4"/>
  <c r="T687" i="4"/>
  <c r="S687" i="4"/>
  <c r="R687" i="4"/>
  <c r="Q687" i="4"/>
  <c r="P687" i="4"/>
  <c r="O687" i="4"/>
  <c r="N687" i="4"/>
  <c r="M687" i="4"/>
  <c r="L687" i="4"/>
  <c r="K687" i="4"/>
  <c r="J687" i="4"/>
  <c r="I687" i="4"/>
  <c r="H687" i="4"/>
  <c r="G687" i="4"/>
  <c r="F687" i="4"/>
  <c r="E687" i="4"/>
  <c r="U687" i="4" s="1"/>
  <c r="D687" i="4"/>
  <c r="C687" i="4"/>
  <c r="V687" i="4" s="1"/>
  <c r="B687" i="4"/>
  <c r="A687" i="4"/>
  <c r="X686" i="4"/>
  <c r="V686" i="4"/>
  <c r="T686" i="4"/>
  <c r="S686" i="4"/>
  <c r="R686" i="4"/>
  <c r="Q686" i="4"/>
  <c r="P686" i="4"/>
  <c r="O686" i="4"/>
  <c r="N686" i="4"/>
  <c r="M686" i="4"/>
  <c r="L686" i="4"/>
  <c r="W686" i="4" s="1"/>
  <c r="K686" i="4"/>
  <c r="J686" i="4"/>
  <c r="I686" i="4"/>
  <c r="H686" i="4"/>
  <c r="G686" i="4"/>
  <c r="F686" i="4"/>
  <c r="E686" i="4"/>
  <c r="U686" i="4" s="1"/>
  <c r="D686" i="4"/>
  <c r="C686" i="4"/>
  <c r="B686" i="4"/>
  <c r="A686" i="4"/>
  <c r="T685" i="4"/>
  <c r="S685" i="4"/>
  <c r="R685" i="4"/>
  <c r="Q685" i="4"/>
  <c r="P685" i="4"/>
  <c r="O685" i="4"/>
  <c r="N685" i="4"/>
  <c r="M685" i="4"/>
  <c r="L685" i="4"/>
  <c r="K685" i="4"/>
  <c r="J685" i="4"/>
  <c r="I685" i="4"/>
  <c r="H685" i="4"/>
  <c r="G685" i="4"/>
  <c r="F685" i="4"/>
  <c r="E685" i="4"/>
  <c r="U685" i="4" s="1"/>
  <c r="D685" i="4"/>
  <c r="C685" i="4"/>
  <c r="V685" i="4" s="1"/>
  <c r="B685" i="4"/>
  <c r="X685" i="4" s="1"/>
  <c r="A685" i="4"/>
  <c r="X684" i="4"/>
  <c r="W684" i="4"/>
  <c r="V684" i="4"/>
  <c r="T684" i="4"/>
  <c r="S684" i="4"/>
  <c r="R684" i="4"/>
  <c r="Q684" i="4"/>
  <c r="P684" i="4"/>
  <c r="O684" i="4"/>
  <c r="N684" i="4"/>
  <c r="M684" i="4"/>
  <c r="L684" i="4"/>
  <c r="K684" i="4"/>
  <c r="J684" i="4"/>
  <c r="I684" i="4"/>
  <c r="H684" i="4"/>
  <c r="G684" i="4"/>
  <c r="F684" i="4"/>
  <c r="E684" i="4"/>
  <c r="U684" i="4" s="1"/>
  <c r="D684" i="4"/>
  <c r="C684" i="4"/>
  <c r="B684" i="4"/>
  <c r="A684" i="4"/>
  <c r="T683" i="4"/>
  <c r="S683" i="4"/>
  <c r="R683" i="4"/>
  <c r="Q683" i="4"/>
  <c r="P683" i="4"/>
  <c r="O683" i="4"/>
  <c r="W683" i="4" s="1"/>
  <c r="N683" i="4"/>
  <c r="M683" i="4"/>
  <c r="L683" i="4"/>
  <c r="K683" i="4"/>
  <c r="J683" i="4"/>
  <c r="I683" i="4"/>
  <c r="H683" i="4"/>
  <c r="G683" i="4"/>
  <c r="F683" i="4"/>
  <c r="E683" i="4"/>
  <c r="U683" i="4" s="1"/>
  <c r="D683" i="4"/>
  <c r="C683" i="4"/>
  <c r="V683" i="4" s="1"/>
  <c r="B683" i="4"/>
  <c r="X683" i="4" s="1"/>
  <c r="A683" i="4"/>
  <c r="X682" i="4"/>
  <c r="V682" i="4"/>
  <c r="T682" i="4"/>
  <c r="S682" i="4"/>
  <c r="R682" i="4"/>
  <c r="Q682" i="4"/>
  <c r="P682" i="4"/>
  <c r="O682" i="4"/>
  <c r="N682" i="4"/>
  <c r="M682" i="4"/>
  <c r="L682" i="4"/>
  <c r="W682" i="4" s="1"/>
  <c r="K682" i="4"/>
  <c r="J682" i="4"/>
  <c r="I682" i="4"/>
  <c r="H682" i="4"/>
  <c r="G682" i="4"/>
  <c r="F682" i="4"/>
  <c r="E682" i="4"/>
  <c r="U682" i="4" s="1"/>
  <c r="D682" i="4"/>
  <c r="C682" i="4"/>
  <c r="B682" i="4"/>
  <c r="A682" i="4"/>
  <c r="X681" i="4"/>
  <c r="T681" i="4"/>
  <c r="S681" i="4"/>
  <c r="R681" i="4"/>
  <c r="Q681" i="4"/>
  <c r="P681" i="4"/>
  <c r="O681" i="4"/>
  <c r="W681" i="4" s="1"/>
  <c r="N681" i="4"/>
  <c r="M681" i="4"/>
  <c r="L681" i="4"/>
  <c r="K681" i="4"/>
  <c r="J681" i="4"/>
  <c r="I681" i="4"/>
  <c r="H681" i="4"/>
  <c r="G681" i="4"/>
  <c r="F681" i="4"/>
  <c r="E681" i="4"/>
  <c r="U681" i="4" s="1"/>
  <c r="D681" i="4"/>
  <c r="C681" i="4"/>
  <c r="V681" i="4" s="1"/>
  <c r="B681" i="4"/>
  <c r="A681" i="4"/>
  <c r="X680" i="4"/>
  <c r="W680" i="4"/>
  <c r="V680" i="4"/>
  <c r="T680" i="4"/>
  <c r="S680" i="4"/>
  <c r="R680" i="4"/>
  <c r="Q680" i="4"/>
  <c r="P680" i="4"/>
  <c r="O680" i="4"/>
  <c r="N680" i="4"/>
  <c r="M680" i="4"/>
  <c r="L680" i="4"/>
  <c r="K680" i="4"/>
  <c r="J680" i="4"/>
  <c r="I680" i="4"/>
  <c r="H680" i="4"/>
  <c r="G680" i="4"/>
  <c r="F680" i="4"/>
  <c r="E680" i="4"/>
  <c r="U680" i="4" s="1"/>
  <c r="D680" i="4"/>
  <c r="C680" i="4"/>
  <c r="B680" i="4"/>
  <c r="A680" i="4"/>
  <c r="X679" i="4"/>
  <c r="V679" i="4"/>
  <c r="T679" i="4"/>
  <c r="S679" i="4"/>
  <c r="R679" i="4"/>
  <c r="Q679" i="4"/>
  <c r="P679" i="4"/>
  <c r="O679" i="4"/>
  <c r="W679" i="4" s="1"/>
  <c r="N679" i="4"/>
  <c r="M679" i="4"/>
  <c r="L679" i="4"/>
  <c r="K679" i="4"/>
  <c r="J679" i="4"/>
  <c r="I679" i="4"/>
  <c r="H679" i="4"/>
  <c r="G679" i="4"/>
  <c r="F679" i="4"/>
  <c r="E679" i="4"/>
  <c r="U679" i="4" s="1"/>
  <c r="D679" i="4"/>
  <c r="C679" i="4"/>
  <c r="B679" i="4"/>
  <c r="A679" i="4"/>
  <c r="X678" i="4"/>
  <c r="V678" i="4"/>
  <c r="T678" i="4"/>
  <c r="S678" i="4"/>
  <c r="R678" i="4"/>
  <c r="Q678" i="4"/>
  <c r="P678" i="4"/>
  <c r="O678" i="4"/>
  <c r="N678" i="4"/>
  <c r="M678" i="4"/>
  <c r="L678" i="4"/>
  <c r="W678" i="4" s="1"/>
  <c r="K678" i="4"/>
  <c r="J678" i="4"/>
  <c r="I678" i="4"/>
  <c r="H678" i="4"/>
  <c r="G678" i="4"/>
  <c r="F678" i="4"/>
  <c r="E678" i="4"/>
  <c r="U678" i="4" s="1"/>
  <c r="D678" i="4"/>
  <c r="C678" i="4"/>
  <c r="B678" i="4"/>
  <c r="A678" i="4"/>
  <c r="T677" i="4"/>
  <c r="S677" i="4"/>
  <c r="R677" i="4"/>
  <c r="Q677" i="4"/>
  <c r="P677" i="4"/>
  <c r="O677" i="4"/>
  <c r="W677" i="4" s="1"/>
  <c r="N677" i="4"/>
  <c r="M677" i="4"/>
  <c r="L677" i="4"/>
  <c r="K677" i="4"/>
  <c r="J677" i="4"/>
  <c r="I677" i="4"/>
  <c r="H677" i="4"/>
  <c r="G677" i="4"/>
  <c r="F677" i="4"/>
  <c r="E677" i="4"/>
  <c r="U677" i="4" s="1"/>
  <c r="D677" i="4"/>
  <c r="C677" i="4"/>
  <c r="V677" i="4" s="1"/>
  <c r="B677" i="4"/>
  <c r="X677" i="4" s="1"/>
  <c r="A677" i="4"/>
  <c r="X676" i="4"/>
  <c r="W676" i="4"/>
  <c r="V676" i="4"/>
  <c r="T676" i="4"/>
  <c r="S676" i="4"/>
  <c r="R676" i="4"/>
  <c r="Q676" i="4"/>
  <c r="P676" i="4"/>
  <c r="O676" i="4"/>
  <c r="N676" i="4"/>
  <c r="M676" i="4"/>
  <c r="L676" i="4"/>
  <c r="K676" i="4"/>
  <c r="J676" i="4"/>
  <c r="I676" i="4"/>
  <c r="H676" i="4"/>
  <c r="G676" i="4"/>
  <c r="F676" i="4"/>
  <c r="E676" i="4"/>
  <c r="U676" i="4" s="1"/>
  <c r="D676" i="4"/>
  <c r="C676" i="4"/>
  <c r="B676" i="4"/>
  <c r="A676" i="4"/>
  <c r="T675" i="4"/>
  <c r="S675" i="4"/>
  <c r="R675" i="4"/>
  <c r="Q675" i="4"/>
  <c r="P675" i="4"/>
  <c r="O675" i="4"/>
  <c r="W675" i="4" s="1"/>
  <c r="N675" i="4"/>
  <c r="M675" i="4"/>
  <c r="L675" i="4"/>
  <c r="K675" i="4"/>
  <c r="J675" i="4"/>
  <c r="I675" i="4"/>
  <c r="H675" i="4"/>
  <c r="G675" i="4"/>
  <c r="F675" i="4"/>
  <c r="E675" i="4"/>
  <c r="U675" i="4" s="1"/>
  <c r="D675" i="4"/>
  <c r="C675" i="4"/>
  <c r="V675" i="4" s="1"/>
  <c r="B675" i="4"/>
  <c r="X675" i="4" s="1"/>
  <c r="A675" i="4"/>
  <c r="X674" i="4"/>
  <c r="V674" i="4"/>
  <c r="T674" i="4"/>
  <c r="S674" i="4"/>
  <c r="R674" i="4"/>
  <c r="Q674" i="4"/>
  <c r="P674" i="4"/>
  <c r="O674" i="4"/>
  <c r="N674" i="4"/>
  <c r="M674" i="4"/>
  <c r="L674" i="4"/>
  <c r="W674" i="4" s="1"/>
  <c r="K674" i="4"/>
  <c r="J674" i="4"/>
  <c r="I674" i="4"/>
  <c r="H674" i="4"/>
  <c r="G674" i="4"/>
  <c r="F674" i="4"/>
  <c r="E674" i="4"/>
  <c r="U674" i="4" s="1"/>
  <c r="D674" i="4"/>
  <c r="C674" i="4"/>
  <c r="B674" i="4"/>
  <c r="A674" i="4"/>
  <c r="T673" i="4"/>
  <c r="S673" i="4"/>
  <c r="R673" i="4"/>
  <c r="Q673" i="4"/>
  <c r="P673" i="4"/>
  <c r="O673" i="4"/>
  <c r="N673" i="4"/>
  <c r="M673" i="4"/>
  <c r="L673" i="4"/>
  <c r="K673" i="4"/>
  <c r="J673" i="4"/>
  <c r="I673" i="4"/>
  <c r="H673" i="4"/>
  <c r="G673" i="4"/>
  <c r="F673" i="4"/>
  <c r="E673" i="4"/>
  <c r="U673" i="4" s="1"/>
  <c r="D673" i="4"/>
  <c r="C673" i="4"/>
  <c r="V673" i="4" s="1"/>
  <c r="B673" i="4"/>
  <c r="X673" i="4" s="1"/>
  <c r="A673" i="4"/>
  <c r="X672" i="4"/>
  <c r="V672" i="4"/>
  <c r="T672" i="4"/>
  <c r="S672" i="4"/>
  <c r="R672" i="4"/>
  <c r="Q672" i="4"/>
  <c r="P672" i="4"/>
  <c r="O672" i="4"/>
  <c r="N672" i="4"/>
  <c r="M672" i="4"/>
  <c r="L672" i="4"/>
  <c r="W672" i="4" s="1"/>
  <c r="K672" i="4"/>
  <c r="J672" i="4"/>
  <c r="I672" i="4"/>
  <c r="H672" i="4"/>
  <c r="G672" i="4"/>
  <c r="F672" i="4"/>
  <c r="E672" i="4"/>
  <c r="U672" i="4" s="1"/>
  <c r="D672" i="4"/>
  <c r="C672" i="4"/>
  <c r="B672" i="4"/>
  <c r="A672" i="4"/>
  <c r="V671" i="4"/>
  <c r="T671" i="4"/>
  <c r="S671" i="4"/>
  <c r="R671" i="4"/>
  <c r="Q671" i="4"/>
  <c r="P671" i="4"/>
  <c r="O671" i="4"/>
  <c r="N671" i="4"/>
  <c r="M671" i="4"/>
  <c r="L671" i="4"/>
  <c r="K671" i="4"/>
  <c r="J671" i="4"/>
  <c r="I671" i="4"/>
  <c r="H671" i="4"/>
  <c r="G671" i="4"/>
  <c r="F671" i="4"/>
  <c r="E671" i="4"/>
  <c r="U671" i="4" s="1"/>
  <c r="D671" i="4"/>
  <c r="C671" i="4"/>
  <c r="B671" i="4"/>
  <c r="X671" i="4" s="1"/>
  <c r="A671" i="4"/>
  <c r="X670" i="4"/>
  <c r="W670" i="4"/>
  <c r="V670" i="4"/>
  <c r="T670" i="4"/>
  <c r="S670" i="4"/>
  <c r="R670" i="4"/>
  <c r="Q670" i="4"/>
  <c r="P670" i="4"/>
  <c r="O670" i="4"/>
  <c r="N670" i="4"/>
  <c r="M670" i="4"/>
  <c r="L670" i="4"/>
  <c r="K670" i="4"/>
  <c r="J670" i="4"/>
  <c r="I670" i="4"/>
  <c r="H670" i="4"/>
  <c r="G670" i="4"/>
  <c r="F670" i="4"/>
  <c r="E670" i="4"/>
  <c r="U670" i="4" s="1"/>
  <c r="D670" i="4"/>
  <c r="C670" i="4"/>
  <c r="B670" i="4"/>
  <c r="A670" i="4"/>
  <c r="X669" i="4"/>
  <c r="V669" i="4"/>
  <c r="T669" i="4"/>
  <c r="S669" i="4"/>
  <c r="R669" i="4"/>
  <c r="Q669" i="4"/>
  <c r="P669" i="4"/>
  <c r="O669" i="4"/>
  <c r="W669" i="4" s="1"/>
  <c r="N669" i="4"/>
  <c r="M669" i="4"/>
  <c r="L669" i="4"/>
  <c r="K669" i="4"/>
  <c r="J669" i="4"/>
  <c r="I669" i="4"/>
  <c r="H669" i="4"/>
  <c r="G669" i="4"/>
  <c r="F669" i="4"/>
  <c r="E669" i="4"/>
  <c r="U669" i="4" s="1"/>
  <c r="D669" i="4"/>
  <c r="C669" i="4"/>
  <c r="B669" i="4"/>
  <c r="A669" i="4"/>
  <c r="X668" i="4"/>
  <c r="W668" i="4"/>
  <c r="V668" i="4"/>
  <c r="T668" i="4"/>
  <c r="S668" i="4"/>
  <c r="R668" i="4"/>
  <c r="Q668" i="4"/>
  <c r="P668" i="4"/>
  <c r="O668" i="4"/>
  <c r="N668" i="4"/>
  <c r="M668" i="4"/>
  <c r="L668" i="4"/>
  <c r="K668" i="4"/>
  <c r="J668" i="4"/>
  <c r="I668" i="4"/>
  <c r="H668" i="4"/>
  <c r="G668" i="4"/>
  <c r="F668" i="4"/>
  <c r="E668" i="4"/>
  <c r="U668" i="4" s="1"/>
  <c r="D668" i="4"/>
  <c r="C668" i="4"/>
  <c r="B668" i="4"/>
  <c r="A668" i="4"/>
  <c r="X667" i="4"/>
  <c r="V667" i="4"/>
  <c r="T667" i="4"/>
  <c r="S667" i="4"/>
  <c r="R667" i="4"/>
  <c r="Q667" i="4"/>
  <c r="P667" i="4"/>
  <c r="O667" i="4"/>
  <c r="W667" i="4" s="1"/>
  <c r="N667" i="4"/>
  <c r="M667" i="4"/>
  <c r="L667" i="4"/>
  <c r="K667" i="4"/>
  <c r="J667" i="4"/>
  <c r="I667" i="4"/>
  <c r="H667" i="4"/>
  <c r="G667" i="4"/>
  <c r="F667" i="4"/>
  <c r="E667" i="4"/>
  <c r="U667" i="4" s="1"/>
  <c r="D667" i="4"/>
  <c r="C667" i="4"/>
  <c r="B667" i="4"/>
  <c r="A667" i="4"/>
  <c r="X666" i="4"/>
  <c r="V666" i="4"/>
  <c r="T666" i="4"/>
  <c r="S666" i="4"/>
  <c r="R666" i="4"/>
  <c r="Q666" i="4"/>
  <c r="P666" i="4"/>
  <c r="O666" i="4"/>
  <c r="N666" i="4"/>
  <c r="M666" i="4"/>
  <c r="L666" i="4"/>
  <c r="W666" i="4" s="1"/>
  <c r="K666" i="4"/>
  <c r="J666" i="4"/>
  <c r="I666" i="4"/>
  <c r="H666" i="4"/>
  <c r="G666" i="4"/>
  <c r="F666" i="4"/>
  <c r="E666" i="4"/>
  <c r="U666" i="4" s="1"/>
  <c r="D666" i="4"/>
  <c r="C666" i="4"/>
  <c r="B666" i="4"/>
  <c r="A666" i="4"/>
  <c r="X665" i="4"/>
  <c r="T665" i="4"/>
  <c r="S665" i="4"/>
  <c r="R665" i="4"/>
  <c r="Q665" i="4"/>
  <c r="P665" i="4"/>
  <c r="O665" i="4"/>
  <c r="W665" i="4" s="1"/>
  <c r="N665" i="4"/>
  <c r="M665" i="4"/>
  <c r="L665" i="4"/>
  <c r="K665" i="4"/>
  <c r="J665" i="4"/>
  <c r="I665" i="4"/>
  <c r="H665" i="4"/>
  <c r="G665" i="4"/>
  <c r="F665" i="4"/>
  <c r="E665" i="4"/>
  <c r="U665" i="4" s="1"/>
  <c r="D665" i="4"/>
  <c r="C665" i="4"/>
  <c r="V665" i="4" s="1"/>
  <c r="B665" i="4"/>
  <c r="A665" i="4"/>
  <c r="X664" i="4"/>
  <c r="W664" i="4"/>
  <c r="V664" i="4"/>
  <c r="T664" i="4"/>
  <c r="S664" i="4"/>
  <c r="R664" i="4"/>
  <c r="Q664" i="4"/>
  <c r="P664" i="4"/>
  <c r="O664" i="4"/>
  <c r="N664" i="4"/>
  <c r="M664" i="4"/>
  <c r="L664" i="4"/>
  <c r="K664" i="4"/>
  <c r="J664" i="4"/>
  <c r="I664" i="4"/>
  <c r="H664" i="4"/>
  <c r="G664" i="4"/>
  <c r="F664" i="4"/>
  <c r="E664" i="4"/>
  <c r="U664" i="4" s="1"/>
  <c r="D664" i="4"/>
  <c r="C664" i="4"/>
  <c r="B664" i="4"/>
  <c r="A664" i="4"/>
  <c r="V663" i="4"/>
  <c r="T663" i="4"/>
  <c r="S663" i="4"/>
  <c r="R663" i="4"/>
  <c r="Q663" i="4"/>
  <c r="P663" i="4"/>
  <c r="O663" i="4"/>
  <c r="W663" i="4" s="1"/>
  <c r="N663" i="4"/>
  <c r="M663" i="4"/>
  <c r="L663" i="4"/>
  <c r="K663" i="4"/>
  <c r="J663" i="4"/>
  <c r="I663" i="4"/>
  <c r="H663" i="4"/>
  <c r="G663" i="4"/>
  <c r="F663" i="4"/>
  <c r="E663" i="4"/>
  <c r="U663" i="4" s="1"/>
  <c r="D663" i="4"/>
  <c r="C663" i="4"/>
  <c r="B663" i="4"/>
  <c r="X663" i="4" s="1"/>
  <c r="A663" i="4"/>
  <c r="X662" i="4"/>
  <c r="W662" i="4"/>
  <c r="V662" i="4"/>
  <c r="T662" i="4"/>
  <c r="S662" i="4"/>
  <c r="R662" i="4"/>
  <c r="Q662" i="4"/>
  <c r="P662" i="4"/>
  <c r="O662" i="4"/>
  <c r="N662" i="4"/>
  <c r="M662" i="4"/>
  <c r="L662" i="4"/>
  <c r="K662" i="4"/>
  <c r="J662" i="4"/>
  <c r="I662" i="4"/>
  <c r="H662" i="4"/>
  <c r="G662" i="4"/>
  <c r="F662" i="4"/>
  <c r="E662" i="4"/>
  <c r="U662" i="4" s="1"/>
  <c r="D662" i="4"/>
  <c r="C662" i="4"/>
  <c r="B662" i="4"/>
  <c r="A662" i="4"/>
  <c r="X661" i="4"/>
  <c r="V661" i="4"/>
  <c r="T661" i="4"/>
  <c r="S661" i="4"/>
  <c r="R661" i="4"/>
  <c r="Q661" i="4"/>
  <c r="P661" i="4"/>
  <c r="O661" i="4"/>
  <c r="N661" i="4"/>
  <c r="M661" i="4"/>
  <c r="L661" i="4"/>
  <c r="K661" i="4"/>
  <c r="J661" i="4"/>
  <c r="I661" i="4"/>
  <c r="H661" i="4"/>
  <c r="G661" i="4"/>
  <c r="F661" i="4"/>
  <c r="E661" i="4"/>
  <c r="U661" i="4" s="1"/>
  <c r="D661" i="4"/>
  <c r="C661" i="4"/>
  <c r="B661" i="4"/>
  <c r="A661" i="4"/>
  <c r="X660" i="4"/>
  <c r="V660" i="4"/>
  <c r="T660" i="4"/>
  <c r="S660" i="4"/>
  <c r="R660" i="4"/>
  <c r="Q660" i="4"/>
  <c r="P660" i="4"/>
  <c r="O660" i="4"/>
  <c r="N660" i="4"/>
  <c r="M660" i="4"/>
  <c r="L660" i="4"/>
  <c r="W660" i="4" s="1"/>
  <c r="K660" i="4"/>
  <c r="J660" i="4"/>
  <c r="I660" i="4"/>
  <c r="H660" i="4"/>
  <c r="G660" i="4"/>
  <c r="F660" i="4"/>
  <c r="E660" i="4"/>
  <c r="U660" i="4" s="1"/>
  <c r="D660" i="4"/>
  <c r="C660" i="4"/>
  <c r="B660" i="4"/>
  <c r="A660" i="4"/>
  <c r="T659" i="4"/>
  <c r="S659" i="4"/>
  <c r="R659" i="4"/>
  <c r="Q659" i="4"/>
  <c r="P659" i="4"/>
  <c r="O659" i="4"/>
  <c r="N659" i="4"/>
  <c r="M659" i="4"/>
  <c r="L659" i="4"/>
  <c r="K659" i="4"/>
  <c r="J659" i="4"/>
  <c r="I659" i="4"/>
  <c r="H659" i="4"/>
  <c r="G659" i="4"/>
  <c r="F659" i="4"/>
  <c r="E659" i="4"/>
  <c r="U659" i="4" s="1"/>
  <c r="D659" i="4"/>
  <c r="C659" i="4"/>
  <c r="V659" i="4" s="1"/>
  <c r="B659" i="4"/>
  <c r="X659" i="4" s="1"/>
  <c r="A659" i="4"/>
  <c r="X658" i="4"/>
  <c r="V658" i="4"/>
  <c r="T658" i="4"/>
  <c r="S658" i="4"/>
  <c r="R658" i="4"/>
  <c r="Q658" i="4"/>
  <c r="P658" i="4"/>
  <c r="O658" i="4"/>
  <c r="N658" i="4"/>
  <c r="M658" i="4"/>
  <c r="L658" i="4"/>
  <c r="W658" i="4" s="1"/>
  <c r="K658" i="4"/>
  <c r="J658" i="4"/>
  <c r="I658" i="4"/>
  <c r="H658" i="4"/>
  <c r="G658" i="4"/>
  <c r="F658" i="4"/>
  <c r="E658" i="4"/>
  <c r="U658" i="4" s="1"/>
  <c r="D658" i="4"/>
  <c r="C658" i="4"/>
  <c r="B658" i="4"/>
  <c r="A658" i="4"/>
  <c r="T657" i="4"/>
  <c r="S657" i="4"/>
  <c r="R657" i="4"/>
  <c r="Q657" i="4"/>
  <c r="P657" i="4"/>
  <c r="O657" i="4"/>
  <c r="N657" i="4"/>
  <c r="M657" i="4"/>
  <c r="L657" i="4"/>
  <c r="K657" i="4"/>
  <c r="J657" i="4"/>
  <c r="I657" i="4"/>
  <c r="H657" i="4"/>
  <c r="G657" i="4"/>
  <c r="F657" i="4"/>
  <c r="E657" i="4"/>
  <c r="U657" i="4" s="1"/>
  <c r="D657" i="4"/>
  <c r="C657" i="4"/>
  <c r="V657" i="4" s="1"/>
  <c r="B657" i="4"/>
  <c r="X657" i="4" s="1"/>
  <c r="A657" i="4"/>
  <c r="X656" i="4"/>
  <c r="W656" i="4"/>
  <c r="V656" i="4"/>
  <c r="T656" i="4"/>
  <c r="S656" i="4"/>
  <c r="R656" i="4"/>
  <c r="Q656" i="4"/>
  <c r="P656" i="4"/>
  <c r="O656" i="4"/>
  <c r="N656" i="4"/>
  <c r="M656" i="4"/>
  <c r="L656" i="4"/>
  <c r="K656" i="4"/>
  <c r="J656" i="4"/>
  <c r="I656" i="4"/>
  <c r="H656" i="4"/>
  <c r="G656" i="4"/>
  <c r="F656" i="4"/>
  <c r="E656" i="4"/>
  <c r="U656" i="4" s="1"/>
  <c r="D656" i="4"/>
  <c r="C656" i="4"/>
  <c r="B656" i="4"/>
  <c r="A656" i="4"/>
  <c r="T655" i="4"/>
  <c r="S655" i="4"/>
  <c r="R655" i="4"/>
  <c r="Q655" i="4"/>
  <c r="P655" i="4"/>
  <c r="O655" i="4"/>
  <c r="N655" i="4"/>
  <c r="M655" i="4"/>
  <c r="L655" i="4"/>
  <c r="K655" i="4"/>
  <c r="J655" i="4"/>
  <c r="I655" i="4"/>
  <c r="H655" i="4"/>
  <c r="G655" i="4"/>
  <c r="F655" i="4"/>
  <c r="E655" i="4"/>
  <c r="U655" i="4" s="1"/>
  <c r="D655" i="4"/>
  <c r="C655" i="4"/>
  <c r="V655" i="4" s="1"/>
  <c r="B655" i="4"/>
  <c r="X655" i="4" s="1"/>
  <c r="A655" i="4"/>
  <c r="X654" i="4"/>
  <c r="V654" i="4"/>
  <c r="T654" i="4"/>
  <c r="S654" i="4"/>
  <c r="R654" i="4"/>
  <c r="Q654" i="4"/>
  <c r="P654" i="4"/>
  <c r="O654" i="4"/>
  <c r="N654" i="4"/>
  <c r="M654" i="4"/>
  <c r="L654" i="4"/>
  <c r="W654" i="4" s="1"/>
  <c r="K654" i="4"/>
  <c r="J654" i="4"/>
  <c r="I654" i="4"/>
  <c r="H654" i="4"/>
  <c r="G654" i="4"/>
  <c r="F654" i="4"/>
  <c r="E654" i="4"/>
  <c r="U654" i="4" s="1"/>
  <c r="D654" i="4"/>
  <c r="C654" i="4"/>
  <c r="B654" i="4"/>
  <c r="A654" i="4"/>
  <c r="T653" i="4"/>
  <c r="S653" i="4"/>
  <c r="R653" i="4"/>
  <c r="Q653" i="4"/>
  <c r="P653" i="4"/>
  <c r="O653" i="4"/>
  <c r="W653" i="4" s="1"/>
  <c r="N653" i="4"/>
  <c r="M653" i="4"/>
  <c r="L653" i="4"/>
  <c r="K653" i="4"/>
  <c r="J653" i="4"/>
  <c r="I653" i="4"/>
  <c r="H653" i="4"/>
  <c r="G653" i="4"/>
  <c r="F653" i="4"/>
  <c r="E653" i="4"/>
  <c r="U653" i="4" s="1"/>
  <c r="D653" i="4"/>
  <c r="C653" i="4"/>
  <c r="V653" i="4" s="1"/>
  <c r="B653" i="4"/>
  <c r="X653" i="4" s="1"/>
  <c r="A653" i="4"/>
  <c r="X652" i="4"/>
  <c r="W652" i="4"/>
  <c r="V652" i="4"/>
  <c r="T652" i="4"/>
  <c r="S652" i="4"/>
  <c r="R652" i="4"/>
  <c r="Q652" i="4"/>
  <c r="P652" i="4"/>
  <c r="O652" i="4"/>
  <c r="N652" i="4"/>
  <c r="M652" i="4"/>
  <c r="L652" i="4"/>
  <c r="K652" i="4"/>
  <c r="J652" i="4"/>
  <c r="I652" i="4"/>
  <c r="H652" i="4"/>
  <c r="G652" i="4"/>
  <c r="F652" i="4"/>
  <c r="E652" i="4"/>
  <c r="U652" i="4" s="1"/>
  <c r="D652" i="4"/>
  <c r="C652" i="4"/>
  <c r="B652" i="4"/>
  <c r="A652" i="4"/>
  <c r="X651" i="4"/>
  <c r="V651" i="4"/>
  <c r="T651" i="4"/>
  <c r="S651" i="4"/>
  <c r="R651" i="4"/>
  <c r="Q651" i="4"/>
  <c r="P651" i="4"/>
  <c r="O651" i="4"/>
  <c r="W651" i="4" s="1"/>
  <c r="N651" i="4"/>
  <c r="M651" i="4"/>
  <c r="L651" i="4"/>
  <c r="K651" i="4"/>
  <c r="J651" i="4"/>
  <c r="I651" i="4"/>
  <c r="H651" i="4"/>
  <c r="G651" i="4"/>
  <c r="F651" i="4"/>
  <c r="E651" i="4"/>
  <c r="U651" i="4" s="1"/>
  <c r="D651" i="4"/>
  <c r="C651" i="4"/>
  <c r="B651" i="4"/>
  <c r="A651" i="4"/>
  <c r="X650" i="4"/>
  <c r="W650" i="4"/>
  <c r="V650" i="4"/>
  <c r="T650" i="4"/>
  <c r="S650" i="4"/>
  <c r="R650" i="4"/>
  <c r="Q650" i="4"/>
  <c r="P650" i="4"/>
  <c r="O650" i="4"/>
  <c r="N650" i="4"/>
  <c r="M650" i="4"/>
  <c r="L650" i="4"/>
  <c r="K650" i="4"/>
  <c r="J650" i="4"/>
  <c r="I650" i="4"/>
  <c r="H650" i="4"/>
  <c r="G650" i="4"/>
  <c r="F650" i="4"/>
  <c r="E650" i="4"/>
  <c r="U650" i="4" s="1"/>
  <c r="D650" i="4"/>
  <c r="C650" i="4"/>
  <c r="B650" i="4"/>
  <c r="A650" i="4"/>
  <c r="V649" i="4"/>
  <c r="T649" i="4"/>
  <c r="S649" i="4"/>
  <c r="R649" i="4"/>
  <c r="Q649" i="4"/>
  <c r="P649" i="4"/>
  <c r="O649" i="4"/>
  <c r="W649" i="4" s="1"/>
  <c r="N649" i="4"/>
  <c r="M649" i="4"/>
  <c r="L649" i="4"/>
  <c r="K649" i="4"/>
  <c r="J649" i="4"/>
  <c r="I649" i="4"/>
  <c r="H649" i="4"/>
  <c r="G649" i="4"/>
  <c r="F649" i="4"/>
  <c r="E649" i="4"/>
  <c r="U649" i="4" s="1"/>
  <c r="D649" i="4"/>
  <c r="C649" i="4"/>
  <c r="B649" i="4"/>
  <c r="X649" i="4" s="1"/>
  <c r="A649" i="4"/>
  <c r="X648" i="4"/>
  <c r="W648" i="4"/>
  <c r="V648" i="4"/>
  <c r="T648" i="4"/>
  <c r="S648" i="4"/>
  <c r="R648" i="4"/>
  <c r="Q648" i="4"/>
  <c r="P648" i="4"/>
  <c r="O648" i="4"/>
  <c r="N648" i="4"/>
  <c r="M648" i="4"/>
  <c r="L648" i="4"/>
  <c r="K648" i="4"/>
  <c r="J648" i="4"/>
  <c r="I648" i="4"/>
  <c r="H648" i="4"/>
  <c r="G648" i="4"/>
  <c r="F648" i="4"/>
  <c r="E648" i="4"/>
  <c r="U648" i="4" s="1"/>
  <c r="D648" i="4"/>
  <c r="C648" i="4"/>
  <c r="B648" i="4"/>
  <c r="A648" i="4"/>
  <c r="X647" i="4"/>
  <c r="V647" i="4"/>
  <c r="T647" i="4"/>
  <c r="S647" i="4"/>
  <c r="R647" i="4"/>
  <c r="Q647" i="4"/>
  <c r="P647" i="4"/>
  <c r="O647" i="4"/>
  <c r="W647" i="4" s="1"/>
  <c r="N647" i="4"/>
  <c r="M647" i="4"/>
  <c r="L647" i="4"/>
  <c r="K647" i="4"/>
  <c r="J647" i="4"/>
  <c r="I647" i="4"/>
  <c r="H647" i="4"/>
  <c r="G647" i="4"/>
  <c r="F647" i="4"/>
  <c r="E647" i="4"/>
  <c r="U647" i="4" s="1"/>
  <c r="D647" i="4"/>
  <c r="C647" i="4"/>
  <c r="B647" i="4"/>
  <c r="A647" i="4"/>
  <c r="X646" i="4"/>
  <c r="V646" i="4"/>
  <c r="U646" i="4"/>
  <c r="T646" i="4"/>
  <c r="S646" i="4"/>
  <c r="R646" i="4"/>
  <c r="Q646" i="4"/>
  <c r="P646" i="4"/>
  <c r="O646" i="4"/>
  <c r="N646" i="4"/>
  <c r="M646" i="4"/>
  <c r="L646" i="4"/>
  <c r="W646" i="4" s="1"/>
  <c r="K646" i="4"/>
  <c r="J646" i="4"/>
  <c r="I646" i="4"/>
  <c r="H646" i="4"/>
  <c r="G646" i="4"/>
  <c r="F646" i="4"/>
  <c r="E646" i="4"/>
  <c r="D646" i="4"/>
  <c r="C646" i="4"/>
  <c r="B646" i="4"/>
  <c r="A646" i="4"/>
  <c r="T645" i="4"/>
  <c r="S645" i="4"/>
  <c r="R645" i="4"/>
  <c r="Q645" i="4"/>
  <c r="P645" i="4"/>
  <c r="O645" i="4"/>
  <c r="N645" i="4"/>
  <c r="M645" i="4"/>
  <c r="L645" i="4"/>
  <c r="K645" i="4"/>
  <c r="J645" i="4"/>
  <c r="I645" i="4"/>
  <c r="H645" i="4"/>
  <c r="G645" i="4"/>
  <c r="F645" i="4"/>
  <c r="E645" i="4"/>
  <c r="U645" i="4" s="1"/>
  <c r="D645" i="4"/>
  <c r="C645" i="4"/>
  <c r="V645" i="4" s="1"/>
  <c r="B645" i="4"/>
  <c r="X645" i="4" s="1"/>
  <c r="A645" i="4"/>
  <c r="X644" i="4"/>
  <c r="W644" i="4"/>
  <c r="V644" i="4"/>
  <c r="T644" i="4"/>
  <c r="S644" i="4"/>
  <c r="R644" i="4"/>
  <c r="Q644" i="4"/>
  <c r="P644" i="4"/>
  <c r="O644" i="4"/>
  <c r="N644" i="4"/>
  <c r="M644" i="4"/>
  <c r="L644" i="4"/>
  <c r="K644" i="4"/>
  <c r="J644" i="4"/>
  <c r="I644" i="4"/>
  <c r="H644" i="4"/>
  <c r="G644" i="4"/>
  <c r="F644" i="4"/>
  <c r="E644" i="4"/>
  <c r="U644" i="4" s="1"/>
  <c r="D644" i="4"/>
  <c r="C644" i="4"/>
  <c r="B644" i="4"/>
  <c r="A644" i="4"/>
  <c r="T643" i="4"/>
  <c r="S643" i="4"/>
  <c r="R643" i="4"/>
  <c r="Q643" i="4"/>
  <c r="P643" i="4"/>
  <c r="O643" i="4"/>
  <c r="W643" i="4" s="1"/>
  <c r="N643" i="4"/>
  <c r="M643" i="4"/>
  <c r="L643" i="4"/>
  <c r="K643" i="4"/>
  <c r="J643" i="4"/>
  <c r="I643" i="4"/>
  <c r="H643" i="4"/>
  <c r="G643" i="4"/>
  <c r="F643" i="4"/>
  <c r="E643" i="4"/>
  <c r="U643" i="4" s="1"/>
  <c r="D643" i="4"/>
  <c r="C643" i="4"/>
  <c r="V643" i="4" s="1"/>
  <c r="B643" i="4"/>
  <c r="X643" i="4" s="1"/>
  <c r="A643" i="4"/>
  <c r="X642" i="4"/>
  <c r="W642" i="4"/>
  <c r="V642" i="4"/>
  <c r="T642" i="4"/>
  <c r="S642" i="4"/>
  <c r="R642" i="4"/>
  <c r="Q642" i="4"/>
  <c r="P642" i="4"/>
  <c r="O642" i="4"/>
  <c r="N642" i="4"/>
  <c r="M642" i="4"/>
  <c r="L642" i="4"/>
  <c r="K642" i="4"/>
  <c r="J642" i="4"/>
  <c r="I642" i="4"/>
  <c r="H642" i="4"/>
  <c r="G642" i="4"/>
  <c r="F642" i="4"/>
  <c r="E642" i="4"/>
  <c r="U642" i="4" s="1"/>
  <c r="D642" i="4"/>
  <c r="C642" i="4"/>
  <c r="B642" i="4"/>
  <c r="A642" i="4"/>
  <c r="T641" i="4"/>
  <c r="S641" i="4"/>
  <c r="R641" i="4"/>
  <c r="Q641" i="4"/>
  <c r="P641" i="4"/>
  <c r="O641" i="4"/>
  <c r="N641" i="4"/>
  <c r="M641" i="4"/>
  <c r="L641" i="4"/>
  <c r="K641" i="4"/>
  <c r="J641" i="4"/>
  <c r="I641" i="4"/>
  <c r="H641" i="4"/>
  <c r="G641" i="4"/>
  <c r="F641" i="4"/>
  <c r="E641" i="4"/>
  <c r="U641" i="4" s="1"/>
  <c r="D641" i="4"/>
  <c r="C641" i="4"/>
  <c r="V641" i="4" s="1"/>
  <c r="B641" i="4"/>
  <c r="X641" i="4" s="1"/>
  <c r="A641" i="4"/>
  <c r="X640" i="4"/>
  <c r="V640" i="4"/>
  <c r="T640" i="4"/>
  <c r="S640" i="4"/>
  <c r="R640" i="4"/>
  <c r="Q640" i="4"/>
  <c r="P640" i="4"/>
  <c r="O640" i="4"/>
  <c r="N640" i="4"/>
  <c r="M640" i="4"/>
  <c r="L640" i="4"/>
  <c r="W640" i="4" s="1"/>
  <c r="K640" i="4"/>
  <c r="J640" i="4"/>
  <c r="I640" i="4"/>
  <c r="H640" i="4"/>
  <c r="G640" i="4"/>
  <c r="F640" i="4"/>
  <c r="E640" i="4"/>
  <c r="U640" i="4" s="1"/>
  <c r="D640" i="4"/>
  <c r="C640" i="4"/>
  <c r="B640" i="4"/>
  <c r="A640" i="4"/>
  <c r="T639" i="4"/>
  <c r="S639" i="4"/>
  <c r="R639" i="4"/>
  <c r="Q639" i="4"/>
  <c r="P639" i="4"/>
  <c r="O639" i="4"/>
  <c r="N639" i="4"/>
  <c r="M639" i="4"/>
  <c r="L639" i="4"/>
  <c r="K639" i="4"/>
  <c r="J639" i="4"/>
  <c r="I639" i="4"/>
  <c r="H639" i="4"/>
  <c r="G639" i="4"/>
  <c r="F639" i="4"/>
  <c r="E639" i="4"/>
  <c r="U639" i="4" s="1"/>
  <c r="D639" i="4"/>
  <c r="C639" i="4"/>
  <c r="V639" i="4" s="1"/>
  <c r="B639" i="4"/>
  <c r="X639" i="4" s="1"/>
  <c r="A639" i="4"/>
  <c r="X638" i="4"/>
  <c r="W638" i="4"/>
  <c r="V638" i="4"/>
  <c r="T638" i="4"/>
  <c r="S638" i="4"/>
  <c r="R638" i="4"/>
  <c r="Q638" i="4"/>
  <c r="P638" i="4"/>
  <c r="O638" i="4"/>
  <c r="N638" i="4"/>
  <c r="M638" i="4"/>
  <c r="L638" i="4"/>
  <c r="K638" i="4"/>
  <c r="J638" i="4"/>
  <c r="I638" i="4"/>
  <c r="H638" i="4"/>
  <c r="G638" i="4"/>
  <c r="F638" i="4"/>
  <c r="E638" i="4"/>
  <c r="U638" i="4" s="1"/>
  <c r="D638" i="4"/>
  <c r="C638" i="4"/>
  <c r="B638" i="4"/>
  <c r="A638" i="4"/>
  <c r="X637" i="4"/>
  <c r="V637" i="4"/>
  <c r="T637" i="4"/>
  <c r="S637" i="4"/>
  <c r="R637" i="4"/>
  <c r="Q637" i="4"/>
  <c r="P637" i="4"/>
  <c r="O637" i="4"/>
  <c r="W637" i="4" s="1"/>
  <c r="N637" i="4"/>
  <c r="M637" i="4"/>
  <c r="L637" i="4"/>
  <c r="K637" i="4"/>
  <c r="J637" i="4"/>
  <c r="I637" i="4"/>
  <c r="H637" i="4"/>
  <c r="G637" i="4"/>
  <c r="F637" i="4"/>
  <c r="E637" i="4"/>
  <c r="U637" i="4" s="1"/>
  <c r="D637" i="4"/>
  <c r="C637" i="4"/>
  <c r="B637" i="4"/>
  <c r="A637" i="4"/>
  <c r="X636" i="4"/>
  <c r="W636" i="4"/>
  <c r="V636" i="4"/>
  <c r="T636" i="4"/>
  <c r="S636" i="4"/>
  <c r="R636" i="4"/>
  <c r="Q636" i="4"/>
  <c r="P636" i="4"/>
  <c r="O636" i="4"/>
  <c r="N636" i="4"/>
  <c r="M636" i="4"/>
  <c r="L636" i="4"/>
  <c r="K636" i="4"/>
  <c r="J636" i="4"/>
  <c r="I636" i="4"/>
  <c r="H636" i="4"/>
  <c r="G636" i="4"/>
  <c r="F636" i="4"/>
  <c r="E636" i="4"/>
  <c r="U636" i="4" s="1"/>
  <c r="D636" i="4"/>
  <c r="C636" i="4"/>
  <c r="B636" i="4"/>
  <c r="A636" i="4"/>
  <c r="X635" i="4"/>
  <c r="V635" i="4"/>
  <c r="T635" i="4"/>
  <c r="S635" i="4"/>
  <c r="R635" i="4"/>
  <c r="Q635" i="4"/>
  <c r="P635" i="4"/>
  <c r="O635" i="4"/>
  <c r="W635" i="4" s="1"/>
  <c r="N635" i="4"/>
  <c r="M635" i="4"/>
  <c r="L635" i="4"/>
  <c r="K635" i="4"/>
  <c r="J635" i="4"/>
  <c r="I635" i="4"/>
  <c r="H635" i="4"/>
  <c r="G635" i="4"/>
  <c r="F635" i="4"/>
  <c r="E635" i="4"/>
  <c r="U635" i="4" s="1"/>
  <c r="D635" i="4"/>
  <c r="C635" i="4"/>
  <c r="B635" i="4"/>
  <c r="A635" i="4"/>
  <c r="X634" i="4"/>
  <c r="V634" i="4"/>
  <c r="T634" i="4"/>
  <c r="S634" i="4"/>
  <c r="R634" i="4"/>
  <c r="Q634" i="4"/>
  <c r="P634" i="4"/>
  <c r="O634" i="4"/>
  <c r="N634" i="4"/>
  <c r="M634" i="4"/>
  <c r="L634" i="4"/>
  <c r="W634" i="4" s="1"/>
  <c r="K634" i="4"/>
  <c r="J634" i="4"/>
  <c r="I634" i="4"/>
  <c r="H634" i="4"/>
  <c r="G634" i="4"/>
  <c r="F634" i="4"/>
  <c r="E634" i="4"/>
  <c r="U634" i="4" s="1"/>
  <c r="D634" i="4"/>
  <c r="C634" i="4"/>
  <c r="B634" i="4"/>
  <c r="A634" i="4"/>
  <c r="X633" i="4"/>
  <c r="T633" i="4"/>
  <c r="S633" i="4"/>
  <c r="R633" i="4"/>
  <c r="Q633" i="4"/>
  <c r="P633" i="4"/>
  <c r="O633" i="4"/>
  <c r="N633" i="4"/>
  <c r="M633" i="4"/>
  <c r="L633" i="4"/>
  <c r="K633" i="4"/>
  <c r="J633" i="4"/>
  <c r="I633" i="4"/>
  <c r="H633" i="4"/>
  <c r="G633" i="4"/>
  <c r="F633" i="4"/>
  <c r="E633" i="4"/>
  <c r="U633" i="4" s="1"/>
  <c r="D633" i="4"/>
  <c r="C633" i="4"/>
  <c r="V633" i="4" s="1"/>
  <c r="B633" i="4"/>
  <c r="A633" i="4"/>
  <c r="X632" i="4"/>
  <c r="W632" i="4"/>
  <c r="V632" i="4"/>
  <c r="T632" i="4"/>
  <c r="S632" i="4"/>
  <c r="R632" i="4"/>
  <c r="Q632" i="4"/>
  <c r="P632" i="4"/>
  <c r="O632" i="4"/>
  <c r="N632" i="4"/>
  <c r="M632" i="4"/>
  <c r="L632" i="4"/>
  <c r="K632" i="4"/>
  <c r="J632" i="4"/>
  <c r="I632" i="4"/>
  <c r="H632" i="4"/>
  <c r="G632" i="4"/>
  <c r="F632" i="4"/>
  <c r="E632" i="4"/>
  <c r="U632" i="4" s="1"/>
  <c r="D632" i="4"/>
  <c r="C632" i="4"/>
  <c r="B632" i="4"/>
  <c r="A632" i="4"/>
  <c r="X631" i="4"/>
  <c r="V631" i="4"/>
  <c r="T631" i="4"/>
  <c r="S631" i="4"/>
  <c r="R631" i="4"/>
  <c r="Q631" i="4"/>
  <c r="P631" i="4"/>
  <c r="O631" i="4"/>
  <c r="W631" i="4" s="1"/>
  <c r="N631" i="4"/>
  <c r="M631" i="4"/>
  <c r="L631" i="4"/>
  <c r="K631" i="4"/>
  <c r="J631" i="4"/>
  <c r="I631" i="4"/>
  <c r="H631" i="4"/>
  <c r="G631" i="4"/>
  <c r="F631" i="4"/>
  <c r="E631" i="4"/>
  <c r="U631" i="4" s="1"/>
  <c r="D631" i="4"/>
  <c r="C631" i="4"/>
  <c r="B631" i="4"/>
  <c r="A631" i="4"/>
  <c r="X630" i="4"/>
  <c r="W630" i="4"/>
  <c r="V630" i="4"/>
  <c r="T630" i="4"/>
  <c r="S630" i="4"/>
  <c r="R630" i="4"/>
  <c r="Q630" i="4"/>
  <c r="P630" i="4"/>
  <c r="O630" i="4"/>
  <c r="N630" i="4"/>
  <c r="M630" i="4"/>
  <c r="L630" i="4"/>
  <c r="K630" i="4"/>
  <c r="J630" i="4"/>
  <c r="I630" i="4"/>
  <c r="H630" i="4"/>
  <c r="G630" i="4"/>
  <c r="F630" i="4"/>
  <c r="E630" i="4"/>
  <c r="U630" i="4" s="1"/>
  <c r="D630" i="4"/>
  <c r="C630" i="4"/>
  <c r="B630" i="4"/>
  <c r="A630" i="4"/>
  <c r="X629" i="4"/>
  <c r="V629" i="4"/>
  <c r="T629" i="4"/>
  <c r="S629" i="4"/>
  <c r="R629" i="4"/>
  <c r="Q629" i="4"/>
  <c r="P629" i="4"/>
  <c r="O629" i="4"/>
  <c r="N629" i="4"/>
  <c r="M629" i="4"/>
  <c r="L629" i="4"/>
  <c r="K629" i="4"/>
  <c r="J629" i="4"/>
  <c r="I629" i="4"/>
  <c r="H629" i="4"/>
  <c r="G629" i="4"/>
  <c r="F629" i="4"/>
  <c r="E629" i="4"/>
  <c r="U629" i="4" s="1"/>
  <c r="D629" i="4"/>
  <c r="C629" i="4"/>
  <c r="B629" i="4"/>
  <c r="A629" i="4"/>
  <c r="X628" i="4"/>
  <c r="V628" i="4"/>
  <c r="T628" i="4"/>
  <c r="S628" i="4"/>
  <c r="R628" i="4"/>
  <c r="Q628" i="4"/>
  <c r="P628" i="4"/>
  <c r="O628" i="4"/>
  <c r="N628" i="4"/>
  <c r="M628" i="4"/>
  <c r="L628" i="4"/>
  <c r="W628" i="4" s="1"/>
  <c r="K628" i="4"/>
  <c r="J628" i="4"/>
  <c r="I628" i="4"/>
  <c r="H628" i="4"/>
  <c r="G628" i="4"/>
  <c r="F628" i="4"/>
  <c r="E628" i="4"/>
  <c r="U628" i="4" s="1"/>
  <c r="D628" i="4"/>
  <c r="C628" i="4"/>
  <c r="B628" i="4"/>
  <c r="A628" i="4"/>
  <c r="X627" i="4"/>
  <c r="V627" i="4"/>
  <c r="T627" i="4"/>
  <c r="S627" i="4"/>
  <c r="R627" i="4"/>
  <c r="Q627" i="4"/>
  <c r="P627" i="4"/>
  <c r="O627" i="4"/>
  <c r="N627" i="4"/>
  <c r="M627" i="4"/>
  <c r="L627" i="4"/>
  <c r="K627" i="4"/>
  <c r="J627" i="4"/>
  <c r="I627" i="4"/>
  <c r="H627" i="4"/>
  <c r="G627" i="4"/>
  <c r="F627" i="4"/>
  <c r="E627" i="4"/>
  <c r="U627" i="4" s="1"/>
  <c r="D627" i="4"/>
  <c r="C627" i="4"/>
  <c r="B627" i="4"/>
  <c r="A627" i="4"/>
  <c r="X626" i="4"/>
  <c r="V626" i="4"/>
  <c r="T626" i="4"/>
  <c r="S626" i="4"/>
  <c r="R626" i="4"/>
  <c r="Q626" i="4"/>
  <c r="P626" i="4"/>
  <c r="O626" i="4"/>
  <c r="N626" i="4"/>
  <c r="M626" i="4"/>
  <c r="L626" i="4"/>
  <c r="W626" i="4" s="1"/>
  <c r="K626" i="4"/>
  <c r="J626" i="4"/>
  <c r="I626" i="4"/>
  <c r="H626" i="4"/>
  <c r="G626" i="4"/>
  <c r="F626" i="4"/>
  <c r="E626" i="4"/>
  <c r="U626" i="4" s="1"/>
  <c r="D626" i="4"/>
  <c r="C626" i="4"/>
  <c r="B626" i="4"/>
  <c r="A626" i="4"/>
  <c r="T625" i="4"/>
  <c r="S625" i="4"/>
  <c r="R625" i="4"/>
  <c r="Q625" i="4"/>
  <c r="P625" i="4"/>
  <c r="O625" i="4"/>
  <c r="N625" i="4"/>
  <c r="M625" i="4"/>
  <c r="L625" i="4"/>
  <c r="K625" i="4"/>
  <c r="J625" i="4"/>
  <c r="I625" i="4"/>
  <c r="H625" i="4"/>
  <c r="G625" i="4"/>
  <c r="F625" i="4"/>
  <c r="E625" i="4"/>
  <c r="U625" i="4" s="1"/>
  <c r="D625" i="4"/>
  <c r="C625" i="4"/>
  <c r="V625" i="4" s="1"/>
  <c r="B625" i="4"/>
  <c r="X625" i="4" s="1"/>
  <c r="A625" i="4"/>
  <c r="X624" i="4"/>
  <c r="V624" i="4"/>
  <c r="T624" i="4"/>
  <c r="S624" i="4"/>
  <c r="R624" i="4"/>
  <c r="Q624" i="4"/>
  <c r="P624" i="4"/>
  <c r="O624" i="4"/>
  <c r="N624" i="4"/>
  <c r="M624" i="4"/>
  <c r="L624" i="4"/>
  <c r="W624" i="4" s="1"/>
  <c r="K624" i="4"/>
  <c r="J624" i="4"/>
  <c r="I624" i="4"/>
  <c r="H624" i="4"/>
  <c r="G624" i="4"/>
  <c r="F624" i="4"/>
  <c r="E624" i="4"/>
  <c r="U624" i="4" s="1"/>
  <c r="D624" i="4"/>
  <c r="C624" i="4"/>
  <c r="B624" i="4"/>
  <c r="A624" i="4"/>
  <c r="T623" i="4"/>
  <c r="S623" i="4"/>
  <c r="R623" i="4"/>
  <c r="Q623" i="4"/>
  <c r="P623" i="4"/>
  <c r="O623" i="4"/>
  <c r="N623" i="4"/>
  <c r="M623" i="4"/>
  <c r="L623" i="4"/>
  <c r="K623" i="4"/>
  <c r="J623" i="4"/>
  <c r="I623" i="4"/>
  <c r="H623" i="4"/>
  <c r="G623" i="4"/>
  <c r="F623" i="4"/>
  <c r="E623" i="4"/>
  <c r="U623" i="4" s="1"/>
  <c r="D623" i="4"/>
  <c r="C623" i="4"/>
  <c r="V623" i="4" s="1"/>
  <c r="B623" i="4"/>
  <c r="X623" i="4" s="1"/>
  <c r="A623" i="4"/>
  <c r="X622" i="4"/>
  <c r="V622" i="4"/>
  <c r="T622" i="4"/>
  <c r="S622" i="4"/>
  <c r="R622" i="4"/>
  <c r="Q622" i="4"/>
  <c r="P622" i="4"/>
  <c r="O622" i="4"/>
  <c r="N622" i="4"/>
  <c r="M622" i="4"/>
  <c r="L622" i="4"/>
  <c r="W622" i="4" s="1"/>
  <c r="K622" i="4"/>
  <c r="J622" i="4"/>
  <c r="I622" i="4"/>
  <c r="H622" i="4"/>
  <c r="G622" i="4"/>
  <c r="F622" i="4"/>
  <c r="E622" i="4"/>
  <c r="U622" i="4" s="1"/>
  <c r="D622" i="4"/>
  <c r="C622" i="4"/>
  <c r="B622" i="4"/>
  <c r="A622" i="4"/>
  <c r="T621" i="4"/>
  <c r="S621" i="4"/>
  <c r="R621" i="4"/>
  <c r="Q621" i="4"/>
  <c r="P621" i="4"/>
  <c r="O621" i="4"/>
  <c r="N621" i="4"/>
  <c r="M621" i="4"/>
  <c r="L621" i="4"/>
  <c r="K621" i="4"/>
  <c r="J621" i="4"/>
  <c r="I621" i="4"/>
  <c r="H621" i="4"/>
  <c r="G621" i="4"/>
  <c r="F621" i="4"/>
  <c r="E621" i="4"/>
  <c r="U621" i="4" s="1"/>
  <c r="D621" i="4"/>
  <c r="C621" i="4"/>
  <c r="V621" i="4" s="1"/>
  <c r="B621" i="4"/>
  <c r="X621" i="4" s="1"/>
  <c r="A621" i="4"/>
  <c r="X620" i="4"/>
  <c r="W620" i="4"/>
  <c r="V620" i="4"/>
  <c r="T620" i="4"/>
  <c r="S620" i="4"/>
  <c r="R620" i="4"/>
  <c r="Q620" i="4"/>
  <c r="P620" i="4"/>
  <c r="O620" i="4"/>
  <c r="N620" i="4"/>
  <c r="M620" i="4"/>
  <c r="L620" i="4"/>
  <c r="K620" i="4"/>
  <c r="J620" i="4"/>
  <c r="I620" i="4"/>
  <c r="H620" i="4"/>
  <c r="G620" i="4"/>
  <c r="F620" i="4"/>
  <c r="E620" i="4"/>
  <c r="U620" i="4" s="1"/>
  <c r="D620" i="4"/>
  <c r="C620" i="4"/>
  <c r="B620" i="4"/>
  <c r="A620" i="4"/>
  <c r="X619" i="4"/>
  <c r="V619" i="4"/>
  <c r="T619" i="4"/>
  <c r="S619" i="4"/>
  <c r="R619" i="4"/>
  <c r="Q619" i="4"/>
  <c r="P619" i="4"/>
  <c r="O619" i="4"/>
  <c r="W619" i="4" s="1"/>
  <c r="N619" i="4"/>
  <c r="M619" i="4"/>
  <c r="L619" i="4"/>
  <c r="K619" i="4"/>
  <c r="J619" i="4"/>
  <c r="I619" i="4"/>
  <c r="H619" i="4"/>
  <c r="G619" i="4"/>
  <c r="F619" i="4"/>
  <c r="E619" i="4"/>
  <c r="U619" i="4" s="1"/>
  <c r="D619" i="4"/>
  <c r="C619" i="4"/>
  <c r="B619" i="4"/>
  <c r="A619" i="4"/>
  <c r="X618" i="4"/>
  <c r="W618" i="4"/>
  <c r="V618" i="4"/>
  <c r="T618" i="4"/>
  <c r="S618" i="4"/>
  <c r="R618" i="4"/>
  <c r="Q618" i="4"/>
  <c r="P618" i="4"/>
  <c r="O618" i="4"/>
  <c r="N618" i="4"/>
  <c r="M618" i="4"/>
  <c r="L618" i="4"/>
  <c r="K618" i="4"/>
  <c r="J618" i="4"/>
  <c r="I618" i="4"/>
  <c r="H618" i="4"/>
  <c r="G618" i="4"/>
  <c r="F618" i="4"/>
  <c r="E618" i="4"/>
  <c r="U618" i="4" s="1"/>
  <c r="D618" i="4"/>
  <c r="C618" i="4"/>
  <c r="B618" i="4"/>
  <c r="A618" i="4"/>
  <c r="X617" i="4"/>
  <c r="V617" i="4"/>
  <c r="T617" i="4"/>
  <c r="S617" i="4"/>
  <c r="R617" i="4"/>
  <c r="Q617" i="4"/>
  <c r="P617" i="4"/>
  <c r="O617" i="4"/>
  <c r="W617" i="4" s="1"/>
  <c r="N617" i="4"/>
  <c r="M617" i="4"/>
  <c r="L617" i="4"/>
  <c r="K617" i="4"/>
  <c r="J617" i="4"/>
  <c r="I617" i="4"/>
  <c r="H617" i="4"/>
  <c r="G617" i="4"/>
  <c r="F617" i="4"/>
  <c r="E617" i="4"/>
  <c r="U617" i="4" s="1"/>
  <c r="D617" i="4"/>
  <c r="C617" i="4"/>
  <c r="B617" i="4"/>
  <c r="A617" i="4"/>
  <c r="X616" i="4"/>
  <c r="W616" i="4"/>
  <c r="V616" i="4"/>
  <c r="T616" i="4"/>
  <c r="S616" i="4"/>
  <c r="R616" i="4"/>
  <c r="Q616" i="4"/>
  <c r="P616" i="4"/>
  <c r="O616" i="4"/>
  <c r="N616" i="4"/>
  <c r="M616" i="4"/>
  <c r="L616" i="4"/>
  <c r="K616" i="4"/>
  <c r="J616" i="4"/>
  <c r="I616" i="4"/>
  <c r="H616" i="4"/>
  <c r="G616" i="4"/>
  <c r="F616" i="4"/>
  <c r="E616" i="4"/>
  <c r="U616" i="4" s="1"/>
  <c r="D616" i="4"/>
  <c r="C616" i="4"/>
  <c r="B616" i="4"/>
  <c r="A616" i="4"/>
  <c r="X615" i="4"/>
  <c r="V615" i="4"/>
  <c r="U615" i="4"/>
  <c r="T615" i="4"/>
  <c r="S615" i="4"/>
  <c r="R615" i="4"/>
  <c r="Q615" i="4"/>
  <c r="P615" i="4"/>
  <c r="O615" i="4"/>
  <c r="W615" i="4" s="1"/>
  <c r="N615" i="4"/>
  <c r="M615" i="4"/>
  <c r="L615" i="4"/>
  <c r="K615" i="4"/>
  <c r="J615" i="4"/>
  <c r="I615" i="4"/>
  <c r="H615" i="4"/>
  <c r="G615" i="4"/>
  <c r="F615" i="4"/>
  <c r="E615" i="4"/>
  <c r="D615" i="4"/>
  <c r="C615" i="4"/>
  <c r="B615" i="4"/>
  <c r="A615" i="4"/>
  <c r="X614" i="4"/>
  <c r="V614" i="4"/>
  <c r="T614" i="4"/>
  <c r="S614" i="4"/>
  <c r="R614" i="4"/>
  <c r="Q614" i="4"/>
  <c r="P614" i="4"/>
  <c r="O614" i="4"/>
  <c r="N614" i="4"/>
  <c r="M614" i="4"/>
  <c r="L614" i="4"/>
  <c r="W614" i="4" s="1"/>
  <c r="K614" i="4"/>
  <c r="J614" i="4"/>
  <c r="I614" i="4"/>
  <c r="H614" i="4"/>
  <c r="G614" i="4"/>
  <c r="F614" i="4"/>
  <c r="E614" i="4"/>
  <c r="U614" i="4" s="1"/>
  <c r="D614" i="4"/>
  <c r="C614" i="4"/>
  <c r="B614" i="4"/>
  <c r="A614" i="4"/>
  <c r="T613" i="4"/>
  <c r="S613" i="4"/>
  <c r="R613" i="4"/>
  <c r="Q613" i="4"/>
  <c r="P613" i="4"/>
  <c r="O613" i="4"/>
  <c r="N613" i="4"/>
  <c r="M613" i="4"/>
  <c r="L613" i="4"/>
  <c r="K613" i="4"/>
  <c r="J613" i="4"/>
  <c r="I613" i="4"/>
  <c r="H613" i="4"/>
  <c r="G613" i="4"/>
  <c r="F613" i="4"/>
  <c r="E613" i="4"/>
  <c r="U613" i="4" s="1"/>
  <c r="D613" i="4"/>
  <c r="C613" i="4"/>
  <c r="V613" i="4" s="1"/>
  <c r="B613" i="4"/>
  <c r="X613" i="4" s="1"/>
  <c r="A613" i="4"/>
  <c r="X612" i="4"/>
  <c r="V612" i="4"/>
  <c r="T612" i="4"/>
  <c r="S612" i="4"/>
  <c r="R612" i="4"/>
  <c r="Q612" i="4"/>
  <c r="P612" i="4"/>
  <c r="O612" i="4"/>
  <c r="N612" i="4"/>
  <c r="M612" i="4"/>
  <c r="L612" i="4"/>
  <c r="W612" i="4" s="1"/>
  <c r="K612" i="4"/>
  <c r="J612" i="4"/>
  <c r="I612" i="4"/>
  <c r="H612" i="4"/>
  <c r="G612" i="4"/>
  <c r="F612" i="4"/>
  <c r="E612" i="4"/>
  <c r="U612" i="4" s="1"/>
  <c r="D612" i="4"/>
  <c r="C612" i="4"/>
  <c r="B612" i="4"/>
  <c r="A612" i="4"/>
  <c r="T611" i="4"/>
  <c r="S611" i="4"/>
  <c r="R611" i="4"/>
  <c r="Q611" i="4"/>
  <c r="P611" i="4"/>
  <c r="O611" i="4"/>
  <c r="W611" i="4" s="1"/>
  <c r="N611" i="4"/>
  <c r="M611" i="4"/>
  <c r="L611" i="4"/>
  <c r="K611" i="4"/>
  <c r="J611" i="4"/>
  <c r="I611" i="4"/>
  <c r="H611" i="4"/>
  <c r="G611" i="4"/>
  <c r="F611" i="4"/>
  <c r="E611" i="4"/>
  <c r="U611" i="4" s="1"/>
  <c r="D611" i="4"/>
  <c r="C611" i="4"/>
  <c r="V611" i="4" s="1"/>
  <c r="B611" i="4"/>
  <c r="X611" i="4" s="1"/>
  <c r="A611" i="4"/>
  <c r="X610" i="4"/>
  <c r="W610" i="4"/>
  <c r="V610" i="4"/>
  <c r="T610" i="4"/>
  <c r="S610" i="4"/>
  <c r="R610" i="4"/>
  <c r="Q610" i="4"/>
  <c r="P610" i="4"/>
  <c r="O610" i="4"/>
  <c r="N610" i="4"/>
  <c r="M610" i="4"/>
  <c r="L610" i="4"/>
  <c r="K610" i="4"/>
  <c r="J610" i="4"/>
  <c r="I610" i="4"/>
  <c r="H610" i="4"/>
  <c r="G610" i="4"/>
  <c r="F610" i="4"/>
  <c r="E610" i="4"/>
  <c r="U610" i="4" s="1"/>
  <c r="D610" i="4"/>
  <c r="C610" i="4"/>
  <c r="B610" i="4"/>
  <c r="A610" i="4"/>
  <c r="X609" i="4"/>
  <c r="T609" i="4"/>
  <c r="S609" i="4"/>
  <c r="R609" i="4"/>
  <c r="Q609" i="4"/>
  <c r="P609" i="4"/>
  <c r="O609" i="4"/>
  <c r="N609" i="4"/>
  <c r="M609" i="4"/>
  <c r="L609" i="4"/>
  <c r="K609" i="4"/>
  <c r="J609" i="4"/>
  <c r="I609" i="4"/>
  <c r="H609" i="4"/>
  <c r="G609" i="4"/>
  <c r="F609" i="4"/>
  <c r="E609" i="4"/>
  <c r="U609" i="4" s="1"/>
  <c r="D609" i="4"/>
  <c r="C609" i="4"/>
  <c r="V609" i="4" s="1"/>
  <c r="B609" i="4"/>
  <c r="A609" i="4"/>
  <c r="X608" i="4"/>
  <c r="V608" i="4"/>
  <c r="T608" i="4"/>
  <c r="S608" i="4"/>
  <c r="R608" i="4"/>
  <c r="Q608" i="4"/>
  <c r="P608" i="4"/>
  <c r="O608" i="4"/>
  <c r="N608" i="4"/>
  <c r="M608" i="4"/>
  <c r="L608" i="4"/>
  <c r="W608" i="4" s="1"/>
  <c r="K608" i="4"/>
  <c r="J608" i="4"/>
  <c r="I608" i="4"/>
  <c r="H608" i="4"/>
  <c r="G608" i="4"/>
  <c r="F608" i="4"/>
  <c r="E608" i="4"/>
  <c r="U608" i="4" s="1"/>
  <c r="D608" i="4"/>
  <c r="C608" i="4"/>
  <c r="B608" i="4"/>
  <c r="A608" i="4"/>
  <c r="V607" i="4"/>
  <c r="T607" i="4"/>
  <c r="S607" i="4"/>
  <c r="R607" i="4"/>
  <c r="Q607" i="4"/>
  <c r="P607" i="4"/>
  <c r="O607" i="4"/>
  <c r="N607" i="4"/>
  <c r="M607" i="4"/>
  <c r="L607" i="4"/>
  <c r="K607" i="4"/>
  <c r="J607" i="4"/>
  <c r="I607" i="4"/>
  <c r="H607" i="4"/>
  <c r="G607" i="4"/>
  <c r="F607" i="4"/>
  <c r="E607" i="4"/>
  <c r="U607" i="4" s="1"/>
  <c r="D607" i="4"/>
  <c r="C607" i="4"/>
  <c r="B607" i="4"/>
  <c r="X607" i="4" s="1"/>
  <c r="A607" i="4"/>
  <c r="X606" i="4"/>
  <c r="W606" i="4"/>
  <c r="V606" i="4"/>
  <c r="T606" i="4"/>
  <c r="S606" i="4"/>
  <c r="R606" i="4"/>
  <c r="Q606" i="4"/>
  <c r="P606" i="4"/>
  <c r="O606" i="4"/>
  <c r="N606" i="4"/>
  <c r="M606" i="4"/>
  <c r="L606" i="4"/>
  <c r="K606" i="4"/>
  <c r="J606" i="4"/>
  <c r="I606" i="4"/>
  <c r="H606" i="4"/>
  <c r="G606" i="4"/>
  <c r="F606" i="4"/>
  <c r="E606" i="4"/>
  <c r="U606" i="4" s="1"/>
  <c r="D606" i="4"/>
  <c r="C606" i="4"/>
  <c r="B606" i="4"/>
  <c r="A606" i="4"/>
  <c r="X605" i="4"/>
  <c r="V605" i="4"/>
  <c r="T605" i="4"/>
  <c r="S605" i="4"/>
  <c r="R605" i="4"/>
  <c r="Q605" i="4"/>
  <c r="P605" i="4"/>
  <c r="O605" i="4"/>
  <c r="W605" i="4" s="1"/>
  <c r="N605" i="4"/>
  <c r="M605" i="4"/>
  <c r="L605" i="4"/>
  <c r="K605" i="4"/>
  <c r="J605" i="4"/>
  <c r="I605" i="4"/>
  <c r="H605" i="4"/>
  <c r="G605" i="4"/>
  <c r="F605" i="4"/>
  <c r="E605" i="4"/>
  <c r="U605" i="4" s="1"/>
  <c r="D605" i="4"/>
  <c r="C605" i="4"/>
  <c r="B605" i="4"/>
  <c r="A605" i="4"/>
  <c r="X604" i="4"/>
  <c r="W604" i="4"/>
  <c r="V604" i="4"/>
  <c r="T604" i="4"/>
  <c r="S604" i="4"/>
  <c r="R604" i="4"/>
  <c r="Q604" i="4"/>
  <c r="P604" i="4"/>
  <c r="O604" i="4"/>
  <c r="N604" i="4"/>
  <c r="M604" i="4"/>
  <c r="L604" i="4"/>
  <c r="K604" i="4"/>
  <c r="J604" i="4"/>
  <c r="I604" i="4"/>
  <c r="H604" i="4"/>
  <c r="G604" i="4"/>
  <c r="F604" i="4"/>
  <c r="E604" i="4"/>
  <c r="U604" i="4" s="1"/>
  <c r="D604" i="4"/>
  <c r="C604" i="4"/>
  <c r="B604" i="4"/>
  <c r="A604" i="4"/>
  <c r="X603" i="4"/>
  <c r="V603" i="4"/>
  <c r="T603" i="4"/>
  <c r="S603" i="4"/>
  <c r="R603" i="4"/>
  <c r="Q603" i="4"/>
  <c r="P603" i="4"/>
  <c r="O603" i="4"/>
  <c r="W603" i="4" s="1"/>
  <c r="N603" i="4"/>
  <c r="M603" i="4"/>
  <c r="L603" i="4"/>
  <c r="K603" i="4"/>
  <c r="J603" i="4"/>
  <c r="I603" i="4"/>
  <c r="H603" i="4"/>
  <c r="G603" i="4"/>
  <c r="F603" i="4"/>
  <c r="E603" i="4"/>
  <c r="U603" i="4" s="1"/>
  <c r="D603" i="4"/>
  <c r="C603" i="4"/>
  <c r="B603" i="4"/>
  <c r="A603" i="4"/>
  <c r="X602" i="4"/>
  <c r="V602" i="4"/>
  <c r="T602" i="4"/>
  <c r="S602" i="4"/>
  <c r="R602" i="4"/>
  <c r="Q602" i="4"/>
  <c r="P602" i="4"/>
  <c r="O602" i="4"/>
  <c r="N602" i="4"/>
  <c r="M602" i="4"/>
  <c r="L602" i="4"/>
  <c r="W602" i="4" s="1"/>
  <c r="K602" i="4"/>
  <c r="J602" i="4"/>
  <c r="I602" i="4"/>
  <c r="H602" i="4"/>
  <c r="G602" i="4"/>
  <c r="F602" i="4"/>
  <c r="E602" i="4"/>
  <c r="U602" i="4" s="1"/>
  <c r="D602" i="4"/>
  <c r="C602" i="4"/>
  <c r="B602" i="4"/>
  <c r="A602" i="4"/>
  <c r="X601" i="4"/>
  <c r="T601" i="4"/>
  <c r="S601" i="4"/>
  <c r="R601" i="4"/>
  <c r="Q601" i="4"/>
  <c r="P601" i="4"/>
  <c r="O601" i="4"/>
  <c r="N601" i="4"/>
  <c r="M601" i="4"/>
  <c r="L601" i="4"/>
  <c r="K601" i="4"/>
  <c r="J601" i="4"/>
  <c r="I601" i="4"/>
  <c r="H601" i="4"/>
  <c r="G601" i="4"/>
  <c r="F601" i="4"/>
  <c r="E601" i="4"/>
  <c r="U601" i="4" s="1"/>
  <c r="D601" i="4"/>
  <c r="C601" i="4"/>
  <c r="V601" i="4" s="1"/>
  <c r="B601" i="4"/>
  <c r="A601" i="4"/>
  <c r="X600" i="4"/>
  <c r="W600" i="4"/>
  <c r="V600" i="4"/>
  <c r="T600" i="4"/>
  <c r="S600" i="4"/>
  <c r="R600" i="4"/>
  <c r="Q600" i="4"/>
  <c r="P600" i="4"/>
  <c r="O600" i="4"/>
  <c r="N600" i="4"/>
  <c r="M600" i="4"/>
  <c r="L600" i="4"/>
  <c r="K600" i="4"/>
  <c r="J600" i="4"/>
  <c r="I600" i="4"/>
  <c r="H600" i="4"/>
  <c r="G600" i="4"/>
  <c r="F600" i="4"/>
  <c r="E600" i="4"/>
  <c r="U600" i="4" s="1"/>
  <c r="D600" i="4"/>
  <c r="C600" i="4"/>
  <c r="B600" i="4"/>
  <c r="A600" i="4"/>
  <c r="V599" i="4"/>
  <c r="T599" i="4"/>
  <c r="S599" i="4"/>
  <c r="R599" i="4"/>
  <c r="Q599" i="4"/>
  <c r="P599" i="4"/>
  <c r="O599" i="4"/>
  <c r="W599" i="4" s="1"/>
  <c r="N599" i="4"/>
  <c r="M599" i="4"/>
  <c r="L599" i="4"/>
  <c r="K599" i="4"/>
  <c r="J599" i="4"/>
  <c r="I599" i="4"/>
  <c r="H599" i="4"/>
  <c r="G599" i="4"/>
  <c r="F599" i="4"/>
  <c r="E599" i="4"/>
  <c r="U599" i="4" s="1"/>
  <c r="D599" i="4"/>
  <c r="C599" i="4"/>
  <c r="B599" i="4"/>
  <c r="X599" i="4" s="1"/>
  <c r="A599" i="4"/>
  <c r="X598" i="4"/>
  <c r="V598" i="4"/>
  <c r="T598" i="4"/>
  <c r="S598" i="4"/>
  <c r="R598" i="4"/>
  <c r="Q598" i="4"/>
  <c r="P598" i="4"/>
  <c r="O598" i="4"/>
  <c r="N598" i="4"/>
  <c r="M598" i="4"/>
  <c r="L598" i="4"/>
  <c r="W598" i="4" s="1"/>
  <c r="K598" i="4"/>
  <c r="J598" i="4"/>
  <c r="I598" i="4"/>
  <c r="H598" i="4"/>
  <c r="G598" i="4"/>
  <c r="F598" i="4"/>
  <c r="E598" i="4"/>
  <c r="U598" i="4" s="1"/>
  <c r="D598" i="4"/>
  <c r="C598" i="4"/>
  <c r="B598" i="4"/>
  <c r="A598" i="4"/>
  <c r="X597" i="4"/>
  <c r="T597" i="4"/>
  <c r="S597" i="4"/>
  <c r="R597" i="4"/>
  <c r="Q597" i="4"/>
  <c r="P597" i="4"/>
  <c r="O597" i="4"/>
  <c r="N597" i="4"/>
  <c r="M597" i="4"/>
  <c r="L597" i="4"/>
  <c r="K597" i="4"/>
  <c r="J597" i="4"/>
  <c r="I597" i="4"/>
  <c r="H597" i="4"/>
  <c r="G597" i="4"/>
  <c r="F597" i="4"/>
  <c r="E597" i="4"/>
  <c r="U597" i="4" s="1"/>
  <c r="D597" i="4"/>
  <c r="C597" i="4"/>
  <c r="V597" i="4" s="1"/>
  <c r="B597" i="4"/>
  <c r="A597" i="4"/>
  <c r="X596" i="4"/>
  <c r="V596" i="4"/>
  <c r="T596" i="4"/>
  <c r="S596" i="4"/>
  <c r="R596" i="4"/>
  <c r="Q596" i="4"/>
  <c r="P596" i="4"/>
  <c r="O596" i="4"/>
  <c r="N596" i="4"/>
  <c r="M596" i="4"/>
  <c r="L596" i="4"/>
  <c r="W596" i="4" s="1"/>
  <c r="K596" i="4"/>
  <c r="J596" i="4"/>
  <c r="I596" i="4"/>
  <c r="H596" i="4"/>
  <c r="G596" i="4"/>
  <c r="F596" i="4"/>
  <c r="E596" i="4"/>
  <c r="U596" i="4" s="1"/>
  <c r="D596" i="4"/>
  <c r="C596" i="4"/>
  <c r="B596" i="4"/>
  <c r="A596" i="4"/>
  <c r="X595" i="4"/>
  <c r="V595" i="4"/>
  <c r="T595" i="4"/>
  <c r="S595" i="4"/>
  <c r="R595" i="4"/>
  <c r="Q595" i="4"/>
  <c r="P595" i="4"/>
  <c r="O595" i="4"/>
  <c r="N595" i="4"/>
  <c r="M595" i="4"/>
  <c r="L595" i="4"/>
  <c r="K595" i="4"/>
  <c r="J595" i="4"/>
  <c r="I595" i="4"/>
  <c r="H595" i="4"/>
  <c r="G595" i="4"/>
  <c r="F595" i="4"/>
  <c r="E595" i="4"/>
  <c r="U595" i="4" s="1"/>
  <c r="D595" i="4"/>
  <c r="C595" i="4"/>
  <c r="B595" i="4"/>
  <c r="A595" i="4"/>
  <c r="X594" i="4"/>
  <c r="V594" i="4"/>
  <c r="T594" i="4"/>
  <c r="S594" i="4"/>
  <c r="R594" i="4"/>
  <c r="Q594" i="4"/>
  <c r="P594" i="4"/>
  <c r="O594" i="4"/>
  <c r="N594" i="4"/>
  <c r="M594" i="4"/>
  <c r="L594" i="4"/>
  <c r="W594" i="4" s="1"/>
  <c r="K594" i="4"/>
  <c r="J594" i="4"/>
  <c r="I594" i="4"/>
  <c r="H594" i="4"/>
  <c r="G594" i="4"/>
  <c r="F594" i="4"/>
  <c r="E594" i="4"/>
  <c r="U594" i="4" s="1"/>
  <c r="D594" i="4"/>
  <c r="C594" i="4"/>
  <c r="B594" i="4"/>
  <c r="A594" i="4"/>
  <c r="T593" i="4"/>
  <c r="S593" i="4"/>
  <c r="R593" i="4"/>
  <c r="Q593" i="4"/>
  <c r="P593" i="4"/>
  <c r="O593" i="4"/>
  <c r="N593" i="4"/>
  <c r="M593" i="4"/>
  <c r="L593" i="4"/>
  <c r="K593" i="4"/>
  <c r="J593" i="4"/>
  <c r="I593" i="4"/>
  <c r="H593" i="4"/>
  <c r="G593" i="4"/>
  <c r="F593" i="4"/>
  <c r="E593" i="4"/>
  <c r="U593" i="4" s="1"/>
  <c r="D593" i="4"/>
  <c r="C593" i="4"/>
  <c r="V593" i="4" s="1"/>
  <c r="B593" i="4"/>
  <c r="X593" i="4" s="1"/>
  <c r="A593" i="4"/>
  <c r="X592" i="4"/>
  <c r="V592" i="4"/>
  <c r="T592" i="4"/>
  <c r="S592" i="4"/>
  <c r="R592" i="4"/>
  <c r="Q592" i="4"/>
  <c r="P592" i="4"/>
  <c r="O592" i="4"/>
  <c r="N592" i="4"/>
  <c r="M592" i="4"/>
  <c r="L592" i="4"/>
  <c r="W592" i="4" s="1"/>
  <c r="K592" i="4"/>
  <c r="J592" i="4"/>
  <c r="I592" i="4"/>
  <c r="H592" i="4"/>
  <c r="G592" i="4"/>
  <c r="F592" i="4"/>
  <c r="E592" i="4"/>
  <c r="U592" i="4" s="1"/>
  <c r="D592" i="4"/>
  <c r="C592" i="4"/>
  <c r="B592" i="4"/>
  <c r="A592" i="4"/>
  <c r="T591" i="4"/>
  <c r="S591" i="4"/>
  <c r="R591" i="4"/>
  <c r="Q591" i="4"/>
  <c r="P591" i="4"/>
  <c r="O591" i="4"/>
  <c r="N591" i="4"/>
  <c r="M591" i="4"/>
  <c r="L591" i="4"/>
  <c r="K591" i="4"/>
  <c r="J591" i="4"/>
  <c r="I591" i="4"/>
  <c r="H591" i="4"/>
  <c r="G591" i="4"/>
  <c r="F591" i="4"/>
  <c r="E591" i="4"/>
  <c r="U591" i="4" s="1"/>
  <c r="D591" i="4"/>
  <c r="C591" i="4"/>
  <c r="V591" i="4" s="1"/>
  <c r="B591" i="4"/>
  <c r="X591" i="4" s="1"/>
  <c r="A591" i="4"/>
  <c r="X590" i="4"/>
  <c r="V590" i="4"/>
  <c r="T590" i="4"/>
  <c r="S590" i="4"/>
  <c r="R590" i="4"/>
  <c r="Q590" i="4"/>
  <c r="P590" i="4"/>
  <c r="O590" i="4"/>
  <c r="N590" i="4"/>
  <c r="M590" i="4"/>
  <c r="L590" i="4"/>
  <c r="W590" i="4" s="1"/>
  <c r="K590" i="4"/>
  <c r="J590" i="4"/>
  <c r="I590" i="4"/>
  <c r="H590" i="4"/>
  <c r="G590" i="4"/>
  <c r="F590" i="4"/>
  <c r="E590" i="4"/>
  <c r="U590" i="4" s="1"/>
  <c r="D590" i="4"/>
  <c r="C590" i="4"/>
  <c r="B590" i="4"/>
  <c r="A590" i="4"/>
  <c r="X589" i="4"/>
  <c r="T589" i="4"/>
  <c r="S589" i="4"/>
  <c r="R589" i="4"/>
  <c r="Q589" i="4"/>
  <c r="P589" i="4"/>
  <c r="O589" i="4"/>
  <c r="N589" i="4"/>
  <c r="M589" i="4"/>
  <c r="L589" i="4"/>
  <c r="K589" i="4"/>
  <c r="J589" i="4"/>
  <c r="I589" i="4"/>
  <c r="H589" i="4"/>
  <c r="G589" i="4"/>
  <c r="F589" i="4"/>
  <c r="E589" i="4"/>
  <c r="U589" i="4" s="1"/>
  <c r="D589" i="4"/>
  <c r="C589" i="4"/>
  <c r="V589" i="4" s="1"/>
  <c r="B589" i="4"/>
  <c r="A589" i="4"/>
  <c r="X588" i="4"/>
  <c r="V588" i="4"/>
  <c r="T588" i="4"/>
  <c r="S588" i="4"/>
  <c r="R588" i="4"/>
  <c r="Q588" i="4"/>
  <c r="P588" i="4"/>
  <c r="O588" i="4"/>
  <c r="N588" i="4"/>
  <c r="M588" i="4"/>
  <c r="L588" i="4"/>
  <c r="K588" i="4"/>
  <c r="J588" i="4"/>
  <c r="I588" i="4"/>
  <c r="H588" i="4"/>
  <c r="G588" i="4"/>
  <c r="F588" i="4"/>
  <c r="E588" i="4"/>
  <c r="U588" i="4" s="1"/>
  <c r="D588" i="4"/>
  <c r="C588" i="4"/>
  <c r="B588" i="4"/>
  <c r="A588" i="4"/>
  <c r="T587" i="4"/>
  <c r="S587" i="4"/>
  <c r="R587" i="4"/>
  <c r="Q587" i="4"/>
  <c r="P587" i="4"/>
  <c r="O587" i="4"/>
  <c r="W587" i="4" s="1"/>
  <c r="N587" i="4"/>
  <c r="M587" i="4"/>
  <c r="L587" i="4"/>
  <c r="K587" i="4"/>
  <c r="J587" i="4"/>
  <c r="I587" i="4"/>
  <c r="H587" i="4"/>
  <c r="G587" i="4"/>
  <c r="F587" i="4"/>
  <c r="E587" i="4"/>
  <c r="U587" i="4" s="1"/>
  <c r="D587" i="4"/>
  <c r="C587" i="4"/>
  <c r="V587" i="4" s="1"/>
  <c r="B587" i="4"/>
  <c r="X587" i="4" s="1"/>
  <c r="A587" i="4"/>
  <c r="X586" i="4"/>
  <c r="W586" i="4"/>
  <c r="V586" i="4"/>
  <c r="T586" i="4"/>
  <c r="S586" i="4"/>
  <c r="R586" i="4"/>
  <c r="Q586" i="4"/>
  <c r="P586" i="4"/>
  <c r="O586" i="4"/>
  <c r="N586" i="4"/>
  <c r="M586" i="4"/>
  <c r="L586" i="4"/>
  <c r="K586" i="4"/>
  <c r="J586" i="4"/>
  <c r="I586" i="4"/>
  <c r="H586" i="4"/>
  <c r="G586" i="4"/>
  <c r="F586" i="4"/>
  <c r="E586" i="4"/>
  <c r="U586" i="4" s="1"/>
  <c r="D586" i="4"/>
  <c r="C586" i="4"/>
  <c r="B586" i="4"/>
  <c r="A586" i="4"/>
  <c r="X585" i="4"/>
  <c r="W585" i="4"/>
  <c r="T585" i="4"/>
  <c r="S585" i="4"/>
  <c r="R585" i="4"/>
  <c r="Q585" i="4"/>
  <c r="P585" i="4"/>
  <c r="O585" i="4"/>
  <c r="N585" i="4"/>
  <c r="M585" i="4"/>
  <c r="L585" i="4"/>
  <c r="K585" i="4"/>
  <c r="J585" i="4"/>
  <c r="I585" i="4"/>
  <c r="H585" i="4"/>
  <c r="G585" i="4"/>
  <c r="F585" i="4"/>
  <c r="E585" i="4"/>
  <c r="U585" i="4" s="1"/>
  <c r="D585" i="4"/>
  <c r="C585" i="4"/>
  <c r="V585" i="4" s="1"/>
  <c r="B585" i="4"/>
  <c r="A585" i="4"/>
  <c r="X584" i="4"/>
  <c r="V584" i="4"/>
  <c r="T584" i="4"/>
  <c r="S584" i="4"/>
  <c r="R584" i="4"/>
  <c r="Q584" i="4"/>
  <c r="P584" i="4"/>
  <c r="O584" i="4"/>
  <c r="W584" i="4" s="1"/>
  <c r="N584" i="4"/>
  <c r="M584" i="4"/>
  <c r="L584" i="4"/>
  <c r="K584" i="4"/>
  <c r="J584" i="4"/>
  <c r="I584" i="4"/>
  <c r="H584" i="4"/>
  <c r="G584" i="4"/>
  <c r="F584" i="4"/>
  <c r="E584" i="4"/>
  <c r="U584" i="4" s="1"/>
  <c r="D584" i="4"/>
  <c r="C584" i="4"/>
  <c r="B584" i="4"/>
  <c r="A584" i="4"/>
  <c r="X583" i="4"/>
  <c r="T583" i="4"/>
  <c r="S583" i="4"/>
  <c r="W583" i="4" s="1"/>
  <c r="R583" i="4"/>
  <c r="Q583" i="4"/>
  <c r="P583" i="4"/>
  <c r="O583" i="4"/>
  <c r="N583" i="4"/>
  <c r="M583" i="4"/>
  <c r="L583" i="4"/>
  <c r="K583" i="4"/>
  <c r="J583" i="4"/>
  <c r="I583" i="4"/>
  <c r="H583" i="4"/>
  <c r="G583" i="4"/>
  <c r="F583" i="4"/>
  <c r="E583" i="4"/>
  <c r="U583" i="4" s="1"/>
  <c r="D583" i="4"/>
  <c r="C583" i="4"/>
  <c r="V583" i="4" s="1"/>
  <c r="B583" i="4"/>
  <c r="A583" i="4"/>
  <c r="X582" i="4"/>
  <c r="V582" i="4"/>
  <c r="T582" i="4"/>
  <c r="S582" i="4"/>
  <c r="R582" i="4"/>
  <c r="Q582" i="4"/>
  <c r="P582" i="4"/>
  <c r="O582" i="4"/>
  <c r="N582" i="4"/>
  <c r="M582" i="4"/>
  <c r="L582" i="4"/>
  <c r="W582" i="4" s="1"/>
  <c r="K582" i="4"/>
  <c r="J582" i="4"/>
  <c r="I582" i="4"/>
  <c r="H582" i="4"/>
  <c r="G582" i="4"/>
  <c r="F582" i="4"/>
  <c r="E582" i="4"/>
  <c r="U582" i="4" s="1"/>
  <c r="D582" i="4"/>
  <c r="C582" i="4"/>
  <c r="B582" i="4"/>
  <c r="A582" i="4"/>
  <c r="T581" i="4"/>
  <c r="S581" i="4"/>
  <c r="R581" i="4"/>
  <c r="Q581" i="4"/>
  <c r="P581" i="4"/>
  <c r="O581" i="4"/>
  <c r="W581" i="4" s="1"/>
  <c r="N581" i="4"/>
  <c r="M581" i="4"/>
  <c r="L581" i="4"/>
  <c r="K581" i="4"/>
  <c r="J581" i="4"/>
  <c r="I581" i="4"/>
  <c r="H581" i="4"/>
  <c r="G581" i="4"/>
  <c r="F581" i="4"/>
  <c r="E581" i="4"/>
  <c r="U581" i="4" s="1"/>
  <c r="D581" i="4"/>
  <c r="C581" i="4"/>
  <c r="V581" i="4" s="1"/>
  <c r="B581" i="4"/>
  <c r="X581" i="4" s="1"/>
  <c r="A581" i="4"/>
  <c r="X580" i="4"/>
  <c r="W580" i="4"/>
  <c r="V580" i="4"/>
  <c r="T580" i="4"/>
  <c r="S580" i="4"/>
  <c r="R580" i="4"/>
  <c r="Q580" i="4"/>
  <c r="P580" i="4"/>
  <c r="O580" i="4"/>
  <c r="N580" i="4"/>
  <c r="M580" i="4"/>
  <c r="L580" i="4"/>
  <c r="K580" i="4"/>
  <c r="J580" i="4"/>
  <c r="I580" i="4"/>
  <c r="H580" i="4"/>
  <c r="G580" i="4"/>
  <c r="F580" i="4"/>
  <c r="E580" i="4"/>
  <c r="U580" i="4" s="1"/>
  <c r="D580" i="4"/>
  <c r="C580" i="4"/>
  <c r="B580" i="4"/>
  <c r="A580" i="4"/>
  <c r="T579" i="4"/>
  <c r="S579" i="4"/>
  <c r="R579" i="4"/>
  <c r="Q579" i="4"/>
  <c r="P579" i="4"/>
  <c r="O579" i="4"/>
  <c r="W579" i="4" s="1"/>
  <c r="N579" i="4"/>
  <c r="M579" i="4"/>
  <c r="L579" i="4"/>
  <c r="K579" i="4"/>
  <c r="J579" i="4"/>
  <c r="I579" i="4"/>
  <c r="H579" i="4"/>
  <c r="G579" i="4"/>
  <c r="F579" i="4"/>
  <c r="E579" i="4"/>
  <c r="U579" i="4" s="1"/>
  <c r="D579" i="4"/>
  <c r="C579" i="4"/>
  <c r="V579" i="4" s="1"/>
  <c r="B579" i="4"/>
  <c r="X579" i="4" s="1"/>
  <c r="A579" i="4"/>
  <c r="X578" i="4"/>
  <c r="V578" i="4"/>
  <c r="T578" i="4"/>
  <c r="S578" i="4"/>
  <c r="R578" i="4"/>
  <c r="Q578" i="4"/>
  <c r="P578" i="4"/>
  <c r="O578" i="4"/>
  <c r="W578" i="4" s="1"/>
  <c r="N578" i="4"/>
  <c r="M578" i="4"/>
  <c r="L578" i="4"/>
  <c r="K578" i="4"/>
  <c r="J578" i="4"/>
  <c r="I578" i="4"/>
  <c r="H578" i="4"/>
  <c r="G578" i="4"/>
  <c r="F578" i="4"/>
  <c r="E578" i="4"/>
  <c r="U578" i="4" s="1"/>
  <c r="D578" i="4"/>
  <c r="C578" i="4"/>
  <c r="B578" i="4"/>
  <c r="A578" i="4"/>
  <c r="X577" i="4"/>
  <c r="T577" i="4"/>
  <c r="S577" i="4"/>
  <c r="R577" i="4"/>
  <c r="Q577" i="4"/>
  <c r="P577" i="4"/>
  <c r="O577" i="4"/>
  <c r="W577" i="4" s="1"/>
  <c r="N577" i="4"/>
  <c r="M577" i="4"/>
  <c r="L577" i="4"/>
  <c r="K577" i="4"/>
  <c r="J577" i="4"/>
  <c r="I577" i="4"/>
  <c r="H577" i="4"/>
  <c r="G577" i="4"/>
  <c r="F577" i="4"/>
  <c r="E577" i="4"/>
  <c r="U577" i="4" s="1"/>
  <c r="D577" i="4"/>
  <c r="C577" i="4"/>
  <c r="V577" i="4" s="1"/>
  <c r="B577" i="4"/>
  <c r="A577" i="4"/>
  <c r="X576" i="4"/>
  <c r="V576" i="4"/>
  <c r="T576" i="4"/>
  <c r="S576" i="4"/>
  <c r="R576" i="4"/>
  <c r="Q576" i="4"/>
  <c r="P576" i="4"/>
  <c r="O576" i="4"/>
  <c r="W576" i="4" s="1"/>
  <c r="N576" i="4"/>
  <c r="M576" i="4"/>
  <c r="L576" i="4"/>
  <c r="K576" i="4"/>
  <c r="J576" i="4"/>
  <c r="I576" i="4"/>
  <c r="H576" i="4"/>
  <c r="G576" i="4"/>
  <c r="F576" i="4"/>
  <c r="E576" i="4"/>
  <c r="U576" i="4" s="1"/>
  <c r="D576" i="4"/>
  <c r="C576" i="4"/>
  <c r="B576" i="4"/>
  <c r="A576" i="4"/>
  <c r="X575" i="4"/>
  <c r="W575" i="4"/>
  <c r="T575" i="4"/>
  <c r="S575" i="4"/>
  <c r="R575" i="4"/>
  <c r="Q575" i="4"/>
  <c r="P575" i="4"/>
  <c r="O575" i="4"/>
  <c r="N575" i="4"/>
  <c r="M575" i="4"/>
  <c r="L575" i="4"/>
  <c r="K575" i="4"/>
  <c r="J575" i="4"/>
  <c r="I575" i="4"/>
  <c r="H575" i="4"/>
  <c r="G575" i="4"/>
  <c r="F575" i="4"/>
  <c r="E575" i="4"/>
  <c r="U575" i="4" s="1"/>
  <c r="D575" i="4"/>
  <c r="C575" i="4"/>
  <c r="V575" i="4" s="1"/>
  <c r="B575" i="4"/>
  <c r="A575" i="4"/>
  <c r="X574" i="4"/>
  <c r="V574" i="4"/>
  <c r="T574" i="4"/>
  <c r="S574" i="4"/>
  <c r="R574" i="4"/>
  <c r="Q574" i="4"/>
  <c r="P574" i="4"/>
  <c r="O574" i="4"/>
  <c r="N574" i="4"/>
  <c r="M574" i="4"/>
  <c r="L574" i="4"/>
  <c r="K574" i="4"/>
  <c r="J574" i="4"/>
  <c r="I574" i="4"/>
  <c r="H574" i="4"/>
  <c r="G574" i="4"/>
  <c r="F574" i="4"/>
  <c r="E574" i="4"/>
  <c r="U574" i="4" s="1"/>
  <c r="D574" i="4"/>
  <c r="C574" i="4"/>
  <c r="B574" i="4"/>
  <c r="A574" i="4"/>
  <c r="T573" i="4"/>
  <c r="S573" i="4"/>
  <c r="W573" i="4" s="1"/>
  <c r="R573" i="4"/>
  <c r="Q573" i="4"/>
  <c r="P573" i="4"/>
  <c r="O573" i="4"/>
  <c r="N573" i="4"/>
  <c r="M573" i="4"/>
  <c r="L573" i="4"/>
  <c r="K573" i="4"/>
  <c r="J573" i="4"/>
  <c r="I573" i="4"/>
  <c r="H573" i="4"/>
  <c r="G573" i="4"/>
  <c r="F573" i="4"/>
  <c r="E573" i="4"/>
  <c r="U573" i="4" s="1"/>
  <c r="D573" i="4"/>
  <c r="C573" i="4"/>
  <c r="V573" i="4" s="1"/>
  <c r="B573" i="4"/>
  <c r="X573" i="4" s="1"/>
  <c r="A573" i="4"/>
  <c r="X572" i="4"/>
  <c r="V572" i="4"/>
  <c r="T572" i="4"/>
  <c r="S572" i="4"/>
  <c r="R572" i="4"/>
  <c r="Q572" i="4"/>
  <c r="P572" i="4"/>
  <c r="O572" i="4"/>
  <c r="N572" i="4"/>
  <c r="M572" i="4"/>
  <c r="L572" i="4"/>
  <c r="K572" i="4"/>
  <c r="J572" i="4"/>
  <c r="I572" i="4"/>
  <c r="H572" i="4"/>
  <c r="G572" i="4"/>
  <c r="F572" i="4"/>
  <c r="E572" i="4"/>
  <c r="U572" i="4" s="1"/>
  <c r="D572" i="4"/>
  <c r="C572" i="4"/>
  <c r="B572" i="4"/>
  <c r="A572" i="4"/>
  <c r="T571" i="4"/>
  <c r="S571" i="4"/>
  <c r="R571" i="4"/>
  <c r="Q571" i="4"/>
  <c r="P571" i="4"/>
  <c r="O571" i="4"/>
  <c r="W571" i="4" s="1"/>
  <c r="N571" i="4"/>
  <c r="M571" i="4"/>
  <c r="L571" i="4"/>
  <c r="K571" i="4"/>
  <c r="J571" i="4"/>
  <c r="I571" i="4"/>
  <c r="H571" i="4"/>
  <c r="G571" i="4"/>
  <c r="F571" i="4"/>
  <c r="E571" i="4"/>
  <c r="U571" i="4" s="1"/>
  <c r="D571" i="4"/>
  <c r="C571" i="4"/>
  <c r="V571" i="4" s="1"/>
  <c r="B571" i="4"/>
  <c r="X571" i="4" s="1"/>
  <c r="A571" i="4"/>
  <c r="X570" i="4"/>
  <c r="V570" i="4"/>
  <c r="T570" i="4"/>
  <c r="S570" i="4"/>
  <c r="R570" i="4"/>
  <c r="Q570" i="4"/>
  <c r="P570" i="4"/>
  <c r="O570" i="4"/>
  <c r="N570" i="4"/>
  <c r="M570" i="4"/>
  <c r="L570" i="4"/>
  <c r="W570" i="4" s="1"/>
  <c r="K570" i="4"/>
  <c r="J570" i="4"/>
  <c r="I570" i="4"/>
  <c r="H570" i="4"/>
  <c r="G570" i="4"/>
  <c r="F570" i="4"/>
  <c r="E570" i="4"/>
  <c r="U570" i="4" s="1"/>
  <c r="D570" i="4"/>
  <c r="C570" i="4"/>
  <c r="B570" i="4"/>
  <c r="A570" i="4"/>
  <c r="T569" i="4"/>
  <c r="S569" i="4"/>
  <c r="R569" i="4"/>
  <c r="Q569" i="4"/>
  <c r="P569" i="4"/>
  <c r="O569" i="4"/>
  <c r="W569" i="4" s="1"/>
  <c r="N569" i="4"/>
  <c r="M569" i="4"/>
  <c r="L569" i="4"/>
  <c r="K569" i="4"/>
  <c r="J569" i="4"/>
  <c r="I569" i="4"/>
  <c r="H569" i="4"/>
  <c r="G569" i="4"/>
  <c r="F569" i="4"/>
  <c r="E569" i="4"/>
  <c r="U569" i="4" s="1"/>
  <c r="D569" i="4"/>
  <c r="C569" i="4"/>
  <c r="V569" i="4" s="1"/>
  <c r="B569" i="4"/>
  <c r="X569" i="4" s="1"/>
  <c r="A569" i="4"/>
  <c r="X568" i="4"/>
  <c r="W568" i="4"/>
  <c r="V568" i="4"/>
  <c r="T568" i="4"/>
  <c r="S568" i="4"/>
  <c r="R568" i="4"/>
  <c r="Q568" i="4"/>
  <c r="P568" i="4"/>
  <c r="O568" i="4"/>
  <c r="N568" i="4"/>
  <c r="M568" i="4"/>
  <c r="L568" i="4"/>
  <c r="K568" i="4"/>
  <c r="J568" i="4"/>
  <c r="I568" i="4"/>
  <c r="H568" i="4"/>
  <c r="G568" i="4"/>
  <c r="F568" i="4"/>
  <c r="E568" i="4"/>
  <c r="U568" i="4" s="1"/>
  <c r="D568" i="4"/>
  <c r="C568" i="4"/>
  <c r="B568" i="4"/>
  <c r="A568" i="4"/>
  <c r="X567" i="4"/>
  <c r="T567" i="4"/>
  <c r="S567" i="4"/>
  <c r="R567" i="4"/>
  <c r="Q567" i="4"/>
  <c r="P567" i="4"/>
  <c r="O567" i="4"/>
  <c r="W567" i="4" s="1"/>
  <c r="N567" i="4"/>
  <c r="M567" i="4"/>
  <c r="L567" i="4"/>
  <c r="K567" i="4"/>
  <c r="J567" i="4"/>
  <c r="I567" i="4"/>
  <c r="H567" i="4"/>
  <c r="G567" i="4"/>
  <c r="F567" i="4"/>
  <c r="E567" i="4"/>
  <c r="U567" i="4" s="1"/>
  <c r="D567" i="4"/>
  <c r="C567" i="4"/>
  <c r="V567" i="4" s="1"/>
  <c r="B567" i="4"/>
  <c r="A567" i="4"/>
  <c r="X566" i="4"/>
  <c r="W566" i="4"/>
  <c r="V566" i="4"/>
  <c r="T566" i="4"/>
  <c r="S566" i="4"/>
  <c r="R566" i="4"/>
  <c r="Q566" i="4"/>
  <c r="P566" i="4"/>
  <c r="O566" i="4"/>
  <c r="N566" i="4"/>
  <c r="M566" i="4"/>
  <c r="L566" i="4"/>
  <c r="K566" i="4"/>
  <c r="J566" i="4"/>
  <c r="I566" i="4"/>
  <c r="H566" i="4"/>
  <c r="G566" i="4"/>
  <c r="F566" i="4"/>
  <c r="E566" i="4"/>
  <c r="U566" i="4" s="1"/>
  <c r="D566" i="4"/>
  <c r="C566" i="4"/>
  <c r="B566" i="4"/>
  <c r="A566" i="4"/>
  <c r="T565" i="4"/>
  <c r="S565" i="4"/>
  <c r="R565" i="4"/>
  <c r="Q565" i="4"/>
  <c r="P565" i="4"/>
  <c r="O565" i="4"/>
  <c r="N565" i="4"/>
  <c r="M565" i="4"/>
  <c r="L565" i="4"/>
  <c r="K565" i="4"/>
  <c r="J565" i="4"/>
  <c r="I565" i="4"/>
  <c r="H565" i="4"/>
  <c r="G565" i="4"/>
  <c r="F565" i="4"/>
  <c r="E565" i="4"/>
  <c r="U565" i="4" s="1"/>
  <c r="D565" i="4"/>
  <c r="C565" i="4"/>
  <c r="V565" i="4" s="1"/>
  <c r="B565" i="4"/>
  <c r="X565" i="4" s="1"/>
  <c r="A565" i="4"/>
  <c r="X564" i="4"/>
  <c r="W564" i="4"/>
  <c r="V564" i="4"/>
  <c r="T564" i="4"/>
  <c r="S564" i="4"/>
  <c r="R564" i="4"/>
  <c r="Q564" i="4"/>
  <c r="P564" i="4"/>
  <c r="O564" i="4"/>
  <c r="N564" i="4"/>
  <c r="M564" i="4"/>
  <c r="L564" i="4"/>
  <c r="K564" i="4"/>
  <c r="J564" i="4"/>
  <c r="I564" i="4"/>
  <c r="H564" i="4"/>
  <c r="G564" i="4"/>
  <c r="F564" i="4"/>
  <c r="E564" i="4"/>
  <c r="U564" i="4" s="1"/>
  <c r="D564" i="4"/>
  <c r="C564" i="4"/>
  <c r="B564" i="4"/>
  <c r="A564" i="4"/>
  <c r="T563" i="4"/>
  <c r="S563" i="4"/>
  <c r="R563" i="4"/>
  <c r="Q563" i="4"/>
  <c r="P563" i="4"/>
  <c r="O563" i="4"/>
  <c r="W563" i="4" s="1"/>
  <c r="N563" i="4"/>
  <c r="M563" i="4"/>
  <c r="L563" i="4"/>
  <c r="K563" i="4"/>
  <c r="J563" i="4"/>
  <c r="I563" i="4"/>
  <c r="H563" i="4"/>
  <c r="G563" i="4"/>
  <c r="F563" i="4"/>
  <c r="E563" i="4"/>
  <c r="U563" i="4" s="1"/>
  <c r="D563" i="4"/>
  <c r="C563" i="4"/>
  <c r="V563" i="4" s="1"/>
  <c r="B563" i="4"/>
  <c r="X563" i="4" s="1"/>
  <c r="A563" i="4"/>
  <c r="X562" i="4"/>
  <c r="V562" i="4"/>
  <c r="T562" i="4"/>
  <c r="S562" i="4"/>
  <c r="R562" i="4"/>
  <c r="Q562" i="4"/>
  <c r="P562" i="4"/>
  <c r="O562" i="4"/>
  <c r="W562" i="4" s="1"/>
  <c r="N562" i="4"/>
  <c r="M562" i="4"/>
  <c r="L562" i="4"/>
  <c r="K562" i="4"/>
  <c r="J562" i="4"/>
  <c r="I562" i="4"/>
  <c r="H562" i="4"/>
  <c r="G562" i="4"/>
  <c r="F562" i="4"/>
  <c r="E562" i="4"/>
  <c r="U562" i="4" s="1"/>
  <c r="D562" i="4"/>
  <c r="C562" i="4"/>
  <c r="B562" i="4"/>
  <c r="A562" i="4"/>
  <c r="X561" i="4"/>
  <c r="W561" i="4"/>
  <c r="T561" i="4"/>
  <c r="S561" i="4"/>
  <c r="R561" i="4"/>
  <c r="Q561" i="4"/>
  <c r="P561" i="4"/>
  <c r="O561" i="4"/>
  <c r="N561" i="4"/>
  <c r="M561" i="4"/>
  <c r="L561" i="4"/>
  <c r="K561" i="4"/>
  <c r="J561" i="4"/>
  <c r="I561" i="4"/>
  <c r="H561" i="4"/>
  <c r="G561" i="4"/>
  <c r="F561" i="4"/>
  <c r="E561" i="4"/>
  <c r="U561" i="4" s="1"/>
  <c r="D561" i="4"/>
  <c r="C561" i="4"/>
  <c r="V561" i="4" s="1"/>
  <c r="B561" i="4"/>
  <c r="A561" i="4"/>
  <c r="X560" i="4"/>
  <c r="W560" i="4"/>
  <c r="V560" i="4"/>
  <c r="T560" i="4"/>
  <c r="S560" i="4"/>
  <c r="R560" i="4"/>
  <c r="Q560" i="4"/>
  <c r="P560" i="4"/>
  <c r="O560" i="4"/>
  <c r="N560" i="4"/>
  <c r="M560" i="4"/>
  <c r="L560" i="4"/>
  <c r="K560" i="4"/>
  <c r="J560" i="4"/>
  <c r="I560" i="4"/>
  <c r="H560" i="4"/>
  <c r="G560" i="4"/>
  <c r="F560" i="4"/>
  <c r="E560" i="4"/>
  <c r="U560" i="4" s="1"/>
  <c r="D560" i="4"/>
  <c r="C560" i="4"/>
  <c r="B560" i="4"/>
  <c r="A560" i="4"/>
  <c r="X559" i="4"/>
  <c r="T559" i="4"/>
  <c r="S559" i="4"/>
  <c r="W559" i="4" s="1"/>
  <c r="R559" i="4"/>
  <c r="Q559" i="4"/>
  <c r="P559" i="4"/>
  <c r="O559" i="4"/>
  <c r="N559" i="4"/>
  <c r="M559" i="4"/>
  <c r="L559" i="4"/>
  <c r="K559" i="4"/>
  <c r="J559" i="4"/>
  <c r="I559" i="4"/>
  <c r="H559" i="4"/>
  <c r="G559" i="4"/>
  <c r="F559" i="4"/>
  <c r="E559" i="4"/>
  <c r="U559" i="4" s="1"/>
  <c r="D559" i="4"/>
  <c r="C559" i="4"/>
  <c r="V559" i="4" s="1"/>
  <c r="B559" i="4"/>
  <c r="A559" i="4"/>
  <c r="X558" i="4"/>
  <c r="V558" i="4"/>
  <c r="T558" i="4"/>
  <c r="S558" i="4"/>
  <c r="R558" i="4"/>
  <c r="Q558" i="4"/>
  <c r="P558" i="4"/>
  <c r="O558" i="4"/>
  <c r="N558" i="4"/>
  <c r="M558" i="4"/>
  <c r="L558" i="4"/>
  <c r="K558" i="4"/>
  <c r="J558" i="4"/>
  <c r="I558" i="4"/>
  <c r="H558" i="4"/>
  <c r="G558" i="4"/>
  <c r="F558" i="4"/>
  <c r="E558" i="4"/>
  <c r="U558" i="4" s="1"/>
  <c r="D558" i="4"/>
  <c r="C558" i="4"/>
  <c r="B558" i="4"/>
  <c r="A558" i="4"/>
  <c r="X557" i="4"/>
  <c r="W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U557" i="4" s="1"/>
  <c r="D557" i="4"/>
  <c r="C557" i="4"/>
  <c r="V557" i="4" s="1"/>
  <c r="B557" i="4"/>
  <c r="A557" i="4"/>
  <c r="X556" i="4"/>
  <c r="V556" i="4"/>
  <c r="T556" i="4"/>
  <c r="S556" i="4"/>
  <c r="R556" i="4"/>
  <c r="Q556" i="4"/>
  <c r="P556" i="4"/>
  <c r="O556" i="4"/>
  <c r="W556" i="4" s="1"/>
  <c r="N556" i="4"/>
  <c r="M556" i="4"/>
  <c r="L556" i="4"/>
  <c r="K556" i="4"/>
  <c r="J556" i="4"/>
  <c r="I556" i="4"/>
  <c r="H556" i="4"/>
  <c r="G556" i="4"/>
  <c r="F556" i="4"/>
  <c r="E556" i="4"/>
  <c r="U556" i="4" s="1"/>
  <c r="D556" i="4"/>
  <c r="C556" i="4"/>
  <c r="B556" i="4"/>
  <c r="A556" i="4"/>
  <c r="T555" i="4"/>
  <c r="S555" i="4"/>
  <c r="R555" i="4"/>
  <c r="Q555" i="4"/>
  <c r="P555" i="4"/>
  <c r="O555" i="4"/>
  <c r="N555" i="4"/>
  <c r="M555" i="4"/>
  <c r="L555" i="4"/>
  <c r="K555" i="4"/>
  <c r="J555" i="4"/>
  <c r="I555" i="4"/>
  <c r="H555" i="4"/>
  <c r="G555" i="4"/>
  <c r="F555" i="4"/>
  <c r="E555" i="4"/>
  <c r="U555" i="4" s="1"/>
  <c r="D555" i="4"/>
  <c r="C555" i="4"/>
  <c r="V555" i="4" s="1"/>
  <c r="B555" i="4"/>
  <c r="X555" i="4" s="1"/>
  <c r="A555" i="4"/>
  <c r="X554" i="4"/>
  <c r="V554" i="4"/>
  <c r="T554" i="4"/>
  <c r="S554" i="4"/>
  <c r="R554" i="4"/>
  <c r="Q554" i="4"/>
  <c r="P554" i="4"/>
  <c r="O554" i="4"/>
  <c r="N554" i="4"/>
  <c r="M554" i="4"/>
  <c r="L554" i="4"/>
  <c r="W554" i="4" s="1"/>
  <c r="K554" i="4"/>
  <c r="J554" i="4"/>
  <c r="I554" i="4"/>
  <c r="H554" i="4"/>
  <c r="G554" i="4"/>
  <c r="F554" i="4"/>
  <c r="E554" i="4"/>
  <c r="U554" i="4" s="1"/>
  <c r="D554" i="4"/>
  <c r="C554" i="4"/>
  <c r="B554" i="4"/>
  <c r="A554" i="4"/>
  <c r="X553" i="4"/>
  <c r="T553" i="4"/>
  <c r="S553" i="4"/>
  <c r="R553" i="4"/>
  <c r="Q553" i="4"/>
  <c r="P553" i="4"/>
  <c r="O553" i="4"/>
  <c r="W553" i="4" s="1"/>
  <c r="N553" i="4"/>
  <c r="M553" i="4"/>
  <c r="L553" i="4"/>
  <c r="K553" i="4"/>
  <c r="J553" i="4"/>
  <c r="I553" i="4"/>
  <c r="H553" i="4"/>
  <c r="G553" i="4"/>
  <c r="F553" i="4"/>
  <c r="E553" i="4"/>
  <c r="U553" i="4" s="1"/>
  <c r="D553" i="4"/>
  <c r="C553" i="4"/>
  <c r="V553" i="4" s="1"/>
  <c r="B553" i="4"/>
  <c r="A553" i="4"/>
  <c r="X552" i="4"/>
  <c r="V552" i="4"/>
  <c r="T552" i="4"/>
  <c r="S552" i="4"/>
  <c r="R552" i="4"/>
  <c r="Q552" i="4"/>
  <c r="P552" i="4"/>
  <c r="O552" i="4"/>
  <c r="W552" i="4" s="1"/>
  <c r="N552" i="4"/>
  <c r="M552" i="4"/>
  <c r="L552" i="4"/>
  <c r="K552" i="4"/>
  <c r="J552" i="4"/>
  <c r="I552" i="4"/>
  <c r="H552" i="4"/>
  <c r="G552" i="4"/>
  <c r="F552" i="4"/>
  <c r="E552" i="4"/>
  <c r="U552" i="4" s="1"/>
  <c r="D552" i="4"/>
  <c r="C552" i="4"/>
  <c r="B552" i="4"/>
  <c r="A552" i="4"/>
  <c r="X551" i="4"/>
  <c r="T551" i="4"/>
  <c r="S551" i="4"/>
  <c r="R551" i="4"/>
  <c r="Q551" i="4"/>
  <c r="P551" i="4"/>
  <c r="O551" i="4"/>
  <c r="W551" i="4" s="1"/>
  <c r="N551" i="4"/>
  <c r="M551" i="4"/>
  <c r="L551" i="4"/>
  <c r="K551" i="4"/>
  <c r="J551" i="4"/>
  <c r="I551" i="4"/>
  <c r="H551" i="4"/>
  <c r="G551" i="4"/>
  <c r="F551" i="4"/>
  <c r="E551" i="4"/>
  <c r="U551" i="4" s="1"/>
  <c r="D551" i="4"/>
  <c r="C551" i="4"/>
  <c r="V551" i="4" s="1"/>
  <c r="B551" i="4"/>
  <c r="A551" i="4"/>
  <c r="X550" i="4"/>
  <c r="W550" i="4"/>
  <c r="V550" i="4"/>
  <c r="T550" i="4"/>
  <c r="S550" i="4"/>
  <c r="R550" i="4"/>
  <c r="Q550" i="4"/>
  <c r="P550" i="4"/>
  <c r="O550" i="4"/>
  <c r="N550" i="4"/>
  <c r="M550" i="4"/>
  <c r="L550" i="4"/>
  <c r="K550" i="4"/>
  <c r="J550" i="4"/>
  <c r="I550" i="4"/>
  <c r="H550" i="4"/>
  <c r="G550" i="4"/>
  <c r="F550" i="4"/>
  <c r="E550" i="4"/>
  <c r="U550" i="4" s="1"/>
  <c r="D550" i="4"/>
  <c r="C550" i="4"/>
  <c r="B550" i="4"/>
  <c r="A550" i="4"/>
  <c r="T549" i="4"/>
  <c r="S549" i="4"/>
  <c r="R549" i="4"/>
  <c r="Q549" i="4"/>
  <c r="P549" i="4"/>
  <c r="O549" i="4"/>
  <c r="N549" i="4"/>
  <c r="M549" i="4"/>
  <c r="L549" i="4"/>
  <c r="K549" i="4"/>
  <c r="J549" i="4"/>
  <c r="I549" i="4"/>
  <c r="H549" i="4"/>
  <c r="G549" i="4"/>
  <c r="F549" i="4"/>
  <c r="E549" i="4"/>
  <c r="U549" i="4" s="1"/>
  <c r="D549" i="4"/>
  <c r="C549" i="4"/>
  <c r="V549" i="4" s="1"/>
  <c r="B549" i="4"/>
  <c r="X549" i="4" s="1"/>
  <c r="A549" i="4"/>
  <c r="X548" i="4"/>
  <c r="W548" i="4"/>
  <c r="V548" i="4"/>
  <c r="T548" i="4"/>
  <c r="S548" i="4"/>
  <c r="R548" i="4"/>
  <c r="Q548" i="4"/>
  <c r="P548" i="4"/>
  <c r="O548" i="4"/>
  <c r="N548" i="4"/>
  <c r="M548" i="4"/>
  <c r="L548" i="4"/>
  <c r="K548" i="4"/>
  <c r="J548" i="4"/>
  <c r="I548" i="4"/>
  <c r="H548" i="4"/>
  <c r="G548" i="4"/>
  <c r="F548" i="4"/>
  <c r="E548" i="4"/>
  <c r="U548" i="4" s="1"/>
  <c r="D548" i="4"/>
  <c r="C548" i="4"/>
  <c r="B548" i="4"/>
  <c r="A548" i="4"/>
  <c r="T547" i="4"/>
  <c r="S547" i="4"/>
  <c r="R547" i="4"/>
  <c r="Q547" i="4"/>
  <c r="P547" i="4"/>
  <c r="O547" i="4"/>
  <c r="W547" i="4" s="1"/>
  <c r="N547" i="4"/>
  <c r="M547" i="4"/>
  <c r="L547" i="4"/>
  <c r="K547" i="4"/>
  <c r="J547" i="4"/>
  <c r="I547" i="4"/>
  <c r="H547" i="4"/>
  <c r="G547" i="4"/>
  <c r="F547" i="4"/>
  <c r="E547" i="4"/>
  <c r="U547" i="4" s="1"/>
  <c r="D547" i="4"/>
  <c r="C547" i="4"/>
  <c r="V547" i="4" s="1"/>
  <c r="B547" i="4"/>
  <c r="X547" i="4" s="1"/>
  <c r="A547" i="4"/>
  <c r="X546" i="4"/>
  <c r="V546" i="4"/>
  <c r="T546" i="4"/>
  <c r="S546" i="4"/>
  <c r="R546" i="4"/>
  <c r="Q546" i="4"/>
  <c r="P546" i="4"/>
  <c r="O546" i="4"/>
  <c r="W546" i="4" s="1"/>
  <c r="N546" i="4"/>
  <c r="M546" i="4"/>
  <c r="L546" i="4"/>
  <c r="K546" i="4"/>
  <c r="J546" i="4"/>
  <c r="I546" i="4"/>
  <c r="H546" i="4"/>
  <c r="G546" i="4"/>
  <c r="F546" i="4"/>
  <c r="E546" i="4"/>
  <c r="U546" i="4" s="1"/>
  <c r="D546" i="4"/>
  <c r="C546" i="4"/>
  <c r="B546" i="4"/>
  <c r="A546" i="4"/>
  <c r="X545" i="4"/>
  <c r="W545" i="4"/>
  <c r="T545" i="4"/>
  <c r="S545" i="4"/>
  <c r="R545" i="4"/>
  <c r="Q545" i="4"/>
  <c r="P545" i="4"/>
  <c r="O545" i="4"/>
  <c r="N545" i="4"/>
  <c r="M545" i="4"/>
  <c r="L545" i="4"/>
  <c r="K545" i="4"/>
  <c r="J545" i="4"/>
  <c r="I545" i="4"/>
  <c r="H545" i="4"/>
  <c r="G545" i="4"/>
  <c r="F545" i="4"/>
  <c r="E545" i="4"/>
  <c r="U545" i="4" s="1"/>
  <c r="D545" i="4"/>
  <c r="C545" i="4"/>
  <c r="V545" i="4" s="1"/>
  <c r="B545" i="4"/>
  <c r="A545" i="4"/>
  <c r="X544" i="4"/>
  <c r="V544" i="4"/>
  <c r="T544" i="4"/>
  <c r="S544" i="4"/>
  <c r="R544" i="4"/>
  <c r="Q544" i="4"/>
  <c r="P544" i="4"/>
  <c r="O544" i="4"/>
  <c r="W544" i="4" s="1"/>
  <c r="N544" i="4"/>
  <c r="M544" i="4"/>
  <c r="L544" i="4"/>
  <c r="K544" i="4"/>
  <c r="J544" i="4"/>
  <c r="I544" i="4"/>
  <c r="H544" i="4"/>
  <c r="G544" i="4"/>
  <c r="F544" i="4"/>
  <c r="E544" i="4"/>
  <c r="U544" i="4" s="1"/>
  <c r="D544" i="4"/>
  <c r="C544" i="4"/>
  <c r="B544" i="4"/>
  <c r="A544" i="4"/>
  <c r="X543" i="4"/>
  <c r="T543" i="4"/>
  <c r="S543" i="4"/>
  <c r="W543" i="4" s="1"/>
  <c r="R543" i="4"/>
  <c r="Q543" i="4"/>
  <c r="P543" i="4"/>
  <c r="O543" i="4"/>
  <c r="N543" i="4"/>
  <c r="M543" i="4"/>
  <c r="L543" i="4"/>
  <c r="K543" i="4"/>
  <c r="J543" i="4"/>
  <c r="I543" i="4"/>
  <c r="H543" i="4"/>
  <c r="G543" i="4"/>
  <c r="F543" i="4"/>
  <c r="E543" i="4"/>
  <c r="U543" i="4" s="1"/>
  <c r="D543" i="4"/>
  <c r="C543" i="4"/>
  <c r="V543" i="4" s="1"/>
  <c r="B543" i="4"/>
  <c r="A543" i="4"/>
  <c r="X542" i="4"/>
  <c r="V542" i="4"/>
  <c r="T542" i="4"/>
  <c r="S542" i="4"/>
  <c r="R542" i="4"/>
  <c r="Q542" i="4"/>
  <c r="P542" i="4"/>
  <c r="O542" i="4"/>
  <c r="W542" i="4" s="1"/>
  <c r="N542" i="4"/>
  <c r="M542" i="4"/>
  <c r="L542" i="4"/>
  <c r="K542" i="4"/>
  <c r="J542" i="4"/>
  <c r="I542" i="4"/>
  <c r="H542" i="4"/>
  <c r="G542" i="4"/>
  <c r="F542" i="4"/>
  <c r="E542" i="4"/>
  <c r="U542" i="4" s="1"/>
  <c r="D542" i="4"/>
  <c r="C542" i="4"/>
  <c r="B542" i="4"/>
  <c r="A542" i="4"/>
  <c r="X541" i="4"/>
  <c r="W541" i="4"/>
  <c r="T541" i="4"/>
  <c r="S541" i="4"/>
  <c r="R541" i="4"/>
  <c r="Q541" i="4"/>
  <c r="P541" i="4"/>
  <c r="O541" i="4"/>
  <c r="N541" i="4"/>
  <c r="M541" i="4"/>
  <c r="L541" i="4"/>
  <c r="K541" i="4"/>
  <c r="J541" i="4"/>
  <c r="I541" i="4"/>
  <c r="H541" i="4"/>
  <c r="G541" i="4"/>
  <c r="F541" i="4"/>
  <c r="E541" i="4"/>
  <c r="U541" i="4" s="1"/>
  <c r="D541" i="4"/>
  <c r="C541" i="4"/>
  <c r="V541" i="4" s="1"/>
  <c r="B541" i="4"/>
  <c r="A541" i="4"/>
  <c r="X540" i="4"/>
  <c r="V540" i="4"/>
  <c r="T540" i="4"/>
  <c r="S540" i="4"/>
  <c r="R540" i="4"/>
  <c r="Q540" i="4"/>
  <c r="P540" i="4"/>
  <c r="O540" i="4"/>
  <c r="N540" i="4"/>
  <c r="M540" i="4"/>
  <c r="L540" i="4"/>
  <c r="K540" i="4"/>
  <c r="J540" i="4"/>
  <c r="I540" i="4"/>
  <c r="H540" i="4"/>
  <c r="G540" i="4"/>
  <c r="F540" i="4"/>
  <c r="E540" i="4"/>
  <c r="U540" i="4" s="1"/>
  <c r="D540" i="4"/>
  <c r="C540" i="4"/>
  <c r="B540" i="4"/>
  <c r="A540" i="4"/>
  <c r="T539" i="4"/>
  <c r="S539" i="4"/>
  <c r="R539" i="4"/>
  <c r="Q539" i="4"/>
  <c r="P539" i="4"/>
  <c r="O539" i="4"/>
  <c r="W539" i="4" s="1"/>
  <c r="N539" i="4"/>
  <c r="M539" i="4"/>
  <c r="L539" i="4"/>
  <c r="K539" i="4"/>
  <c r="J539" i="4"/>
  <c r="I539" i="4"/>
  <c r="H539" i="4"/>
  <c r="G539" i="4"/>
  <c r="F539" i="4"/>
  <c r="E539" i="4"/>
  <c r="U539" i="4" s="1"/>
  <c r="D539" i="4"/>
  <c r="C539" i="4"/>
  <c r="V539" i="4" s="1"/>
  <c r="B539" i="4"/>
  <c r="X539" i="4" s="1"/>
  <c r="A539" i="4"/>
  <c r="X538" i="4"/>
  <c r="W538" i="4"/>
  <c r="V538" i="4"/>
  <c r="T538" i="4"/>
  <c r="S538" i="4"/>
  <c r="R538" i="4"/>
  <c r="Q538" i="4"/>
  <c r="P538" i="4"/>
  <c r="O538" i="4"/>
  <c r="N538" i="4"/>
  <c r="M538" i="4"/>
  <c r="L538" i="4"/>
  <c r="K538" i="4"/>
  <c r="J538" i="4"/>
  <c r="I538" i="4"/>
  <c r="H538" i="4"/>
  <c r="G538" i="4"/>
  <c r="F538" i="4"/>
  <c r="E538" i="4"/>
  <c r="U538" i="4" s="1"/>
  <c r="D538" i="4"/>
  <c r="C538" i="4"/>
  <c r="B538" i="4"/>
  <c r="A538" i="4"/>
  <c r="X537" i="4"/>
  <c r="W537" i="4"/>
  <c r="T537" i="4"/>
  <c r="S537" i="4"/>
  <c r="R537" i="4"/>
  <c r="Q537" i="4"/>
  <c r="P537" i="4"/>
  <c r="O537" i="4"/>
  <c r="N537" i="4"/>
  <c r="M537" i="4"/>
  <c r="L537" i="4"/>
  <c r="K537" i="4"/>
  <c r="J537" i="4"/>
  <c r="I537" i="4"/>
  <c r="H537" i="4"/>
  <c r="G537" i="4"/>
  <c r="F537" i="4"/>
  <c r="E537" i="4"/>
  <c r="U537" i="4" s="1"/>
  <c r="D537" i="4"/>
  <c r="C537" i="4"/>
  <c r="V537" i="4" s="1"/>
  <c r="B537" i="4"/>
  <c r="A537" i="4"/>
  <c r="X536" i="4"/>
  <c r="V536" i="4"/>
  <c r="T536" i="4"/>
  <c r="S536" i="4"/>
  <c r="R536" i="4"/>
  <c r="Q536" i="4"/>
  <c r="P536" i="4"/>
  <c r="O536" i="4"/>
  <c r="W536" i="4" s="1"/>
  <c r="N536" i="4"/>
  <c r="M536" i="4"/>
  <c r="L536" i="4"/>
  <c r="K536" i="4"/>
  <c r="J536" i="4"/>
  <c r="I536" i="4"/>
  <c r="H536" i="4"/>
  <c r="G536" i="4"/>
  <c r="F536" i="4"/>
  <c r="E536" i="4"/>
  <c r="U536" i="4" s="1"/>
  <c r="D536" i="4"/>
  <c r="C536" i="4"/>
  <c r="B536" i="4"/>
  <c r="A536" i="4"/>
  <c r="X535" i="4"/>
  <c r="T535" i="4"/>
  <c r="S535" i="4"/>
  <c r="W535" i="4" s="1"/>
  <c r="R535" i="4"/>
  <c r="Q535" i="4"/>
  <c r="P535" i="4"/>
  <c r="O535" i="4"/>
  <c r="N535" i="4"/>
  <c r="M535" i="4"/>
  <c r="L535" i="4"/>
  <c r="K535" i="4"/>
  <c r="J535" i="4"/>
  <c r="I535" i="4"/>
  <c r="H535" i="4"/>
  <c r="G535" i="4"/>
  <c r="F535" i="4"/>
  <c r="E535" i="4"/>
  <c r="U535" i="4" s="1"/>
  <c r="D535" i="4"/>
  <c r="C535" i="4"/>
  <c r="V535" i="4" s="1"/>
  <c r="B535" i="4"/>
  <c r="A535" i="4"/>
  <c r="X534" i="4"/>
  <c r="V534" i="4"/>
  <c r="T534" i="4"/>
  <c r="S534" i="4"/>
  <c r="R534" i="4"/>
  <c r="Q534" i="4"/>
  <c r="P534" i="4"/>
  <c r="O534" i="4"/>
  <c r="N534" i="4"/>
  <c r="M534" i="4"/>
  <c r="L534" i="4"/>
  <c r="W534" i="4" s="1"/>
  <c r="K534" i="4"/>
  <c r="J534" i="4"/>
  <c r="I534" i="4"/>
  <c r="H534" i="4"/>
  <c r="G534" i="4"/>
  <c r="F534" i="4"/>
  <c r="E534" i="4"/>
  <c r="U534" i="4" s="1"/>
  <c r="D534" i="4"/>
  <c r="C534" i="4"/>
  <c r="B534" i="4"/>
  <c r="A534" i="4"/>
  <c r="T533" i="4"/>
  <c r="S533" i="4"/>
  <c r="R533" i="4"/>
  <c r="Q533" i="4"/>
  <c r="P533" i="4"/>
  <c r="O533" i="4"/>
  <c r="W533" i="4" s="1"/>
  <c r="N533" i="4"/>
  <c r="M533" i="4"/>
  <c r="L533" i="4"/>
  <c r="K533" i="4"/>
  <c r="J533" i="4"/>
  <c r="I533" i="4"/>
  <c r="H533" i="4"/>
  <c r="G533" i="4"/>
  <c r="F533" i="4"/>
  <c r="E533" i="4"/>
  <c r="U533" i="4" s="1"/>
  <c r="D533" i="4"/>
  <c r="C533" i="4"/>
  <c r="V533" i="4" s="1"/>
  <c r="B533" i="4"/>
  <c r="X533" i="4" s="1"/>
  <c r="A533" i="4"/>
  <c r="X532" i="4"/>
  <c r="W532" i="4"/>
  <c r="V532" i="4"/>
  <c r="T532" i="4"/>
  <c r="S532" i="4"/>
  <c r="R532" i="4"/>
  <c r="Q532" i="4"/>
  <c r="P532" i="4"/>
  <c r="O532" i="4"/>
  <c r="N532" i="4"/>
  <c r="M532" i="4"/>
  <c r="L532" i="4"/>
  <c r="K532" i="4"/>
  <c r="J532" i="4"/>
  <c r="I532" i="4"/>
  <c r="H532" i="4"/>
  <c r="G532" i="4"/>
  <c r="F532" i="4"/>
  <c r="E532" i="4"/>
  <c r="U532" i="4" s="1"/>
  <c r="D532" i="4"/>
  <c r="C532" i="4"/>
  <c r="B532" i="4"/>
  <c r="A532" i="4"/>
  <c r="T531" i="4"/>
  <c r="S531" i="4"/>
  <c r="R531" i="4"/>
  <c r="Q531" i="4"/>
  <c r="P531" i="4"/>
  <c r="O531" i="4"/>
  <c r="W531" i="4" s="1"/>
  <c r="N531" i="4"/>
  <c r="M531" i="4"/>
  <c r="L531" i="4"/>
  <c r="K531" i="4"/>
  <c r="J531" i="4"/>
  <c r="I531" i="4"/>
  <c r="H531" i="4"/>
  <c r="G531" i="4"/>
  <c r="F531" i="4"/>
  <c r="E531" i="4"/>
  <c r="U531" i="4" s="1"/>
  <c r="D531" i="4"/>
  <c r="C531" i="4"/>
  <c r="V531" i="4" s="1"/>
  <c r="B531" i="4"/>
  <c r="X531" i="4" s="1"/>
  <c r="A531" i="4"/>
  <c r="X530" i="4"/>
  <c r="W530" i="4"/>
  <c r="V530" i="4"/>
  <c r="T530" i="4"/>
  <c r="S530" i="4"/>
  <c r="R530" i="4"/>
  <c r="Q530" i="4"/>
  <c r="P530" i="4"/>
  <c r="O530" i="4"/>
  <c r="N530" i="4"/>
  <c r="M530" i="4"/>
  <c r="L530" i="4"/>
  <c r="K530" i="4"/>
  <c r="J530" i="4"/>
  <c r="I530" i="4"/>
  <c r="H530" i="4"/>
  <c r="G530" i="4"/>
  <c r="F530" i="4"/>
  <c r="E530" i="4"/>
  <c r="U530" i="4" s="1"/>
  <c r="D530" i="4"/>
  <c r="C530" i="4"/>
  <c r="B530" i="4"/>
  <c r="A530" i="4"/>
  <c r="X529" i="4"/>
  <c r="T529" i="4"/>
  <c r="S529" i="4"/>
  <c r="R529" i="4"/>
  <c r="Q529" i="4"/>
  <c r="P529" i="4"/>
  <c r="O529" i="4"/>
  <c r="W529" i="4" s="1"/>
  <c r="N529" i="4"/>
  <c r="M529" i="4"/>
  <c r="L529" i="4"/>
  <c r="K529" i="4"/>
  <c r="J529" i="4"/>
  <c r="I529" i="4"/>
  <c r="H529" i="4"/>
  <c r="G529" i="4"/>
  <c r="F529" i="4"/>
  <c r="E529" i="4"/>
  <c r="U529" i="4" s="1"/>
  <c r="D529" i="4"/>
  <c r="C529" i="4"/>
  <c r="V529" i="4" s="1"/>
  <c r="B529" i="4"/>
  <c r="A529" i="4"/>
  <c r="X528" i="4"/>
  <c r="W528" i="4"/>
  <c r="V528" i="4"/>
  <c r="T528" i="4"/>
  <c r="S528" i="4"/>
  <c r="R528" i="4"/>
  <c r="Q528" i="4"/>
  <c r="P528" i="4"/>
  <c r="O528" i="4"/>
  <c r="N528" i="4"/>
  <c r="M528" i="4"/>
  <c r="L528" i="4"/>
  <c r="K528" i="4"/>
  <c r="J528" i="4"/>
  <c r="I528" i="4"/>
  <c r="H528" i="4"/>
  <c r="G528" i="4"/>
  <c r="F528" i="4"/>
  <c r="E528" i="4"/>
  <c r="U528" i="4" s="1"/>
  <c r="D528" i="4"/>
  <c r="C528" i="4"/>
  <c r="B528" i="4"/>
  <c r="A528" i="4"/>
  <c r="X527" i="4"/>
  <c r="W527" i="4"/>
  <c r="T527" i="4"/>
  <c r="S527" i="4"/>
  <c r="R527" i="4"/>
  <c r="Q527" i="4"/>
  <c r="P527" i="4"/>
  <c r="O527" i="4"/>
  <c r="N527" i="4"/>
  <c r="M527" i="4"/>
  <c r="L527" i="4"/>
  <c r="K527" i="4"/>
  <c r="J527" i="4"/>
  <c r="I527" i="4"/>
  <c r="H527" i="4"/>
  <c r="G527" i="4"/>
  <c r="F527" i="4"/>
  <c r="E527" i="4"/>
  <c r="U527" i="4" s="1"/>
  <c r="D527" i="4"/>
  <c r="C527" i="4"/>
  <c r="V527" i="4" s="1"/>
  <c r="B527" i="4"/>
  <c r="A527" i="4"/>
  <c r="X526" i="4"/>
  <c r="V526" i="4"/>
  <c r="U526" i="4"/>
  <c r="T526" i="4"/>
  <c r="S526" i="4"/>
  <c r="R526" i="4"/>
  <c r="Q526" i="4"/>
  <c r="P526" i="4"/>
  <c r="O526" i="4"/>
  <c r="N526" i="4"/>
  <c r="M526" i="4"/>
  <c r="L526" i="4"/>
  <c r="K526" i="4"/>
  <c r="J526" i="4"/>
  <c r="I526" i="4"/>
  <c r="H526" i="4"/>
  <c r="G526" i="4"/>
  <c r="F526" i="4"/>
  <c r="E526" i="4"/>
  <c r="D526" i="4"/>
  <c r="C526" i="4"/>
  <c r="B526" i="4"/>
  <c r="A526" i="4"/>
  <c r="T525" i="4"/>
  <c r="S525" i="4"/>
  <c r="W525" i="4" s="1"/>
  <c r="R525" i="4"/>
  <c r="Q525" i="4"/>
  <c r="P525" i="4"/>
  <c r="O525" i="4"/>
  <c r="N525" i="4"/>
  <c r="M525" i="4"/>
  <c r="L525" i="4"/>
  <c r="K525" i="4"/>
  <c r="J525" i="4"/>
  <c r="I525" i="4"/>
  <c r="H525" i="4"/>
  <c r="G525" i="4"/>
  <c r="F525" i="4"/>
  <c r="E525" i="4"/>
  <c r="U525" i="4" s="1"/>
  <c r="D525" i="4"/>
  <c r="C525" i="4"/>
  <c r="V525" i="4" s="1"/>
  <c r="B525" i="4"/>
  <c r="X525" i="4" s="1"/>
  <c r="A525" i="4"/>
  <c r="X524" i="4"/>
  <c r="V524" i="4"/>
  <c r="T524" i="4"/>
  <c r="S524" i="4"/>
  <c r="R524" i="4"/>
  <c r="Q524" i="4"/>
  <c r="P524" i="4"/>
  <c r="O524" i="4"/>
  <c r="W524" i="4" s="1"/>
  <c r="N524" i="4"/>
  <c r="M524" i="4"/>
  <c r="L524" i="4"/>
  <c r="K524" i="4"/>
  <c r="J524" i="4"/>
  <c r="I524" i="4"/>
  <c r="H524" i="4"/>
  <c r="G524" i="4"/>
  <c r="F524" i="4"/>
  <c r="E524" i="4"/>
  <c r="U524" i="4" s="1"/>
  <c r="D524" i="4"/>
  <c r="C524" i="4"/>
  <c r="B524" i="4"/>
  <c r="A524" i="4"/>
  <c r="T523" i="4"/>
  <c r="S523" i="4"/>
  <c r="R523" i="4"/>
  <c r="Q523" i="4"/>
  <c r="P523" i="4"/>
  <c r="O523" i="4"/>
  <c r="N523" i="4"/>
  <c r="M523" i="4"/>
  <c r="L523" i="4"/>
  <c r="K523" i="4"/>
  <c r="J523" i="4"/>
  <c r="I523" i="4"/>
  <c r="H523" i="4"/>
  <c r="G523" i="4"/>
  <c r="F523" i="4"/>
  <c r="E523" i="4"/>
  <c r="U523" i="4" s="1"/>
  <c r="D523" i="4"/>
  <c r="C523" i="4"/>
  <c r="V523" i="4" s="1"/>
  <c r="B523" i="4"/>
  <c r="X523" i="4" s="1"/>
  <c r="A523" i="4"/>
  <c r="X522" i="4"/>
  <c r="V522" i="4"/>
  <c r="T522" i="4"/>
  <c r="S522" i="4"/>
  <c r="R522" i="4"/>
  <c r="Q522" i="4"/>
  <c r="P522" i="4"/>
  <c r="O522" i="4"/>
  <c r="N522" i="4"/>
  <c r="M522" i="4"/>
  <c r="L522" i="4"/>
  <c r="W522" i="4" s="1"/>
  <c r="K522" i="4"/>
  <c r="J522" i="4"/>
  <c r="I522" i="4"/>
  <c r="H522" i="4"/>
  <c r="G522" i="4"/>
  <c r="F522" i="4"/>
  <c r="E522" i="4"/>
  <c r="U522" i="4" s="1"/>
  <c r="D522" i="4"/>
  <c r="C522" i="4"/>
  <c r="B522" i="4"/>
  <c r="A522" i="4"/>
  <c r="T521" i="4"/>
  <c r="S521" i="4"/>
  <c r="R521" i="4"/>
  <c r="Q521" i="4"/>
  <c r="P521" i="4"/>
  <c r="O521" i="4"/>
  <c r="W521" i="4" s="1"/>
  <c r="N521" i="4"/>
  <c r="M521" i="4"/>
  <c r="L521" i="4"/>
  <c r="K521" i="4"/>
  <c r="J521" i="4"/>
  <c r="I521" i="4"/>
  <c r="H521" i="4"/>
  <c r="G521" i="4"/>
  <c r="F521" i="4"/>
  <c r="E521" i="4"/>
  <c r="U521" i="4" s="1"/>
  <c r="D521" i="4"/>
  <c r="C521" i="4"/>
  <c r="V521" i="4" s="1"/>
  <c r="B521" i="4"/>
  <c r="X521" i="4" s="1"/>
  <c r="A521" i="4"/>
  <c r="X520" i="4"/>
  <c r="W520" i="4"/>
  <c r="V520" i="4"/>
  <c r="T520" i="4"/>
  <c r="S520" i="4"/>
  <c r="R520" i="4"/>
  <c r="Q520" i="4"/>
  <c r="P520" i="4"/>
  <c r="O520" i="4"/>
  <c r="N520" i="4"/>
  <c r="M520" i="4"/>
  <c r="L520" i="4"/>
  <c r="K520" i="4"/>
  <c r="J520" i="4"/>
  <c r="I520" i="4"/>
  <c r="H520" i="4"/>
  <c r="G520" i="4"/>
  <c r="F520" i="4"/>
  <c r="E520" i="4"/>
  <c r="U520" i="4" s="1"/>
  <c r="D520" i="4"/>
  <c r="C520" i="4"/>
  <c r="B520" i="4"/>
  <c r="A520" i="4"/>
  <c r="X519" i="4"/>
  <c r="T519" i="4"/>
  <c r="S519" i="4"/>
  <c r="R519" i="4"/>
  <c r="Q519" i="4"/>
  <c r="P519" i="4"/>
  <c r="O519" i="4"/>
  <c r="W519" i="4" s="1"/>
  <c r="N519" i="4"/>
  <c r="M519" i="4"/>
  <c r="L519" i="4"/>
  <c r="K519" i="4"/>
  <c r="J519" i="4"/>
  <c r="I519" i="4"/>
  <c r="H519" i="4"/>
  <c r="G519" i="4"/>
  <c r="F519" i="4"/>
  <c r="E519" i="4"/>
  <c r="U519" i="4" s="1"/>
  <c r="D519" i="4"/>
  <c r="C519" i="4"/>
  <c r="V519" i="4" s="1"/>
  <c r="B519" i="4"/>
  <c r="A519" i="4"/>
  <c r="X518" i="4"/>
  <c r="W518" i="4"/>
  <c r="V518" i="4"/>
  <c r="T518" i="4"/>
  <c r="S518" i="4"/>
  <c r="R518" i="4"/>
  <c r="Q518" i="4"/>
  <c r="P518" i="4"/>
  <c r="O518" i="4"/>
  <c r="N518" i="4"/>
  <c r="M518" i="4"/>
  <c r="L518" i="4"/>
  <c r="K518" i="4"/>
  <c r="J518" i="4"/>
  <c r="I518" i="4"/>
  <c r="H518" i="4"/>
  <c r="G518" i="4"/>
  <c r="F518" i="4"/>
  <c r="E518" i="4"/>
  <c r="U518" i="4" s="1"/>
  <c r="D518" i="4"/>
  <c r="C518" i="4"/>
  <c r="B518" i="4"/>
  <c r="A518" i="4"/>
  <c r="T517" i="4"/>
  <c r="S517" i="4"/>
  <c r="R517" i="4"/>
  <c r="Q517" i="4"/>
  <c r="P517" i="4"/>
  <c r="O517" i="4"/>
  <c r="N517" i="4"/>
  <c r="M517" i="4"/>
  <c r="L517" i="4"/>
  <c r="K517" i="4"/>
  <c r="J517" i="4"/>
  <c r="I517" i="4"/>
  <c r="H517" i="4"/>
  <c r="G517" i="4"/>
  <c r="F517" i="4"/>
  <c r="E517" i="4"/>
  <c r="U517" i="4" s="1"/>
  <c r="D517" i="4"/>
  <c r="C517" i="4"/>
  <c r="V517" i="4" s="1"/>
  <c r="B517" i="4"/>
  <c r="X517" i="4" s="1"/>
  <c r="A517" i="4"/>
  <c r="X516" i="4"/>
  <c r="W516" i="4"/>
  <c r="V516" i="4"/>
  <c r="T516" i="4"/>
  <c r="S516" i="4"/>
  <c r="R516" i="4"/>
  <c r="Q516" i="4"/>
  <c r="P516" i="4"/>
  <c r="O516" i="4"/>
  <c r="N516" i="4"/>
  <c r="M516" i="4"/>
  <c r="L516" i="4"/>
  <c r="K516" i="4"/>
  <c r="J516" i="4"/>
  <c r="I516" i="4"/>
  <c r="H516" i="4"/>
  <c r="G516" i="4"/>
  <c r="F516" i="4"/>
  <c r="E516" i="4"/>
  <c r="U516" i="4" s="1"/>
  <c r="D516" i="4"/>
  <c r="C516" i="4"/>
  <c r="B516" i="4"/>
  <c r="A516" i="4"/>
  <c r="T515" i="4"/>
  <c r="S515" i="4"/>
  <c r="R515" i="4"/>
  <c r="Q515" i="4"/>
  <c r="P515" i="4"/>
  <c r="O515" i="4"/>
  <c r="W515" i="4" s="1"/>
  <c r="N515" i="4"/>
  <c r="M515" i="4"/>
  <c r="L515" i="4"/>
  <c r="K515" i="4"/>
  <c r="J515" i="4"/>
  <c r="I515" i="4"/>
  <c r="H515" i="4"/>
  <c r="G515" i="4"/>
  <c r="F515" i="4"/>
  <c r="E515" i="4"/>
  <c r="U515" i="4" s="1"/>
  <c r="D515" i="4"/>
  <c r="C515" i="4"/>
  <c r="V515" i="4" s="1"/>
  <c r="B515" i="4"/>
  <c r="X515" i="4" s="1"/>
  <c r="A515" i="4"/>
  <c r="X514" i="4"/>
  <c r="W514" i="4"/>
  <c r="V514" i="4"/>
  <c r="T514" i="4"/>
  <c r="S514" i="4"/>
  <c r="R514" i="4"/>
  <c r="Q514" i="4"/>
  <c r="P514" i="4"/>
  <c r="O514" i="4"/>
  <c r="N514" i="4"/>
  <c r="M514" i="4"/>
  <c r="L514" i="4"/>
  <c r="K514" i="4"/>
  <c r="J514" i="4"/>
  <c r="I514" i="4"/>
  <c r="H514" i="4"/>
  <c r="G514" i="4"/>
  <c r="F514" i="4"/>
  <c r="E514" i="4"/>
  <c r="U514" i="4" s="1"/>
  <c r="D514" i="4"/>
  <c r="C514" i="4"/>
  <c r="B514" i="4"/>
  <c r="A514" i="4"/>
  <c r="X513" i="4"/>
  <c r="T513" i="4"/>
  <c r="S513" i="4"/>
  <c r="R513" i="4"/>
  <c r="Q513" i="4"/>
  <c r="P513" i="4"/>
  <c r="O513" i="4"/>
  <c r="W513" i="4" s="1"/>
  <c r="N513" i="4"/>
  <c r="M513" i="4"/>
  <c r="L513" i="4"/>
  <c r="K513" i="4"/>
  <c r="J513" i="4"/>
  <c r="I513" i="4"/>
  <c r="H513" i="4"/>
  <c r="G513" i="4"/>
  <c r="F513" i="4"/>
  <c r="E513" i="4"/>
  <c r="U513" i="4" s="1"/>
  <c r="D513" i="4"/>
  <c r="C513" i="4"/>
  <c r="V513" i="4" s="1"/>
  <c r="B513" i="4"/>
  <c r="A513" i="4"/>
  <c r="X512" i="4"/>
  <c r="W512" i="4"/>
  <c r="V512" i="4"/>
  <c r="T512" i="4"/>
  <c r="S512" i="4"/>
  <c r="R512" i="4"/>
  <c r="Q512" i="4"/>
  <c r="P512" i="4"/>
  <c r="O512" i="4"/>
  <c r="N512" i="4"/>
  <c r="M512" i="4"/>
  <c r="L512" i="4"/>
  <c r="K512" i="4"/>
  <c r="J512" i="4"/>
  <c r="I512" i="4"/>
  <c r="H512" i="4"/>
  <c r="G512" i="4"/>
  <c r="F512" i="4"/>
  <c r="E512" i="4"/>
  <c r="U512" i="4" s="1"/>
  <c r="D512" i="4"/>
  <c r="C512" i="4"/>
  <c r="B512" i="4"/>
  <c r="A512" i="4"/>
  <c r="X511" i="4"/>
  <c r="T511" i="4"/>
  <c r="S511" i="4"/>
  <c r="W511" i="4" s="1"/>
  <c r="R511" i="4"/>
  <c r="Q511" i="4"/>
  <c r="P511" i="4"/>
  <c r="O511" i="4"/>
  <c r="N511" i="4"/>
  <c r="M511" i="4"/>
  <c r="L511" i="4"/>
  <c r="K511" i="4"/>
  <c r="J511" i="4"/>
  <c r="I511" i="4"/>
  <c r="H511" i="4"/>
  <c r="G511" i="4"/>
  <c r="F511" i="4"/>
  <c r="E511" i="4"/>
  <c r="U511" i="4" s="1"/>
  <c r="D511" i="4"/>
  <c r="C511" i="4"/>
  <c r="V511" i="4" s="1"/>
  <c r="B511" i="4"/>
  <c r="A511" i="4"/>
  <c r="X510" i="4"/>
  <c r="V510" i="4"/>
  <c r="T510" i="4"/>
  <c r="S510" i="4"/>
  <c r="R510" i="4"/>
  <c r="Q510" i="4"/>
  <c r="P510" i="4"/>
  <c r="O510" i="4"/>
  <c r="W510" i="4" s="1"/>
  <c r="N510" i="4"/>
  <c r="M510" i="4"/>
  <c r="L510" i="4"/>
  <c r="K510" i="4"/>
  <c r="J510" i="4"/>
  <c r="I510" i="4"/>
  <c r="H510" i="4"/>
  <c r="G510" i="4"/>
  <c r="F510" i="4"/>
  <c r="E510" i="4"/>
  <c r="U510" i="4" s="1"/>
  <c r="D510" i="4"/>
  <c r="C510" i="4"/>
  <c r="B510" i="4"/>
  <c r="A510" i="4"/>
  <c r="X509" i="4"/>
  <c r="T509" i="4"/>
  <c r="S509" i="4"/>
  <c r="W509" i="4" s="1"/>
  <c r="R509" i="4"/>
  <c r="Q509" i="4"/>
  <c r="P509" i="4"/>
  <c r="O509" i="4"/>
  <c r="N509" i="4"/>
  <c r="M509" i="4"/>
  <c r="L509" i="4"/>
  <c r="K509" i="4"/>
  <c r="J509" i="4"/>
  <c r="I509" i="4"/>
  <c r="H509" i="4"/>
  <c r="G509" i="4"/>
  <c r="F509" i="4"/>
  <c r="E509" i="4"/>
  <c r="U509" i="4" s="1"/>
  <c r="D509" i="4"/>
  <c r="C509" i="4"/>
  <c r="V509" i="4" s="1"/>
  <c r="B509" i="4"/>
  <c r="A509" i="4"/>
  <c r="X508" i="4"/>
  <c r="V508" i="4"/>
  <c r="T508" i="4"/>
  <c r="S508" i="4"/>
  <c r="R508" i="4"/>
  <c r="Q508" i="4"/>
  <c r="P508" i="4"/>
  <c r="O508" i="4"/>
  <c r="N508" i="4"/>
  <c r="M508" i="4"/>
  <c r="L508" i="4"/>
  <c r="K508" i="4"/>
  <c r="J508" i="4"/>
  <c r="I508" i="4"/>
  <c r="H508" i="4"/>
  <c r="G508" i="4"/>
  <c r="F508" i="4"/>
  <c r="E508" i="4"/>
  <c r="U508" i="4" s="1"/>
  <c r="D508" i="4"/>
  <c r="C508" i="4"/>
  <c r="B508" i="4"/>
  <c r="A508" i="4"/>
  <c r="T507" i="4"/>
  <c r="S507" i="4"/>
  <c r="R507" i="4"/>
  <c r="Q507" i="4"/>
  <c r="P507" i="4"/>
  <c r="O507" i="4"/>
  <c r="N507" i="4"/>
  <c r="M507" i="4"/>
  <c r="L507" i="4"/>
  <c r="K507" i="4"/>
  <c r="J507" i="4"/>
  <c r="I507" i="4"/>
  <c r="H507" i="4"/>
  <c r="G507" i="4"/>
  <c r="F507" i="4"/>
  <c r="E507" i="4"/>
  <c r="U507" i="4" s="1"/>
  <c r="D507" i="4"/>
  <c r="C507" i="4"/>
  <c r="V507" i="4" s="1"/>
  <c r="B507" i="4"/>
  <c r="X507" i="4" s="1"/>
  <c r="A507" i="4"/>
  <c r="X506" i="4"/>
  <c r="V506" i="4"/>
  <c r="T506" i="4"/>
  <c r="S506" i="4"/>
  <c r="R506" i="4"/>
  <c r="Q506" i="4"/>
  <c r="P506" i="4"/>
  <c r="O506" i="4"/>
  <c r="W506" i="4" s="1"/>
  <c r="N506" i="4"/>
  <c r="M506" i="4"/>
  <c r="L506" i="4"/>
  <c r="K506" i="4"/>
  <c r="J506" i="4"/>
  <c r="I506" i="4"/>
  <c r="H506" i="4"/>
  <c r="G506" i="4"/>
  <c r="F506" i="4"/>
  <c r="E506" i="4"/>
  <c r="U506" i="4" s="1"/>
  <c r="D506" i="4"/>
  <c r="C506" i="4"/>
  <c r="B506" i="4"/>
  <c r="A506" i="4"/>
  <c r="X505" i="4"/>
  <c r="W505" i="4"/>
  <c r="T505" i="4"/>
  <c r="S505" i="4"/>
  <c r="R505" i="4"/>
  <c r="Q505" i="4"/>
  <c r="P505" i="4"/>
  <c r="O505" i="4"/>
  <c r="N505" i="4"/>
  <c r="M505" i="4"/>
  <c r="L505" i="4"/>
  <c r="K505" i="4"/>
  <c r="J505" i="4"/>
  <c r="I505" i="4"/>
  <c r="H505" i="4"/>
  <c r="G505" i="4"/>
  <c r="F505" i="4"/>
  <c r="E505" i="4"/>
  <c r="U505" i="4" s="1"/>
  <c r="D505" i="4"/>
  <c r="C505" i="4"/>
  <c r="V505" i="4" s="1"/>
  <c r="B505" i="4"/>
  <c r="A505" i="4"/>
  <c r="X504" i="4"/>
  <c r="V504" i="4"/>
  <c r="T504" i="4"/>
  <c r="S504" i="4"/>
  <c r="R504" i="4"/>
  <c r="Q504" i="4"/>
  <c r="P504" i="4"/>
  <c r="O504" i="4"/>
  <c r="W504" i="4" s="1"/>
  <c r="N504" i="4"/>
  <c r="M504" i="4"/>
  <c r="L504" i="4"/>
  <c r="K504" i="4"/>
  <c r="J504" i="4"/>
  <c r="I504" i="4"/>
  <c r="H504" i="4"/>
  <c r="G504" i="4"/>
  <c r="F504" i="4"/>
  <c r="E504" i="4"/>
  <c r="U504" i="4" s="1"/>
  <c r="D504" i="4"/>
  <c r="C504" i="4"/>
  <c r="B504" i="4"/>
  <c r="A504" i="4"/>
  <c r="X503" i="4"/>
  <c r="T503" i="4"/>
  <c r="S503" i="4"/>
  <c r="R503" i="4"/>
  <c r="Q503" i="4"/>
  <c r="P503" i="4"/>
  <c r="O503" i="4"/>
  <c r="W503" i="4" s="1"/>
  <c r="N503" i="4"/>
  <c r="M503" i="4"/>
  <c r="L503" i="4"/>
  <c r="K503" i="4"/>
  <c r="J503" i="4"/>
  <c r="I503" i="4"/>
  <c r="H503" i="4"/>
  <c r="G503" i="4"/>
  <c r="F503" i="4"/>
  <c r="E503" i="4"/>
  <c r="U503" i="4" s="1"/>
  <c r="D503" i="4"/>
  <c r="C503" i="4"/>
  <c r="V503" i="4" s="1"/>
  <c r="B503" i="4"/>
  <c r="A503" i="4"/>
  <c r="X502" i="4"/>
  <c r="W502" i="4"/>
  <c r="V502" i="4"/>
  <c r="T502" i="4"/>
  <c r="S502" i="4"/>
  <c r="R502" i="4"/>
  <c r="Q502" i="4"/>
  <c r="P502" i="4"/>
  <c r="O502" i="4"/>
  <c r="N502" i="4"/>
  <c r="M502" i="4"/>
  <c r="L502" i="4"/>
  <c r="K502" i="4"/>
  <c r="J502" i="4"/>
  <c r="I502" i="4"/>
  <c r="H502" i="4"/>
  <c r="G502" i="4"/>
  <c r="F502" i="4"/>
  <c r="E502" i="4"/>
  <c r="U502" i="4" s="1"/>
  <c r="D502" i="4"/>
  <c r="C502" i="4"/>
  <c r="B502" i="4"/>
  <c r="A502" i="4"/>
  <c r="T501" i="4"/>
  <c r="S501" i="4"/>
  <c r="R501" i="4"/>
  <c r="Q501" i="4"/>
  <c r="P501" i="4"/>
  <c r="O501" i="4"/>
  <c r="W501" i="4" s="1"/>
  <c r="N501" i="4"/>
  <c r="M501" i="4"/>
  <c r="L501" i="4"/>
  <c r="K501" i="4"/>
  <c r="J501" i="4"/>
  <c r="I501" i="4"/>
  <c r="H501" i="4"/>
  <c r="G501" i="4"/>
  <c r="F501" i="4"/>
  <c r="E501" i="4"/>
  <c r="U501" i="4" s="1"/>
  <c r="D501" i="4"/>
  <c r="C501" i="4"/>
  <c r="V501" i="4" s="1"/>
  <c r="B501" i="4"/>
  <c r="X501" i="4" s="1"/>
  <c r="A501" i="4"/>
  <c r="X500" i="4"/>
  <c r="W500" i="4"/>
  <c r="V500" i="4"/>
  <c r="T500" i="4"/>
  <c r="S500" i="4"/>
  <c r="R500" i="4"/>
  <c r="Q500" i="4"/>
  <c r="P500" i="4"/>
  <c r="O500" i="4"/>
  <c r="N500" i="4"/>
  <c r="M500" i="4"/>
  <c r="L500" i="4"/>
  <c r="K500" i="4"/>
  <c r="J500" i="4"/>
  <c r="I500" i="4"/>
  <c r="H500" i="4"/>
  <c r="G500" i="4"/>
  <c r="F500" i="4"/>
  <c r="E500" i="4"/>
  <c r="U500" i="4" s="1"/>
  <c r="D500" i="4"/>
  <c r="C500" i="4"/>
  <c r="B500" i="4"/>
  <c r="A500" i="4"/>
  <c r="W499" i="4"/>
  <c r="T499" i="4"/>
  <c r="S499" i="4"/>
  <c r="R499" i="4"/>
  <c r="Q499" i="4"/>
  <c r="P499" i="4"/>
  <c r="O499" i="4"/>
  <c r="N499" i="4"/>
  <c r="M499" i="4"/>
  <c r="L499" i="4"/>
  <c r="K499" i="4"/>
  <c r="J499" i="4"/>
  <c r="I499" i="4"/>
  <c r="H499" i="4"/>
  <c r="G499" i="4"/>
  <c r="F499" i="4"/>
  <c r="E499" i="4"/>
  <c r="U499" i="4" s="1"/>
  <c r="D499" i="4"/>
  <c r="C499" i="4"/>
  <c r="V499" i="4" s="1"/>
  <c r="B499" i="4"/>
  <c r="X499" i="4" s="1"/>
  <c r="A499" i="4"/>
  <c r="X498" i="4"/>
  <c r="V498" i="4"/>
  <c r="T498" i="4"/>
  <c r="S498" i="4"/>
  <c r="R498" i="4"/>
  <c r="Q498" i="4"/>
  <c r="P498" i="4"/>
  <c r="O498" i="4"/>
  <c r="W498" i="4" s="1"/>
  <c r="N498" i="4"/>
  <c r="M498" i="4"/>
  <c r="L498" i="4"/>
  <c r="K498" i="4"/>
  <c r="J498" i="4"/>
  <c r="I498" i="4"/>
  <c r="H498" i="4"/>
  <c r="G498" i="4"/>
  <c r="F498" i="4"/>
  <c r="E498" i="4"/>
  <c r="U498" i="4" s="1"/>
  <c r="D498" i="4"/>
  <c r="C498" i="4"/>
  <c r="B498" i="4"/>
  <c r="A498" i="4"/>
  <c r="X497" i="4"/>
  <c r="V497" i="4"/>
  <c r="T497" i="4"/>
  <c r="S497" i="4"/>
  <c r="R497" i="4"/>
  <c r="Q497" i="4"/>
  <c r="P497" i="4"/>
  <c r="O497" i="4"/>
  <c r="W497" i="4" s="1"/>
  <c r="N497" i="4"/>
  <c r="M497" i="4"/>
  <c r="L497" i="4"/>
  <c r="K497" i="4"/>
  <c r="J497" i="4"/>
  <c r="I497" i="4"/>
  <c r="H497" i="4"/>
  <c r="G497" i="4"/>
  <c r="F497" i="4"/>
  <c r="E497" i="4"/>
  <c r="U497" i="4" s="1"/>
  <c r="D497" i="4"/>
  <c r="C497" i="4"/>
  <c r="B497" i="4"/>
  <c r="A497" i="4"/>
  <c r="X496" i="4"/>
  <c r="W496" i="4"/>
  <c r="V496" i="4"/>
  <c r="T496" i="4"/>
  <c r="S496" i="4"/>
  <c r="R496" i="4"/>
  <c r="Q496" i="4"/>
  <c r="P496" i="4"/>
  <c r="O496" i="4"/>
  <c r="N496" i="4"/>
  <c r="M496" i="4"/>
  <c r="L496" i="4"/>
  <c r="K496" i="4"/>
  <c r="J496" i="4"/>
  <c r="I496" i="4"/>
  <c r="H496" i="4"/>
  <c r="G496" i="4"/>
  <c r="F496" i="4"/>
  <c r="E496" i="4"/>
  <c r="U496" i="4" s="1"/>
  <c r="D496" i="4"/>
  <c r="C496" i="4"/>
  <c r="B496" i="4"/>
  <c r="A496" i="4"/>
  <c r="X495" i="4"/>
  <c r="V495" i="4"/>
  <c r="T495" i="4"/>
  <c r="S495" i="4"/>
  <c r="R495" i="4"/>
  <c r="Q495" i="4"/>
  <c r="P495" i="4"/>
  <c r="O495" i="4"/>
  <c r="W495" i="4" s="1"/>
  <c r="N495" i="4"/>
  <c r="M495" i="4"/>
  <c r="L495" i="4"/>
  <c r="K495" i="4"/>
  <c r="J495" i="4"/>
  <c r="I495" i="4"/>
  <c r="H495" i="4"/>
  <c r="G495" i="4"/>
  <c r="F495" i="4"/>
  <c r="E495" i="4"/>
  <c r="U495" i="4" s="1"/>
  <c r="D495" i="4"/>
  <c r="C495" i="4"/>
  <c r="B495" i="4"/>
  <c r="A495" i="4"/>
  <c r="X494" i="4"/>
  <c r="V494" i="4"/>
  <c r="T494" i="4"/>
  <c r="S494" i="4"/>
  <c r="R494" i="4"/>
  <c r="Q494" i="4"/>
  <c r="P494" i="4"/>
  <c r="O494" i="4"/>
  <c r="W494" i="4" s="1"/>
  <c r="N494" i="4"/>
  <c r="M494" i="4"/>
  <c r="L494" i="4"/>
  <c r="K494" i="4"/>
  <c r="J494" i="4"/>
  <c r="I494" i="4"/>
  <c r="H494" i="4"/>
  <c r="G494" i="4"/>
  <c r="F494" i="4"/>
  <c r="E494" i="4"/>
  <c r="U494" i="4" s="1"/>
  <c r="D494" i="4"/>
  <c r="C494" i="4"/>
  <c r="B494" i="4"/>
  <c r="A494" i="4"/>
  <c r="X493" i="4"/>
  <c r="W493" i="4"/>
  <c r="V493" i="4"/>
  <c r="T493" i="4"/>
  <c r="S493" i="4"/>
  <c r="R493" i="4"/>
  <c r="Q493" i="4"/>
  <c r="P493" i="4"/>
  <c r="O493" i="4"/>
  <c r="N493" i="4"/>
  <c r="M493" i="4"/>
  <c r="L493" i="4"/>
  <c r="K493" i="4"/>
  <c r="J493" i="4"/>
  <c r="I493" i="4"/>
  <c r="H493" i="4"/>
  <c r="G493" i="4"/>
  <c r="F493" i="4"/>
  <c r="E493" i="4"/>
  <c r="U493" i="4" s="1"/>
  <c r="D493" i="4"/>
  <c r="C493" i="4"/>
  <c r="B493" i="4"/>
  <c r="A493" i="4"/>
  <c r="X492" i="4"/>
  <c r="V492" i="4"/>
  <c r="T492" i="4"/>
  <c r="S492" i="4"/>
  <c r="R492" i="4"/>
  <c r="Q492" i="4"/>
  <c r="P492" i="4"/>
  <c r="O492" i="4"/>
  <c r="W492" i="4" s="1"/>
  <c r="N492" i="4"/>
  <c r="M492" i="4"/>
  <c r="L492" i="4"/>
  <c r="K492" i="4"/>
  <c r="J492" i="4"/>
  <c r="I492" i="4"/>
  <c r="H492" i="4"/>
  <c r="G492" i="4"/>
  <c r="F492" i="4"/>
  <c r="E492" i="4"/>
  <c r="U492" i="4" s="1"/>
  <c r="D492" i="4"/>
  <c r="C492" i="4"/>
  <c r="B492" i="4"/>
  <c r="A492" i="4"/>
  <c r="X491" i="4"/>
  <c r="W491" i="4"/>
  <c r="V491" i="4"/>
  <c r="T491" i="4"/>
  <c r="S491" i="4"/>
  <c r="R491" i="4"/>
  <c r="Q491" i="4"/>
  <c r="P491" i="4"/>
  <c r="O491" i="4"/>
  <c r="N491" i="4"/>
  <c r="M491" i="4"/>
  <c r="L491" i="4"/>
  <c r="K491" i="4"/>
  <c r="J491" i="4"/>
  <c r="I491" i="4"/>
  <c r="H491" i="4"/>
  <c r="G491" i="4"/>
  <c r="F491" i="4"/>
  <c r="E491" i="4"/>
  <c r="U491" i="4" s="1"/>
  <c r="D491" i="4"/>
  <c r="C491" i="4"/>
  <c r="B491" i="4"/>
  <c r="A491" i="4"/>
  <c r="X490" i="4"/>
  <c r="V490" i="4"/>
  <c r="T490" i="4"/>
  <c r="S490" i="4"/>
  <c r="R490" i="4"/>
  <c r="Q490" i="4"/>
  <c r="P490" i="4"/>
  <c r="O490" i="4"/>
  <c r="N490" i="4"/>
  <c r="M490" i="4"/>
  <c r="L490" i="4"/>
  <c r="K490" i="4"/>
  <c r="J490" i="4"/>
  <c r="I490" i="4"/>
  <c r="H490" i="4"/>
  <c r="G490" i="4"/>
  <c r="F490" i="4"/>
  <c r="E490" i="4"/>
  <c r="U490" i="4" s="1"/>
  <c r="D490" i="4"/>
  <c r="C490" i="4"/>
  <c r="B490" i="4"/>
  <c r="A490" i="4"/>
  <c r="X489" i="4"/>
  <c r="T489" i="4"/>
  <c r="S489" i="4"/>
  <c r="W489" i="4" s="1"/>
  <c r="R489" i="4"/>
  <c r="Q489" i="4"/>
  <c r="P489" i="4"/>
  <c r="O489" i="4"/>
  <c r="N489" i="4"/>
  <c r="M489" i="4"/>
  <c r="L489" i="4"/>
  <c r="K489" i="4"/>
  <c r="J489" i="4"/>
  <c r="I489" i="4"/>
  <c r="H489" i="4"/>
  <c r="G489" i="4"/>
  <c r="F489" i="4"/>
  <c r="E489" i="4"/>
  <c r="U489" i="4" s="1"/>
  <c r="D489" i="4"/>
  <c r="C489" i="4"/>
  <c r="V489" i="4" s="1"/>
  <c r="B489" i="4"/>
  <c r="A489" i="4"/>
  <c r="X488" i="4"/>
  <c r="V488" i="4"/>
  <c r="T488" i="4"/>
  <c r="S488" i="4"/>
  <c r="R488" i="4"/>
  <c r="Q488" i="4"/>
  <c r="P488" i="4"/>
  <c r="O488" i="4"/>
  <c r="W488" i="4" s="1"/>
  <c r="N488" i="4"/>
  <c r="M488" i="4"/>
  <c r="L488" i="4"/>
  <c r="K488" i="4"/>
  <c r="J488" i="4"/>
  <c r="I488" i="4"/>
  <c r="H488" i="4"/>
  <c r="G488" i="4"/>
  <c r="F488" i="4"/>
  <c r="E488" i="4"/>
  <c r="U488" i="4" s="1"/>
  <c r="D488" i="4"/>
  <c r="C488" i="4"/>
  <c r="B488" i="4"/>
  <c r="A488" i="4"/>
  <c r="X487" i="4"/>
  <c r="T487" i="4"/>
  <c r="S487" i="4"/>
  <c r="W487" i="4" s="1"/>
  <c r="R487" i="4"/>
  <c r="Q487" i="4"/>
  <c r="P487" i="4"/>
  <c r="O487" i="4"/>
  <c r="N487" i="4"/>
  <c r="M487" i="4"/>
  <c r="L487" i="4"/>
  <c r="K487" i="4"/>
  <c r="J487" i="4"/>
  <c r="I487" i="4"/>
  <c r="H487" i="4"/>
  <c r="G487" i="4"/>
  <c r="F487" i="4"/>
  <c r="E487" i="4"/>
  <c r="U487" i="4" s="1"/>
  <c r="D487" i="4"/>
  <c r="C487" i="4"/>
  <c r="V487" i="4" s="1"/>
  <c r="B487" i="4"/>
  <c r="A487" i="4"/>
  <c r="X486" i="4"/>
  <c r="V486" i="4"/>
  <c r="T486" i="4"/>
  <c r="S486" i="4"/>
  <c r="R486" i="4"/>
  <c r="Q486" i="4"/>
  <c r="P486" i="4"/>
  <c r="O486" i="4"/>
  <c r="W486" i="4" s="1"/>
  <c r="N486" i="4"/>
  <c r="M486" i="4"/>
  <c r="L486" i="4"/>
  <c r="K486" i="4"/>
  <c r="J486" i="4"/>
  <c r="I486" i="4"/>
  <c r="H486" i="4"/>
  <c r="G486" i="4"/>
  <c r="F486" i="4"/>
  <c r="E486" i="4"/>
  <c r="U486" i="4" s="1"/>
  <c r="D486" i="4"/>
  <c r="C486" i="4"/>
  <c r="B486" i="4"/>
  <c r="A486" i="4"/>
  <c r="X485" i="4"/>
  <c r="W485" i="4"/>
  <c r="V485" i="4"/>
  <c r="T485" i="4"/>
  <c r="S485" i="4"/>
  <c r="R485" i="4"/>
  <c r="Q485" i="4"/>
  <c r="P485" i="4"/>
  <c r="O485" i="4"/>
  <c r="N485" i="4"/>
  <c r="M485" i="4"/>
  <c r="L485" i="4"/>
  <c r="K485" i="4"/>
  <c r="J485" i="4"/>
  <c r="I485" i="4"/>
  <c r="H485" i="4"/>
  <c r="G485" i="4"/>
  <c r="F485" i="4"/>
  <c r="E485" i="4"/>
  <c r="U485" i="4" s="1"/>
  <c r="D485" i="4"/>
  <c r="C485" i="4"/>
  <c r="B485" i="4"/>
  <c r="A485" i="4"/>
  <c r="X484" i="4"/>
  <c r="V484" i="4"/>
  <c r="T484" i="4"/>
  <c r="S484" i="4"/>
  <c r="R484" i="4"/>
  <c r="Q484" i="4"/>
  <c r="P484" i="4"/>
  <c r="O484" i="4"/>
  <c r="W484" i="4" s="1"/>
  <c r="N484" i="4"/>
  <c r="M484" i="4"/>
  <c r="L484" i="4"/>
  <c r="K484" i="4"/>
  <c r="J484" i="4"/>
  <c r="I484" i="4"/>
  <c r="H484" i="4"/>
  <c r="G484" i="4"/>
  <c r="F484" i="4"/>
  <c r="E484" i="4"/>
  <c r="U484" i="4" s="1"/>
  <c r="D484" i="4"/>
  <c r="C484" i="4"/>
  <c r="B484" i="4"/>
  <c r="A484" i="4"/>
  <c r="X483" i="4"/>
  <c r="W483" i="4"/>
  <c r="V483" i="4"/>
  <c r="T483" i="4"/>
  <c r="S483" i="4"/>
  <c r="R483" i="4"/>
  <c r="Q483" i="4"/>
  <c r="P483" i="4"/>
  <c r="O483" i="4"/>
  <c r="N483" i="4"/>
  <c r="M483" i="4"/>
  <c r="L483" i="4"/>
  <c r="K483" i="4"/>
  <c r="J483" i="4"/>
  <c r="I483" i="4"/>
  <c r="H483" i="4"/>
  <c r="G483" i="4"/>
  <c r="F483" i="4"/>
  <c r="E483" i="4"/>
  <c r="U483" i="4" s="1"/>
  <c r="D483" i="4"/>
  <c r="C483" i="4"/>
  <c r="B483" i="4"/>
  <c r="A483" i="4"/>
  <c r="X482" i="4"/>
  <c r="V482" i="4"/>
  <c r="T482" i="4"/>
  <c r="S482" i="4"/>
  <c r="R482" i="4"/>
  <c r="Q482" i="4"/>
  <c r="P482" i="4"/>
  <c r="O482" i="4"/>
  <c r="W482" i="4" s="1"/>
  <c r="N482" i="4"/>
  <c r="M482" i="4"/>
  <c r="L482" i="4"/>
  <c r="K482" i="4"/>
  <c r="J482" i="4"/>
  <c r="I482" i="4"/>
  <c r="H482" i="4"/>
  <c r="G482" i="4"/>
  <c r="F482" i="4"/>
  <c r="E482" i="4"/>
  <c r="U482" i="4" s="1"/>
  <c r="D482" i="4"/>
  <c r="C482" i="4"/>
  <c r="B482" i="4"/>
  <c r="A482" i="4"/>
  <c r="X481" i="4"/>
  <c r="W481" i="4"/>
  <c r="V481" i="4"/>
  <c r="T481" i="4"/>
  <c r="S481" i="4"/>
  <c r="R481" i="4"/>
  <c r="Q481" i="4"/>
  <c r="P481" i="4"/>
  <c r="O481" i="4"/>
  <c r="N481" i="4"/>
  <c r="M481" i="4"/>
  <c r="L481" i="4"/>
  <c r="K481" i="4"/>
  <c r="J481" i="4"/>
  <c r="I481" i="4"/>
  <c r="H481" i="4"/>
  <c r="G481" i="4"/>
  <c r="F481" i="4"/>
  <c r="E481" i="4"/>
  <c r="U481" i="4" s="1"/>
  <c r="D481" i="4"/>
  <c r="C481" i="4"/>
  <c r="B481" i="4"/>
  <c r="A481" i="4"/>
  <c r="X480" i="4"/>
  <c r="V480" i="4"/>
  <c r="T480" i="4"/>
  <c r="S480" i="4"/>
  <c r="R480" i="4"/>
  <c r="Q480" i="4"/>
  <c r="P480" i="4"/>
  <c r="O480" i="4"/>
  <c r="W480" i="4" s="1"/>
  <c r="N480" i="4"/>
  <c r="M480" i="4"/>
  <c r="L480" i="4"/>
  <c r="K480" i="4"/>
  <c r="J480" i="4"/>
  <c r="I480" i="4"/>
  <c r="H480" i="4"/>
  <c r="G480" i="4"/>
  <c r="F480" i="4"/>
  <c r="E480" i="4"/>
  <c r="U480" i="4" s="1"/>
  <c r="D480" i="4"/>
  <c r="C480" i="4"/>
  <c r="B480" i="4"/>
  <c r="A480" i="4"/>
  <c r="X479" i="4"/>
  <c r="W479" i="4"/>
  <c r="V479" i="4"/>
  <c r="T479" i="4"/>
  <c r="S479" i="4"/>
  <c r="R479" i="4"/>
  <c r="Q479" i="4"/>
  <c r="P479" i="4"/>
  <c r="O479" i="4"/>
  <c r="N479" i="4"/>
  <c r="M479" i="4"/>
  <c r="L479" i="4"/>
  <c r="K479" i="4"/>
  <c r="J479" i="4"/>
  <c r="I479" i="4"/>
  <c r="H479" i="4"/>
  <c r="G479" i="4"/>
  <c r="F479" i="4"/>
  <c r="E479" i="4"/>
  <c r="U479" i="4" s="1"/>
  <c r="D479" i="4"/>
  <c r="C479" i="4"/>
  <c r="B479" i="4"/>
  <c r="A479" i="4"/>
  <c r="X478" i="4"/>
  <c r="V478" i="4"/>
  <c r="T478" i="4"/>
  <c r="S478" i="4"/>
  <c r="R478" i="4"/>
  <c r="Q478" i="4"/>
  <c r="P478" i="4"/>
  <c r="O478" i="4"/>
  <c r="N478" i="4"/>
  <c r="M478" i="4"/>
  <c r="L478" i="4"/>
  <c r="K478" i="4"/>
  <c r="J478" i="4"/>
  <c r="I478" i="4"/>
  <c r="H478" i="4"/>
  <c r="G478" i="4"/>
  <c r="F478" i="4"/>
  <c r="E478" i="4"/>
  <c r="U478" i="4" s="1"/>
  <c r="D478" i="4"/>
  <c r="C478" i="4"/>
  <c r="B478" i="4"/>
  <c r="A478" i="4"/>
  <c r="X477" i="4"/>
  <c r="W477" i="4"/>
  <c r="V477" i="4"/>
  <c r="T477" i="4"/>
  <c r="S477" i="4"/>
  <c r="R477" i="4"/>
  <c r="Q477" i="4"/>
  <c r="P477" i="4"/>
  <c r="O477" i="4"/>
  <c r="N477" i="4"/>
  <c r="M477" i="4"/>
  <c r="L477" i="4"/>
  <c r="K477" i="4"/>
  <c r="J477" i="4"/>
  <c r="I477" i="4"/>
  <c r="H477" i="4"/>
  <c r="G477" i="4"/>
  <c r="F477" i="4"/>
  <c r="E477" i="4"/>
  <c r="U477" i="4" s="1"/>
  <c r="D477" i="4"/>
  <c r="C477" i="4"/>
  <c r="B477" i="4"/>
  <c r="A477" i="4"/>
  <c r="X476" i="4"/>
  <c r="V476" i="4"/>
  <c r="T476" i="4"/>
  <c r="S476" i="4"/>
  <c r="R476" i="4"/>
  <c r="Q476" i="4"/>
  <c r="P476" i="4"/>
  <c r="O476" i="4"/>
  <c r="N476" i="4"/>
  <c r="M476" i="4"/>
  <c r="L476" i="4"/>
  <c r="K476" i="4"/>
  <c r="J476" i="4"/>
  <c r="I476" i="4"/>
  <c r="H476" i="4"/>
  <c r="G476" i="4"/>
  <c r="F476" i="4"/>
  <c r="E476" i="4"/>
  <c r="U476" i="4" s="1"/>
  <c r="D476" i="4"/>
  <c r="C476" i="4"/>
  <c r="B476" i="4"/>
  <c r="A476" i="4"/>
  <c r="X475" i="4"/>
  <c r="T475" i="4"/>
  <c r="S475" i="4"/>
  <c r="W475" i="4" s="1"/>
  <c r="R475" i="4"/>
  <c r="Q475" i="4"/>
  <c r="P475" i="4"/>
  <c r="O475" i="4"/>
  <c r="N475" i="4"/>
  <c r="M475" i="4"/>
  <c r="L475" i="4"/>
  <c r="K475" i="4"/>
  <c r="J475" i="4"/>
  <c r="I475" i="4"/>
  <c r="H475" i="4"/>
  <c r="G475" i="4"/>
  <c r="F475" i="4"/>
  <c r="E475" i="4"/>
  <c r="U475" i="4" s="1"/>
  <c r="D475" i="4"/>
  <c r="C475" i="4"/>
  <c r="V475" i="4" s="1"/>
  <c r="B475" i="4"/>
  <c r="A475" i="4"/>
  <c r="X474" i="4"/>
  <c r="V474" i="4"/>
  <c r="T474" i="4"/>
  <c r="S474" i="4"/>
  <c r="R474" i="4"/>
  <c r="Q474" i="4"/>
  <c r="P474" i="4"/>
  <c r="O474" i="4"/>
  <c r="N474" i="4"/>
  <c r="M474" i="4"/>
  <c r="L474" i="4"/>
  <c r="K474" i="4"/>
  <c r="J474" i="4"/>
  <c r="I474" i="4"/>
  <c r="H474" i="4"/>
  <c r="G474" i="4"/>
  <c r="F474" i="4"/>
  <c r="E474" i="4"/>
  <c r="U474" i="4" s="1"/>
  <c r="D474" i="4"/>
  <c r="C474" i="4"/>
  <c r="B474" i="4"/>
  <c r="A474" i="4"/>
  <c r="X473" i="4"/>
  <c r="V473" i="4"/>
  <c r="T473" i="4"/>
  <c r="S473" i="4"/>
  <c r="W473" i="4" s="1"/>
  <c r="R473" i="4"/>
  <c r="Q473" i="4"/>
  <c r="P473" i="4"/>
  <c r="O473" i="4"/>
  <c r="N473" i="4"/>
  <c r="M473" i="4"/>
  <c r="L473" i="4"/>
  <c r="K473" i="4"/>
  <c r="J473" i="4"/>
  <c r="I473" i="4"/>
  <c r="H473" i="4"/>
  <c r="G473" i="4"/>
  <c r="F473" i="4"/>
  <c r="E473" i="4"/>
  <c r="U473" i="4" s="1"/>
  <c r="D473" i="4"/>
  <c r="C473" i="4"/>
  <c r="B473" i="4"/>
  <c r="A473" i="4"/>
  <c r="X472" i="4"/>
  <c r="V472" i="4"/>
  <c r="T472" i="4"/>
  <c r="S472" i="4"/>
  <c r="R472" i="4"/>
  <c r="Q472" i="4"/>
  <c r="P472" i="4"/>
  <c r="O472" i="4"/>
  <c r="N472" i="4"/>
  <c r="M472" i="4"/>
  <c r="L472" i="4"/>
  <c r="K472" i="4"/>
  <c r="J472" i="4"/>
  <c r="I472" i="4"/>
  <c r="H472" i="4"/>
  <c r="G472" i="4"/>
  <c r="F472" i="4"/>
  <c r="E472" i="4"/>
  <c r="U472" i="4" s="1"/>
  <c r="D472" i="4"/>
  <c r="C472" i="4"/>
  <c r="B472" i="4"/>
  <c r="A472" i="4"/>
  <c r="X471" i="4"/>
  <c r="T471" i="4"/>
  <c r="S471" i="4"/>
  <c r="W471" i="4" s="1"/>
  <c r="R471" i="4"/>
  <c r="Q471" i="4"/>
  <c r="P471" i="4"/>
  <c r="O471" i="4"/>
  <c r="N471" i="4"/>
  <c r="M471" i="4"/>
  <c r="L471" i="4"/>
  <c r="K471" i="4"/>
  <c r="J471" i="4"/>
  <c r="I471" i="4"/>
  <c r="H471" i="4"/>
  <c r="G471" i="4"/>
  <c r="F471" i="4"/>
  <c r="E471" i="4"/>
  <c r="U471" i="4" s="1"/>
  <c r="D471" i="4"/>
  <c r="C471" i="4"/>
  <c r="V471" i="4" s="1"/>
  <c r="B471" i="4"/>
  <c r="A471" i="4"/>
  <c r="X470" i="4"/>
  <c r="V470" i="4"/>
  <c r="T470" i="4"/>
  <c r="S470" i="4"/>
  <c r="R470" i="4"/>
  <c r="Q470" i="4"/>
  <c r="P470" i="4"/>
  <c r="O470" i="4"/>
  <c r="N470" i="4"/>
  <c r="M470" i="4"/>
  <c r="L470" i="4"/>
  <c r="K470" i="4"/>
  <c r="J470" i="4"/>
  <c r="I470" i="4"/>
  <c r="H470" i="4"/>
  <c r="G470" i="4"/>
  <c r="F470" i="4"/>
  <c r="E470" i="4"/>
  <c r="U470" i="4" s="1"/>
  <c r="D470" i="4"/>
  <c r="C470" i="4"/>
  <c r="B470" i="4"/>
  <c r="A470" i="4"/>
  <c r="X469" i="4"/>
  <c r="T469" i="4"/>
  <c r="S469" i="4"/>
  <c r="W469" i="4" s="1"/>
  <c r="R469" i="4"/>
  <c r="Q469" i="4"/>
  <c r="P469" i="4"/>
  <c r="O469" i="4"/>
  <c r="N469" i="4"/>
  <c r="M469" i="4"/>
  <c r="L469" i="4"/>
  <c r="K469" i="4"/>
  <c r="J469" i="4"/>
  <c r="I469" i="4"/>
  <c r="H469" i="4"/>
  <c r="G469" i="4"/>
  <c r="F469" i="4"/>
  <c r="E469" i="4"/>
  <c r="U469" i="4" s="1"/>
  <c r="D469" i="4"/>
  <c r="C469" i="4"/>
  <c r="V469" i="4" s="1"/>
  <c r="B469" i="4"/>
  <c r="A469" i="4"/>
  <c r="X468" i="4"/>
  <c r="V468" i="4"/>
  <c r="T468" i="4"/>
  <c r="S468" i="4"/>
  <c r="R468" i="4"/>
  <c r="Q468" i="4"/>
  <c r="P468" i="4"/>
  <c r="O468" i="4"/>
  <c r="W468" i="4" s="1"/>
  <c r="N468" i="4"/>
  <c r="M468" i="4"/>
  <c r="L468" i="4"/>
  <c r="K468" i="4"/>
  <c r="J468" i="4"/>
  <c r="I468" i="4"/>
  <c r="H468" i="4"/>
  <c r="G468" i="4"/>
  <c r="F468" i="4"/>
  <c r="E468" i="4"/>
  <c r="U468" i="4" s="1"/>
  <c r="D468" i="4"/>
  <c r="C468" i="4"/>
  <c r="B468" i="4"/>
  <c r="A468" i="4"/>
  <c r="X467" i="4"/>
  <c r="T467" i="4"/>
  <c r="S467" i="4"/>
  <c r="W467" i="4" s="1"/>
  <c r="R467" i="4"/>
  <c r="Q467" i="4"/>
  <c r="P467" i="4"/>
  <c r="O467" i="4"/>
  <c r="N467" i="4"/>
  <c r="M467" i="4"/>
  <c r="L467" i="4"/>
  <c r="K467" i="4"/>
  <c r="J467" i="4"/>
  <c r="I467" i="4"/>
  <c r="H467" i="4"/>
  <c r="G467" i="4"/>
  <c r="F467" i="4"/>
  <c r="E467" i="4"/>
  <c r="U467" i="4" s="1"/>
  <c r="D467" i="4"/>
  <c r="C467" i="4"/>
  <c r="V467" i="4" s="1"/>
  <c r="B467" i="4"/>
  <c r="A467" i="4"/>
  <c r="X466" i="4"/>
  <c r="V466" i="4"/>
  <c r="T466" i="4"/>
  <c r="S466" i="4"/>
  <c r="R466" i="4"/>
  <c r="Q466" i="4"/>
  <c r="P466" i="4"/>
  <c r="O466" i="4"/>
  <c r="W466" i="4" s="1"/>
  <c r="N466" i="4"/>
  <c r="M466" i="4"/>
  <c r="L466" i="4"/>
  <c r="K466" i="4"/>
  <c r="J466" i="4"/>
  <c r="I466" i="4"/>
  <c r="H466" i="4"/>
  <c r="G466" i="4"/>
  <c r="F466" i="4"/>
  <c r="E466" i="4"/>
  <c r="U466" i="4" s="1"/>
  <c r="D466" i="4"/>
  <c r="C466" i="4"/>
  <c r="B466" i="4"/>
  <c r="A466" i="4"/>
  <c r="X465" i="4"/>
  <c r="W465" i="4"/>
  <c r="V465" i="4"/>
  <c r="T465" i="4"/>
  <c r="S465" i="4"/>
  <c r="R465" i="4"/>
  <c r="Q465" i="4"/>
  <c r="P465" i="4"/>
  <c r="O465" i="4"/>
  <c r="N465" i="4"/>
  <c r="M465" i="4"/>
  <c r="L465" i="4"/>
  <c r="K465" i="4"/>
  <c r="J465" i="4"/>
  <c r="I465" i="4"/>
  <c r="H465" i="4"/>
  <c r="G465" i="4"/>
  <c r="F465" i="4"/>
  <c r="E465" i="4"/>
  <c r="U465" i="4" s="1"/>
  <c r="D465" i="4"/>
  <c r="C465" i="4"/>
  <c r="B465" i="4"/>
  <c r="A465" i="4"/>
  <c r="X464" i="4"/>
  <c r="V464" i="4"/>
  <c r="T464" i="4"/>
  <c r="S464" i="4"/>
  <c r="R464" i="4"/>
  <c r="Q464" i="4"/>
  <c r="P464" i="4"/>
  <c r="O464" i="4"/>
  <c r="W464" i="4" s="1"/>
  <c r="N464" i="4"/>
  <c r="M464" i="4"/>
  <c r="L464" i="4"/>
  <c r="K464" i="4"/>
  <c r="J464" i="4"/>
  <c r="I464" i="4"/>
  <c r="H464" i="4"/>
  <c r="G464" i="4"/>
  <c r="F464" i="4"/>
  <c r="E464" i="4"/>
  <c r="U464" i="4" s="1"/>
  <c r="D464" i="4"/>
  <c r="C464" i="4"/>
  <c r="B464" i="4"/>
  <c r="A464" i="4"/>
  <c r="X463" i="4"/>
  <c r="W463" i="4"/>
  <c r="V463" i="4"/>
  <c r="U463" i="4"/>
  <c r="T463" i="4"/>
  <c r="S463" i="4"/>
  <c r="R463" i="4"/>
  <c r="Q463" i="4"/>
  <c r="P463" i="4"/>
  <c r="O463" i="4"/>
  <c r="N463" i="4"/>
  <c r="M463" i="4"/>
  <c r="L463" i="4"/>
  <c r="K463" i="4"/>
  <c r="J463" i="4"/>
  <c r="I463" i="4"/>
  <c r="H463" i="4"/>
  <c r="G463" i="4"/>
  <c r="F463" i="4"/>
  <c r="E463" i="4"/>
  <c r="D463" i="4"/>
  <c r="C463" i="4"/>
  <c r="B463" i="4"/>
  <c r="A463" i="4"/>
  <c r="X462" i="4"/>
  <c r="V462" i="4"/>
  <c r="T462" i="4"/>
  <c r="S462" i="4"/>
  <c r="R462" i="4"/>
  <c r="Q462" i="4"/>
  <c r="P462" i="4"/>
  <c r="O462" i="4"/>
  <c r="N462" i="4"/>
  <c r="M462" i="4"/>
  <c r="L462" i="4"/>
  <c r="K462" i="4"/>
  <c r="J462" i="4"/>
  <c r="I462" i="4"/>
  <c r="H462" i="4"/>
  <c r="G462" i="4"/>
  <c r="F462" i="4"/>
  <c r="E462" i="4"/>
  <c r="U462" i="4" s="1"/>
  <c r="D462" i="4"/>
  <c r="C462" i="4"/>
  <c r="B462" i="4"/>
  <c r="A462" i="4"/>
  <c r="X461" i="4"/>
  <c r="V461" i="4"/>
  <c r="T461" i="4"/>
  <c r="S461" i="4"/>
  <c r="W461" i="4" s="1"/>
  <c r="R461" i="4"/>
  <c r="Q461" i="4"/>
  <c r="P461" i="4"/>
  <c r="O461" i="4"/>
  <c r="N461" i="4"/>
  <c r="M461" i="4"/>
  <c r="L461" i="4"/>
  <c r="K461" i="4"/>
  <c r="J461" i="4"/>
  <c r="I461" i="4"/>
  <c r="H461" i="4"/>
  <c r="G461" i="4"/>
  <c r="F461" i="4"/>
  <c r="E461" i="4"/>
  <c r="U461" i="4" s="1"/>
  <c r="D461" i="4"/>
  <c r="C461" i="4"/>
  <c r="B461" i="4"/>
  <c r="A461" i="4"/>
  <c r="X460" i="4"/>
  <c r="V460" i="4"/>
  <c r="T460" i="4"/>
  <c r="S460" i="4"/>
  <c r="R460" i="4"/>
  <c r="Q460" i="4"/>
  <c r="P460" i="4"/>
  <c r="O460" i="4"/>
  <c r="N460" i="4"/>
  <c r="M460" i="4"/>
  <c r="L460" i="4"/>
  <c r="K460" i="4"/>
  <c r="J460" i="4"/>
  <c r="I460" i="4"/>
  <c r="H460" i="4"/>
  <c r="G460" i="4"/>
  <c r="F460" i="4"/>
  <c r="E460" i="4"/>
  <c r="U460" i="4" s="1"/>
  <c r="D460" i="4"/>
  <c r="C460" i="4"/>
  <c r="B460" i="4"/>
  <c r="A460" i="4"/>
  <c r="X459" i="4"/>
  <c r="T459" i="4"/>
  <c r="S459" i="4"/>
  <c r="W459" i="4" s="1"/>
  <c r="R459" i="4"/>
  <c r="Q459" i="4"/>
  <c r="P459" i="4"/>
  <c r="O459" i="4"/>
  <c r="N459" i="4"/>
  <c r="M459" i="4"/>
  <c r="L459" i="4"/>
  <c r="K459" i="4"/>
  <c r="J459" i="4"/>
  <c r="I459" i="4"/>
  <c r="H459" i="4"/>
  <c r="G459" i="4"/>
  <c r="F459" i="4"/>
  <c r="E459" i="4"/>
  <c r="U459" i="4" s="1"/>
  <c r="D459" i="4"/>
  <c r="C459" i="4"/>
  <c r="V459" i="4" s="1"/>
  <c r="B459" i="4"/>
  <c r="A459" i="4"/>
  <c r="X458" i="4"/>
  <c r="V458" i="4"/>
  <c r="T458" i="4"/>
  <c r="S458" i="4"/>
  <c r="R458" i="4"/>
  <c r="Q458" i="4"/>
  <c r="P458" i="4"/>
  <c r="O458" i="4"/>
  <c r="N458" i="4"/>
  <c r="M458" i="4"/>
  <c r="L458" i="4"/>
  <c r="K458" i="4"/>
  <c r="J458" i="4"/>
  <c r="I458" i="4"/>
  <c r="H458" i="4"/>
  <c r="G458" i="4"/>
  <c r="F458" i="4"/>
  <c r="E458" i="4"/>
  <c r="U458" i="4" s="1"/>
  <c r="D458" i="4"/>
  <c r="C458" i="4"/>
  <c r="B458" i="4"/>
  <c r="A458" i="4"/>
  <c r="X457" i="4"/>
  <c r="W457" i="4"/>
  <c r="T457" i="4"/>
  <c r="S457" i="4"/>
  <c r="R457" i="4"/>
  <c r="Q457" i="4"/>
  <c r="P457" i="4"/>
  <c r="O457" i="4"/>
  <c r="N457" i="4"/>
  <c r="M457" i="4"/>
  <c r="L457" i="4"/>
  <c r="K457" i="4"/>
  <c r="J457" i="4"/>
  <c r="I457" i="4"/>
  <c r="H457" i="4"/>
  <c r="G457" i="4"/>
  <c r="F457" i="4"/>
  <c r="E457" i="4"/>
  <c r="U457" i="4" s="1"/>
  <c r="D457" i="4"/>
  <c r="C457" i="4"/>
  <c r="V457" i="4" s="1"/>
  <c r="B457" i="4"/>
  <c r="A457" i="4"/>
  <c r="X456" i="4"/>
  <c r="V456" i="4"/>
  <c r="U456" i="4"/>
  <c r="T456" i="4"/>
  <c r="S456" i="4"/>
  <c r="R456" i="4"/>
  <c r="Q456" i="4"/>
  <c r="P456" i="4"/>
  <c r="O456" i="4"/>
  <c r="W456" i="4" s="1"/>
  <c r="N456" i="4"/>
  <c r="M456" i="4"/>
  <c r="L456" i="4"/>
  <c r="K456" i="4"/>
  <c r="J456" i="4"/>
  <c r="I456" i="4"/>
  <c r="H456" i="4"/>
  <c r="G456" i="4"/>
  <c r="F456" i="4"/>
  <c r="E456" i="4"/>
  <c r="D456" i="4"/>
  <c r="C456" i="4"/>
  <c r="B456" i="4"/>
  <c r="A456" i="4"/>
  <c r="X455" i="4"/>
  <c r="T455" i="4"/>
  <c r="S455" i="4"/>
  <c r="W455" i="4" s="1"/>
  <c r="R455" i="4"/>
  <c r="Q455" i="4"/>
  <c r="P455" i="4"/>
  <c r="O455" i="4"/>
  <c r="N455" i="4"/>
  <c r="M455" i="4"/>
  <c r="L455" i="4"/>
  <c r="K455" i="4"/>
  <c r="J455" i="4"/>
  <c r="I455" i="4"/>
  <c r="H455" i="4"/>
  <c r="G455" i="4"/>
  <c r="F455" i="4"/>
  <c r="E455" i="4"/>
  <c r="U455" i="4" s="1"/>
  <c r="D455" i="4"/>
  <c r="C455" i="4"/>
  <c r="V455" i="4" s="1"/>
  <c r="B455" i="4"/>
  <c r="A455" i="4"/>
  <c r="X454" i="4"/>
  <c r="V454" i="4"/>
  <c r="T454" i="4"/>
  <c r="S454" i="4"/>
  <c r="R454" i="4"/>
  <c r="Q454" i="4"/>
  <c r="P454" i="4"/>
  <c r="O454" i="4"/>
  <c r="W454" i="4" s="1"/>
  <c r="N454" i="4"/>
  <c r="M454" i="4"/>
  <c r="L454" i="4"/>
  <c r="K454" i="4"/>
  <c r="J454" i="4"/>
  <c r="I454" i="4"/>
  <c r="H454" i="4"/>
  <c r="G454" i="4"/>
  <c r="F454" i="4"/>
  <c r="E454" i="4"/>
  <c r="U454" i="4" s="1"/>
  <c r="D454" i="4"/>
  <c r="C454" i="4"/>
  <c r="B454" i="4"/>
  <c r="A454" i="4"/>
  <c r="X453" i="4"/>
  <c r="W453" i="4"/>
  <c r="V453" i="4"/>
  <c r="T453" i="4"/>
  <c r="S453" i="4"/>
  <c r="R453" i="4"/>
  <c r="Q453" i="4"/>
  <c r="P453" i="4"/>
  <c r="O453" i="4"/>
  <c r="N453" i="4"/>
  <c r="M453" i="4"/>
  <c r="L453" i="4"/>
  <c r="K453" i="4"/>
  <c r="J453" i="4"/>
  <c r="I453" i="4"/>
  <c r="H453" i="4"/>
  <c r="G453" i="4"/>
  <c r="F453" i="4"/>
  <c r="E453" i="4"/>
  <c r="U453" i="4" s="1"/>
  <c r="D453" i="4"/>
  <c r="C453" i="4"/>
  <c r="B453" i="4"/>
  <c r="A453" i="4"/>
  <c r="X452" i="4"/>
  <c r="V452" i="4"/>
  <c r="T452" i="4"/>
  <c r="S452" i="4"/>
  <c r="R452" i="4"/>
  <c r="Q452" i="4"/>
  <c r="P452" i="4"/>
  <c r="O452" i="4"/>
  <c r="W452" i="4" s="1"/>
  <c r="N452" i="4"/>
  <c r="M452" i="4"/>
  <c r="L452" i="4"/>
  <c r="K452" i="4"/>
  <c r="J452" i="4"/>
  <c r="I452" i="4"/>
  <c r="H452" i="4"/>
  <c r="G452" i="4"/>
  <c r="F452" i="4"/>
  <c r="E452" i="4"/>
  <c r="U452" i="4" s="1"/>
  <c r="D452" i="4"/>
  <c r="C452" i="4"/>
  <c r="B452" i="4"/>
  <c r="A452" i="4"/>
  <c r="X451" i="4"/>
  <c r="W451" i="4"/>
  <c r="V451" i="4"/>
  <c r="T451" i="4"/>
  <c r="S451" i="4"/>
  <c r="R451" i="4"/>
  <c r="Q451" i="4"/>
  <c r="P451" i="4"/>
  <c r="O451" i="4"/>
  <c r="N451" i="4"/>
  <c r="M451" i="4"/>
  <c r="L451" i="4"/>
  <c r="K451" i="4"/>
  <c r="J451" i="4"/>
  <c r="I451" i="4"/>
  <c r="H451" i="4"/>
  <c r="G451" i="4"/>
  <c r="F451" i="4"/>
  <c r="E451" i="4"/>
  <c r="U451" i="4" s="1"/>
  <c r="D451" i="4"/>
  <c r="C451" i="4"/>
  <c r="B451" i="4"/>
  <c r="A451" i="4"/>
  <c r="X450" i="4"/>
  <c r="V450" i="4"/>
  <c r="T450" i="4"/>
  <c r="S450" i="4"/>
  <c r="R450" i="4"/>
  <c r="Q450" i="4"/>
  <c r="P450" i="4"/>
  <c r="O450" i="4"/>
  <c r="W450" i="4" s="1"/>
  <c r="N450" i="4"/>
  <c r="M450" i="4"/>
  <c r="L450" i="4"/>
  <c r="K450" i="4"/>
  <c r="J450" i="4"/>
  <c r="I450" i="4"/>
  <c r="H450" i="4"/>
  <c r="G450" i="4"/>
  <c r="F450" i="4"/>
  <c r="E450" i="4"/>
  <c r="U450" i="4" s="1"/>
  <c r="D450" i="4"/>
  <c r="C450" i="4"/>
  <c r="B450" i="4"/>
  <c r="A450" i="4"/>
  <c r="X449" i="4"/>
  <c r="W449" i="4"/>
  <c r="V449" i="4"/>
  <c r="T449" i="4"/>
  <c r="S449" i="4"/>
  <c r="R449" i="4"/>
  <c r="Q449" i="4"/>
  <c r="P449" i="4"/>
  <c r="O449" i="4"/>
  <c r="N449" i="4"/>
  <c r="M449" i="4"/>
  <c r="L449" i="4"/>
  <c r="K449" i="4"/>
  <c r="J449" i="4"/>
  <c r="I449" i="4"/>
  <c r="H449" i="4"/>
  <c r="G449" i="4"/>
  <c r="F449" i="4"/>
  <c r="E449" i="4"/>
  <c r="U449" i="4" s="1"/>
  <c r="D449" i="4"/>
  <c r="C449" i="4"/>
  <c r="B449" i="4"/>
  <c r="A449" i="4"/>
  <c r="X448" i="4"/>
  <c r="V448" i="4"/>
  <c r="T448" i="4"/>
  <c r="S448" i="4"/>
  <c r="R448" i="4"/>
  <c r="Q448" i="4"/>
  <c r="P448" i="4"/>
  <c r="O448" i="4"/>
  <c r="W448" i="4" s="1"/>
  <c r="N448" i="4"/>
  <c r="M448" i="4"/>
  <c r="L448" i="4"/>
  <c r="K448" i="4"/>
  <c r="J448" i="4"/>
  <c r="I448" i="4"/>
  <c r="H448" i="4"/>
  <c r="G448" i="4"/>
  <c r="F448" i="4"/>
  <c r="E448" i="4"/>
  <c r="U448" i="4" s="1"/>
  <c r="D448" i="4"/>
  <c r="C448" i="4"/>
  <c r="B448" i="4"/>
  <c r="A448" i="4"/>
  <c r="X447" i="4"/>
  <c r="W447" i="4"/>
  <c r="V447" i="4"/>
  <c r="T447" i="4"/>
  <c r="S447" i="4"/>
  <c r="R447" i="4"/>
  <c r="Q447" i="4"/>
  <c r="P447" i="4"/>
  <c r="O447" i="4"/>
  <c r="N447" i="4"/>
  <c r="M447" i="4"/>
  <c r="L447" i="4"/>
  <c r="K447" i="4"/>
  <c r="J447" i="4"/>
  <c r="I447" i="4"/>
  <c r="H447" i="4"/>
  <c r="G447" i="4"/>
  <c r="F447" i="4"/>
  <c r="E447" i="4"/>
  <c r="U447" i="4" s="1"/>
  <c r="D447" i="4"/>
  <c r="C447" i="4"/>
  <c r="B447" i="4"/>
  <c r="A447" i="4"/>
  <c r="X446" i="4"/>
  <c r="V446" i="4"/>
  <c r="T446" i="4"/>
  <c r="S446" i="4"/>
  <c r="R446" i="4"/>
  <c r="Q446" i="4"/>
  <c r="P446" i="4"/>
  <c r="O446" i="4"/>
  <c r="W446" i="4" s="1"/>
  <c r="N446" i="4"/>
  <c r="M446" i="4"/>
  <c r="L446" i="4"/>
  <c r="K446" i="4"/>
  <c r="J446" i="4"/>
  <c r="I446" i="4"/>
  <c r="H446" i="4"/>
  <c r="G446" i="4"/>
  <c r="F446" i="4"/>
  <c r="E446" i="4"/>
  <c r="U446" i="4" s="1"/>
  <c r="D446" i="4"/>
  <c r="C446" i="4"/>
  <c r="B446" i="4"/>
  <c r="A446" i="4"/>
  <c r="X445" i="4"/>
  <c r="W445" i="4"/>
  <c r="V445" i="4"/>
  <c r="T445" i="4"/>
  <c r="S445" i="4"/>
  <c r="R445" i="4"/>
  <c r="Q445" i="4"/>
  <c r="P445" i="4"/>
  <c r="O445" i="4"/>
  <c r="N445" i="4"/>
  <c r="M445" i="4"/>
  <c r="L445" i="4"/>
  <c r="K445" i="4"/>
  <c r="J445" i="4"/>
  <c r="I445" i="4"/>
  <c r="H445" i="4"/>
  <c r="G445" i="4"/>
  <c r="F445" i="4"/>
  <c r="E445" i="4"/>
  <c r="U445" i="4" s="1"/>
  <c r="D445" i="4"/>
  <c r="C445" i="4"/>
  <c r="B445" i="4"/>
  <c r="A445" i="4"/>
  <c r="X444" i="4"/>
  <c r="V444" i="4"/>
  <c r="T444" i="4"/>
  <c r="S444" i="4"/>
  <c r="R444" i="4"/>
  <c r="Q444" i="4"/>
  <c r="P444" i="4"/>
  <c r="O444" i="4"/>
  <c r="W444" i="4" s="1"/>
  <c r="N444" i="4"/>
  <c r="M444" i="4"/>
  <c r="L444" i="4"/>
  <c r="K444" i="4"/>
  <c r="J444" i="4"/>
  <c r="I444" i="4"/>
  <c r="H444" i="4"/>
  <c r="G444" i="4"/>
  <c r="F444" i="4"/>
  <c r="E444" i="4"/>
  <c r="U444" i="4" s="1"/>
  <c r="D444" i="4"/>
  <c r="C444" i="4"/>
  <c r="B444" i="4"/>
  <c r="A444" i="4"/>
  <c r="X443" i="4"/>
  <c r="W443" i="4"/>
  <c r="V443" i="4"/>
  <c r="T443" i="4"/>
  <c r="S443" i="4"/>
  <c r="R443" i="4"/>
  <c r="Q443" i="4"/>
  <c r="P443" i="4"/>
  <c r="O443" i="4"/>
  <c r="N443" i="4"/>
  <c r="M443" i="4"/>
  <c r="L443" i="4"/>
  <c r="K443" i="4"/>
  <c r="J443" i="4"/>
  <c r="I443" i="4"/>
  <c r="H443" i="4"/>
  <c r="G443" i="4"/>
  <c r="F443" i="4"/>
  <c r="E443" i="4"/>
  <c r="U443" i="4" s="1"/>
  <c r="D443" i="4"/>
  <c r="C443" i="4"/>
  <c r="B443" i="4"/>
  <c r="A443" i="4"/>
  <c r="X442" i="4"/>
  <c r="V442" i="4"/>
  <c r="T442" i="4"/>
  <c r="S442" i="4"/>
  <c r="R442" i="4"/>
  <c r="Q442" i="4"/>
  <c r="P442" i="4"/>
  <c r="O442" i="4"/>
  <c r="N442" i="4"/>
  <c r="M442" i="4"/>
  <c r="L442" i="4"/>
  <c r="K442" i="4"/>
  <c r="J442" i="4"/>
  <c r="I442" i="4"/>
  <c r="H442" i="4"/>
  <c r="G442" i="4"/>
  <c r="F442" i="4"/>
  <c r="E442" i="4"/>
  <c r="U442" i="4" s="1"/>
  <c r="D442" i="4"/>
  <c r="C442" i="4"/>
  <c r="B442" i="4"/>
  <c r="A442" i="4"/>
  <c r="X441" i="4"/>
  <c r="U441" i="4"/>
  <c r="T441" i="4"/>
  <c r="S441" i="4"/>
  <c r="W441" i="4" s="1"/>
  <c r="R441" i="4"/>
  <c r="Q441" i="4"/>
  <c r="P441" i="4"/>
  <c r="O441" i="4"/>
  <c r="N441" i="4"/>
  <c r="M441" i="4"/>
  <c r="L441" i="4"/>
  <c r="K441" i="4"/>
  <c r="J441" i="4"/>
  <c r="I441" i="4"/>
  <c r="H441" i="4"/>
  <c r="G441" i="4"/>
  <c r="F441" i="4"/>
  <c r="E441" i="4"/>
  <c r="D441" i="4"/>
  <c r="C441" i="4"/>
  <c r="V441" i="4" s="1"/>
  <c r="B441" i="4"/>
  <c r="A441" i="4"/>
  <c r="X440" i="4"/>
  <c r="V440" i="4"/>
  <c r="T440" i="4"/>
  <c r="S440" i="4"/>
  <c r="R440" i="4"/>
  <c r="Q440" i="4"/>
  <c r="P440" i="4"/>
  <c r="O440" i="4"/>
  <c r="N440" i="4"/>
  <c r="M440" i="4"/>
  <c r="L440" i="4"/>
  <c r="K440" i="4"/>
  <c r="J440" i="4"/>
  <c r="I440" i="4"/>
  <c r="H440" i="4"/>
  <c r="G440" i="4"/>
  <c r="F440" i="4"/>
  <c r="E440" i="4"/>
  <c r="U440" i="4" s="1"/>
  <c r="D440" i="4"/>
  <c r="C440" i="4"/>
  <c r="B440" i="4"/>
  <c r="A440" i="4"/>
  <c r="X439" i="4"/>
  <c r="W439" i="4"/>
  <c r="T439" i="4"/>
  <c r="S439" i="4"/>
  <c r="R439" i="4"/>
  <c r="Q439" i="4"/>
  <c r="P439" i="4"/>
  <c r="O439" i="4"/>
  <c r="N439" i="4"/>
  <c r="M439" i="4"/>
  <c r="L439" i="4"/>
  <c r="K439" i="4"/>
  <c r="J439" i="4"/>
  <c r="I439" i="4"/>
  <c r="H439" i="4"/>
  <c r="G439" i="4"/>
  <c r="F439" i="4"/>
  <c r="E439" i="4"/>
  <c r="U439" i="4" s="1"/>
  <c r="D439" i="4"/>
  <c r="C439" i="4"/>
  <c r="V439" i="4" s="1"/>
  <c r="B439" i="4"/>
  <c r="A439" i="4"/>
  <c r="X438" i="4"/>
  <c r="V438" i="4"/>
  <c r="T438" i="4"/>
  <c r="S438" i="4"/>
  <c r="R438" i="4"/>
  <c r="Q438" i="4"/>
  <c r="P438" i="4"/>
  <c r="O438" i="4"/>
  <c r="N438" i="4"/>
  <c r="M438" i="4"/>
  <c r="L438" i="4"/>
  <c r="K438" i="4"/>
  <c r="J438" i="4"/>
  <c r="I438" i="4"/>
  <c r="H438" i="4"/>
  <c r="G438" i="4"/>
  <c r="F438" i="4"/>
  <c r="E438" i="4"/>
  <c r="U438" i="4" s="1"/>
  <c r="D438" i="4"/>
  <c r="C438" i="4"/>
  <c r="B438" i="4"/>
  <c r="A438" i="4"/>
  <c r="X437" i="4"/>
  <c r="T437" i="4"/>
  <c r="S437" i="4"/>
  <c r="W437" i="4" s="1"/>
  <c r="R437" i="4"/>
  <c r="Q437" i="4"/>
  <c r="P437" i="4"/>
  <c r="O437" i="4"/>
  <c r="N437" i="4"/>
  <c r="M437" i="4"/>
  <c r="L437" i="4"/>
  <c r="K437" i="4"/>
  <c r="J437" i="4"/>
  <c r="I437" i="4"/>
  <c r="H437" i="4"/>
  <c r="G437" i="4"/>
  <c r="F437" i="4"/>
  <c r="E437" i="4"/>
  <c r="U437" i="4" s="1"/>
  <c r="D437" i="4"/>
  <c r="C437" i="4"/>
  <c r="V437" i="4" s="1"/>
  <c r="B437" i="4"/>
  <c r="A437" i="4"/>
  <c r="X436" i="4"/>
  <c r="V436" i="4"/>
  <c r="T436" i="4"/>
  <c r="S436" i="4"/>
  <c r="R436" i="4"/>
  <c r="Q436" i="4"/>
  <c r="P436" i="4"/>
  <c r="O436" i="4"/>
  <c r="W436" i="4" s="1"/>
  <c r="N436" i="4"/>
  <c r="M436" i="4"/>
  <c r="L436" i="4"/>
  <c r="K436" i="4"/>
  <c r="J436" i="4"/>
  <c r="I436" i="4"/>
  <c r="H436" i="4"/>
  <c r="G436" i="4"/>
  <c r="F436" i="4"/>
  <c r="E436" i="4"/>
  <c r="U436" i="4" s="1"/>
  <c r="D436" i="4"/>
  <c r="C436" i="4"/>
  <c r="B436" i="4"/>
  <c r="A436" i="4"/>
  <c r="X435" i="4"/>
  <c r="W435" i="4"/>
  <c r="T435" i="4"/>
  <c r="S435" i="4"/>
  <c r="R435" i="4"/>
  <c r="Q435" i="4"/>
  <c r="P435" i="4"/>
  <c r="O435" i="4"/>
  <c r="N435" i="4"/>
  <c r="M435" i="4"/>
  <c r="L435" i="4"/>
  <c r="K435" i="4"/>
  <c r="J435" i="4"/>
  <c r="I435" i="4"/>
  <c r="H435" i="4"/>
  <c r="G435" i="4"/>
  <c r="F435" i="4"/>
  <c r="E435" i="4"/>
  <c r="U435" i="4" s="1"/>
  <c r="D435" i="4"/>
  <c r="C435" i="4"/>
  <c r="V435" i="4" s="1"/>
  <c r="B435" i="4"/>
  <c r="A435" i="4"/>
  <c r="X434" i="4"/>
  <c r="V434" i="4"/>
  <c r="T434" i="4"/>
  <c r="S434" i="4"/>
  <c r="R434" i="4"/>
  <c r="Q434" i="4"/>
  <c r="P434" i="4"/>
  <c r="O434" i="4"/>
  <c r="W434" i="4" s="1"/>
  <c r="N434" i="4"/>
  <c r="M434" i="4"/>
  <c r="L434" i="4"/>
  <c r="K434" i="4"/>
  <c r="J434" i="4"/>
  <c r="I434" i="4"/>
  <c r="H434" i="4"/>
  <c r="G434" i="4"/>
  <c r="F434" i="4"/>
  <c r="E434" i="4"/>
  <c r="U434" i="4" s="1"/>
  <c r="D434" i="4"/>
  <c r="C434" i="4"/>
  <c r="B434" i="4"/>
  <c r="A434" i="4"/>
  <c r="X433" i="4"/>
  <c r="W433" i="4"/>
  <c r="V433" i="4"/>
  <c r="T433" i="4"/>
  <c r="S433" i="4"/>
  <c r="R433" i="4"/>
  <c r="Q433" i="4"/>
  <c r="P433" i="4"/>
  <c r="O433" i="4"/>
  <c r="N433" i="4"/>
  <c r="M433" i="4"/>
  <c r="L433" i="4"/>
  <c r="K433" i="4"/>
  <c r="J433" i="4"/>
  <c r="I433" i="4"/>
  <c r="H433" i="4"/>
  <c r="G433" i="4"/>
  <c r="F433" i="4"/>
  <c r="E433" i="4"/>
  <c r="U433" i="4" s="1"/>
  <c r="D433" i="4"/>
  <c r="C433" i="4"/>
  <c r="B433" i="4"/>
  <c r="A433" i="4"/>
  <c r="X432" i="4"/>
  <c r="V432" i="4"/>
  <c r="T432" i="4"/>
  <c r="S432" i="4"/>
  <c r="R432" i="4"/>
  <c r="Q432" i="4"/>
  <c r="P432" i="4"/>
  <c r="O432" i="4"/>
  <c r="W432" i="4" s="1"/>
  <c r="N432" i="4"/>
  <c r="M432" i="4"/>
  <c r="L432" i="4"/>
  <c r="K432" i="4"/>
  <c r="J432" i="4"/>
  <c r="I432" i="4"/>
  <c r="H432" i="4"/>
  <c r="G432" i="4"/>
  <c r="F432" i="4"/>
  <c r="E432" i="4"/>
  <c r="U432" i="4" s="1"/>
  <c r="D432" i="4"/>
  <c r="C432" i="4"/>
  <c r="B432" i="4"/>
  <c r="A432" i="4"/>
  <c r="X431" i="4"/>
  <c r="W431" i="4"/>
  <c r="V431" i="4"/>
  <c r="T431" i="4"/>
  <c r="S431" i="4"/>
  <c r="R431" i="4"/>
  <c r="Q431" i="4"/>
  <c r="P431" i="4"/>
  <c r="O431" i="4"/>
  <c r="N431" i="4"/>
  <c r="M431" i="4"/>
  <c r="L431" i="4"/>
  <c r="K431" i="4"/>
  <c r="J431" i="4"/>
  <c r="I431" i="4"/>
  <c r="H431" i="4"/>
  <c r="G431" i="4"/>
  <c r="F431" i="4"/>
  <c r="E431" i="4"/>
  <c r="U431" i="4" s="1"/>
  <c r="D431" i="4"/>
  <c r="C431" i="4"/>
  <c r="B431" i="4"/>
  <c r="A431" i="4"/>
  <c r="X430" i="4"/>
  <c r="V430" i="4"/>
  <c r="T430" i="4"/>
  <c r="S430" i="4"/>
  <c r="R430" i="4"/>
  <c r="Q430" i="4"/>
  <c r="P430" i="4"/>
  <c r="O430" i="4"/>
  <c r="N430" i="4"/>
  <c r="M430" i="4"/>
  <c r="L430" i="4"/>
  <c r="K430" i="4"/>
  <c r="J430" i="4"/>
  <c r="I430" i="4"/>
  <c r="H430" i="4"/>
  <c r="G430" i="4"/>
  <c r="F430" i="4"/>
  <c r="E430" i="4"/>
  <c r="U430" i="4" s="1"/>
  <c r="D430" i="4"/>
  <c r="C430" i="4"/>
  <c r="B430" i="4"/>
  <c r="A430" i="4"/>
  <c r="X429" i="4"/>
  <c r="V429" i="4"/>
  <c r="T429" i="4"/>
  <c r="S429" i="4"/>
  <c r="W429" i="4" s="1"/>
  <c r="R429" i="4"/>
  <c r="Q429" i="4"/>
  <c r="P429" i="4"/>
  <c r="O429" i="4"/>
  <c r="N429" i="4"/>
  <c r="M429" i="4"/>
  <c r="L429" i="4"/>
  <c r="K429" i="4"/>
  <c r="J429" i="4"/>
  <c r="I429" i="4"/>
  <c r="H429" i="4"/>
  <c r="G429" i="4"/>
  <c r="F429" i="4"/>
  <c r="E429" i="4"/>
  <c r="U429" i="4" s="1"/>
  <c r="D429" i="4"/>
  <c r="C429" i="4"/>
  <c r="B429" i="4"/>
  <c r="A429" i="4"/>
  <c r="X428" i="4"/>
  <c r="V428" i="4"/>
  <c r="T428" i="4"/>
  <c r="S428" i="4"/>
  <c r="R428" i="4"/>
  <c r="Q428" i="4"/>
  <c r="P428" i="4"/>
  <c r="O428" i="4"/>
  <c r="N428" i="4"/>
  <c r="M428" i="4"/>
  <c r="L428" i="4"/>
  <c r="K428" i="4"/>
  <c r="J428" i="4"/>
  <c r="I428" i="4"/>
  <c r="H428" i="4"/>
  <c r="G428" i="4"/>
  <c r="F428" i="4"/>
  <c r="E428" i="4"/>
  <c r="U428" i="4" s="1"/>
  <c r="D428" i="4"/>
  <c r="C428" i="4"/>
  <c r="B428" i="4"/>
  <c r="A428" i="4"/>
  <c r="X427" i="4"/>
  <c r="T427" i="4"/>
  <c r="S427" i="4"/>
  <c r="W427" i="4" s="1"/>
  <c r="R427" i="4"/>
  <c r="Q427" i="4"/>
  <c r="P427" i="4"/>
  <c r="O427" i="4"/>
  <c r="N427" i="4"/>
  <c r="M427" i="4"/>
  <c r="L427" i="4"/>
  <c r="K427" i="4"/>
  <c r="J427" i="4"/>
  <c r="I427" i="4"/>
  <c r="H427" i="4"/>
  <c r="G427" i="4"/>
  <c r="F427" i="4"/>
  <c r="E427" i="4"/>
  <c r="U427" i="4" s="1"/>
  <c r="D427" i="4"/>
  <c r="C427" i="4"/>
  <c r="V427" i="4" s="1"/>
  <c r="B427" i="4"/>
  <c r="A427" i="4"/>
  <c r="X426" i="4"/>
  <c r="V426" i="4"/>
  <c r="U426" i="4"/>
  <c r="T426" i="4"/>
  <c r="S426" i="4"/>
  <c r="R426" i="4"/>
  <c r="Q426" i="4"/>
  <c r="P426" i="4"/>
  <c r="O426" i="4"/>
  <c r="N426" i="4"/>
  <c r="M426" i="4"/>
  <c r="L426" i="4"/>
  <c r="K426" i="4"/>
  <c r="J426" i="4"/>
  <c r="I426" i="4"/>
  <c r="H426" i="4"/>
  <c r="G426" i="4"/>
  <c r="F426" i="4"/>
  <c r="E426" i="4"/>
  <c r="D426" i="4"/>
  <c r="C426" i="4"/>
  <c r="B426" i="4"/>
  <c r="A426" i="4"/>
  <c r="X425" i="4"/>
  <c r="T425" i="4"/>
  <c r="S425" i="4"/>
  <c r="W425" i="4" s="1"/>
  <c r="R425" i="4"/>
  <c r="Q425" i="4"/>
  <c r="P425" i="4"/>
  <c r="O425" i="4"/>
  <c r="N425" i="4"/>
  <c r="M425" i="4"/>
  <c r="L425" i="4"/>
  <c r="K425" i="4"/>
  <c r="J425" i="4"/>
  <c r="I425" i="4"/>
  <c r="H425" i="4"/>
  <c r="G425" i="4"/>
  <c r="F425" i="4"/>
  <c r="E425" i="4"/>
  <c r="U425" i="4" s="1"/>
  <c r="D425" i="4"/>
  <c r="C425" i="4"/>
  <c r="V425" i="4" s="1"/>
  <c r="B425" i="4"/>
  <c r="A425" i="4"/>
  <c r="X424" i="4"/>
  <c r="V424" i="4"/>
  <c r="T424" i="4"/>
  <c r="S424" i="4"/>
  <c r="R424" i="4"/>
  <c r="Q424" i="4"/>
  <c r="P424" i="4"/>
  <c r="O424" i="4"/>
  <c r="W424" i="4" s="1"/>
  <c r="N424" i="4"/>
  <c r="M424" i="4"/>
  <c r="L424" i="4"/>
  <c r="K424" i="4"/>
  <c r="J424" i="4"/>
  <c r="I424" i="4"/>
  <c r="H424" i="4"/>
  <c r="G424" i="4"/>
  <c r="F424" i="4"/>
  <c r="E424" i="4"/>
  <c r="U424" i="4" s="1"/>
  <c r="D424" i="4"/>
  <c r="C424" i="4"/>
  <c r="B424" i="4"/>
  <c r="A424" i="4"/>
  <c r="X423" i="4"/>
  <c r="T423" i="4"/>
  <c r="S423" i="4"/>
  <c r="W423" i="4" s="1"/>
  <c r="R423" i="4"/>
  <c r="Q423" i="4"/>
  <c r="P423" i="4"/>
  <c r="O423" i="4"/>
  <c r="N423" i="4"/>
  <c r="M423" i="4"/>
  <c r="L423" i="4"/>
  <c r="K423" i="4"/>
  <c r="J423" i="4"/>
  <c r="I423" i="4"/>
  <c r="H423" i="4"/>
  <c r="G423" i="4"/>
  <c r="F423" i="4"/>
  <c r="E423" i="4"/>
  <c r="U423" i="4" s="1"/>
  <c r="D423" i="4"/>
  <c r="C423" i="4"/>
  <c r="V423" i="4" s="1"/>
  <c r="B423" i="4"/>
  <c r="A423" i="4"/>
  <c r="X422" i="4"/>
  <c r="V422" i="4"/>
  <c r="T422" i="4"/>
  <c r="S422" i="4"/>
  <c r="R422" i="4"/>
  <c r="Q422" i="4"/>
  <c r="P422" i="4"/>
  <c r="O422" i="4"/>
  <c r="W422" i="4" s="1"/>
  <c r="N422" i="4"/>
  <c r="M422" i="4"/>
  <c r="L422" i="4"/>
  <c r="K422" i="4"/>
  <c r="J422" i="4"/>
  <c r="I422" i="4"/>
  <c r="H422" i="4"/>
  <c r="G422" i="4"/>
  <c r="F422" i="4"/>
  <c r="E422" i="4"/>
  <c r="U422" i="4" s="1"/>
  <c r="D422" i="4"/>
  <c r="C422" i="4"/>
  <c r="B422" i="4"/>
  <c r="A422" i="4"/>
  <c r="X421" i="4"/>
  <c r="W421" i="4"/>
  <c r="V421" i="4"/>
  <c r="T421" i="4"/>
  <c r="S421" i="4"/>
  <c r="R421" i="4"/>
  <c r="Q421" i="4"/>
  <c r="P421" i="4"/>
  <c r="O421" i="4"/>
  <c r="N421" i="4"/>
  <c r="M421" i="4"/>
  <c r="L421" i="4"/>
  <c r="K421" i="4"/>
  <c r="J421" i="4"/>
  <c r="I421" i="4"/>
  <c r="H421" i="4"/>
  <c r="G421" i="4"/>
  <c r="F421" i="4"/>
  <c r="E421" i="4"/>
  <c r="U421" i="4" s="1"/>
  <c r="D421" i="4"/>
  <c r="C421" i="4"/>
  <c r="B421" i="4"/>
  <c r="A421" i="4"/>
  <c r="X420" i="4"/>
  <c r="V420" i="4"/>
  <c r="T420" i="4"/>
  <c r="S420" i="4"/>
  <c r="R420" i="4"/>
  <c r="Q420" i="4"/>
  <c r="P420" i="4"/>
  <c r="O420" i="4"/>
  <c r="W420" i="4" s="1"/>
  <c r="N420" i="4"/>
  <c r="M420" i="4"/>
  <c r="L420" i="4"/>
  <c r="K420" i="4"/>
  <c r="J420" i="4"/>
  <c r="I420" i="4"/>
  <c r="H420" i="4"/>
  <c r="G420" i="4"/>
  <c r="F420" i="4"/>
  <c r="E420" i="4"/>
  <c r="U420" i="4" s="1"/>
  <c r="D420" i="4"/>
  <c r="C420" i="4"/>
  <c r="B420" i="4"/>
  <c r="A420" i="4"/>
  <c r="X419" i="4"/>
  <c r="W419" i="4"/>
  <c r="V419" i="4"/>
  <c r="T419" i="4"/>
  <c r="S419" i="4"/>
  <c r="R419" i="4"/>
  <c r="Q419" i="4"/>
  <c r="P419" i="4"/>
  <c r="O419" i="4"/>
  <c r="N419" i="4"/>
  <c r="M419" i="4"/>
  <c r="L419" i="4"/>
  <c r="K419" i="4"/>
  <c r="J419" i="4"/>
  <c r="I419" i="4"/>
  <c r="H419" i="4"/>
  <c r="G419" i="4"/>
  <c r="F419" i="4"/>
  <c r="E419" i="4"/>
  <c r="U419" i="4" s="1"/>
  <c r="D419" i="4"/>
  <c r="C419" i="4"/>
  <c r="B419" i="4"/>
  <c r="A419" i="4"/>
  <c r="X418" i="4"/>
  <c r="V418" i="4"/>
  <c r="T418" i="4"/>
  <c r="S418" i="4"/>
  <c r="R418" i="4"/>
  <c r="Q418" i="4"/>
  <c r="P418" i="4"/>
  <c r="O418" i="4"/>
  <c r="W418" i="4" s="1"/>
  <c r="N418" i="4"/>
  <c r="M418" i="4"/>
  <c r="L418" i="4"/>
  <c r="K418" i="4"/>
  <c r="J418" i="4"/>
  <c r="I418" i="4"/>
  <c r="H418" i="4"/>
  <c r="G418" i="4"/>
  <c r="F418" i="4"/>
  <c r="E418" i="4"/>
  <c r="U418" i="4" s="1"/>
  <c r="D418" i="4"/>
  <c r="C418" i="4"/>
  <c r="B418" i="4"/>
  <c r="A418" i="4"/>
  <c r="X417" i="4"/>
  <c r="W417" i="4"/>
  <c r="V417" i="4"/>
  <c r="T417" i="4"/>
  <c r="S417" i="4"/>
  <c r="R417" i="4"/>
  <c r="Q417" i="4"/>
  <c r="P417" i="4"/>
  <c r="O417" i="4"/>
  <c r="N417" i="4"/>
  <c r="M417" i="4"/>
  <c r="L417" i="4"/>
  <c r="K417" i="4"/>
  <c r="J417" i="4"/>
  <c r="I417" i="4"/>
  <c r="H417" i="4"/>
  <c r="G417" i="4"/>
  <c r="F417" i="4"/>
  <c r="E417" i="4"/>
  <c r="U417" i="4" s="1"/>
  <c r="D417" i="4"/>
  <c r="C417" i="4"/>
  <c r="B417" i="4"/>
  <c r="A417" i="4"/>
  <c r="X416" i="4"/>
  <c r="V416" i="4"/>
  <c r="U416" i="4"/>
  <c r="T416" i="4"/>
  <c r="S416" i="4"/>
  <c r="R416" i="4"/>
  <c r="Q416" i="4"/>
  <c r="P416" i="4"/>
  <c r="O416" i="4"/>
  <c r="W416" i="4" s="1"/>
  <c r="N416" i="4"/>
  <c r="M416" i="4"/>
  <c r="L416" i="4"/>
  <c r="K416" i="4"/>
  <c r="J416" i="4"/>
  <c r="I416" i="4"/>
  <c r="H416" i="4"/>
  <c r="G416" i="4"/>
  <c r="F416" i="4"/>
  <c r="E416" i="4"/>
  <c r="D416" i="4"/>
  <c r="C416" i="4"/>
  <c r="B416" i="4"/>
  <c r="A416" i="4"/>
  <c r="X415" i="4"/>
  <c r="W415" i="4"/>
  <c r="V415" i="4"/>
  <c r="T415" i="4"/>
  <c r="S415" i="4"/>
  <c r="R415" i="4"/>
  <c r="Q415" i="4"/>
  <c r="P415" i="4"/>
  <c r="O415" i="4"/>
  <c r="N415" i="4"/>
  <c r="M415" i="4"/>
  <c r="L415" i="4"/>
  <c r="K415" i="4"/>
  <c r="J415" i="4"/>
  <c r="I415" i="4"/>
  <c r="H415" i="4"/>
  <c r="G415" i="4"/>
  <c r="F415" i="4"/>
  <c r="E415" i="4"/>
  <c r="U415" i="4" s="1"/>
  <c r="D415" i="4"/>
  <c r="C415" i="4"/>
  <c r="B415" i="4"/>
  <c r="A415" i="4"/>
  <c r="X414" i="4"/>
  <c r="V414" i="4"/>
  <c r="T414" i="4"/>
  <c r="S414" i="4"/>
  <c r="R414" i="4"/>
  <c r="Q414" i="4"/>
  <c r="P414" i="4"/>
  <c r="O414" i="4"/>
  <c r="N414" i="4"/>
  <c r="M414" i="4"/>
  <c r="L414" i="4"/>
  <c r="K414" i="4"/>
  <c r="J414" i="4"/>
  <c r="I414" i="4"/>
  <c r="H414" i="4"/>
  <c r="G414" i="4"/>
  <c r="F414" i="4"/>
  <c r="E414" i="4"/>
  <c r="U414" i="4" s="1"/>
  <c r="D414" i="4"/>
  <c r="C414" i="4"/>
  <c r="B414" i="4"/>
  <c r="A414" i="4"/>
  <c r="X413" i="4"/>
  <c r="W413" i="4"/>
  <c r="V413" i="4"/>
  <c r="T413" i="4"/>
  <c r="S413" i="4"/>
  <c r="R413" i="4"/>
  <c r="Q413" i="4"/>
  <c r="P413" i="4"/>
  <c r="O413" i="4"/>
  <c r="N413" i="4"/>
  <c r="M413" i="4"/>
  <c r="L413" i="4"/>
  <c r="K413" i="4"/>
  <c r="J413" i="4"/>
  <c r="I413" i="4"/>
  <c r="H413" i="4"/>
  <c r="G413" i="4"/>
  <c r="F413" i="4"/>
  <c r="E413" i="4"/>
  <c r="U413" i="4" s="1"/>
  <c r="D413" i="4"/>
  <c r="C413" i="4"/>
  <c r="B413" i="4"/>
  <c r="A413" i="4"/>
  <c r="X412" i="4"/>
  <c r="V412" i="4"/>
  <c r="T412" i="4"/>
  <c r="S412" i="4"/>
  <c r="R412" i="4"/>
  <c r="Q412" i="4"/>
  <c r="P412" i="4"/>
  <c r="O412" i="4"/>
  <c r="W412" i="4" s="1"/>
  <c r="N412" i="4"/>
  <c r="M412" i="4"/>
  <c r="L412" i="4"/>
  <c r="K412" i="4"/>
  <c r="J412" i="4"/>
  <c r="I412" i="4"/>
  <c r="H412" i="4"/>
  <c r="G412" i="4"/>
  <c r="F412" i="4"/>
  <c r="E412" i="4"/>
  <c r="U412" i="4" s="1"/>
  <c r="D412" i="4"/>
  <c r="C412" i="4"/>
  <c r="B412" i="4"/>
  <c r="A412" i="4"/>
  <c r="X411" i="4"/>
  <c r="T411" i="4"/>
  <c r="S411" i="4"/>
  <c r="W411" i="4" s="1"/>
  <c r="R411" i="4"/>
  <c r="Q411" i="4"/>
  <c r="P411" i="4"/>
  <c r="O411" i="4"/>
  <c r="N411" i="4"/>
  <c r="M411" i="4"/>
  <c r="L411" i="4"/>
  <c r="K411" i="4"/>
  <c r="J411" i="4"/>
  <c r="I411" i="4"/>
  <c r="H411" i="4"/>
  <c r="G411" i="4"/>
  <c r="F411" i="4"/>
  <c r="E411" i="4"/>
  <c r="U411" i="4" s="1"/>
  <c r="D411" i="4"/>
  <c r="C411" i="4"/>
  <c r="V411" i="4" s="1"/>
  <c r="B411" i="4"/>
  <c r="A411" i="4"/>
  <c r="X410" i="4"/>
  <c r="V410" i="4"/>
  <c r="T410" i="4"/>
  <c r="S410" i="4"/>
  <c r="R410" i="4"/>
  <c r="Q410" i="4"/>
  <c r="P410" i="4"/>
  <c r="O410" i="4"/>
  <c r="N410" i="4"/>
  <c r="M410" i="4"/>
  <c r="L410" i="4"/>
  <c r="K410" i="4"/>
  <c r="J410" i="4"/>
  <c r="I410" i="4"/>
  <c r="H410" i="4"/>
  <c r="G410" i="4"/>
  <c r="F410" i="4"/>
  <c r="E410" i="4"/>
  <c r="U410" i="4" s="1"/>
  <c r="D410" i="4"/>
  <c r="C410" i="4"/>
  <c r="B410" i="4"/>
  <c r="A410" i="4"/>
  <c r="X409" i="4"/>
  <c r="V409" i="4"/>
  <c r="T409" i="4"/>
  <c r="S409" i="4"/>
  <c r="W409" i="4" s="1"/>
  <c r="R409" i="4"/>
  <c r="Q409" i="4"/>
  <c r="P409" i="4"/>
  <c r="O409" i="4"/>
  <c r="N409" i="4"/>
  <c r="M409" i="4"/>
  <c r="L409" i="4"/>
  <c r="K409" i="4"/>
  <c r="J409" i="4"/>
  <c r="I409" i="4"/>
  <c r="H409" i="4"/>
  <c r="G409" i="4"/>
  <c r="F409" i="4"/>
  <c r="E409" i="4"/>
  <c r="U409" i="4" s="1"/>
  <c r="D409" i="4"/>
  <c r="C409" i="4"/>
  <c r="B409" i="4"/>
  <c r="A409" i="4"/>
  <c r="X408" i="4"/>
  <c r="V408" i="4"/>
  <c r="T408" i="4"/>
  <c r="S408" i="4"/>
  <c r="R408" i="4"/>
  <c r="Q408" i="4"/>
  <c r="P408" i="4"/>
  <c r="O408" i="4"/>
  <c r="N408" i="4"/>
  <c r="M408" i="4"/>
  <c r="L408" i="4"/>
  <c r="K408" i="4"/>
  <c r="J408" i="4"/>
  <c r="I408" i="4"/>
  <c r="H408" i="4"/>
  <c r="G408" i="4"/>
  <c r="F408" i="4"/>
  <c r="E408" i="4"/>
  <c r="U408" i="4" s="1"/>
  <c r="D408" i="4"/>
  <c r="C408" i="4"/>
  <c r="B408" i="4"/>
  <c r="A408" i="4"/>
  <c r="X407" i="4"/>
  <c r="T407" i="4"/>
  <c r="S407" i="4"/>
  <c r="W407" i="4" s="1"/>
  <c r="R407" i="4"/>
  <c r="Q407" i="4"/>
  <c r="P407" i="4"/>
  <c r="O407" i="4"/>
  <c r="N407" i="4"/>
  <c r="M407" i="4"/>
  <c r="L407" i="4"/>
  <c r="K407" i="4"/>
  <c r="J407" i="4"/>
  <c r="I407" i="4"/>
  <c r="H407" i="4"/>
  <c r="G407" i="4"/>
  <c r="F407" i="4"/>
  <c r="E407" i="4"/>
  <c r="U407" i="4" s="1"/>
  <c r="D407" i="4"/>
  <c r="C407" i="4"/>
  <c r="V407" i="4" s="1"/>
  <c r="B407" i="4"/>
  <c r="A407" i="4"/>
  <c r="X406" i="4"/>
  <c r="V406" i="4"/>
  <c r="T406" i="4"/>
  <c r="S406" i="4"/>
  <c r="R406" i="4"/>
  <c r="Q406" i="4"/>
  <c r="P406" i="4"/>
  <c r="O406" i="4"/>
  <c r="N406" i="4"/>
  <c r="M406" i="4"/>
  <c r="L406" i="4"/>
  <c r="K406" i="4"/>
  <c r="J406" i="4"/>
  <c r="I406" i="4"/>
  <c r="H406" i="4"/>
  <c r="G406" i="4"/>
  <c r="F406" i="4"/>
  <c r="E406" i="4"/>
  <c r="U406" i="4" s="1"/>
  <c r="D406" i="4"/>
  <c r="C406" i="4"/>
  <c r="B406" i="4"/>
  <c r="A406" i="4"/>
  <c r="X405" i="4"/>
  <c r="T405" i="4"/>
  <c r="S405" i="4"/>
  <c r="W405" i="4" s="1"/>
  <c r="R405" i="4"/>
  <c r="Q405" i="4"/>
  <c r="P405" i="4"/>
  <c r="O405" i="4"/>
  <c r="N405" i="4"/>
  <c r="M405" i="4"/>
  <c r="L405" i="4"/>
  <c r="K405" i="4"/>
  <c r="J405" i="4"/>
  <c r="I405" i="4"/>
  <c r="H405" i="4"/>
  <c r="G405" i="4"/>
  <c r="F405" i="4"/>
  <c r="E405" i="4"/>
  <c r="U405" i="4" s="1"/>
  <c r="D405" i="4"/>
  <c r="C405" i="4"/>
  <c r="V405" i="4" s="1"/>
  <c r="B405" i="4"/>
  <c r="A405" i="4"/>
  <c r="X404" i="4"/>
  <c r="V404" i="4"/>
  <c r="T404" i="4"/>
  <c r="S404" i="4"/>
  <c r="R404" i="4"/>
  <c r="Q404" i="4"/>
  <c r="P404" i="4"/>
  <c r="O404" i="4"/>
  <c r="W404" i="4" s="1"/>
  <c r="N404" i="4"/>
  <c r="M404" i="4"/>
  <c r="L404" i="4"/>
  <c r="K404" i="4"/>
  <c r="J404" i="4"/>
  <c r="I404" i="4"/>
  <c r="H404" i="4"/>
  <c r="G404" i="4"/>
  <c r="F404" i="4"/>
  <c r="E404" i="4"/>
  <c r="U404" i="4" s="1"/>
  <c r="D404" i="4"/>
  <c r="C404" i="4"/>
  <c r="B404" i="4"/>
  <c r="A404" i="4"/>
  <c r="X403" i="4"/>
  <c r="T403" i="4"/>
  <c r="S403" i="4"/>
  <c r="W403" i="4" s="1"/>
  <c r="R403" i="4"/>
  <c r="Q403" i="4"/>
  <c r="P403" i="4"/>
  <c r="O403" i="4"/>
  <c r="N403" i="4"/>
  <c r="M403" i="4"/>
  <c r="L403" i="4"/>
  <c r="K403" i="4"/>
  <c r="J403" i="4"/>
  <c r="I403" i="4"/>
  <c r="H403" i="4"/>
  <c r="G403" i="4"/>
  <c r="F403" i="4"/>
  <c r="E403" i="4"/>
  <c r="U403" i="4" s="1"/>
  <c r="D403" i="4"/>
  <c r="C403" i="4"/>
  <c r="V403" i="4" s="1"/>
  <c r="B403" i="4"/>
  <c r="A403" i="4"/>
  <c r="X402" i="4"/>
  <c r="V402" i="4"/>
  <c r="T402" i="4"/>
  <c r="S402" i="4"/>
  <c r="R402" i="4"/>
  <c r="Q402" i="4"/>
  <c r="P402" i="4"/>
  <c r="O402" i="4"/>
  <c r="W402" i="4" s="1"/>
  <c r="N402" i="4"/>
  <c r="M402" i="4"/>
  <c r="L402" i="4"/>
  <c r="K402" i="4"/>
  <c r="J402" i="4"/>
  <c r="I402" i="4"/>
  <c r="H402" i="4"/>
  <c r="G402" i="4"/>
  <c r="F402" i="4"/>
  <c r="E402" i="4"/>
  <c r="U402" i="4" s="1"/>
  <c r="D402" i="4"/>
  <c r="C402" i="4"/>
  <c r="B402" i="4"/>
  <c r="A402" i="4"/>
  <c r="X401" i="4"/>
  <c r="W401" i="4"/>
  <c r="V401" i="4"/>
  <c r="T401" i="4"/>
  <c r="S401" i="4"/>
  <c r="R401" i="4"/>
  <c r="Q401" i="4"/>
  <c r="P401" i="4"/>
  <c r="O401" i="4"/>
  <c r="N401" i="4"/>
  <c r="M401" i="4"/>
  <c r="L401" i="4"/>
  <c r="K401" i="4"/>
  <c r="J401" i="4"/>
  <c r="I401" i="4"/>
  <c r="H401" i="4"/>
  <c r="G401" i="4"/>
  <c r="F401" i="4"/>
  <c r="E401" i="4"/>
  <c r="U401" i="4" s="1"/>
  <c r="D401" i="4"/>
  <c r="C401" i="4"/>
  <c r="B401" i="4"/>
  <c r="A401" i="4"/>
  <c r="X400" i="4"/>
  <c r="V400" i="4"/>
  <c r="T400" i="4"/>
  <c r="S400" i="4"/>
  <c r="R400" i="4"/>
  <c r="Q400" i="4"/>
  <c r="P400" i="4"/>
  <c r="O400" i="4"/>
  <c r="W400" i="4" s="1"/>
  <c r="N400" i="4"/>
  <c r="M400" i="4"/>
  <c r="L400" i="4"/>
  <c r="K400" i="4"/>
  <c r="J400" i="4"/>
  <c r="I400" i="4"/>
  <c r="H400" i="4"/>
  <c r="G400" i="4"/>
  <c r="F400" i="4"/>
  <c r="E400" i="4"/>
  <c r="U400" i="4" s="1"/>
  <c r="D400" i="4"/>
  <c r="C400" i="4"/>
  <c r="B400" i="4"/>
  <c r="A400" i="4"/>
  <c r="X399" i="4"/>
  <c r="W399" i="4"/>
  <c r="V399" i="4"/>
  <c r="T399" i="4"/>
  <c r="S399" i="4"/>
  <c r="R399" i="4"/>
  <c r="Q399" i="4"/>
  <c r="P399" i="4"/>
  <c r="O399" i="4"/>
  <c r="N399" i="4"/>
  <c r="M399" i="4"/>
  <c r="L399" i="4"/>
  <c r="K399" i="4"/>
  <c r="J399" i="4"/>
  <c r="I399" i="4"/>
  <c r="H399" i="4"/>
  <c r="G399" i="4"/>
  <c r="F399" i="4"/>
  <c r="E399" i="4"/>
  <c r="U399" i="4" s="1"/>
  <c r="D399" i="4"/>
  <c r="C399" i="4"/>
  <c r="B399" i="4"/>
  <c r="A399" i="4"/>
  <c r="X398" i="4"/>
  <c r="V398" i="4"/>
  <c r="T398" i="4"/>
  <c r="S398" i="4"/>
  <c r="R398" i="4"/>
  <c r="Q398" i="4"/>
  <c r="P398" i="4"/>
  <c r="O398" i="4"/>
  <c r="N398" i="4"/>
  <c r="M398" i="4"/>
  <c r="L398" i="4"/>
  <c r="K398" i="4"/>
  <c r="J398" i="4"/>
  <c r="I398" i="4"/>
  <c r="H398" i="4"/>
  <c r="G398" i="4"/>
  <c r="F398" i="4"/>
  <c r="E398" i="4"/>
  <c r="U398" i="4" s="1"/>
  <c r="D398" i="4"/>
  <c r="C398" i="4"/>
  <c r="B398" i="4"/>
  <c r="A398" i="4"/>
  <c r="X397" i="4"/>
  <c r="V397" i="4"/>
  <c r="U397" i="4"/>
  <c r="T397" i="4"/>
  <c r="S397" i="4"/>
  <c r="W397" i="4" s="1"/>
  <c r="R397" i="4"/>
  <c r="Q397" i="4"/>
  <c r="P397" i="4"/>
  <c r="O397" i="4"/>
  <c r="N397" i="4"/>
  <c r="M397" i="4"/>
  <c r="L397" i="4"/>
  <c r="K397" i="4"/>
  <c r="J397" i="4"/>
  <c r="I397" i="4"/>
  <c r="H397" i="4"/>
  <c r="G397" i="4"/>
  <c r="F397" i="4"/>
  <c r="E397" i="4"/>
  <c r="D397" i="4"/>
  <c r="C397" i="4"/>
  <c r="B397" i="4"/>
  <c r="A397" i="4"/>
  <c r="X396" i="4"/>
  <c r="V396" i="4"/>
  <c r="T396" i="4"/>
  <c r="S396" i="4"/>
  <c r="R396" i="4"/>
  <c r="Q396" i="4"/>
  <c r="P396" i="4"/>
  <c r="O396" i="4"/>
  <c r="N396" i="4"/>
  <c r="M396" i="4"/>
  <c r="L396" i="4"/>
  <c r="K396" i="4"/>
  <c r="J396" i="4"/>
  <c r="I396" i="4"/>
  <c r="H396" i="4"/>
  <c r="G396" i="4"/>
  <c r="F396" i="4"/>
  <c r="E396" i="4"/>
  <c r="U396" i="4" s="1"/>
  <c r="D396" i="4"/>
  <c r="C396" i="4"/>
  <c r="B396" i="4"/>
  <c r="A396" i="4"/>
  <c r="X395" i="4"/>
  <c r="T395" i="4"/>
  <c r="S395" i="4"/>
  <c r="W395" i="4" s="1"/>
  <c r="R395" i="4"/>
  <c r="Q395" i="4"/>
  <c r="P395" i="4"/>
  <c r="O395" i="4"/>
  <c r="N395" i="4"/>
  <c r="M395" i="4"/>
  <c r="L395" i="4"/>
  <c r="K395" i="4"/>
  <c r="J395" i="4"/>
  <c r="I395" i="4"/>
  <c r="H395" i="4"/>
  <c r="G395" i="4"/>
  <c r="F395" i="4"/>
  <c r="E395" i="4"/>
  <c r="U395" i="4" s="1"/>
  <c r="D395" i="4"/>
  <c r="C395" i="4"/>
  <c r="V395" i="4" s="1"/>
  <c r="B395" i="4"/>
  <c r="A395" i="4"/>
  <c r="X394" i="4"/>
  <c r="V394" i="4"/>
  <c r="T394" i="4"/>
  <c r="S394" i="4"/>
  <c r="R394" i="4"/>
  <c r="Q394" i="4"/>
  <c r="P394" i="4"/>
  <c r="O394" i="4"/>
  <c r="N394" i="4"/>
  <c r="M394" i="4"/>
  <c r="L394" i="4"/>
  <c r="K394" i="4"/>
  <c r="J394" i="4"/>
  <c r="I394" i="4"/>
  <c r="H394" i="4"/>
  <c r="G394" i="4"/>
  <c r="F394" i="4"/>
  <c r="E394" i="4"/>
  <c r="U394" i="4" s="1"/>
  <c r="D394" i="4"/>
  <c r="C394" i="4"/>
  <c r="B394" i="4"/>
  <c r="A394" i="4"/>
  <c r="X393" i="4"/>
  <c r="T393" i="4"/>
  <c r="S393" i="4"/>
  <c r="W393" i="4" s="1"/>
  <c r="R393" i="4"/>
  <c r="Q393" i="4"/>
  <c r="P393" i="4"/>
  <c r="O393" i="4"/>
  <c r="N393" i="4"/>
  <c r="M393" i="4"/>
  <c r="L393" i="4"/>
  <c r="K393" i="4"/>
  <c r="J393" i="4"/>
  <c r="I393" i="4"/>
  <c r="H393" i="4"/>
  <c r="G393" i="4"/>
  <c r="F393" i="4"/>
  <c r="E393" i="4"/>
  <c r="U393" i="4" s="1"/>
  <c r="D393" i="4"/>
  <c r="C393" i="4"/>
  <c r="V393" i="4" s="1"/>
  <c r="B393" i="4"/>
  <c r="A393" i="4"/>
  <c r="X392" i="4"/>
  <c r="V392" i="4"/>
  <c r="T392" i="4"/>
  <c r="S392" i="4"/>
  <c r="R392" i="4"/>
  <c r="Q392" i="4"/>
  <c r="P392" i="4"/>
  <c r="O392" i="4"/>
  <c r="W392" i="4" s="1"/>
  <c r="N392" i="4"/>
  <c r="M392" i="4"/>
  <c r="L392" i="4"/>
  <c r="K392" i="4"/>
  <c r="J392" i="4"/>
  <c r="I392" i="4"/>
  <c r="H392" i="4"/>
  <c r="G392" i="4"/>
  <c r="F392" i="4"/>
  <c r="E392" i="4"/>
  <c r="U392" i="4" s="1"/>
  <c r="D392" i="4"/>
  <c r="C392" i="4"/>
  <c r="B392" i="4"/>
  <c r="A392" i="4"/>
  <c r="X391" i="4"/>
  <c r="T391" i="4"/>
  <c r="S391" i="4"/>
  <c r="W391" i="4" s="1"/>
  <c r="R391" i="4"/>
  <c r="Q391" i="4"/>
  <c r="P391" i="4"/>
  <c r="O391" i="4"/>
  <c r="N391" i="4"/>
  <c r="M391" i="4"/>
  <c r="L391" i="4"/>
  <c r="K391" i="4"/>
  <c r="J391" i="4"/>
  <c r="I391" i="4"/>
  <c r="H391" i="4"/>
  <c r="G391" i="4"/>
  <c r="F391" i="4"/>
  <c r="E391" i="4"/>
  <c r="U391" i="4" s="1"/>
  <c r="D391" i="4"/>
  <c r="C391" i="4"/>
  <c r="V391" i="4" s="1"/>
  <c r="B391" i="4"/>
  <c r="A391" i="4"/>
  <c r="X390" i="4"/>
  <c r="V390" i="4"/>
  <c r="T390" i="4"/>
  <c r="S390" i="4"/>
  <c r="R390" i="4"/>
  <c r="Q390" i="4"/>
  <c r="P390" i="4"/>
  <c r="O390" i="4"/>
  <c r="W390" i="4" s="1"/>
  <c r="N390" i="4"/>
  <c r="M390" i="4"/>
  <c r="L390" i="4"/>
  <c r="K390" i="4"/>
  <c r="J390" i="4"/>
  <c r="I390" i="4"/>
  <c r="H390" i="4"/>
  <c r="G390" i="4"/>
  <c r="F390" i="4"/>
  <c r="E390" i="4"/>
  <c r="U390" i="4" s="1"/>
  <c r="D390" i="4"/>
  <c r="C390" i="4"/>
  <c r="B390" i="4"/>
  <c r="A390" i="4"/>
  <c r="X389" i="4"/>
  <c r="W389" i="4"/>
  <c r="V389" i="4"/>
  <c r="T389" i="4"/>
  <c r="S389" i="4"/>
  <c r="R389" i="4"/>
  <c r="Q389" i="4"/>
  <c r="P389" i="4"/>
  <c r="O389" i="4"/>
  <c r="N389" i="4"/>
  <c r="M389" i="4"/>
  <c r="L389" i="4"/>
  <c r="K389" i="4"/>
  <c r="J389" i="4"/>
  <c r="I389" i="4"/>
  <c r="H389" i="4"/>
  <c r="G389" i="4"/>
  <c r="F389" i="4"/>
  <c r="E389" i="4"/>
  <c r="U389" i="4" s="1"/>
  <c r="D389" i="4"/>
  <c r="C389" i="4"/>
  <c r="B389" i="4"/>
  <c r="A389" i="4"/>
  <c r="X388" i="4"/>
  <c r="V388" i="4"/>
  <c r="T388" i="4"/>
  <c r="S388" i="4"/>
  <c r="R388" i="4"/>
  <c r="Q388" i="4"/>
  <c r="P388" i="4"/>
  <c r="O388" i="4"/>
  <c r="W388" i="4" s="1"/>
  <c r="N388" i="4"/>
  <c r="M388" i="4"/>
  <c r="L388" i="4"/>
  <c r="K388" i="4"/>
  <c r="J388" i="4"/>
  <c r="I388" i="4"/>
  <c r="H388" i="4"/>
  <c r="G388" i="4"/>
  <c r="F388" i="4"/>
  <c r="E388" i="4"/>
  <c r="U388" i="4" s="1"/>
  <c r="D388" i="4"/>
  <c r="C388" i="4"/>
  <c r="B388" i="4"/>
  <c r="A388" i="4"/>
  <c r="X387" i="4"/>
  <c r="W387" i="4"/>
  <c r="V387" i="4"/>
  <c r="T387" i="4"/>
  <c r="S387" i="4"/>
  <c r="R387" i="4"/>
  <c r="Q387" i="4"/>
  <c r="P387" i="4"/>
  <c r="O387" i="4"/>
  <c r="N387" i="4"/>
  <c r="M387" i="4"/>
  <c r="L387" i="4"/>
  <c r="K387" i="4"/>
  <c r="J387" i="4"/>
  <c r="I387" i="4"/>
  <c r="H387" i="4"/>
  <c r="G387" i="4"/>
  <c r="F387" i="4"/>
  <c r="E387" i="4"/>
  <c r="U387" i="4" s="1"/>
  <c r="D387" i="4"/>
  <c r="C387" i="4"/>
  <c r="B387" i="4"/>
  <c r="A387" i="4"/>
  <c r="X386" i="4"/>
  <c r="V386" i="4"/>
  <c r="T386" i="4"/>
  <c r="S386" i="4"/>
  <c r="R386" i="4"/>
  <c r="Q386" i="4"/>
  <c r="P386" i="4"/>
  <c r="O386" i="4"/>
  <c r="W386" i="4" s="1"/>
  <c r="N386" i="4"/>
  <c r="M386" i="4"/>
  <c r="L386" i="4"/>
  <c r="K386" i="4"/>
  <c r="J386" i="4"/>
  <c r="I386" i="4"/>
  <c r="H386" i="4"/>
  <c r="G386" i="4"/>
  <c r="F386" i="4"/>
  <c r="E386" i="4"/>
  <c r="U386" i="4" s="1"/>
  <c r="D386" i="4"/>
  <c r="C386" i="4"/>
  <c r="B386" i="4"/>
  <c r="A386" i="4"/>
  <c r="X385" i="4"/>
  <c r="W385" i="4"/>
  <c r="V385" i="4"/>
  <c r="T385" i="4"/>
  <c r="S385" i="4"/>
  <c r="R385" i="4"/>
  <c r="Q385" i="4"/>
  <c r="P385" i="4"/>
  <c r="O385" i="4"/>
  <c r="N385" i="4"/>
  <c r="M385" i="4"/>
  <c r="L385" i="4"/>
  <c r="K385" i="4"/>
  <c r="J385" i="4"/>
  <c r="I385" i="4"/>
  <c r="H385" i="4"/>
  <c r="G385" i="4"/>
  <c r="F385" i="4"/>
  <c r="E385" i="4"/>
  <c r="U385" i="4" s="1"/>
  <c r="D385" i="4"/>
  <c r="C385" i="4"/>
  <c r="B385" i="4"/>
  <c r="A385" i="4"/>
  <c r="X384" i="4"/>
  <c r="V384" i="4"/>
  <c r="T384" i="4"/>
  <c r="S384" i="4"/>
  <c r="R384" i="4"/>
  <c r="Q384" i="4"/>
  <c r="P384" i="4"/>
  <c r="O384" i="4"/>
  <c r="W384" i="4" s="1"/>
  <c r="N384" i="4"/>
  <c r="M384" i="4"/>
  <c r="L384" i="4"/>
  <c r="K384" i="4"/>
  <c r="J384" i="4"/>
  <c r="I384" i="4"/>
  <c r="H384" i="4"/>
  <c r="G384" i="4"/>
  <c r="F384" i="4"/>
  <c r="E384" i="4"/>
  <c r="U384" i="4" s="1"/>
  <c r="D384" i="4"/>
  <c r="C384" i="4"/>
  <c r="B384" i="4"/>
  <c r="A384" i="4"/>
  <c r="X383" i="4"/>
  <c r="W383" i="4"/>
  <c r="V383" i="4"/>
  <c r="T383" i="4"/>
  <c r="S383" i="4"/>
  <c r="R383" i="4"/>
  <c r="Q383" i="4"/>
  <c r="P383" i="4"/>
  <c r="O383" i="4"/>
  <c r="N383" i="4"/>
  <c r="M383" i="4"/>
  <c r="L383" i="4"/>
  <c r="K383" i="4"/>
  <c r="J383" i="4"/>
  <c r="I383" i="4"/>
  <c r="H383" i="4"/>
  <c r="G383" i="4"/>
  <c r="F383" i="4"/>
  <c r="E383" i="4"/>
  <c r="U383" i="4" s="1"/>
  <c r="D383" i="4"/>
  <c r="C383" i="4"/>
  <c r="B383" i="4"/>
  <c r="A383" i="4"/>
  <c r="X382" i="4"/>
  <c r="V382" i="4"/>
  <c r="U382" i="4"/>
  <c r="T382" i="4"/>
  <c r="S382" i="4"/>
  <c r="R382" i="4"/>
  <c r="Q382" i="4"/>
  <c r="P382" i="4"/>
  <c r="O382" i="4"/>
  <c r="W382" i="4" s="1"/>
  <c r="N382" i="4"/>
  <c r="M382" i="4"/>
  <c r="L382" i="4"/>
  <c r="K382" i="4"/>
  <c r="J382" i="4"/>
  <c r="I382" i="4"/>
  <c r="H382" i="4"/>
  <c r="G382" i="4"/>
  <c r="F382" i="4"/>
  <c r="E382" i="4"/>
  <c r="D382" i="4"/>
  <c r="C382" i="4"/>
  <c r="B382" i="4"/>
  <c r="A382" i="4"/>
  <c r="X381" i="4"/>
  <c r="W381" i="4"/>
  <c r="V381" i="4"/>
  <c r="T381" i="4"/>
  <c r="S381" i="4"/>
  <c r="R381" i="4"/>
  <c r="Q381" i="4"/>
  <c r="P381" i="4"/>
  <c r="O381" i="4"/>
  <c r="N381" i="4"/>
  <c r="M381" i="4"/>
  <c r="L381" i="4"/>
  <c r="K381" i="4"/>
  <c r="J381" i="4"/>
  <c r="I381" i="4"/>
  <c r="H381" i="4"/>
  <c r="G381" i="4"/>
  <c r="F381" i="4"/>
  <c r="E381" i="4"/>
  <c r="U381" i="4" s="1"/>
  <c r="D381" i="4"/>
  <c r="C381" i="4"/>
  <c r="B381" i="4"/>
  <c r="A381" i="4"/>
  <c r="X380" i="4"/>
  <c r="V380" i="4"/>
  <c r="T380" i="4"/>
  <c r="S380" i="4"/>
  <c r="R380" i="4"/>
  <c r="Q380" i="4"/>
  <c r="P380" i="4"/>
  <c r="O380" i="4"/>
  <c r="N380" i="4"/>
  <c r="M380" i="4"/>
  <c r="L380" i="4"/>
  <c r="K380" i="4"/>
  <c r="J380" i="4"/>
  <c r="I380" i="4"/>
  <c r="H380" i="4"/>
  <c r="G380" i="4"/>
  <c r="F380" i="4"/>
  <c r="E380" i="4"/>
  <c r="U380" i="4" s="1"/>
  <c r="D380" i="4"/>
  <c r="C380" i="4"/>
  <c r="B380" i="4"/>
  <c r="A380" i="4"/>
  <c r="X379" i="4"/>
  <c r="W379" i="4"/>
  <c r="V379" i="4"/>
  <c r="T379" i="4"/>
  <c r="S379" i="4"/>
  <c r="R379" i="4"/>
  <c r="Q379" i="4"/>
  <c r="P379" i="4"/>
  <c r="O379" i="4"/>
  <c r="N379" i="4"/>
  <c r="M379" i="4"/>
  <c r="L379" i="4"/>
  <c r="K379" i="4"/>
  <c r="J379" i="4"/>
  <c r="I379" i="4"/>
  <c r="H379" i="4"/>
  <c r="G379" i="4"/>
  <c r="F379" i="4"/>
  <c r="E379" i="4"/>
  <c r="U379" i="4" s="1"/>
  <c r="D379" i="4"/>
  <c r="C379" i="4"/>
  <c r="B379" i="4"/>
  <c r="A379" i="4"/>
  <c r="X378" i="4"/>
  <c r="V378" i="4"/>
  <c r="T378" i="4"/>
  <c r="S378" i="4"/>
  <c r="R378" i="4"/>
  <c r="Q378" i="4"/>
  <c r="P378" i="4"/>
  <c r="O378" i="4"/>
  <c r="N378" i="4"/>
  <c r="M378" i="4"/>
  <c r="L378" i="4"/>
  <c r="K378" i="4"/>
  <c r="J378" i="4"/>
  <c r="I378" i="4"/>
  <c r="H378" i="4"/>
  <c r="G378" i="4"/>
  <c r="F378" i="4"/>
  <c r="E378" i="4"/>
  <c r="U378" i="4" s="1"/>
  <c r="D378" i="4"/>
  <c r="C378" i="4"/>
  <c r="B378" i="4"/>
  <c r="A378" i="4"/>
  <c r="X377" i="4"/>
  <c r="T377" i="4"/>
  <c r="S377" i="4"/>
  <c r="W377" i="4" s="1"/>
  <c r="R377" i="4"/>
  <c r="Q377" i="4"/>
  <c r="P377" i="4"/>
  <c r="O377" i="4"/>
  <c r="N377" i="4"/>
  <c r="M377" i="4"/>
  <c r="L377" i="4"/>
  <c r="K377" i="4"/>
  <c r="J377" i="4"/>
  <c r="I377" i="4"/>
  <c r="H377" i="4"/>
  <c r="G377" i="4"/>
  <c r="F377" i="4"/>
  <c r="E377" i="4"/>
  <c r="U377" i="4" s="1"/>
  <c r="D377" i="4"/>
  <c r="C377" i="4"/>
  <c r="V377" i="4" s="1"/>
  <c r="B377" i="4"/>
  <c r="A377" i="4"/>
  <c r="X376" i="4"/>
  <c r="V376" i="4"/>
  <c r="T376" i="4"/>
  <c r="S376" i="4"/>
  <c r="R376" i="4"/>
  <c r="Q376" i="4"/>
  <c r="P376" i="4"/>
  <c r="O376" i="4"/>
  <c r="N376" i="4"/>
  <c r="M376" i="4"/>
  <c r="L376" i="4"/>
  <c r="K376" i="4"/>
  <c r="J376" i="4"/>
  <c r="I376" i="4"/>
  <c r="H376" i="4"/>
  <c r="G376" i="4"/>
  <c r="F376" i="4"/>
  <c r="E376" i="4"/>
  <c r="U376" i="4" s="1"/>
  <c r="D376" i="4"/>
  <c r="C376" i="4"/>
  <c r="B376" i="4"/>
  <c r="A376" i="4"/>
  <c r="X375" i="4"/>
  <c r="T375" i="4"/>
  <c r="S375" i="4"/>
  <c r="W375" i="4" s="1"/>
  <c r="R375" i="4"/>
  <c r="Q375" i="4"/>
  <c r="P375" i="4"/>
  <c r="O375" i="4"/>
  <c r="N375" i="4"/>
  <c r="M375" i="4"/>
  <c r="L375" i="4"/>
  <c r="K375" i="4"/>
  <c r="J375" i="4"/>
  <c r="I375" i="4"/>
  <c r="H375" i="4"/>
  <c r="G375" i="4"/>
  <c r="F375" i="4"/>
  <c r="E375" i="4"/>
  <c r="U375" i="4" s="1"/>
  <c r="D375" i="4"/>
  <c r="C375" i="4"/>
  <c r="V375" i="4" s="1"/>
  <c r="B375" i="4"/>
  <c r="A375" i="4"/>
  <c r="X374" i="4"/>
  <c r="V374" i="4"/>
  <c r="T374" i="4"/>
  <c r="S374" i="4"/>
  <c r="R374" i="4"/>
  <c r="Q374" i="4"/>
  <c r="P374" i="4"/>
  <c r="O374" i="4"/>
  <c r="N374" i="4"/>
  <c r="M374" i="4"/>
  <c r="L374" i="4"/>
  <c r="K374" i="4"/>
  <c r="J374" i="4"/>
  <c r="I374" i="4"/>
  <c r="H374" i="4"/>
  <c r="G374" i="4"/>
  <c r="F374" i="4"/>
  <c r="E374" i="4"/>
  <c r="U374" i="4" s="1"/>
  <c r="D374" i="4"/>
  <c r="C374" i="4"/>
  <c r="B374" i="4"/>
  <c r="A374" i="4"/>
  <c r="X373" i="4"/>
  <c r="T373" i="4"/>
  <c r="S373" i="4"/>
  <c r="W373" i="4" s="1"/>
  <c r="R373" i="4"/>
  <c r="Q373" i="4"/>
  <c r="P373" i="4"/>
  <c r="O373" i="4"/>
  <c r="N373" i="4"/>
  <c r="M373" i="4"/>
  <c r="L373" i="4"/>
  <c r="K373" i="4"/>
  <c r="J373" i="4"/>
  <c r="I373" i="4"/>
  <c r="H373" i="4"/>
  <c r="G373" i="4"/>
  <c r="F373" i="4"/>
  <c r="E373" i="4"/>
  <c r="U373" i="4" s="1"/>
  <c r="D373" i="4"/>
  <c r="C373" i="4"/>
  <c r="V373" i="4" s="1"/>
  <c r="B373" i="4"/>
  <c r="A373" i="4"/>
  <c r="X372" i="4"/>
  <c r="V372" i="4"/>
  <c r="T372" i="4"/>
  <c r="S372" i="4"/>
  <c r="R372" i="4"/>
  <c r="Q372" i="4"/>
  <c r="P372" i="4"/>
  <c r="O372" i="4"/>
  <c r="W372" i="4" s="1"/>
  <c r="N372" i="4"/>
  <c r="M372" i="4"/>
  <c r="L372" i="4"/>
  <c r="K372" i="4"/>
  <c r="J372" i="4"/>
  <c r="I372" i="4"/>
  <c r="H372" i="4"/>
  <c r="G372" i="4"/>
  <c r="F372" i="4"/>
  <c r="E372" i="4"/>
  <c r="U372" i="4" s="1"/>
  <c r="D372" i="4"/>
  <c r="C372" i="4"/>
  <c r="B372" i="4"/>
  <c r="A372" i="4"/>
  <c r="X371" i="4"/>
  <c r="W371" i="4"/>
  <c r="T371" i="4"/>
  <c r="S371" i="4"/>
  <c r="R371" i="4"/>
  <c r="Q371" i="4"/>
  <c r="P371" i="4"/>
  <c r="O371" i="4"/>
  <c r="N371" i="4"/>
  <c r="M371" i="4"/>
  <c r="L371" i="4"/>
  <c r="K371" i="4"/>
  <c r="J371" i="4"/>
  <c r="I371" i="4"/>
  <c r="H371" i="4"/>
  <c r="G371" i="4"/>
  <c r="F371" i="4"/>
  <c r="E371" i="4"/>
  <c r="U371" i="4" s="1"/>
  <c r="D371" i="4"/>
  <c r="C371" i="4"/>
  <c r="V371" i="4" s="1"/>
  <c r="B371" i="4"/>
  <c r="A371" i="4"/>
  <c r="X370" i="4"/>
  <c r="V370" i="4"/>
  <c r="T370" i="4"/>
  <c r="S370" i="4"/>
  <c r="R370" i="4"/>
  <c r="Q370" i="4"/>
  <c r="P370" i="4"/>
  <c r="O370" i="4"/>
  <c r="W370" i="4" s="1"/>
  <c r="N370" i="4"/>
  <c r="M370" i="4"/>
  <c r="L370" i="4"/>
  <c r="K370" i="4"/>
  <c r="J370" i="4"/>
  <c r="I370" i="4"/>
  <c r="H370" i="4"/>
  <c r="G370" i="4"/>
  <c r="F370" i="4"/>
  <c r="E370" i="4"/>
  <c r="U370" i="4" s="1"/>
  <c r="D370" i="4"/>
  <c r="C370" i="4"/>
  <c r="B370" i="4"/>
  <c r="A370" i="4"/>
  <c r="X369" i="4"/>
  <c r="W369" i="4"/>
  <c r="V369" i="4"/>
  <c r="T369" i="4"/>
  <c r="S369" i="4"/>
  <c r="R369" i="4"/>
  <c r="Q369" i="4"/>
  <c r="P369" i="4"/>
  <c r="O369" i="4"/>
  <c r="N369" i="4"/>
  <c r="M369" i="4"/>
  <c r="L369" i="4"/>
  <c r="K369" i="4"/>
  <c r="J369" i="4"/>
  <c r="I369" i="4"/>
  <c r="H369" i="4"/>
  <c r="G369" i="4"/>
  <c r="F369" i="4"/>
  <c r="E369" i="4"/>
  <c r="U369" i="4" s="1"/>
  <c r="D369" i="4"/>
  <c r="C369" i="4"/>
  <c r="B369" i="4"/>
  <c r="A369" i="4"/>
  <c r="X368" i="4"/>
  <c r="V368" i="4"/>
  <c r="T368" i="4"/>
  <c r="S368" i="4"/>
  <c r="R368" i="4"/>
  <c r="Q368" i="4"/>
  <c r="P368" i="4"/>
  <c r="O368" i="4"/>
  <c r="W368" i="4" s="1"/>
  <c r="N368" i="4"/>
  <c r="M368" i="4"/>
  <c r="L368" i="4"/>
  <c r="K368" i="4"/>
  <c r="J368" i="4"/>
  <c r="I368" i="4"/>
  <c r="H368" i="4"/>
  <c r="G368" i="4"/>
  <c r="F368" i="4"/>
  <c r="E368" i="4"/>
  <c r="U368" i="4" s="1"/>
  <c r="D368" i="4"/>
  <c r="C368" i="4"/>
  <c r="B368" i="4"/>
  <c r="A368" i="4"/>
  <c r="X367" i="4"/>
  <c r="W367" i="4"/>
  <c r="V367" i="4"/>
  <c r="T367" i="4"/>
  <c r="S367" i="4"/>
  <c r="R367" i="4"/>
  <c r="Q367" i="4"/>
  <c r="P367" i="4"/>
  <c r="O367" i="4"/>
  <c r="N367" i="4"/>
  <c r="M367" i="4"/>
  <c r="L367" i="4"/>
  <c r="K367" i="4"/>
  <c r="J367" i="4"/>
  <c r="I367" i="4"/>
  <c r="H367" i="4"/>
  <c r="G367" i="4"/>
  <c r="F367" i="4"/>
  <c r="E367" i="4"/>
  <c r="U367" i="4" s="1"/>
  <c r="D367" i="4"/>
  <c r="C367" i="4"/>
  <c r="B367" i="4"/>
  <c r="A367" i="4"/>
  <c r="X366" i="4"/>
  <c r="V366" i="4"/>
  <c r="T366" i="4"/>
  <c r="S366" i="4"/>
  <c r="R366" i="4"/>
  <c r="Q366" i="4"/>
  <c r="P366" i="4"/>
  <c r="O366" i="4"/>
  <c r="N366" i="4"/>
  <c r="M366" i="4"/>
  <c r="L366" i="4"/>
  <c r="K366" i="4"/>
  <c r="J366" i="4"/>
  <c r="I366" i="4"/>
  <c r="H366" i="4"/>
  <c r="G366" i="4"/>
  <c r="F366" i="4"/>
  <c r="E366" i="4"/>
  <c r="U366" i="4" s="1"/>
  <c r="D366" i="4"/>
  <c r="C366" i="4"/>
  <c r="B366" i="4"/>
  <c r="A366" i="4"/>
  <c r="X365" i="4"/>
  <c r="V365" i="4"/>
  <c r="T365" i="4"/>
  <c r="S365" i="4"/>
  <c r="W365" i="4" s="1"/>
  <c r="R365" i="4"/>
  <c r="Q365" i="4"/>
  <c r="P365" i="4"/>
  <c r="O365" i="4"/>
  <c r="N365" i="4"/>
  <c r="M365" i="4"/>
  <c r="L365" i="4"/>
  <c r="K365" i="4"/>
  <c r="J365" i="4"/>
  <c r="I365" i="4"/>
  <c r="H365" i="4"/>
  <c r="G365" i="4"/>
  <c r="F365" i="4"/>
  <c r="E365" i="4"/>
  <c r="U365" i="4" s="1"/>
  <c r="D365" i="4"/>
  <c r="C365" i="4"/>
  <c r="B365" i="4"/>
  <c r="A365" i="4"/>
  <c r="X364" i="4"/>
  <c r="V364" i="4"/>
  <c r="T364" i="4"/>
  <c r="S364" i="4"/>
  <c r="R364" i="4"/>
  <c r="Q364" i="4"/>
  <c r="P364" i="4"/>
  <c r="O364" i="4"/>
  <c r="N364" i="4"/>
  <c r="M364" i="4"/>
  <c r="L364" i="4"/>
  <c r="K364" i="4"/>
  <c r="J364" i="4"/>
  <c r="I364" i="4"/>
  <c r="H364" i="4"/>
  <c r="G364" i="4"/>
  <c r="F364" i="4"/>
  <c r="E364" i="4"/>
  <c r="U364" i="4" s="1"/>
  <c r="D364" i="4"/>
  <c r="C364" i="4"/>
  <c r="B364" i="4"/>
  <c r="A364" i="4"/>
  <c r="X363" i="4"/>
  <c r="U363" i="4"/>
  <c r="T363" i="4"/>
  <c r="S363" i="4"/>
  <c r="W363" i="4" s="1"/>
  <c r="R363" i="4"/>
  <c r="Q363" i="4"/>
  <c r="P363" i="4"/>
  <c r="O363" i="4"/>
  <c r="N363" i="4"/>
  <c r="M363" i="4"/>
  <c r="L363" i="4"/>
  <c r="K363" i="4"/>
  <c r="J363" i="4"/>
  <c r="I363" i="4"/>
  <c r="H363" i="4"/>
  <c r="G363" i="4"/>
  <c r="F363" i="4"/>
  <c r="E363" i="4"/>
  <c r="D363" i="4"/>
  <c r="C363" i="4"/>
  <c r="V363" i="4" s="1"/>
  <c r="B363" i="4"/>
  <c r="A363" i="4"/>
  <c r="X362" i="4"/>
  <c r="V362" i="4"/>
  <c r="T362" i="4"/>
  <c r="S362" i="4"/>
  <c r="R362" i="4"/>
  <c r="Q362" i="4"/>
  <c r="P362" i="4"/>
  <c r="O362" i="4"/>
  <c r="N362" i="4"/>
  <c r="M362" i="4"/>
  <c r="L362" i="4"/>
  <c r="K362" i="4"/>
  <c r="J362" i="4"/>
  <c r="I362" i="4"/>
  <c r="H362" i="4"/>
  <c r="G362" i="4"/>
  <c r="F362" i="4"/>
  <c r="E362" i="4"/>
  <c r="U362" i="4" s="1"/>
  <c r="D362" i="4"/>
  <c r="C362" i="4"/>
  <c r="B362" i="4"/>
  <c r="A362" i="4"/>
  <c r="X361" i="4"/>
  <c r="T361" i="4"/>
  <c r="S361" i="4"/>
  <c r="W361" i="4" s="1"/>
  <c r="R361" i="4"/>
  <c r="Q361" i="4"/>
  <c r="P361" i="4"/>
  <c r="O361" i="4"/>
  <c r="N361" i="4"/>
  <c r="M361" i="4"/>
  <c r="L361" i="4"/>
  <c r="K361" i="4"/>
  <c r="J361" i="4"/>
  <c r="I361" i="4"/>
  <c r="H361" i="4"/>
  <c r="G361" i="4"/>
  <c r="F361" i="4"/>
  <c r="E361" i="4"/>
  <c r="U361" i="4" s="1"/>
  <c r="D361" i="4"/>
  <c r="C361" i="4"/>
  <c r="V361" i="4" s="1"/>
  <c r="B361" i="4"/>
  <c r="A361" i="4"/>
  <c r="X360" i="4"/>
  <c r="V360" i="4"/>
  <c r="T360" i="4"/>
  <c r="S360" i="4"/>
  <c r="R360" i="4"/>
  <c r="Q360" i="4"/>
  <c r="P360" i="4"/>
  <c r="O360" i="4"/>
  <c r="W360" i="4" s="1"/>
  <c r="N360" i="4"/>
  <c r="M360" i="4"/>
  <c r="L360" i="4"/>
  <c r="K360" i="4"/>
  <c r="J360" i="4"/>
  <c r="I360" i="4"/>
  <c r="H360" i="4"/>
  <c r="G360" i="4"/>
  <c r="F360" i="4"/>
  <c r="E360" i="4"/>
  <c r="U360" i="4" s="1"/>
  <c r="D360" i="4"/>
  <c r="C360" i="4"/>
  <c r="B360" i="4"/>
  <c r="A360" i="4"/>
  <c r="X359" i="4"/>
  <c r="T359" i="4"/>
  <c r="S359" i="4"/>
  <c r="W359" i="4" s="1"/>
  <c r="R359" i="4"/>
  <c r="Q359" i="4"/>
  <c r="P359" i="4"/>
  <c r="O359" i="4"/>
  <c r="N359" i="4"/>
  <c r="M359" i="4"/>
  <c r="L359" i="4"/>
  <c r="K359" i="4"/>
  <c r="J359" i="4"/>
  <c r="I359" i="4"/>
  <c r="H359" i="4"/>
  <c r="G359" i="4"/>
  <c r="F359" i="4"/>
  <c r="E359" i="4"/>
  <c r="U359" i="4" s="1"/>
  <c r="D359" i="4"/>
  <c r="C359" i="4"/>
  <c r="V359" i="4" s="1"/>
  <c r="B359" i="4"/>
  <c r="A359" i="4"/>
  <c r="X358" i="4"/>
  <c r="V358" i="4"/>
  <c r="T358" i="4"/>
  <c r="S358" i="4"/>
  <c r="R358" i="4"/>
  <c r="Q358" i="4"/>
  <c r="P358" i="4"/>
  <c r="O358" i="4"/>
  <c r="W358" i="4" s="1"/>
  <c r="N358" i="4"/>
  <c r="M358" i="4"/>
  <c r="L358" i="4"/>
  <c r="K358" i="4"/>
  <c r="J358" i="4"/>
  <c r="I358" i="4"/>
  <c r="H358" i="4"/>
  <c r="G358" i="4"/>
  <c r="F358" i="4"/>
  <c r="E358" i="4"/>
  <c r="U358" i="4" s="1"/>
  <c r="D358" i="4"/>
  <c r="C358" i="4"/>
  <c r="B358" i="4"/>
  <c r="A358" i="4"/>
  <c r="X357" i="4"/>
  <c r="W357" i="4"/>
  <c r="V357" i="4"/>
  <c r="T357" i="4"/>
  <c r="S357" i="4"/>
  <c r="R357" i="4"/>
  <c r="Q357" i="4"/>
  <c r="P357" i="4"/>
  <c r="O357" i="4"/>
  <c r="N357" i="4"/>
  <c r="M357" i="4"/>
  <c r="L357" i="4"/>
  <c r="K357" i="4"/>
  <c r="J357" i="4"/>
  <c r="I357" i="4"/>
  <c r="H357" i="4"/>
  <c r="G357" i="4"/>
  <c r="F357" i="4"/>
  <c r="E357" i="4"/>
  <c r="U357" i="4" s="1"/>
  <c r="D357" i="4"/>
  <c r="C357" i="4"/>
  <c r="B357" i="4"/>
  <c r="A357" i="4"/>
  <c r="X356" i="4"/>
  <c r="V356" i="4"/>
  <c r="T356" i="4"/>
  <c r="S356" i="4"/>
  <c r="R356" i="4"/>
  <c r="Q356" i="4"/>
  <c r="P356" i="4"/>
  <c r="O356" i="4"/>
  <c r="W356" i="4" s="1"/>
  <c r="N356" i="4"/>
  <c r="M356" i="4"/>
  <c r="L356" i="4"/>
  <c r="K356" i="4"/>
  <c r="J356" i="4"/>
  <c r="I356" i="4"/>
  <c r="H356" i="4"/>
  <c r="G356" i="4"/>
  <c r="F356" i="4"/>
  <c r="E356" i="4"/>
  <c r="U356" i="4" s="1"/>
  <c r="D356" i="4"/>
  <c r="C356" i="4"/>
  <c r="B356" i="4"/>
  <c r="A356" i="4"/>
  <c r="X355" i="4"/>
  <c r="W355" i="4"/>
  <c r="V355" i="4"/>
  <c r="T355" i="4"/>
  <c r="S355" i="4"/>
  <c r="R355" i="4"/>
  <c r="Q355" i="4"/>
  <c r="P355" i="4"/>
  <c r="O355" i="4"/>
  <c r="N355" i="4"/>
  <c r="M355" i="4"/>
  <c r="L355" i="4"/>
  <c r="K355" i="4"/>
  <c r="J355" i="4"/>
  <c r="I355" i="4"/>
  <c r="H355" i="4"/>
  <c r="G355" i="4"/>
  <c r="F355" i="4"/>
  <c r="E355" i="4"/>
  <c r="U355" i="4" s="1"/>
  <c r="D355" i="4"/>
  <c r="C355" i="4"/>
  <c r="B355" i="4"/>
  <c r="A355" i="4"/>
  <c r="X354" i="4"/>
  <c r="V354" i="4"/>
  <c r="T354" i="4"/>
  <c r="S354" i="4"/>
  <c r="R354" i="4"/>
  <c r="Q354" i="4"/>
  <c r="P354" i="4"/>
  <c r="O354" i="4"/>
  <c r="W354" i="4" s="1"/>
  <c r="N354" i="4"/>
  <c r="M354" i="4"/>
  <c r="L354" i="4"/>
  <c r="K354" i="4"/>
  <c r="J354" i="4"/>
  <c r="I354" i="4"/>
  <c r="H354" i="4"/>
  <c r="G354" i="4"/>
  <c r="F354" i="4"/>
  <c r="E354" i="4"/>
  <c r="U354" i="4" s="1"/>
  <c r="D354" i="4"/>
  <c r="C354" i="4"/>
  <c r="B354" i="4"/>
  <c r="A354" i="4"/>
  <c r="X353" i="4"/>
  <c r="W353" i="4"/>
  <c r="V353" i="4"/>
  <c r="T353" i="4"/>
  <c r="S353" i="4"/>
  <c r="R353" i="4"/>
  <c r="Q353" i="4"/>
  <c r="P353" i="4"/>
  <c r="O353" i="4"/>
  <c r="N353" i="4"/>
  <c r="M353" i="4"/>
  <c r="L353" i="4"/>
  <c r="K353" i="4"/>
  <c r="J353" i="4"/>
  <c r="I353" i="4"/>
  <c r="H353" i="4"/>
  <c r="G353" i="4"/>
  <c r="F353" i="4"/>
  <c r="E353" i="4"/>
  <c r="U353" i="4" s="1"/>
  <c r="D353" i="4"/>
  <c r="C353" i="4"/>
  <c r="B353" i="4"/>
  <c r="A353" i="4"/>
  <c r="X352" i="4"/>
  <c r="V352" i="4"/>
  <c r="T352" i="4"/>
  <c r="S352" i="4"/>
  <c r="R352" i="4"/>
  <c r="Q352" i="4"/>
  <c r="P352" i="4"/>
  <c r="O352" i="4"/>
  <c r="W352" i="4" s="1"/>
  <c r="N352" i="4"/>
  <c r="M352" i="4"/>
  <c r="L352" i="4"/>
  <c r="K352" i="4"/>
  <c r="J352" i="4"/>
  <c r="I352" i="4"/>
  <c r="H352" i="4"/>
  <c r="G352" i="4"/>
  <c r="F352" i="4"/>
  <c r="E352" i="4"/>
  <c r="U352" i="4" s="1"/>
  <c r="D352" i="4"/>
  <c r="C352" i="4"/>
  <c r="B352" i="4"/>
  <c r="A352" i="4"/>
  <c r="X351" i="4"/>
  <c r="W351" i="4"/>
  <c r="V351" i="4"/>
  <c r="T351" i="4"/>
  <c r="S351" i="4"/>
  <c r="R351" i="4"/>
  <c r="Q351" i="4"/>
  <c r="P351" i="4"/>
  <c r="O351" i="4"/>
  <c r="N351" i="4"/>
  <c r="M351" i="4"/>
  <c r="L351" i="4"/>
  <c r="K351" i="4"/>
  <c r="J351" i="4"/>
  <c r="I351" i="4"/>
  <c r="H351" i="4"/>
  <c r="G351" i="4"/>
  <c r="F351" i="4"/>
  <c r="E351" i="4"/>
  <c r="U351" i="4" s="1"/>
  <c r="D351" i="4"/>
  <c r="C351" i="4"/>
  <c r="B351" i="4"/>
  <c r="A351" i="4"/>
  <c r="X350" i="4"/>
  <c r="V350" i="4"/>
  <c r="T350" i="4"/>
  <c r="S350" i="4"/>
  <c r="R350" i="4"/>
  <c r="Q350" i="4"/>
  <c r="P350" i="4"/>
  <c r="O350" i="4"/>
  <c r="N350" i="4"/>
  <c r="M350" i="4"/>
  <c r="L350" i="4"/>
  <c r="K350" i="4"/>
  <c r="J350" i="4"/>
  <c r="I350" i="4"/>
  <c r="H350" i="4"/>
  <c r="G350" i="4"/>
  <c r="F350" i="4"/>
  <c r="E350" i="4"/>
  <c r="U350" i="4" s="1"/>
  <c r="D350" i="4"/>
  <c r="C350" i="4"/>
  <c r="B350" i="4"/>
  <c r="A350" i="4"/>
  <c r="X349" i="4"/>
  <c r="W349" i="4"/>
  <c r="V349" i="4"/>
  <c r="T349" i="4"/>
  <c r="S349" i="4"/>
  <c r="R349" i="4"/>
  <c r="Q349" i="4"/>
  <c r="P349" i="4"/>
  <c r="O349" i="4"/>
  <c r="N349" i="4"/>
  <c r="M349" i="4"/>
  <c r="L349" i="4"/>
  <c r="K349" i="4"/>
  <c r="J349" i="4"/>
  <c r="I349" i="4"/>
  <c r="H349" i="4"/>
  <c r="G349" i="4"/>
  <c r="F349" i="4"/>
  <c r="E349" i="4"/>
  <c r="U349" i="4" s="1"/>
  <c r="D349" i="4"/>
  <c r="C349" i="4"/>
  <c r="B349" i="4"/>
  <c r="A349" i="4"/>
  <c r="X348" i="4"/>
  <c r="V348" i="4"/>
  <c r="T348" i="4"/>
  <c r="S348" i="4"/>
  <c r="R348" i="4"/>
  <c r="Q348" i="4"/>
  <c r="P348" i="4"/>
  <c r="O348" i="4"/>
  <c r="W348" i="4" s="1"/>
  <c r="N348" i="4"/>
  <c r="M348" i="4"/>
  <c r="L348" i="4"/>
  <c r="K348" i="4"/>
  <c r="J348" i="4"/>
  <c r="I348" i="4"/>
  <c r="H348" i="4"/>
  <c r="G348" i="4"/>
  <c r="F348" i="4"/>
  <c r="E348" i="4"/>
  <c r="U348" i="4" s="1"/>
  <c r="D348" i="4"/>
  <c r="C348" i="4"/>
  <c r="B348" i="4"/>
  <c r="A348" i="4"/>
  <c r="X347" i="4"/>
  <c r="W347" i="4"/>
  <c r="T347" i="4"/>
  <c r="S347" i="4"/>
  <c r="R347" i="4"/>
  <c r="Q347" i="4"/>
  <c r="P347" i="4"/>
  <c r="O347" i="4"/>
  <c r="N347" i="4"/>
  <c r="M347" i="4"/>
  <c r="L347" i="4"/>
  <c r="K347" i="4"/>
  <c r="J347" i="4"/>
  <c r="I347" i="4"/>
  <c r="H347" i="4"/>
  <c r="G347" i="4"/>
  <c r="F347" i="4"/>
  <c r="E347" i="4"/>
  <c r="U347" i="4" s="1"/>
  <c r="D347" i="4"/>
  <c r="C347" i="4"/>
  <c r="V347" i="4" s="1"/>
  <c r="B347" i="4"/>
  <c r="A347" i="4"/>
  <c r="X346" i="4"/>
  <c r="V346" i="4"/>
  <c r="T346" i="4"/>
  <c r="S346" i="4"/>
  <c r="R346" i="4"/>
  <c r="Q346" i="4"/>
  <c r="P346" i="4"/>
  <c r="O346" i="4"/>
  <c r="N346" i="4"/>
  <c r="M346" i="4"/>
  <c r="L346" i="4"/>
  <c r="K346" i="4"/>
  <c r="J346" i="4"/>
  <c r="I346" i="4"/>
  <c r="H346" i="4"/>
  <c r="G346" i="4"/>
  <c r="F346" i="4"/>
  <c r="E346" i="4"/>
  <c r="U346" i="4" s="1"/>
  <c r="D346" i="4"/>
  <c r="C346" i="4"/>
  <c r="B346" i="4"/>
  <c r="A346" i="4"/>
  <c r="X345" i="4"/>
  <c r="V345" i="4"/>
  <c r="T345" i="4"/>
  <c r="S345" i="4"/>
  <c r="W345" i="4" s="1"/>
  <c r="R345" i="4"/>
  <c r="Q345" i="4"/>
  <c r="P345" i="4"/>
  <c r="O345" i="4"/>
  <c r="N345" i="4"/>
  <c r="M345" i="4"/>
  <c r="L345" i="4"/>
  <c r="K345" i="4"/>
  <c r="J345" i="4"/>
  <c r="I345" i="4"/>
  <c r="H345" i="4"/>
  <c r="G345" i="4"/>
  <c r="F345" i="4"/>
  <c r="E345" i="4"/>
  <c r="U345" i="4" s="1"/>
  <c r="D345" i="4"/>
  <c r="C345" i="4"/>
  <c r="B345" i="4"/>
  <c r="A345" i="4"/>
  <c r="X344" i="4"/>
  <c r="V344" i="4"/>
  <c r="T344" i="4"/>
  <c r="S344" i="4"/>
  <c r="R344" i="4"/>
  <c r="Q344" i="4"/>
  <c r="P344" i="4"/>
  <c r="O344" i="4"/>
  <c r="N344" i="4"/>
  <c r="M344" i="4"/>
  <c r="L344" i="4"/>
  <c r="K344" i="4"/>
  <c r="J344" i="4"/>
  <c r="I344" i="4"/>
  <c r="H344" i="4"/>
  <c r="G344" i="4"/>
  <c r="F344" i="4"/>
  <c r="E344" i="4"/>
  <c r="U344" i="4" s="1"/>
  <c r="D344" i="4"/>
  <c r="C344" i="4"/>
  <c r="B344" i="4"/>
  <c r="A344" i="4"/>
  <c r="X343" i="4"/>
  <c r="T343" i="4"/>
  <c r="S343" i="4"/>
  <c r="W343" i="4" s="1"/>
  <c r="R343" i="4"/>
  <c r="Q343" i="4"/>
  <c r="P343" i="4"/>
  <c r="O343" i="4"/>
  <c r="N343" i="4"/>
  <c r="M343" i="4"/>
  <c r="L343" i="4"/>
  <c r="K343" i="4"/>
  <c r="J343" i="4"/>
  <c r="I343" i="4"/>
  <c r="H343" i="4"/>
  <c r="G343" i="4"/>
  <c r="F343" i="4"/>
  <c r="E343" i="4"/>
  <c r="U343" i="4" s="1"/>
  <c r="D343" i="4"/>
  <c r="C343" i="4"/>
  <c r="V343" i="4" s="1"/>
  <c r="B343" i="4"/>
  <c r="A343" i="4"/>
  <c r="X342" i="4"/>
  <c r="V342" i="4"/>
  <c r="T342" i="4"/>
  <c r="S342" i="4"/>
  <c r="R342" i="4"/>
  <c r="Q342" i="4"/>
  <c r="P342" i="4"/>
  <c r="O342" i="4"/>
  <c r="N342" i="4"/>
  <c r="M342" i="4"/>
  <c r="L342" i="4"/>
  <c r="K342" i="4"/>
  <c r="J342" i="4"/>
  <c r="I342" i="4"/>
  <c r="H342" i="4"/>
  <c r="G342" i="4"/>
  <c r="F342" i="4"/>
  <c r="E342" i="4"/>
  <c r="U342" i="4" s="1"/>
  <c r="D342" i="4"/>
  <c r="C342" i="4"/>
  <c r="B342" i="4"/>
  <c r="A342" i="4"/>
  <c r="X341" i="4"/>
  <c r="T341" i="4"/>
  <c r="S341" i="4"/>
  <c r="W341" i="4" s="1"/>
  <c r="R341" i="4"/>
  <c r="Q341" i="4"/>
  <c r="P341" i="4"/>
  <c r="O341" i="4"/>
  <c r="N341" i="4"/>
  <c r="M341" i="4"/>
  <c r="L341" i="4"/>
  <c r="K341" i="4"/>
  <c r="J341" i="4"/>
  <c r="I341" i="4"/>
  <c r="H341" i="4"/>
  <c r="G341" i="4"/>
  <c r="F341" i="4"/>
  <c r="E341" i="4"/>
  <c r="U341" i="4" s="1"/>
  <c r="D341" i="4"/>
  <c r="C341" i="4"/>
  <c r="V341" i="4" s="1"/>
  <c r="B341" i="4"/>
  <c r="A341" i="4"/>
  <c r="X340" i="4"/>
  <c r="V340" i="4"/>
  <c r="T340" i="4"/>
  <c r="S340" i="4"/>
  <c r="R340" i="4"/>
  <c r="Q340" i="4"/>
  <c r="P340" i="4"/>
  <c r="O340" i="4"/>
  <c r="W340" i="4" s="1"/>
  <c r="N340" i="4"/>
  <c r="M340" i="4"/>
  <c r="L340" i="4"/>
  <c r="K340" i="4"/>
  <c r="J340" i="4"/>
  <c r="I340" i="4"/>
  <c r="H340" i="4"/>
  <c r="G340" i="4"/>
  <c r="F340" i="4"/>
  <c r="E340" i="4"/>
  <c r="U340" i="4" s="1"/>
  <c r="D340" i="4"/>
  <c r="C340" i="4"/>
  <c r="B340" i="4"/>
  <c r="A340" i="4"/>
  <c r="X339" i="4"/>
  <c r="T339" i="4"/>
  <c r="S339" i="4"/>
  <c r="W339" i="4" s="1"/>
  <c r="R339" i="4"/>
  <c r="Q339" i="4"/>
  <c r="P339" i="4"/>
  <c r="O339" i="4"/>
  <c r="N339" i="4"/>
  <c r="M339" i="4"/>
  <c r="L339" i="4"/>
  <c r="K339" i="4"/>
  <c r="J339" i="4"/>
  <c r="I339" i="4"/>
  <c r="H339" i="4"/>
  <c r="G339" i="4"/>
  <c r="F339" i="4"/>
  <c r="E339" i="4"/>
  <c r="U339" i="4" s="1"/>
  <c r="D339" i="4"/>
  <c r="C339" i="4"/>
  <c r="V339" i="4" s="1"/>
  <c r="B339" i="4"/>
  <c r="A339" i="4"/>
  <c r="X338" i="4"/>
  <c r="V338" i="4"/>
  <c r="T338" i="4"/>
  <c r="S338" i="4"/>
  <c r="R338" i="4"/>
  <c r="Q338" i="4"/>
  <c r="P338" i="4"/>
  <c r="O338" i="4"/>
  <c r="W338" i="4" s="1"/>
  <c r="N338" i="4"/>
  <c r="M338" i="4"/>
  <c r="L338" i="4"/>
  <c r="K338" i="4"/>
  <c r="J338" i="4"/>
  <c r="I338" i="4"/>
  <c r="H338" i="4"/>
  <c r="G338" i="4"/>
  <c r="F338" i="4"/>
  <c r="E338" i="4"/>
  <c r="U338" i="4" s="1"/>
  <c r="D338" i="4"/>
  <c r="C338" i="4"/>
  <c r="B338" i="4"/>
  <c r="A338" i="4"/>
  <c r="X337" i="4"/>
  <c r="W337" i="4"/>
  <c r="V337" i="4"/>
  <c r="T337" i="4"/>
  <c r="S337" i="4"/>
  <c r="R337" i="4"/>
  <c r="Q337" i="4"/>
  <c r="P337" i="4"/>
  <c r="O337" i="4"/>
  <c r="N337" i="4"/>
  <c r="M337" i="4"/>
  <c r="L337" i="4"/>
  <c r="K337" i="4"/>
  <c r="J337" i="4"/>
  <c r="I337" i="4"/>
  <c r="H337" i="4"/>
  <c r="G337" i="4"/>
  <c r="F337" i="4"/>
  <c r="E337" i="4"/>
  <c r="U337" i="4" s="1"/>
  <c r="D337" i="4"/>
  <c r="C337" i="4"/>
  <c r="B337" i="4"/>
  <c r="A337" i="4"/>
  <c r="X336" i="4"/>
  <c r="V336" i="4"/>
  <c r="T336" i="4"/>
  <c r="S336" i="4"/>
  <c r="R336" i="4"/>
  <c r="Q336" i="4"/>
  <c r="P336" i="4"/>
  <c r="O336" i="4"/>
  <c r="W336" i="4" s="1"/>
  <c r="N336" i="4"/>
  <c r="M336" i="4"/>
  <c r="L336" i="4"/>
  <c r="K336" i="4"/>
  <c r="J336" i="4"/>
  <c r="I336" i="4"/>
  <c r="H336" i="4"/>
  <c r="G336" i="4"/>
  <c r="F336" i="4"/>
  <c r="E336" i="4"/>
  <c r="U336" i="4" s="1"/>
  <c r="D336" i="4"/>
  <c r="C336" i="4"/>
  <c r="B336" i="4"/>
  <c r="A336" i="4"/>
  <c r="X335" i="4"/>
  <c r="W335" i="4"/>
  <c r="V335" i="4"/>
  <c r="T335" i="4"/>
  <c r="S335" i="4"/>
  <c r="R335" i="4"/>
  <c r="Q335" i="4"/>
  <c r="P335" i="4"/>
  <c r="O335" i="4"/>
  <c r="N335" i="4"/>
  <c r="M335" i="4"/>
  <c r="L335" i="4"/>
  <c r="K335" i="4"/>
  <c r="J335" i="4"/>
  <c r="I335" i="4"/>
  <c r="H335" i="4"/>
  <c r="G335" i="4"/>
  <c r="F335" i="4"/>
  <c r="E335" i="4"/>
  <c r="U335" i="4" s="1"/>
  <c r="D335" i="4"/>
  <c r="C335" i="4"/>
  <c r="B335" i="4"/>
  <c r="A335" i="4"/>
  <c r="X334" i="4"/>
  <c r="V334" i="4"/>
  <c r="T334" i="4"/>
  <c r="S334" i="4"/>
  <c r="R334" i="4"/>
  <c r="Q334" i="4"/>
  <c r="P334" i="4"/>
  <c r="O334" i="4"/>
  <c r="N334" i="4"/>
  <c r="M334" i="4"/>
  <c r="L334" i="4"/>
  <c r="K334" i="4"/>
  <c r="J334" i="4"/>
  <c r="I334" i="4"/>
  <c r="H334" i="4"/>
  <c r="G334" i="4"/>
  <c r="F334" i="4"/>
  <c r="E334" i="4"/>
  <c r="U334" i="4" s="1"/>
  <c r="D334" i="4"/>
  <c r="C334" i="4"/>
  <c r="B334" i="4"/>
  <c r="A334" i="4"/>
  <c r="X333" i="4"/>
  <c r="V333" i="4"/>
  <c r="T333" i="4"/>
  <c r="S333" i="4"/>
  <c r="W333" i="4" s="1"/>
  <c r="R333" i="4"/>
  <c r="Q333" i="4"/>
  <c r="P333" i="4"/>
  <c r="O333" i="4"/>
  <c r="N333" i="4"/>
  <c r="M333" i="4"/>
  <c r="L333" i="4"/>
  <c r="K333" i="4"/>
  <c r="J333" i="4"/>
  <c r="I333" i="4"/>
  <c r="H333" i="4"/>
  <c r="G333" i="4"/>
  <c r="F333" i="4"/>
  <c r="E333" i="4"/>
  <c r="U333" i="4" s="1"/>
  <c r="D333" i="4"/>
  <c r="C333" i="4"/>
  <c r="B333" i="4"/>
  <c r="A333" i="4"/>
  <c r="X332" i="4"/>
  <c r="V332" i="4"/>
  <c r="T332" i="4"/>
  <c r="S332" i="4"/>
  <c r="R332" i="4"/>
  <c r="Q332" i="4"/>
  <c r="P332" i="4"/>
  <c r="O332" i="4"/>
  <c r="N332" i="4"/>
  <c r="M332" i="4"/>
  <c r="L332" i="4"/>
  <c r="K332" i="4"/>
  <c r="J332" i="4"/>
  <c r="I332" i="4"/>
  <c r="H332" i="4"/>
  <c r="G332" i="4"/>
  <c r="F332" i="4"/>
  <c r="E332" i="4"/>
  <c r="U332" i="4" s="1"/>
  <c r="D332" i="4"/>
  <c r="C332" i="4"/>
  <c r="B332" i="4"/>
  <c r="A332" i="4"/>
  <c r="X331" i="4"/>
  <c r="T331" i="4"/>
  <c r="S331" i="4"/>
  <c r="W331" i="4" s="1"/>
  <c r="R331" i="4"/>
  <c r="Q331" i="4"/>
  <c r="P331" i="4"/>
  <c r="O331" i="4"/>
  <c r="N331" i="4"/>
  <c r="M331" i="4"/>
  <c r="L331" i="4"/>
  <c r="K331" i="4"/>
  <c r="J331" i="4"/>
  <c r="I331" i="4"/>
  <c r="H331" i="4"/>
  <c r="G331" i="4"/>
  <c r="F331" i="4"/>
  <c r="E331" i="4"/>
  <c r="U331" i="4" s="1"/>
  <c r="D331" i="4"/>
  <c r="C331" i="4"/>
  <c r="V331" i="4" s="1"/>
  <c r="B331" i="4"/>
  <c r="A331" i="4"/>
  <c r="X330" i="4"/>
  <c r="V330" i="4"/>
  <c r="T330" i="4"/>
  <c r="S330" i="4"/>
  <c r="R330" i="4"/>
  <c r="Q330" i="4"/>
  <c r="P330" i="4"/>
  <c r="O330" i="4"/>
  <c r="N330" i="4"/>
  <c r="M330" i="4"/>
  <c r="L330" i="4"/>
  <c r="K330" i="4"/>
  <c r="J330" i="4"/>
  <c r="I330" i="4"/>
  <c r="H330" i="4"/>
  <c r="G330" i="4"/>
  <c r="F330" i="4"/>
  <c r="E330" i="4"/>
  <c r="U330" i="4" s="1"/>
  <c r="D330" i="4"/>
  <c r="C330" i="4"/>
  <c r="B330" i="4"/>
  <c r="A330" i="4"/>
  <c r="X329" i="4"/>
  <c r="T329" i="4"/>
  <c r="S329" i="4"/>
  <c r="W329" i="4" s="1"/>
  <c r="R329" i="4"/>
  <c r="Q329" i="4"/>
  <c r="P329" i="4"/>
  <c r="O329" i="4"/>
  <c r="N329" i="4"/>
  <c r="M329" i="4"/>
  <c r="L329" i="4"/>
  <c r="K329" i="4"/>
  <c r="J329" i="4"/>
  <c r="I329" i="4"/>
  <c r="H329" i="4"/>
  <c r="G329" i="4"/>
  <c r="F329" i="4"/>
  <c r="E329" i="4"/>
  <c r="U329" i="4" s="1"/>
  <c r="D329" i="4"/>
  <c r="C329" i="4"/>
  <c r="V329" i="4" s="1"/>
  <c r="B329" i="4"/>
  <c r="A329" i="4"/>
  <c r="X328" i="4"/>
  <c r="V328" i="4"/>
  <c r="T328" i="4"/>
  <c r="S328" i="4"/>
  <c r="R328" i="4"/>
  <c r="Q328" i="4"/>
  <c r="P328" i="4"/>
  <c r="O328" i="4"/>
  <c r="W328" i="4" s="1"/>
  <c r="N328" i="4"/>
  <c r="M328" i="4"/>
  <c r="L328" i="4"/>
  <c r="K328" i="4"/>
  <c r="J328" i="4"/>
  <c r="I328" i="4"/>
  <c r="H328" i="4"/>
  <c r="G328" i="4"/>
  <c r="F328" i="4"/>
  <c r="E328" i="4"/>
  <c r="U328" i="4" s="1"/>
  <c r="D328" i="4"/>
  <c r="C328" i="4"/>
  <c r="B328" i="4"/>
  <c r="A328" i="4"/>
  <c r="X327" i="4"/>
  <c r="T327" i="4"/>
  <c r="S327" i="4"/>
  <c r="W327" i="4" s="1"/>
  <c r="R327" i="4"/>
  <c r="Q327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U327" i="4" s="1"/>
  <c r="D327" i="4"/>
  <c r="C327" i="4"/>
  <c r="V327" i="4" s="1"/>
  <c r="B327" i="4"/>
  <c r="A327" i="4"/>
  <c r="X326" i="4"/>
  <c r="V326" i="4"/>
  <c r="T326" i="4"/>
  <c r="S326" i="4"/>
  <c r="R326" i="4"/>
  <c r="Q326" i="4"/>
  <c r="P326" i="4"/>
  <c r="O326" i="4"/>
  <c r="W326" i="4" s="1"/>
  <c r="N326" i="4"/>
  <c r="M326" i="4"/>
  <c r="L326" i="4"/>
  <c r="K326" i="4"/>
  <c r="J326" i="4"/>
  <c r="I326" i="4"/>
  <c r="H326" i="4"/>
  <c r="G326" i="4"/>
  <c r="F326" i="4"/>
  <c r="E326" i="4"/>
  <c r="U326" i="4" s="1"/>
  <c r="D326" i="4"/>
  <c r="C326" i="4"/>
  <c r="B326" i="4"/>
  <c r="A326" i="4"/>
  <c r="X325" i="4"/>
  <c r="W325" i="4"/>
  <c r="V325" i="4"/>
  <c r="T325" i="4"/>
  <c r="S325" i="4"/>
  <c r="R325" i="4"/>
  <c r="Q325" i="4"/>
  <c r="P325" i="4"/>
  <c r="O325" i="4"/>
  <c r="N325" i="4"/>
  <c r="M325" i="4"/>
  <c r="L325" i="4"/>
  <c r="K325" i="4"/>
  <c r="J325" i="4"/>
  <c r="I325" i="4"/>
  <c r="H325" i="4"/>
  <c r="G325" i="4"/>
  <c r="F325" i="4"/>
  <c r="E325" i="4"/>
  <c r="U325" i="4" s="1"/>
  <c r="D325" i="4"/>
  <c r="C325" i="4"/>
  <c r="B325" i="4"/>
  <c r="A325" i="4"/>
  <c r="X324" i="4"/>
  <c r="V324" i="4"/>
  <c r="T324" i="4"/>
  <c r="S324" i="4"/>
  <c r="R324" i="4"/>
  <c r="Q324" i="4"/>
  <c r="P324" i="4"/>
  <c r="O324" i="4"/>
  <c r="W324" i="4" s="1"/>
  <c r="N324" i="4"/>
  <c r="M324" i="4"/>
  <c r="L324" i="4"/>
  <c r="K324" i="4"/>
  <c r="J324" i="4"/>
  <c r="I324" i="4"/>
  <c r="H324" i="4"/>
  <c r="G324" i="4"/>
  <c r="F324" i="4"/>
  <c r="E324" i="4"/>
  <c r="U324" i="4" s="1"/>
  <c r="D324" i="4"/>
  <c r="C324" i="4"/>
  <c r="B324" i="4"/>
  <c r="A324" i="4"/>
  <c r="X323" i="4"/>
  <c r="W323" i="4"/>
  <c r="V323" i="4"/>
  <c r="T323" i="4"/>
  <c r="S323" i="4"/>
  <c r="R323" i="4"/>
  <c r="Q323" i="4"/>
  <c r="P323" i="4"/>
  <c r="O323" i="4"/>
  <c r="N323" i="4"/>
  <c r="M323" i="4"/>
  <c r="L323" i="4"/>
  <c r="K323" i="4"/>
  <c r="J323" i="4"/>
  <c r="I323" i="4"/>
  <c r="H323" i="4"/>
  <c r="G323" i="4"/>
  <c r="F323" i="4"/>
  <c r="E323" i="4"/>
  <c r="U323" i="4" s="1"/>
  <c r="D323" i="4"/>
  <c r="C323" i="4"/>
  <c r="B323" i="4"/>
  <c r="A323" i="4"/>
  <c r="X322" i="4"/>
  <c r="V322" i="4"/>
  <c r="T322" i="4"/>
  <c r="S322" i="4"/>
  <c r="R322" i="4"/>
  <c r="Q322" i="4"/>
  <c r="P322" i="4"/>
  <c r="O322" i="4"/>
  <c r="W322" i="4" s="1"/>
  <c r="N322" i="4"/>
  <c r="M322" i="4"/>
  <c r="L322" i="4"/>
  <c r="K322" i="4"/>
  <c r="J322" i="4"/>
  <c r="I322" i="4"/>
  <c r="H322" i="4"/>
  <c r="G322" i="4"/>
  <c r="F322" i="4"/>
  <c r="E322" i="4"/>
  <c r="U322" i="4" s="1"/>
  <c r="D322" i="4"/>
  <c r="C322" i="4"/>
  <c r="B322" i="4"/>
  <c r="A322" i="4"/>
  <c r="X321" i="4"/>
  <c r="W321" i="4"/>
  <c r="V321" i="4"/>
  <c r="T321" i="4"/>
  <c r="S321" i="4"/>
  <c r="R321" i="4"/>
  <c r="Q321" i="4"/>
  <c r="P321" i="4"/>
  <c r="O321" i="4"/>
  <c r="N321" i="4"/>
  <c r="M321" i="4"/>
  <c r="L321" i="4"/>
  <c r="K321" i="4"/>
  <c r="J321" i="4"/>
  <c r="I321" i="4"/>
  <c r="H321" i="4"/>
  <c r="G321" i="4"/>
  <c r="F321" i="4"/>
  <c r="E321" i="4"/>
  <c r="U321" i="4" s="1"/>
  <c r="D321" i="4"/>
  <c r="C321" i="4"/>
  <c r="B321" i="4"/>
  <c r="A321" i="4"/>
  <c r="X320" i="4"/>
  <c r="V320" i="4"/>
  <c r="T320" i="4"/>
  <c r="S320" i="4"/>
  <c r="R320" i="4"/>
  <c r="Q320" i="4"/>
  <c r="P320" i="4"/>
  <c r="O320" i="4"/>
  <c r="W320" i="4" s="1"/>
  <c r="N320" i="4"/>
  <c r="M320" i="4"/>
  <c r="L320" i="4"/>
  <c r="K320" i="4"/>
  <c r="J320" i="4"/>
  <c r="I320" i="4"/>
  <c r="H320" i="4"/>
  <c r="G320" i="4"/>
  <c r="F320" i="4"/>
  <c r="E320" i="4"/>
  <c r="U320" i="4" s="1"/>
  <c r="D320" i="4"/>
  <c r="C320" i="4"/>
  <c r="B320" i="4"/>
  <c r="A320" i="4"/>
  <c r="X319" i="4"/>
  <c r="W319" i="4"/>
  <c r="V319" i="4"/>
  <c r="U319" i="4"/>
  <c r="T319" i="4"/>
  <c r="S319" i="4"/>
  <c r="R319" i="4"/>
  <c r="Q319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B319" i="4"/>
  <c r="A319" i="4"/>
  <c r="X318" i="4"/>
  <c r="V318" i="4"/>
  <c r="T318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U318" i="4" s="1"/>
  <c r="D318" i="4"/>
  <c r="C318" i="4"/>
  <c r="B318" i="4"/>
  <c r="A318" i="4"/>
  <c r="X317" i="4"/>
  <c r="W317" i="4"/>
  <c r="V317" i="4"/>
  <c r="U317" i="4"/>
  <c r="T317" i="4"/>
  <c r="S317" i="4"/>
  <c r="R317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A317" i="4"/>
  <c r="X316" i="4"/>
  <c r="V316" i="4"/>
  <c r="T316" i="4"/>
  <c r="S316" i="4"/>
  <c r="R316" i="4"/>
  <c r="Q316" i="4"/>
  <c r="P316" i="4"/>
  <c r="O316" i="4"/>
  <c r="N316" i="4"/>
  <c r="M316" i="4"/>
  <c r="L316" i="4"/>
  <c r="K316" i="4"/>
  <c r="J316" i="4"/>
  <c r="I316" i="4"/>
  <c r="H316" i="4"/>
  <c r="G316" i="4"/>
  <c r="F316" i="4"/>
  <c r="E316" i="4"/>
  <c r="U316" i="4" s="1"/>
  <c r="D316" i="4"/>
  <c r="C316" i="4"/>
  <c r="B316" i="4"/>
  <c r="A316" i="4"/>
  <c r="X315" i="4"/>
  <c r="W315" i="4"/>
  <c r="T315" i="4"/>
  <c r="S315" i="4"/>
  <c r="R315" i="4"/>
  <c r="Q315" i="4"/>
  <c r="P315" i="4"/>
  <c r="O315" i="4"/>
  <c r="N315" i="4"/>
  <c r="M315" i="4"/>
  <c r="L315" i="4"/>
  <c r="K315" i="4"/>
  <c r="J315" i="4"/>
  <c r="I315" i="4"/>
  <c r="H315" i="4"/>
  <c r="G315" i="4"/>
  <c r="F315" i="4"/>
  <c r="E315" i="4"/>
  <c r="U315" i="4" s="1"/>
  <c r="D315" i="4"/>
  <c r="C315" i="4"/>
  <c r="V315" i="4" s="1"/>
  <c r="B315" i="4"/>
  <c r="A315" i="4"/>
  <c r="X314" i="4"/>
  <c r="V314" i="4"/>
  <c r="T314" i="4"/>
  <c r="S314" i="4"/>
  <c r="R314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U314" i="4" s="1"/>
  <c r="D314" i="4"/>
  <c r="C314" i="4"/>
  <c r="B314" i="4"/>
  <c r="A314" i="4"/>
  <c r="X313" i="4"/>
  <c r="T313" i="4"/>
  <c r="S313" i="4"/>
  <c r="W313" i="4" s="1"/>
  <c r="R313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U313" i="4" s="1"/>
  <c r="D313" i="4"/>
  <c r="C313" i="4"/>
  <c r="V313" i="4" s="1"/>
  <c r="B313" i="4"/>
  <c r="A313" i="4"/>
  <c r="X312" i="4"/>
  <c r="V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U312" i="4" s="1"/>
  <c r="D312" i="4"/>
  <c r="C312" i="4"/>
  <c r="B312" i="4"/>
  <c r="A312" i="4"/>
  <c r="X311" i="4"/>
  <c r="T311" i="4"/>
  <c r="S311" i="4"/>
  <c r="W311" i="4" s="1"/>
  <c r="R311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U311" i="4" s="1"/>
  <c r="D311" i="4"/>
  <c r="C311" i="4"/>
  <c r="V311" i="4" s="1"/>
  <c r="B311" i="4"/>
  <c r="A311" i="4"/>
  <c r="X310" i="4"/>
  <c r="V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U310" i="4" s="1"/>
  <c r="D310" i="4"/>
  <c r="C310" i="4"/>
  <c r="B310" i="4"/>
  <c r="A310" i="4"/>
  <c r="X309" i="4"/>
  <c r="T309" i="4"/>
  <c r="S309" i="4"/>
  <c r="W309" i="4" s="1"/>
  <c r="R309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U309" i="4" s="1"/>
  <c r="D309" i="4"/>
  <c r="C309" i="4"/>
  <c r="V309" i="4" s="1"/>
  <c r="B309" i="4"/>
  <c r="A309" i="4"/>
  <c r="X308" i="4"/>
  <c r="V308" i="4"/>
  <c r="T308" i="4"/>
  <c r="S308" i="4"/>
  <c r="R308" i="4"/>
  <c r="Q308" i="4"/>
  <c r="P308" i="4"/>
  <c r="O308" i="4"/>
  <c r="W308" i="4" s="1"/>
  <c r="N308" i="4"/>
  <c r="M308" i="4"/>
  <c r="L308" i="4"/>
  <c r="K308" i="4"/>
  <c r="J308" i="4"/>
  <c r="I308" i="4"/>
  <c r="H308" i="4"/>
  <c r="G308" i="4"/>
  <c r="F308" i="4"/>
  <c r="E308" i="4"/>
  <c r="U308" i="4" s="1"/>
  <c r="D308" i="4"/>
  <c r="C308" i="4"/>
  <c r="B308" i="4"/>
  <c r="A308" i="4"/>
  <c r="X307" i="4"/>
  <c r="T307" i="4"/>
  <c r="S307" i="4"/>
  <c r="W307" i="4" s="1"/>
  <c r="R307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U307" i="4" s="1"/>
  <c r="D307" i="4"/>
  <c r="C307" i="4"/>
  <c r="V307" i="4" s="1"/>
  <c r="B307" i="4"/>
  <c r="A307" i="4"/>
  <c r="X306" i="4"/>
  <c r="V306" i="4"/>
  <c r="T306" i="4"/>
  <c r="S306" i="4"/>
  <c r="R306" i="4"/>
  <c r="Q306" i="4"/>
  <c r="P306" i="4"/>
  <c r="O306" i="4"/>
  <c r="W306" i="4" s="1"/>
  <c r="N306" i="4"/>
  <c r="M306" i="4"/>
  <c r="L306" i="4"/>
  <c r="K306" i="4"/>
  <c r="J306" i="4"/>
  <c r="I306" i="4"/>
  <c r="H306" i="4"/>
  <c r="G306" i="4"/>
  <c r="F306" i="4"/>
  <c r="E306" i="4"/>
  <c r="U306" i="4" s="1"/>
  <c r="D306" i="4"/>
  <c r="C306" i="4"/>
  <c r="B306" i="4"/>
  <c r="A306" i="4"/>
  <c r="X305" i="4"/>
  <c r="W305" i="4"/>
  <c r="V305" i="4"/>
  <c r="T305" i="4"/>
  <c r="S305" i="4"/>
  <c r="R305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U305" i="4" s="1"/>
  <c r="D305" i="4"/>
  <c r="C305" i="4"/>
  <c r="B305" i="4"/>
  <c r="A305" i="4"/>
  <c r="X304" i="4"/>
  <c r="V304" i="4"/>
  <c r="T304" i="4"/>
  <c r="S304" i="4"/>
  <c r="R304" i="4"/>
  <c r="Q304" i="4"/>
  <c r="P304" i="4"/>
  <c r="O304" i="4"/>
  <c r="W304" i="4" s="1"/>
  <c r="N304" i="4"/>
  <c r="M304" i="4"/>
  <c r="L304" i="4"/>
  <c r="K304" i="4"/>
  <c r="J304" i="4"/>
  <c r="I304" i="4"/>
  <c r="H304" i="4"/>
  <c r="G304" i="4"/>
  <c r="F304" i="4"/>
  <c r="E304" i="4"/>
  <c r="U304" i="4" s="1"/>
  <c r="D304" i="4"/>
  <c r="C304" i="4"/>
  <c r="B304" i="4"/>
  <c r="A304" i="4"/>
  <c r="X303" i="4"/>
  <c r="W303" i="4"/>
  <c r="V303" i="4"/>
  <c r="T303" i="4"/>
  <c r="S303" i="4"/>
  <c r="R303" i="4"/>
  <c r="Q303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U303" i="4" s="1"/>
  <c r="D303" i="4"/>
  <c r="C303" i="4"/>
  <c r="B303" i="4"/>
  <c r="A303" i="4"/>
  <c r="X302" i="4"/>
  <c r="V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U302" i="4" s="1"/>
  <c r="D302" i="4"/>
  <c r="C302" i="4"/>
  <c r="B302" i="4"/>
  <c r="A302" i="4"/>
  <c r="X301" i="4"/>
  <c r="V301" i="4"/>
  <c r="T301" i="4"/>
  <c r="S301" i="4"/>
  <c r="W301" i="4" s="1"/>
  <c r="R301" i="4"/>
  <c r="Q301" i="4"/>
  <c r="P301" i="4"/>
  <c r="O301" i="4"/>
  <c r="N301" i="4"/>
  <c r="M301" i="4"/>
  <c r="L301" i="4"/>
  <c r="K301" i="4"/>
  <c r="J301" i="4"/>
  <c r="I301" i="4"/>
  <c r="H301" i="4"/>
  <c r="G301" i="4"/>
  <c r="F301" i="4"/>
  <c r="E301" i="4"/>
  <c r="U301" i="4" s="1"/>
  <c r="D301" i="4"/>
  <c r="C301" i="4"/>
  <c r="B301" i="4"/>
  <c r="A301" i="4"/>
  <c r="X300" i="4"/>
  <c r="V300" i="4"/>
  <c r="T300" i="4"/>
  <c r="S300" i="4"/>
  <c r="R300" i="4"/>
  <c r="Q300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U300" i="4" s="1"/>
  <c r="D300" i="4"/>
  <c r="C300" i="4"/>
  <c r="B300" i="4"/>
  <c r="A300" i="4"/>
  <c r="X299" i="4"/>
  <c r="T299" i="4"/>
  <c r="S299" i="4"/>
  <c r="W299" i="4" s="1"/>
  <c r="R299" i="4"/>
  <c r="Q299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U299" i="4" s="1"/>
  <c r="D299" i="4"/>
  <c r="C299" i="4"/>
  <c r="V299" i="4" s="1"/>
  <c r="B299" i="4"/>
  <c r="A299" i="4"/>
  <c r="X298" i="4"/>
  <c r="V298" i="4"/>
  <c r="T298" i="4"/>
  <c r="S298" i="4"/>
  <c r="R298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U298" i="4" s="1"/>
  <c r="D298" i="4"/>
  <c r="C298" i="4"/>
  <c r="B298" i="4"/>
  <c r="A298" i="4"/>
  <c r="X297" i="4"/>
  <c r="T297" i="4"/>
  <c r="S297" i="4"/>
  <c r="W297" i="4" s="1"/>
  <c r="R297" i="4"/>
  <c r="Q297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U297" i="4" s="1"/>
  <c r="D297" i="4"/>
  <c r="C297" i="4"/>
  <c r="V297" i="4" s="1"/>
  <c r="B297" i="4"/>
  <c r="A297" i="4"/>
  <c r="X296" i="4"/>
  <c r="V296" i="4"/>
  <c r="T296" i="4"/>
  <c r="S296" i="4"/>
  <c r="R296" i="4"/>
  <c r="Q296" i="4"/>
  <c r="P296" i="4"/>
  <c r="O296" i="4"/>
  <c r="W296" i="4" s="1"/>
  <c r="N296" i="4"/>
  <c r="M296" i="4"/>
  <c r="L296" i="4"/>
  <c r="K296" i="4"/>
  <c r="J296" i="4"/>
  <c r="I296" i="4"/>
  <c r="H296" i="4"/>
  <c r="G296" i="4"/>
  <c r="F296" i="4"/>
  <c r="E296" i="4"/>
  <c r="U296" i="4" s="1"/>
  <c r="D296" i="4"/>
  <c r="C296" i="4"/>
  <c r="B296" i="4"/>
  <c r="A296" i="4"/>
  <c r="X295" i="4"/>
  <c r="T295" i="4"/>
  <c r="S295" i="4"/>
  <c r="W295" i="4" s="1"/>
  <c r="R295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U295" i="4" s="1"/>
  <c r="D295" i="4"/>
  <c r="C295" i="4"/>
  <c r="V295" i="4" s="1"/>
  <c r="B295" i="4"/>
  <c r="A295" i="4"/>
  <c r="X294" i="4"/>
  <c r="V294" i="4"/>
  <c r="T294" i="4"/>
  <c r="S294" i="4"/>
  <c r="R294" i="4"/>
  <c r="Q294" i="4"/>
  <c r="P294" i="4"/>
  <c r="O294" i="4"/>
  <c r="W294" i="4" s="1"/>
  <c r="N294" i="4"/>
  <c r="M294" i="4"/>
  <c r="L294" i="4"/>
  <c r="K294" i="4"/>
  <c r="J294" i="4"/>
  <c r="I294" i="4"/>
  <c r="H294" i="4"/>
  <c r="G294" i="4"/>
  <c r="F294" i="4"/>
  <c r="E294" i="4"/>
  <c r="U294" i="4" s="1"/>
  <c r="D294" i="4"/>
  <c r="C294" i="4"/>
  <c r="B294" i="4"/>
  <c r="A294" i="4"/>
  <c r="X293" i="4"/>
  <c r="W293" i="4"/>
  <c r="V293" i="4"/>
  <c r="T293" i="4"/>
  <c r="S293" i="4"/>
  <c r="R293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U293" i="4" s="1"/>
  <c r="D293" i="4"/>
  <c r="C293" i="4"/>
  <c r="B293" i="4"/>
  <c r="A293" i="4"/>
  <c r="X292" i="4"/>
  <c r="V292" i="4"/>
  <c r="T292" i="4"/>
  <c r="S292" i="4"/>
  <c r="R292" i="4"/>
  <c r="Q292" i="4"/>
  <c r="P292" i="4"/>
  <c r="O292" i="4"/>
  <c r="W292" i="4" s="1"/>
  <c r="N292" i="4"/>
  <c r="M292" i="4"/>
  <c r="L292" i="4"/>
  <c r="K292" i="4"/>
  <c r="J292" i="4"/>
  <c r="I292" i="4"/>
  <c r="H292" i="4"/>
  <c r="G292" i="4"/>
  <c r="F292" i="4"/>
  <c r="E292" i="4"/>
  <c r="U292" i="4" s="1"/>
  <c r="D292" i="4"/>
  <c r="C292" i="4"/>
  <c r="B292" i="4"/>
  <c r="A292" i="4"/>
  <c r="X291" i="4"/>
  <c r="W291" i="4"/>
  <c r="V291" i="4"/>
  <c r="T291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U291" i="4" s="1"/>
  <c r="D291" i="4"/>
  <c r="C291" i="4"/>
  <c r="B291" i="4"/>
  <c r="A291" i="4"/>
  <c r="X290" i="4"/>
  <c r="V290" i="4"/>
  <c r="T290" i="4"/>
  <c r="S290" i="4"/>
  <c r="R290" i="4"/>
  <c r="Q290" i="4"/>
  <c r="P290" i="4"/>
  <c r="O290" i="4"/>
  <c r="W290" i="4" s="1"/>
  <c r="N290" i="4"/>
  <c r="M290" i="4"/>
  <c r="L290" i="4"/>
  <c r="K290" i="4"/>
  <c r="J290" i="4"/>
  <c r="I290" i="4"/>
  <c r="H290" i="4"/>
  <c r="G290" i="4"/>
  <c r="F290" i="4"/>
  <c r="E290" i="4"/>
  <c r="U290" i="4" s="1"/>
  <c r="D290" i="4"/>
  <c r="C290" i="4"/>
  <c r="B290" i="4"/>
  <c r="A290" i="4"/>
  <c r="X289" i="4"/>
  <c r="W289" i="4"/>
  <c r="V289" i="4"/>
  <c r="T289" i="4"/>
  <c r="S289" i="4"/>
  <c r="R289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U289" i="4" s="1"/>
  <c r="D289" i="4"/>
  <c r="C289" i="4"/>
  <c r="B289" i="4"/>
  <c r="A289" i="4"/>
  <c r="X288" i="4"/>
  <c r="V288" i="4"/>
  <c r="T288" i="4"/>
  <c r="S288" i="4"/>
  <c r="R288" i="4"/>
  <c r="Q288" i="4"/>
  <c r="P288" i="4"/>
  <c r="O288" i="4"/>
  <c r="W288" i="4" s="1"/>
  <c r="N288" i="4"/>
  <c r="M288" i="4"/>
  <c r="L288" i="4"/>
  <c r="K288" i="4"/>
  <c r="J288" i="4"/>
  <c r="I288" i="4"/>
  <c r="H288" i="4"/>
  <c r="G288" i="4"/>
  <c r="F288" i="4"/>
  <c r="E288" i="4"/>
  <c r="U288" i="4" s="1"/>
  <c r="D288" i="4"/>
  <c r="C288" i="4"/>
  <c r="B288" i="4"/>
  <c r="A288" i="4"/>
  <c r="X287" i="4"/>
  <c r="W287" i="4"/>
  <c r="V287" i="4"/>
  <c r="T287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U287" i="4" s="1"/>
  <c r="D287" i="4"/>
  <c r="C287" i="4"/>
  <c r="B287" i="4"/>
  <c r="A287" i="4"/>
  <c r="X286" i="4"/>
  <c r="V286" i="4"/>
  <c r="T286" i="4"/>
  <c r="S286" i="4"/>
  <c r="R286" i="4"/>
  <c r="Q286" i="4"/>
  <c r="P286" i="4"/>
  <c r="O286" i="4"/>
  <c r="W286" i="4" s="1"/>
  <c r="N286" i="4"/>
  <c r="M286" i="4"/>
  <c r="L286" i="4"/>
  <c r="K286" i="4"/>
  <c r="J286" i="4"/>
  <c r="I286" i="4"/>
  <c r="H286" i="4"/>
  <c r="G286" i="4"/>
  <c r="F286" i="4"/>
  <c r="E286" i="4"/>
  <c r="U286" i="4" s="1"/>
  <c r="D286" i="4"/>
  <c r="C286" i="4"/>
  <c r="B286" i="4"/>
  <c r="A286" i="4"/>
  <c r="X285" i="4"/>
  <c r="W285" i="4"/>
  <c r="V285" i="4"/>
  <c r="T285" i="4"/>
  <c r="S285" i="4"/>
  <c r="R285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U285" i="4" s="1"/>
  <c r="D285" i="4"/>
  <c r="C285" i="4"/>
  <c r="B285" i="4"/>
  <c r="A285" i="4"/>
  <c r="X284" i="4"/>
  <c r="V284" i="4"/>
  <c r="T284" i="4"/>
  <c r="S284" i="4"/>
  <c r="R284" i="4"/>
  <c r="Q284" i="4"/>
  <c r="P284" i="4"/>
  <c r="O284" i="4"/>
  <c r="W284" i="4" s="1"/>
  <c r="N284" i="4"/>
  <c r="M284" i="4"/>
  <c r="L284" i="4"/>
  <c r="K284" i="4"/>
  <c r="J284" i="4"/>
  <c r="I284" i="4"/>
  <c r="H284" i="4"/>
  <c r="G284" i="4"/>
  <c r="F284" i="4"/>
  <c r="E284" i="4"/>
  <c r="U284" i="4" s="1"/>
  <c r="D284" i="4"/>
  <c r="C284" i="4"/>
  <c r="B284" i="4"/>
  <c r="A284" i="4"/>
  <c r="X283" i="4"/>
  <c r="W283" i="4"/>
  <c r="V283" i="4"/>
  <c r="T283" i="4"/>
  <c r="S283" i="4"/>
  <c r="R283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U283" i="4" s="1"/>
  <c r="D283" i="4"/>
  <c r="C283" i="4"/>
  <c r="B283" i="4"/>
  <c r="A283" i="4"/>
  <c r="X282" i="4"/>
  <c r="V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U282" i="4" s="1"/>
  <c r="D282" i="4"/>
  <c r="C282" i="4"/>
  <c r="B282" i="4"/>
  <c r="A282" i="4"/>
  <c r="X281" i="4"/>
  <c r="T281" i="4"/>
  <c r="S281" i="4"/>
  <c r="W281" i="4" s="1"/>
  <c r="R281" i="4"/>
  <c r="Q281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U281" i="4" s="1"/>
  <c r="D281" i="4"/>
  <c r="C281" i="4"/>
  <c r="V281" i="4" s="1"/>
  <c r="B281" i="4"/>
  <c r="A281" i="4"/>
  <c r="X280" i="4"/>
  <c r="V280" i="4"/>
  <c r="T280" i="4"/>
  <c r="S280" i="4"/>
  <c r="R280" i="4"/>
  <c r="Q280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U280" i="4" s="1"/>
  <c r="D280" i="4"/>
  <c r="C280" i="4"/>
  <c r="B280" i="4"/>
  <c r="A280" i="4"/>
  <c r="X279" i="4"/>
  <c r="T279" i="4"/>
  <c r="S279" i="4"/>
  <c r="W279" i="4" s="1"/>
  <c r="R279" i="4"/>
  <c r="Q279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U279" i="4" s="1"/>
  <c r="D279" i="4"/>
  <c r="C279" i="4"/>
  <c r="V279" i="4" s="1"/>
  <c r="B279" i="4"/>
  <c r="A279" i="4"/>
  <c r="X278" i="4"/>
  <c r="V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U278" i="4" s="1"/>
  <c r="D278" i="4"/>
  <c r="C278" i="4"/>
  <c r="B278" i="4"/>
  <c r="A278" i="4"/>
  <c r="X277" i="4"/>
  <c r="W277" i="4"/>
  <c r="T277" i="4"/>
  <c r="S277" i="4"/>
  <c r="R277" i="4"/>
  <c r="Q277" i="4"/>
  <c r="P277" i="4"/>
  <c r="O277" i="4"/>
  <c r="N277" i="4"/>
  <c r="M277" i="4"/>
  <c r="L277" i="4"/>
  <c r="K277" i="4"/>
  <c r="J277" i="4"/>
  <c r="I277" i="4"/>
  <c r="H277" i="4"/>
  <c r="G277" i="4"/>
  <c r="F277" i="4"/>
  <c r="E277" i="4"/>
  <c r="U277" i="4" s="1"/>
  <c r="D277" i="4"/>
  <c r="C277" i="4"/>
  <c r="V277" i="4" s="1"/>
  <c r="B277" i="4"/>
  <c r="A277" i="4"/>
  <c r="X276" i="4"/>
  <c r="V276" i="4"/>
  <c r="T276" i="4"/>
  <c r="S276" i="4"/>
  <c r="R276" i="4"/>
  <c r="Q276" i="4"/>
  <c r="P276" i="4"/>
  <c r="O276" i="4"/>
  <c r="W276" i="4" s="1"/>
  <c r="N276" i="4"/>
  <c r="M276" i="4"/>
  <c r="L276" i="4"/>
  <c r="K276" i="4"/>
  <c r="J276" i="4"/>
  <c r="I276" i="4"/>
  <c r="H276" i="4"/>
  <c r="G276" i="4"/>
  <c r="F276" i="4"/>
  <c r="E276" i="4"/>
  <c r="U276" i="4" s="1"/>
  <c r="D276" i="4"/>
  <c r="C276" i="4"/>
  <c r="B276" i="4"/>
  <c r="A276" i="4"/>
  <c r="X275" i="4"/>
  <c r="T275" i="4"/>
  <c r="S275" i="4"/>
  <c r="W275" i="4" s="1"/>
  <c r="R275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U275" i="4" s="1"/>
  <c r="D275" i="4"/>
  <c r="C275" i="4"/>
  <c r="V275" i="4" s="1"/>
  <c r="B275" i="4"/>
  <c r="A275" i="4"/>
  <c r="X274" i="4"/>
  <c r="V274" i="4"/>
  <c r="T274" i="4"/>
  <c r="S274" i="4"/>
  <c r="R274" i="4"/>
  <c r="Q274" i="4"/>
  <c r="P274" i="4"/>
  <c r="O274" i="4"/>
  <c r="W274" i="4" s="1"/>
  <c r="N274" i="4"/>
  <c r="M274" i="4"/>
  <c r="L274" i="4"/>
  <c r="K274" i="4"/>
  <c r="J274" i="4"/>
  <c r="I274" i="4"/>
  <c r="H274" i="4"/>
  <c r="G274" i="4"/>
  <c r="F274" i="4"/>
  <c r="E274" i="4"/>
  <c r="U274" i="4" s="1"/>
  <c r="D274" i="4"/>
  <c r="C274" i="4"/>
  <c r="B274" i="4"/>
  <c r="A274" i="4"/>
  <c r="X273" i="4"/>
  <c r="W273" i="4"/>
  <c r="V273" i="4"/>
  <c r="T273" i="4"/>
  <c r="S273" i="4"/>
  <c r="R273" i="4"/>
  <c r="Q273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U273" i="4" s="1"/>
  <c r="D273" i="4"/>
  <c r="C273" i="4"/>
  <c r="B273" i="4"/>
  <c r="A273" i="4"/>
  <c r="X272" i="4"/>
  <c r="V272" i="4"/>
  <c r="T272" i="4"/>
  <c r="S272" i="4"/>
  <c r="R272" i="4"/>
  <c r="Q272" i="4"/>
  <c r="P272" i="4"/>
  <c r="O272" i="4"/>
  <c r="W272" i="4" s="1"/>
  <c r="N272" i="4"/>
  <c r="M272" i="4"/>
  <c r="L272" i="4"/>
  <c r="K272" i="4"/>
  <c r="J272" i="4"/>
  <c r="I272" i="4"/>
  <c r="H272" i="4"/>
  <c r="G272" i="4"/>
  <c r="F272" i="4"/>
  <c r="E272" i="4"/>
  <c r="U272" i="4" s="1"/>
  <c r="D272" i="4"/>
  <c r="C272" i="4"/>
  <c r="B272" i="4"/>
  <c r="A272" i="4"/>
  <c r="X271" i="4"/>
  <c r="W271" i="4"/>
  <c r="V271" i="4"/>
  <c r="T271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U271" i="4" s="1"/>
  <c r="D271" i="4"/>
  <c r="C271" i="4"/>
  <c r="B271" i="4"/>
  <c r="A271" i="4"/>
  <c r="X270" i="4"/>
  <c r="V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U270" i="4" s="1"/>
  <c r="D270" i="4"/>
  <c r="C270" i="4"/>
  <c r="B270" i="4"/>
  <c r="A270" i="4"/>
  <c r="X269" i="4"/>
  <c r="W269" i="4"/>
  <c r="V269" i="4"/>
  <c r="T269" i="4"/>
  <c r="S269" i="4"/>
  <c r="R269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U269" i="4" s="1"/>
  <c r="D269" i="4"/>
  <c r="C269" i="4"/>
  <c r="B269" i="4"/>
  <c r="A269" i="4"/>
  <c r="X268" i="4"/>
  <c r="V268" i="4"/>
  <c r="T268" i="4"/>
  <c r="S268" i="4"/>
  <c r="R268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U268" i="4" s="1"/>
  <c r="D268" i="4"/>
  <c r="C268" i="4"/>
  <c r="B268" i="4"/>
  <c r="A268" i="4"/>
  <c r="X267" i="4"/>
  <c r="T267" i="4"/>
  <c r="S267" i="4"/>
  <c r="W267" i="4" s="1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U267" i="4" s="1"/>
  <c r="D267" i="4"/>
  <c r="C267" i="4"/>
  <c r="V267" i="4" s="1"/>
  <c r="B267" i="4"/>
  <c r="A267" i="4"/>
  <c r="X266" i="4"/>
  <c r="V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U266" i="4" s="1"/>
  <c r="D266" i="4"/>
  <c r="C266" i="4"/>
  <c r="B266" i="4"/>
  <c r="A266" i="4"/>
  <c r="X265" i="4"/>
  <c r="T265" i="4"/>
  <c r="S265" i="4"/>
  <c r="W265" i="4" s="1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U265" i="4" s="1"/>
  <c r="D265" i="4"/>
  <c r="C265" i="4"/>
  <c r="V265" i="4" s="1"/>
  <c r="B265" i="4"/>
  <c r="A265" i="4"/>
  <c r="X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U264" i="4" s="1"/>
  <c r="D264" i="4"/>
  <c r="C264" i="4"/>
  <c r="V264" i="4" s="1"/>
  <c r="B264" i="4"/>
  <c r="A264" i="4"/>
  <c r="X263" i="4"/>
  <c r="T263" i="4"/>
  <c r="S263" i="4"/>
  <c r="W263" i="4" s="1"/>
  <c r="R263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U263" i="4" s="1"/>
  <c r="D263" i="4"/>
  <c r="C263" i="4"/>
  <c r="V263" i="4" s="1"/>
  <c r="B263" i="4"/>
  <c r="A263" i="4"/>
  <c r="X262" i="4"/>
  <c r="T262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U262" i="4" s="1"/>
  <c r="D262" i="4"/>
  <c r="C262" i="4"/>
  <c r="V262" i="4" s="1"/>
  <c r="B262" i="4"/>
  <c r="A262" i="4"/>
  <c r="X261" i="4"/>
  <c r="W261" i="4"/>
  <c r="V261" i="4"/>
  <c r="T261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U261" i="4" s="1"/>
  <c r="D261" i="4"/>
  <c r="C261" i="4"/>
  <c r="B261" i="4"/>
  <c r="A261" i="4"/>
  <c r="X260" i="4"/>
  <c r="T260" i="4"/>
  <c r="S260" i="4"/>
  <c r="R260" i="4"/>
  <c r="Q260" i="4"/>
  <c r="P260" i="4"/>
  <c r="O260" i="4"/>
  <c r="W260" i="4" s="1"/>
  <c r="N260" i="4"/>
  <c r="M260" i="4"/>
  <c r="L260" i="4"/>
  <c r="K260" i="4"/>
  <c r="J260" i="4"/>
  <c r="I260" i="4"/>
  <c r="H260" i="4"/>
  <c r="G260" i="4"/>
  <c r="F260" i="4"/>
  <c r="E260" i="4"/>
  <c r="U260" i="4" s="1"/>
  <c r="D260" i="4"/>
  <c r="C260" i="4"/>
  <c r="V260" i="4" s="1"/>
  <c r="B260" i="4"/>
  <c r="A260" i="4"/>
  <c r="X259" i="4"/>
  <c r="W259" i="4"/>
  <c r="V259" i="4"/>
  <c r="T259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U259" i="4" s="1"/>
  <c r="D259" i="4"/>
  <c r="C259" i="4"/>
  <c r="B259" i="4"/>
  <c r="A259" i="4"/>
  <c r="X258" i="4"/>
  <c r="V258" i="4"/>
  <c r="T258" i="4"/>
  <c r="S258" i="4"/>
  <c r="R258" i="4"/>
  <c r="Q258" i="4"/>
  <c r="P258" i="4"/>
  <c r="O258" i="4"/>
  <c r="W258" i="4" s="1"/>
  <c r="N258" i="4"/>
  <c r="M258" i="4"/>
  <c r="L258" i="4"/>
  <c r="K258" i="4"/>
  <c r="J258" i="4"/>
  <c r="I258" i="4"/>
  <c r="H258" i="4"/>
  <c r="G258" i="4"/>
  <c r="F258" i="4"/>
  <c r="E258" i="4"/>
  <c r="U258" i="4" s="1"/>
  <c r="D258" i="4"/>
  <c r="C258" i="4"/>
  <c r="B258" i="4"/>
  <c r="A258" i="4"/>
  <c r="X257" i="4"/>
  <c r="W257" i="4"/>
  <c r="V257" i="4"/>
  <c r="T257" i="4"/>
  <c r="S257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U257" i="4" s="1"/>
  <c r="D257" i="4"/>
  <c r="C257" i="4"/>
  <c r="B257" i="4"/>
  <c r="A257" i="4"/>
  <c r="X256" i="4"/>
  <c r="V256" i="4"/>
  <c r="T256" i="4"/>
  <c r="S256" i="4"/>
  <c r="R256" i="4"/>
  <c r="Q256" i="4"/>
  <c r="P256" i="4"/>
  <c r="O256" i="4"/>
  <c r="W256" i="4" s="1"/>
  <c r="N256" i="4"/>
  <c r="M256" i="4"/>
  <c r="L256" i="4"/>
  <c r="K256" i="4"/>
  <c r="J256" i="4"/>
  <c r="I256" i="4"/>
  <c r="H256" i="4"/>
  <c r="G256" i="4"/>
  <c r="F256" i="4"/>
  <c r="E256" i="4"/>
  <c r="U256" i="4" s="1"/>
  <c r="D256" i="4"/>
  <c r="C256" i="4"/>
  <c r="B256" i="4"/>
  <c r="A256" i="4"/>
  <c r="X255" i="4"/>
  <c r="W255" i="4"/>
  <c r="V255" i="4"/>
  <c r="T255" i="4"/>
  <c r="S255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U255" i="4" s="1"/>
  <c r="D255" i="4"/>
  <c r="C255" i="4"/>
  <c r="B255" i="4"/>
  <c r="A255" i="4"/>
  <c r="X254" i="4"/>
  <c r="V254" i="4"/>
  <c r="T254" i="4"/>
  <c r="S254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U254" i="4" s="1"/>
  <c r="D254" i="4"/>
  <c r="C254" i="4"/>
  <c r="B254" i="4"/>
  <c r="A254" i="4"/>
  <c r="X253" i="4"/>
  <c r="W253" i="4"/>
  <c r="V253" i="4"/>
  <c r="T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U253" i="4" s="1"/>
  <c r="D253" i="4"/>
  <c r="C253" i="4"/>
  <c r="B253" i="4"/>
  <c r="A253" i="4"/>
  <c r="X252" i="4"/>
  <c r="T252" i="4"/>
  <c r="S252" i="4"/>
  <c r="R252" i="4"/>
  <c r="Q252" i="4"/>
  <c r="P252" i="4"/>
  <c r="O252" i="4"/>
  <c r="W252" i="4" s="1"/>
  <c r="N252" i="4"/>
  <c r="M252" i="4"/>
  <c r="L252" i="4"/>
  <c r="K252" i="4"/>
  <c r="J252" i="4"/>
  <c r="I252" i="4"/>
  <c r="H252" i="4"/>
  <c r="G252" i="4"/>
  <c r="F252" i="4"/>
  <c r="E252" i="4"/>
  <c r="U252" i="4" s="1"/>
  <c r="D252" i="4"/>
  <c r="C252" i="4"/>
  <c r="V252" i="4" s="1"/>
  <c r="B252" i="4"/>
  <c r="A252" i="4"/>
  <c r="X251" i="4"/>
  <c r="W251" i="4"/>
  <c r="V251" i="4"/>
  <c r="T251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U251" i="4" s="1"/>
  <c r="D251" i="4"/>
  <c r="C251" i="4"/>
  <c r="B251" i="4"/>
  <c r="A251" i="4"/>
  <c r="X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U250" i="4" s="1"/>
  <c r="D250" i="4"/>
  <c r="C250" i="4"/>
  <c r="V250" i="4" s="1"/>
  <c r="B250" i="4"/>
  <c r="A250" i="4"/>
  <c r="X249" i="4"/>
  <c r="U249" i="4"/>
  <c r="T249" i="4"/>
  <c r="S249" i="4"/>
  <c r="W249" i="4" s="1"/>
  <c r="R249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V249" i="4" s="1"/>
  <c r="B249" i="4"/>
  <c r="A249" i="4"/>
  <c r="X248" i="4"/>
  <c r="T248" i="4"/>
  <c r="S248" i="4"/>
  <c r="R248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U248" i="4" s="1"/>
  <c r="D248" i="4"/>
  <c r="C248" i="4"/>
  <c r="V248" i="4" s="1"/>
  <c r="B248" i="4"/>
  <c r="A248" i="4"/>
  <c r="X247" i="4"/>
  <c r="T247" i="4"/>
  <c r="S247" i="4"/>
  <c r="W247" i="4" s="1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U247" i="4" s="1"/>
  <c r="D247" i="4"/>
  <c r="C247" i="4"/>
  <c r="V247" i="4" s="1"/>
  <c r="B247" i="4"/>
  <c r="A247" i="4"/>
  <c r="X246" i="4"/>
  <c r="V246" i="4"/>
  <c r="T246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U246" i="4" s="1"/>
  <c r="D246" i="4"/>
  <c r="C246" i="4"/>
  <c r="B246" i="4"/>
  <c r="A246" i="4"/>
  <c r="X245" i="4"/>
  <c r="T245" i="4"/>
  <c r="S245" i="4"/>
  <c r="W245" i="4" s="1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U245" i="4" s="1"/>
  <c r="D245" i="4"/>
  <c r="C245" i="4"/>
  <c r="V245" i="4" s="1"/>
  <c r="B245" i="4"/>
  <c r="A245" i="4"/>
  <c r="X244" i="4"/>
  <c r="V244" i="4"/>
  <c r="T244" i="4"/>
  <c r="S244" i="4"/>
  <c r="R244" i="4"/>
  <c r="Q244" i="4"/>
  <c r="P244" i="4"/>
  <c r="O244" i="4"/>
  <c r="W244" i="4" s="1"/>
  <c r="N244" i="4"/>
  <c r="M244" i="4"/>
  <c r="L244" i="4"/>
  <c r="K244" i="4"/>
  <c r="J244" i="4"/>
  <c r="I244" i="4"/>
  <c r="H244" i="4"/>
  <c r="G244" i="4"/>
  <c r="F244" i="4"/>
  <c r="E244" i="4"/>
  <c r="U244" i="4" s="1"/>
  <c r="D244" i="4"/>
  <c r="C244" i="4"/>
  <c r="B244" i="4"/>
  <c r="A244" i="4"/>
  <c r="X243" i="4"/>
  <c r="W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U243" i="4" s="1"/>
  <c r="D243" i="4"/>
  <c r="C243" i="4"/>
  <c r="V243" i="4" s="1"/>
  <c r="B243" i="4"/>
  <c r="A243" i="4"/>
  <c r="X242" i="4"/>
  <c r="V242" i="4"/>
  <c r="T242" i="4"/>
  <c r="S242" i="4"/>
  <c r="R242" i="4"/>
  <c r="Q242" i="4"/>
  <c r="P242" i="4"/>
  <c r="O242" i="4"/>
  <c r="W242" i="4" s="1"/>
  <c r="N242" i="4"/>
  <c r="M242" i="4"/>
  <c r="L242" i="4"/>
  <c r="K242" i="4"/>
  <c r="J242" i="4"/>
  <c r="I242" i="4"/>
  <c r="H242" i="4"/>
  <c r="G242" i="4"/>
  <c r="F242" i="4"/>
  <c r="E242" i="4"/>
  <c r="U242" i="4" s="1"/>
  <c r="D242" i="4"/>
  <c r="C242" i="4"/>
  <c r="B242" i="4"/>
  <c r="A242" i="4"/>
  <c r="X241" i="4"/>
  <c r="W241" i="4"/>
  <c r="V241" i="4"/>
  <c r="T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U241" i="4" s="1"/>
  <c r="D241" i="4"/>
  <c r="C241" i="4"/>
  <c r="B241" i="4"/>
  <c r="A241" i="4"/>
  <c r="X240" i="4"/>
  <c r="V240" i="4"/>
  <c r="T240" i="4"/>
  <c r="S240" i="4"/>
  <c r="R240" i="4"/>
  <c r="Q240" i="4"/>
  <c r="P240" i="4"/>
  <c r="O240" i="4"/>
  <c r="W240" i="4" s="1"/>
  <c r="N240" i="4"/>
  <c r="M240" i="4"/>
  <c r="L240" i="4"/>
  <c r="K240" i="4"/>
  <c r="J240" i="4"/>
  <c r="I240" i="4"/>
  <c r="H240" i="4"/>
  <c r="G240" i="4"/>
  <c r="F240" i="4"/>
  <c r="E240" i="4"/>
  <c r="U240" i="4" s="1"/>
  <c r="D240" i="4"/>
  <c r="C240" i="4"/>
  <c r="B240" i="4"/>
  <c r="A240" i="4"/>
  <c r="X239" i="4"/>
  <c r="W239" i="4"/>
  <c r="V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U239" i="4" s="1"/>
  <c r="D239" i="4"/>
  <c r="C239" i="4"/>
  <c r="B239" i="4"/>
  <c r="A239" i="4"/>
  <c r="X238" i="4"/>
  <c r="V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U238" i="4" s="1"/>
  <c r="D238" i="4"/>
  <c r="C238" i="4"/>
  <c r="B238" i="4"/>
  <c r="A238" i="4"/>
  <c r="X237" i="4"/>
  <c r="V237" i="4"/>
  <c r="T237" i="4"/>
  <c r="S237" i="4"/>
  <c r="W237" i="4" s="1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U237" i="4" s="1"/>
  <c r="D237" i="4"/>
  <c r="C237" i="4"/>
  <c r="B237" i="4"/>
  <c r="A237" i="4"/>
  <c r="X236" i="4"/>
  <c r="V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U236" i="4" s="1"/>
  <c r="D236" i="4"/>
  <c r="C236" i="4"/>
  <c r="B236" i="4"/>
  <c r="A236" i="4"/>
  <c r="X235" i="4"/>
  <c r="W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U235" i="4" s="1"/>
  <c r="D235" i="4"/>
  <c r="C235" i="4"/>
  <c r="V235" i="4" s="1"/>
  <c r="B235" i="4"/>
  <c r="A235" i="4"/>
  <c r="X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U234" i="4" s="1"/>
  <c r="D234" i="4"/>
  <c r="C234" i="4"/>
  <c r="V234" i="4" s="1"/>
  <c r="B234" i="4"/>
  <c r="A234" i="4"/>
  <c r="X233" i="4"/>
  <c r="T233" i="4"/>
  <c r="S233" i="4"/>
  <c r="W233" i="4" s="1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U233" i="4" s="1"/>
  <c r="D233" i="4"/>
  <c r="C233" i="4"/>
  <c r="V233" i="4" s="1"/>
  <c r="B233" i="4"/>
  <c r="A233" i="4"/>
  <c r="X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U232" i="4" s="1"/>
  <c r="D232" i="4"/>
  <c r="C232" i="4"/>
  <c r="V232" i="4" s="1"/>
  <c r="B232" i="4"/>
  <c r="A232" i="4"/>
  <c r="X231" i="4"/>
  <c r="T231" i="4"/>
  <c r="S231" i="4"/>
  <c r="W231" i="4" s="1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U231" i="4" s="1"/>
  <c r="D231" i="4"/>
  <c r="C231" i="4"/>
  <c r="V231" i="4" s="1"/>
  <c r="B231" i="4"/>
  <c r="A231" i="4"/>
  <c r="X230" i="4"/>
  <c r="T230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U230" i="4" s="1"/>
  <c r="D230" i="4"/>
  <c r="C230" i="4"/>
  <c r="V230" i="4" s="1"/>
  <c r="B230" i="4"/>
  <c r="A230" i="4"/>
  <c r="X229" i="4"/>
  <c r="W229" i="4"/>
  <c r="V229" i="4"/>
  <c r="T229" i="4"/>
  <c r="S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U229" i="4" s="1"/>
  <c r="D229" i="4"/>
  <c r="C229" i="4"/>
  <c r="B229" i="4"/>
  <c r="A229" i="4"/>
  <c r="X228" i="4"/>
  <c r="T228" i="4"/>
  <c r="S228" i="4"/>
  <c r="R228" i="4"/>
  <c r="Q228" i="4"/>
  <c r="P228" i="4"/>
  <c r="O228" i="4"/>
  <c r="W228" i="4" s="1"/>
  <c r="N228" i="4"/>
  <c r="M228" i="4"/>
  <c r="L228" i="4"/>
  <c r="K228" i="4"/>
  <c r="J228" i="4"/>
  <c r="I228" i="4"/>
  <c r="H228" i="4"/>
  <c r="G228" i="4"/>
  <c r="F228" i="4"/>
  <c r="E228" i="4"/>
  <c r="U228" i="4" s="1"/>
  <c r="D228" i="4"/>
  <c r="C228" i="4"/>
  <c r="V228" i="4" s="1"/>
  <c r="B228" i="4"/>
  <c r="A228" i="4"/>
  <c r="X227" i="4"/>
  <c r="V227" i="4"/>
  <c r="T227" i="4"/>
  <c r="S227" i="4"/>
  <c r="R227" i="4"/>
  <c r="Q227" i="4"/>
  <c r="P227" i="4"/>
  <c r="O227" i="4"/>
  <c r="W227" i="4" s="1"/>
  <c r="N227" i="4"/>
  <c r="M227" i="4"/>
  <c r="L227" i="4"/>
  <c r="K227" i="4"/>
  <c r="J227" i="4"/>
  <c r="I227" i="4"/>
  <c r="H227" i="4"/>
  <c r="G227" i="4"/>
  <c r="F227" i="4"/>
  <c r="E227" i="4"/>
  <c r="U227" i="4" s="1"/>
  <c r="D227" i="4"/>
  <c r="C227" i="4"/>
  <c r="B227" i="4"/>
  <c r="A227" i="4"/>
  <c r="X226" i="4"/>
  <c r="T226" i="4"/>
  <c r="S226" i="4"/>
  <c r="W226" i="4" s="1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U226" i="4" s="1"/>
  <c r="D226" i="4"/>
  <c r="C226" i="4"/>
  <c r="V226" i="4" s="1"/>
  <c r="B226" i="4"/>
  <c r="A226" i="4"/>
  <c r="X225" i="4"/>
  <c r="W225" i="4"/>
  <c r="V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U225" i="4" s="1"/>
  <c r="D225" i="4"/>
  <c r="C225" i="4"/>
  <c r="B225" i="4"/>
  <c r="A225" i="4"/>
  <c r="X224" i="4"/>
  <c r="T224" i="4"/>
  <c r="S224" i="4"/>
  <c r="R224" i="4"/>
  <c r="Q224" i="4"/>
  <c r="P224" i="4"/>
  <c r="O224" i="4"/>
  <c r="W224" i="4" s="1"/>
  <c r="N224" i="4"/>
  <c r="M224" i="4"/>
  <c r="L224" i="4"/>
  <c r="K224" i="4"/>
  <c r="J224" i="4"/>
  <c r="I224" i="4"/>
  <c r="H224" i="4"/>
  <c r="G224" i="4"/>
  <c r="F224" i="4"/>
  <c r="E224" i="4"/>
  <c r="U224" i="4" s="1"/>
  <c r="D224" i="4"/>
  <c r="C224" i="4"/>
  <c r="V224" i="4" s="1"/>
  <c r="B224" i="4"/>
  <c r="A224" i="4"/>
  <c r="X223" i="4"/>
  <c r="W223" i="4"/>
  <c r="V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U223" i="4" s="1"/>
  <c r="D223" i="4"/>
  <c r="C223" i="4"/>
  <c r="B223" i="4"/>
  <c r="A223" i="4"/>
  <c r="X222" i="4"/>
  <c r="T222" i="4"/>
  <c r="S222" i="4"/>
  <c r="R222" i="4"/>
  <c r="Q222" i="4"/>
  <c r="P222" i="4"/>
  <c r="O222" i="4"/>
  <c r="W222" i="4" s="1"/>
  <c r="N222" i="4"/>
  <c r="M222" i="4"/>
  <c r="L222" i="4"/>
  <c r="K222" i="4"/>
  <c r="J222" i="4"/>
  <c r="I222" i="4"/>
  <c r="H222" i="4"/>
  <c r="G222" i="4"/>
  <c r="F222" i="4"/>
  <c r="E222" i="4"/>
  <c r="U222" i="4" s="1"/>
  <c r="D222" i="4"/>
  <c r="C222" i="4"/>
  <c r="V222" i="4" s="1"/>
  <c r="B222" i="4"/>
  <c r="A222" i="4"/>
  <c r="X221" i="4"/>
  <c r="W221" i="4"/>
  <c r="V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U221" i="4" s="1"/>
  <c r="D221" i="4"/>
  <c r="C221" i="4"/>
  <c r="B221" i="4"/>
  <c r="A221" i="4"/>
  <c r="X220" i="4"/>
  <c r="W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U220" i="4" s="1"/>
  <c r="D220" i="4"/>
  <c r="C220" i="4"/>
  <c r="V220" i="4" s="1"/>
  <c r="B220" i="4"/>
  <c r="A220" i="4"/>
  <c r="X219" i="4"/>
  <c r="V219" i="4"/>
  <c r="T219" i="4"/>
  <c r="S219" i="4"/>
  <c r="R219" i="4"/>
  <c r="Q219" i="4"/>
  <c r="P219" i="4"/>
  <c r="O219" i="4"/>
  <c r="W219" i="4" s="1"/>
  <c r="N219" i="4"/>
  <c r="M219" i="4"/>
  <c r="L219" i="4"/>
  <c r="K219" i="4"/>
  <c r="J219" i="4"/>
  <c r="I219" i="4"/>
  <c r="H219" i="4"/>
  <c r="G219" i="4"/>
  <c r="F219" i="4"/>
  <c r="E219" i="4"/>
  <c r="U219" i="4" s="1"/>
  <c r="D219" i="4"/>
  <c r="C219" i="4"/>
  <c r="B219" i="4"/>
  <c r="A219" i="4"/>
  <c r="X218" i="4"/>
  <c r="W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U218" i="4" s="1"/>
  <c r="D218" i="4"/>
  <c r="C218" i="4"/>
  <c r="V218" i="4" s="1"/>
  <c r="B218" i="4"/>
  <c r="A218" i="4"/>
  <c r="X217" i="4"/>
  <c r="V217" i="4"/>
  <c r="T217" i="4"/>
  <c r="S217" i="4"/>
  <c r="R217" i="4"/>
  <c r="Q217" i="4"/>
  <c r="P217" i="4"/>
  <c r="O217" i="4"/>
  <c r="W217" i="4" s="1"/>
  <c r="N217" i="4"/>
  <c r="M217" i="4"/>
  <c r="L217" i="4"/>
  <c r="K217" i="4"/>
  <c r="J217" i="4"/>
  <c r="I217" i="4"/>
  <c r="H217" i="4"/>
  <c r="G217" i="4"/>
  <c r="F217" i="4"/>
  <c r="E217" i="4"/>
  <c r="U217" i="4" s="1"/>
  <c r="D217" i="4"/>
  <c r="C217" i="4"/>
  <c r="B217" i="4"/>
  <c r="A217" i="4"/>
  <c r="X216" i="4"/>
  <c r="T216" i="4"/>
  <c r="S216" i="4"/>
  <c r="W216" i="4" s="1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U216" i="4" s="1"/>
  <c r="D216" i="4"/>
  <c r="C216" i="4"/>
  <c r="V216" i="4" s="1"/>
  <c r="B216" i="4"/>
  <c r="A216" i="4"/>
  <c r="X215" i="4"/>
  <c r="V215" i="4"/>
  <c r="T215" i="4"/>
  <c r="S215" i="4"/>
  <c r="R215" i="4"/>
  <c r="Q215" i="4"/>
  <c r="P215" i="4"/>
  <c r="O215" i="4"/>
  <c r="W215" i="4" s="1"/>
  <c r="N215" i="4"/>
  <c r="M215" i="4"/>
  <c r="L215" i="4"/>
  <c r="K215" i="4"/>
  <c r="J215" i="4"/>
  <c r="I215" i="4"/>
  <c r="H215" i="4"/>
  <c r="G215" i="4"/>
  <c r="F215" i="4"/>
  <c r="E215" i="4"/>
  <c r="U215" i="4" s="1"/>
  <c r="D215" i="4"/>
  <c r="C215" i="4"/>
  <c r="B215" i="4"/>
  <c r="A215" i="4"/>
  <c r="X214" i="4"/>
  <c r="T214" i="4"/>
  <c r="S214" i="4"/>
  <c r="R214" i="4"/>
  <c r="Q214" i="4"/>
  <c r="P214" i="4"/>
  <c r="O214" i="4"/>
  <c r="W214" i="4" s="1"/>
  <c r="N214" i="4"/>
  <c r="M214" i="4"/>
  <c r="L214" i="4"/>
  <c r="K214" i="4"/>
  <c r="J214" i="4"/>
  <c r="I214" i="4"/>
  <c r="H214" i="4"/>
  <c r="G214" i="4"/>
  <c r="F214" i="4"/>
  <c r="E214" i="4"/>
  <c r="U214" i="4" s="1"/>
  <c r="D214" i="4"/>
  <c r="C214" i="4"/>
  <c r="V214" i="4" s="1"/>
  <c r="B214" i="4"/>
  <c r="A214" i="4"/>
  <c r="X213" i="4"/>
  <c r="W213" i="4"/>
  <c r="V213" i="4"/>
  <c r="T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U213" i="4" s="1"/>
  <c r="D213" i="4"/>
  <c r="C213" i="4"/>
  <c r="B213" i="4"/>
  <c r="A213" i="4"/>
  <c r="X212" i="4"/>
  <c r="T212" i="4"/>
  <c r="S212" i="4"/>
  <c r="R212" i="4"/>
  <c r="Q212" i="4"/>
  <c r="P212" i="4"/>
  <c r="O212" i="4"/>
  <c r="W212" i="4" s="1"/>
  <c r="N212" i="4"/>
  <c r="M212" i="4"/>
  <c r="L212" i="4"/>
  <c r="K212" i="4"/>
  <c r="J212" i="4"/>
  <c r="I212" i="4"/>
  <c r="H212" i="4"/>
  <c r="G212" i="4"/>
  <c r="F212" i="4"/>
  <c r="E212" i="4"/>
  <c r="U212" i="4" s="1"/>
  <c r="D212" i="4"/>
  <c r="C212" i="4"/>
  <c r="V212" i="4" s="1"/>
  <c r="B212" i="4"/>
  <c r="A212" i="4"/>
  <c r="X211" i="4"/>
  <c r="W211" i="4"/>
  <c r="V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U211" i="4" s="1"/>
  <c r="D211" i="4"/>
  <c r="C211" i="4"/>
  <c r="B211" i="4"/>
  <c r="A211" i="4"/>
  <c r="X210" i="4"/>
  <c r="W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U210" i="4" s="1"/>
  <c r="D210" i="4"/>
  <c r="C210" i="4"/>
  <c r="V210" i="4" s="1"/>
  <c r="B210" i="4"/>
  <c r="A210" i="4"/>
  <c r="X209" i="4"/>
  <c r="W209" i="4"/>
  <c r="V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U209" i="4" s="1"/>
  <c r="D209" i="4"/>
  <c r="C209" i="4"/>
  <c r="B209" i="4"/>
  <c r="A209" i="4"/>
  <c r="X208" i="4"/>
  <c r="T208" i="4"/>
  <c r="S208" i="4"/>
  <c r="R208" i="4"/>
  <c r="Q208" i="4"/>
  <c r="P208" i="4"/>
  <c r="O208" i="4"/>
  <c r="W208" i="4" s="1"/>
  <c r="N208" i="4"/>
  <c r="M208" i="4"/>
  <c r="L208" i="4"/>
  <c r="K208" i="4"/>
  <c r="J208" i="4"/>
  <c r="I208" i="4"/>
  <c r="H208" i="4"/>
  <c r="G208" i="4"/>
  <c r="F208" i="4"/>
  <c r="E208" i="4"/>
  <c r="U208" i="4" s="1"/>
  <c r="D208" i="4"/>
  <c r="C208" i="4"/>
  <c r="V208" i="4" s="1"/>
  <c r="B208" i="4"/>
  <c r="A208" i="4"/>
  <c r="X207" i="4"/>
  <c r="V207" i="4"/>
  <c r="T207" i="4"/>
  <c r="S207" i="4"/>
  <c r="R207" i="4"/>
  <c r="Q207" i="4"/>
  <c r="P207" i="4"/>
  <c r="O207" i="4"/>
  <c r="W207" i="4" s="1"/>
  <c r="N207" i="4"/>
  <c r="M207" i="4"/>
  <c r="L207" i="4"/>
  <c r="K207" i="4"/>
  <c r="J207" i="4"/>
  <c r="I207" i="4"/>
  <c r="H207" i="4"/>
  <c r="G207" i="4"/>
  <c r="F207" i="4"/>
  <c r="E207" i="4"/>
  <c r="U207" i="4" s="1"/>
  <c r="D207" i="4"/>
  <c r="C207" i="4"/>
  <c r="B207" i="4"/>
  <c r="A207" i="4"/>
  <c r="X206" i="4"/>
  <c r="T206" i="4"/>
  <c r="S206" i="4"/>
  <c r="W206" i="4" s="1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U206" i="4" s="1"/>
  <c r="D206" i="4"/>
  <c r="C206" i="4"/>
  <c r="V206" i="4" s="1"/>
  <c r="B206" i="4"/>
  <c r="A206" i="4"/>
  <c r="X205" i="4"/>
  <c r="V205" i="4"/>
  <c r="T205" i="4"/>
  <c r="S205" i="4"/>
  <c r="R205" i="4"/>
  <c r="Q205" i="4"/>
  <c r="P205" i="4"/>
  <c r="O205" i="4"/>
  <c r="W205" i="4" s="1"/>
  <c r="N205" i="4"/>
  <c r="M205" i="4"/>
  <c r="L205" i="4"/>
  <c r="K205" i="4"/>
  <c r="J205" i="4"/>
  <c r="I205" i="4"/>
  <c r="H205" i="4"/>
  <c r="G205" i="4"/>
  <c r="F205" i="4"/>
  <c r="E205" i="4"/>
  <c r="U205" i="4" s="1"/>
  <c r="D205" i="4"/>
  <c r="C205" i="4"/>
  <c r="B205" i="4"/>
  <c r="A205" i="4"/>
  <c r="X204" i="4"/>
  <c r="T204" i="4"/>
  <c r="S204" i="4"/>
  <c r="W204" i="4" s="1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U204" i="4" s="1"/>
  <c r="D204" i="4"/>
  <c r="C204" i="4"/>
  <c r="V204" i="4" s="1"/>
  <c r="B204" i="4"/>
  <c r="A204" i="4"/>
  <c r="X203" i="4"/>
  <c r="V203" i="4"/>
  <c r="T203" i="4"/>
  <c r="S203" i="4"/>
  <c r="R203" i="4"/>
  <c r="Q203" i="4"/>
  <c r="P203" i="4"/>
  <c r="O203" i="4"/>
  <c r="W203" i="4" s="1"/>
  <c r="N203" i="4"/>
  <c r="M203" i="4"/>
  <c r="L203" i="4"/>
  <c r="K203" i="4"/>
  <c r="J203" i="4"/>
  <c r="I203" i="4"/>
  <c r="H203" i="4"/>
  <c r="G203" i="4"/>
  <c r="F203" i="4"/>
  <c r="E203" i="4"/>
  <c r="U203" i="4" s="1"/>
  <c r="D203" i="4"/>
  <c r="C203" i="4"/>
  <c r="B203" i="4"/>
  <c r="A203" i="4"/>
  <c r="X202" i="4"/>
  <c r="T202" i="4"/>
  <c r="S202" i="4"/>
  <c r="R202" i="4"/>
  <c r="Q202" i="4"/>
  <c r="P202" i="4"/>
  <c r="O202" i="4"/>
  <c r="W202" i="4" s="1"/>
  <c r="N202" i="4"/>
  <c r="M202" i="4"/>
  <c r="L202" i="4"/>
  <c r="K202" i="4"/>
  <c r="J202" i="4"/>
  <c r="I202" i="4"/>
  <c r="H202" i="4"/>
  <c r="G202" i="4"/>
  <c r="F202" i="4"/>
  <c r="E202" i="4"/>
  <c r="U202" i="4" s="1"/>
  <c r="D202" i="4"/>
  <c r="C202" i="4"/>
  <c r="V202" i="4" s="1"/>
  <c r="B202" i="4"/>
  <c r="A202" i="4"/>
  <c r="X201" i="4"/>
  <c r="W201" i="4"/>
  <c r="V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U201" i="4" s="1"/>
  <c r="D201" i="4"/>
  <c r="C201" i="4"/>
  <c r="B201" i="4"/>
  <c r="A201" i="4"/>
  <c r="X200" i="4"/>
  <c r="T200" i="4"/>
  <c r="S200" i="4"/>
  <c r="R200" i="4"/>
  <c r="Q200" i="4"/>
  <c r="P200" i="4"/>
  <c r="O200" i="4"/>
  <c r="W200" i="4" s="1"/>
  <c r="N200" i="4"/>
  <c r="M200" i="4"/>
  <c r="L200" i="4"/>
  <c r="K200" i="4"/>
  <c r="J200" i="4"/>
  <c r="I200" i="4"/>
  <c r="H200" i="4"/>
  <c r="G200" i="4"/>
  <c r="F200" i="4"/>
  <c r="E200" i="4"/>
  <c r="U200" i="4" s="1"/>
  <c r="D200" i="4"/>
  <c r="C200" i="4"/>
  <c r="V200" i="4" s="1"/>
  <c r="B200" i="4"/>
  <c r="A200" i="4"/>
  <c r="X199" i="4"/>
  <c r="V199" i="4"/>
  <c r="T199" i="4"/>
  <c r="S199" i="4"/>
  <c r="R199" i="4"/>
  <c r="Q199" i="4"/>
  <c r="P199" i="4"/>
  <c r="O199" i="4"/>
  <c r="W199" i="4" s="1"/>
  <c r="N199" i="4"/>
  <c r="M199" i="4"/>
  <c r="L199" i="4"/>
  <c r="K199" i="4"/>
  <c r="J199" i="4"/>
  <c r="I199" i="4"/>
  <c r="H199" i="4"/>
  <c r="G199" i="4"/>
  <c r="F199" i="4"/>
  <c r="E199" i="4"/>
  <c r="U199" i="4" s="1"/>
  <c r="D199" i="4"/>
  <c r="C199" i="4"/>
  <c r="B199" i="4"/>
  <c r="A199" i="4"/>
  <c r="X198" i="4"/>
  <c r="T198" i="4"/>
  <c r="S198" i="4"/>
  <c r="R198" i="4"/>
  <c r="Q198" i="4"/>
  <c r="P198" i="4"/>
  <c r="O198" i="4"/>
  <c r="W198" i="4" s="1"/>
  <c r="N198" i="4"/>
  <c r="M198" i="4"/>
  <c r="L198" i="4"/>
  <c r="K198" i="4"/>
  <c r="J198" i="4"/>
  <c r="I198" i="4"/>
  <c r="H198" i="4"/>
  <c r="G198" i="4"/>
  <c r="F198" i="4"/>
  <c r="E198" i="4"/>
  <c r="U198" i="4" s="1"/>
  <c r="D198" i="4"/>
  <c r="C198" i="4"/>
  <c r="V198" i="4" s="1"/>
  <c r="B198" i="4"/>
  <c r="A198" i="4"/>
  <c r="X197" i="4"/>
  <c r="V197" i="4"/>
  <c r="T197" i="4"/>
  <c r="S197" i="4"/>
  <c r="R197" i="4"/>
  <c r="Q197" i="4"/>
  <c r="P197" i="4"/>
  <c r="O197" i="4"/>
  <c r="W197" i="4" s="1"/>
  <c r="N197" i="4"/>
  <c r="M197" i="4"/>
  <c r="L197" i="4"/>
  <c r="K197" i="4"/>
  <c r="J197" i="4"/>
  <c r="I197" i="4"/>
  <c r="H197" i="4"/>
  <c r="G197" i="4"/>
  <c r="F197" i="4"/>
  <c r="E197" i="4"/>
  <c r="U197" i="4" s="1"/>
  <c r="D197" i="4"/>
  <c r="C197" i="4"/>
  <c r="B197" i="4"/>
  <c r="A197" i="4"/>
  <c r="X196" i="4"/>
  <c r="W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U196" i="4" s="1"/>
  <c r="D196" i="4"/>
  <c r="C196" i="4"/>
  <c r="V196" i="4" s="1"/>
  <c r="B196" i="4"/>
  <c r="A196" i="4"/>
  <c r="X195" i="4"/>
  <c r="V195" i="4"/>
  <c r="T195" i="4"/>
  <c r="S195" i="4"/>
  <c r="R195" i="4"/>
  <c r="Q195" i="4"/>
  <c r="P195" i="4"/>
  <c r="O195" i="4"/>
  <c r="W195" i="4" s="1"/>
  <c r="N195" i="4"/>
  <c r="M195" i="4"/>
  <c r="L195" i="4"/>
  <c r="K195" i="4"/>
  <c r="J195" i="4"/>
  <c r="I195" i="4"/>
  <c r="H195" i="4"/>
  <c r="G195" i="4"/>
  <c r="F195" i="4"/>
  <c r="E195" i="4"/>
  <c r="U195" i="4" s="1"/>
  <c r="D195" i="4"/>
  <c r="C195" i="4"/>
  <c r="B195" i="4"/>
  <c r="A195" i="4"/>
  <c r="X194" i="4"/>
  <c r="T194" i="4"/>
  <c r="S194" i="4"/>
  <c r="W194" i="4" s="1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U194" i="4" s="1"/>
  <c r="D194" i="4"/>
  <c r="C194" i="4"/>
  <c r="V194" i="4" s="1"/>
  <c r="B194" i="4"/>
  <c r="A194" i="4"/>
  <c r="X193" i="4"/>
  <c r="W193" i="4"/>
  <c r="V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U193" i="4" s="1"/>
  <c r="D193" i="4"/>
  <c r="C193" i="4"/>
  <c r="B193" i="4"/>
  <c r="A193" i="4"/>
  <c r="X192" i="4"/>
  <c r="T192" i="4"/>
  <c r="S192" i="4"/>
  <c r="R192" i="4"/>
  <c r="Q192" i="4"/>
  <c r="P192" i="4"/>
  <c r="O192" i="4"/>
  <c r="W192" i="4" s="1"/>
  <c r="N192" i="4"/>
  <c r="M192" i="4"/>
  <c r="L192" i="4"/>
  <c r="K192" i="4"/>
  <c r="J192" i="4"/>
  <c r="I192" i="4"/>
  <c r="H192" i="4"/>
  <c r="G192" i="4"/>
  <c r="F192" i="4"/>
  <c r="E192" i="4"/>
  <c r="U192" i="4" s="1"/>
  <c r="D192" i="4"/>
  <c r="C192" i="4"/>
  <c r="V192" i="4" s="1"/>
  <c r="B192" i="4"/>
  <c r="A192" i="4"/>
  <c r="X191" i="4"/>
  <c r="W191" i="4"/>
  <c r="V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U191" i="4" s="1"/>
  <c r="D191" i="4"/>
  <c r="C191" i="4"/>
  <c r="B191" i="4"/>
  <c r="A191" i="4"/>
  <c r="X190" i="4"/>
  <c r="T190" i="4"/>
  <c r="S190" i="4"/>
  <c r="R190" i="4"/>
  <c r="Q190" i="4"/>
  <c r="P190" i="4"/>
  <c r="O190" i="4"/>
  <c r="W190" i="4" s="1"/>
  <c r="N190" i="4"/>
  <c r="M190" i="4"/>
  <c r="L190" i="4"/>
  <c r="K190" i="4"/>
  <c r="J190" i="4"/>
  <c r="I190" i="4"/>
  <c r="H190" i="4"/>
  <c r="G190" i="4"/>
  <c r="F190" i="4"/>
  <c r="E190" i="4"/>
  <c r="U190" i="4" s="1"/>
  <c r="D190" i="4"/>
  <c r="C190" i="4"/>
  <c r="V190" i="4" s="1"/>
  <c r="B190" i="4"/>
  <c r="A190" i="4"/>
  <c r="X189" i="4"/>
  <c r="W189" i="4"/>
  <c r="V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U189" i="4" s="1"/>
  <c r="D189" i="4"/>
  <c r="C189" i="4"/>
  <c r="B189" i="4"/>
  <c r="A189" i="4"/>
  <c r="X188" i="4"/>
  <c r="W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U188" i="4" s="1"/>
  <c r="D188" i="4"/>
  <c r="C188" i="4"/>
  <c r="V188" i="4" s="1"/>
  <c r="B188" i="4"/>
  <c r="A188" i="4"/>
  <c r="X187" i="4"/>
  <c r="V187" i="4"/>
  <c r="T187" i="4"/>
  <c r="S187" i="4"/>
  <c r="R187" i="4"/>
  <c r="Q187" i="4"/>
  <c r="P187" i="4"/>
  <c r="O187" i="4"/>
  <c r="W187" i="4" s="1"/>
  <c r="N187" i="4"/>
  <c r="M187" i="4"/>
  <c r="L187" i="4"/>
  <c r="K187" i="4"/>
  <c r="J187" i="4"/>
  <c r="I187" i="4"/>
  <c r="H187" i="4"/>
  <c r="G187" i="4"/>
  <c r="F187" i="4"/>
  <c r="E187" i="4"/>
  <c r="U187" i="4" s="1"/>
  <c r="D187" i="4"/>
  <c r="C187" i="4"/>
  <c r="B187" i="4"/>
  <c r="A187" i="4"/>
  <c r="X186" i="4"/>
  <c r="W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U186" i="4" s="1"/>
  <c r="D186" i="4"/>
  <c r="C186" i="4"/>
  <c r="V186" i="4" s="1"/>
  <c r="B186" i="4"/>
  <c r="A186" i="4"/>
  <c r="X185" i="4"/>
  <c r="V185" i="4"/>
  <c r="T185" i="4"/>
  <c r="S185" i="4"/>
  <c r="R185" i="4"/>
  <c r="Q185" i="4"/>
  <c r="P185" i="4"/>
  <c r="O185" i="4"/>
  <c r="W185" i="4" s="1"/>
  <c r="N185" i="4"/>
  <c r="M185" i="4"/>
  <c r="L185" i="4"/>
  <c r="K185" i="4"/>
  <c r="J185" i="4"/>
  <c r="I185" i="4"/>
  <c r="H185" i="4"/>
  <c r="G185" i="4"/>
  <c r="F185" i="4"/>
  <c r="E185" i="4"/>
  <c r="U185" i="4" s="1"/>
  <c r="D185" i="4"/>
  <c r="C185" i="4"/>
  <c r="B185" i="4"/>
  <c r="A185" i="4"/>
  <c r="X184" i="4"/>
  <c r="T184" i="4"/>
  <c r="S184" i="4"/>
  <c r="W184" i="4" s="1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U184" i="4" s="1"/>
  <c r="D184" i="4"/>
  <c r="C184" i="4"/>
  <c r="V184" i="4" s="1"/>
  <c r="B184" i="4"/>
  <c r="A184" i="4"/>
  <c r="X183" i="4"/>
  <c r="V183" i="4"/>
  <c r="T183" i="4"/>
  <c r="S183" i="4"/>
  <c r="R183" i="4"/>
  <c r="Q183" i="4"/>
  <c r="P183" i="4"/>
  <c r="O183" i="4"/>
  <c r="W183" i="4" s="1"/>
  <c r="N183" i="4"/>
  <c r="M183" i="4"/>
  <c r="L183" i="4"/>
  <c r="K183" i="4"/>
  <c r="J183" i="4"/>
  <c r="I183" i="4"/>
  <c r="H183" i="4"/>
  <c r="G183" i="4"/>
  <c r="F183" i="4"/>
  <c r="E183" i="4"/>
  <c r="U183" i="4" s="1"/>
  <c r="D183" i="4"/>
  <c r="C183" i="4"/>
  <c r="B183" i="4"/>
  <c r="A183" i="4"/>
  <c r="X182" i="4"/>
  <c r="T182" i="4"/>
  <c r="S182" i="4"/>
  <c r="R182" i="4"/>
  <c r="Q182" i="4"/>
  <c r="P182" i="4"/>
  <c r="O182" i="4"/>
  <c r="W182" i="4" s="1"/>
  <c r="N182" i="4"/>
  <c r="M182" i="4"/>
  <c r="L182" i="4"/>
  <c r="K182" i="4"/>
  <c r="J182" i="4"/>
  <c r="I182" i="4"/>
  <c r="H182" i="4"/>
  <c r="G182" i="4"/>
  <c r="F182" i="4"/>
  <c r="E182" i="4"/>
  <c r="U182" i="4" s="1"/>
  <c r="D182" i="4"/>
  <c r="C182" i="4"/>
  <c r="V182" i="4" s="1"/>
  <c r="B182" i="4"/>
  <c r="A182" i="4"/>
  <c r="X181" i="4"/>
  <c r="W181" i="4"/>
  <c r="V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U181" i="4" s="1"/>
  <c r="D181" i="4"/>
  <c r="C181" i="4"/>
  <c r="B181" i="4"/>
  <c r="A181" i="4"/>
  <c r="X180" i="4"/>
  <c r="T180" i="4"/>
  <c r="S180" i="4"/>
  <c r="R180" i="4"/>
  <c r="Q180" i="4"/>
  <c r="P180" i="4"/>
  <c r="O180" i="4"/>
  <c r="W180" i="4" s="1"/>
  <c r="N180" i="4"/>
  <c r="M180" i="4"/>
  <c r="L180" i="4"/>
  <c r="K180" i="4"/>
  <c r="J180" i="4"/>
  <c r="I180" i="4"/>
  <c r="H180" i="4"/>
  <c r="G180" i="4"/>
  <c r="F180" i="4"/>
  <c r="E180" i="4"/>
  <c r="U180" i="4" s="1"/>
  <c r="D180" i="4"/>
  <c r="C180" i="4"/>
  <c r="V180" i="4" s="1"/>
  <c r="B180" i="4"/>
  <c r="A180" i="4"/>
  <c r="X179" i="4"/>
  <c r="W179" i="4"/>
  <c r="V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U179" i="4" s="1"/>
  <c r="D179" i="4"/>
  <c r="C179" i="4"/>
  <c r="B179" i="4"/>
  <c r="A179" i="4"/>
  <c r="X178" i="4"/>
  <c r="T178" i="4"/>
  <c r="S178" i="4"/>
  <c r="W178" i="4" s="1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U178" i="4" s="1"/>
  <c r="D178" i="4"/>
  <c r="C178" i="4"/>
  <c r="V178" i="4" s="1"/>
  <c r="B178" i="4"/>
  <c r="A178" i="4"/>
  <c r="X177" i="4"/>
  <c r="W177" i="4"/>
  <c r="V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U177" i="4" s="1"/>
  <c r="D177" i="4"/>
  <c r="C177" i="4"/>
  <c r="B177" i="4"/>
  <c r="A177" i="4"/>
  <c r="X176" i="4"/>
  <c r="T176" i="4"/>
  <c r="S176" i="4"/>
  <c r="R176" i="4"/>
  <c r="Q176" i="4"/>
  <c r="P176" i="4"/>
  <c r="O176" i="4"/>
  <c r="W176" i="4" s="1"/>
  <c r="N176" i="4"/>
  <c r="M176" i="4"/>
  <c r="L176" i="4"/>
  <c r="K176" i="4"/>
  <c r="J176" i="4"/>
  <c r="I176" i="4"/>
  <c r="H176" i="4"/>
  <c r="G176" i="4"/>
  <c r="F176" i="4"/>
  <c r="E176" i="4"/>
  <c r="U176" i="4" s="1"/>
  <c r="D176" i="4"/>
  <c r="C176" i="4"/>
  <c r="V176" i="4" s="1"/>
  <c r="B176" i="4"/>
  <c r="A176" i="4"/>
  <c r="X175" i="4"/>
  <c r="V175" i="4"/>
  <c r="T175" i="4"/>
  <c r="S175" i="4"/>
  <c r="R175" i="4"/>
  <c r="Q175" i="4"/>
  <c r="P175" i="4"/>
  <c r="O175" i="4"/>
  <c r="W175" i="4" s="1"/>
  <c r="N175" i="4"/>
  <c r="M175" i="4"/>
  <c r="L175" i="4"/>
  <c r="K175" i="4"/>
  <c r="J175" i="4"/>
  <c r="I175" i="4"/>
  <c r="H175" i="4"/>
  <c r="G175" i="4"/>
  <c r="F175" i="4"/>
  <c r="E175" i="4"/>
  <c r="U175" i="4" s="1"/>
  <c r="D175" i="4"/>
  <c r="C175" i="4"/>
  <c r="B175" i="4"/>
  <c r="A175" i="4"/>
  <c r="X174" i="4"/>
  <c r="T174" i="4"/>
  <c r="S174" i="4"/>
  <c r="W174" i="4" s="1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U174" i="4" s="1"/>
  <c r="D174" i="4"/>
  <c r="C174" i="4"/>
  <c r="V174" i="4" s="1"/>
  <c r="B174" i="4"/>
  <c r="A174" i="4"/>
  <c r="X173" i="4"/>
  <c r="V173" i="4"/>
  <c r="T173" i="4"/>
  <c r="S173" i="4"/>
  <c r="R173" i="4"/>
  <c r="Q173" i="4"/>
  <c r="P173" i="4"/>
  <c r="O173" i="4"/>
  <c r="W173" i="4" s="1"/>
  <c r="N173" i="4"/>
  <c r="M173" i="4"/>
  <c r="L173" i="4"/>
  <c r="K173" i="4"/>
  <c r="J173" i="4"/>
  <c r="I173" i="4"/>
  <c r="H173" i="4"/>
  <c r="G173" i="4"/>
  <c r="F173" i="4"/>
  <c r="E173" i="4"/>
  <c r="U173" i="4" s="1"/>
  <c r="D173" i="4"/>
  <c r="C173" i="4"/>
  <c r="B173" i="4"/>
  <c r="A173" i="4"/>
  <c r="X172" i="4"/>
  <c r="T172" i="4"/>
  <c r="S172" i="4"/>
  <c r="W172" i="4" s="1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U172" i="4" s="1"/>
  <c r="D172" i="4"/>
  <c r="C172" i="4"/>
  <c r="V172" i="4" s="1"/>
  <c r="B172" i="4"/>
  <c r="A172" i="4"/>
  <c r="X171" i="4"/>
  <c r="V171" i="4"/>
  <c r="T171" i="4"/>
  <c r="S171" i="4"/>
  <c r="R171" i="4"/>
  <c r="Q171" i="4"/>
  <c r="P171" i="4"/>
  <c r="O171" i="4"/>
  <c r="W171" i="4" s="1"/>
  <c r="N171" i="4"/>
  <c r="M171" i="4"/>
  <c r="L171" i="4"/>
  <c r="K171" i="4"/>
  <c r="J171" i="4"/>
  <c r="I171" i="4"/>
  <c r="H171" i="4"/>
  <c r="G171" i="4"/>
  <c r="F171" i="4"/>
  <c r="E171" i="4"/>
  <c r="U171" i="4" s="1"/>
  <c r="D171" i="4"/>
  <c r="C171" i="4"/>
  <c r="B171" i="4"/>
  <c r="A171" i="4"/>
  <c r="X170" i="4"/>
  <c r="T170" i="4"/>
  <c r="S170" i="4"/>
  <c r="R170" i="4"/>
  <c r="Q170" i="4"/>
  <c r="P170" i="4"/>
  <c r="O170" i="4"/>
  <c r="W170" i="4" s="1"/>
  <c r="N170" i="4"/>
  <c r="M170" i="4"/>
  <c r="L170" i="4"/>
  <c r="K170" i="4"/>
  <c r="J170" i="4"/>
  <c r="I170" i="4"/>
  <c r="H170" i="4"/>
  <c r="G170" i="4"/>
  <c r="F170" i="4"/>
  <c r="E170" i="4"/>
  <c r="U170" i="4" s="1"/>
  <c r="D170" i="4"/>
  <c r="C170" i="4"/>
  <c r="V170" i="4" s="1"/>
  <c r="B170" i="4"/>
  <c r="A170" i="4"/>
  <c r="X169" i="4"/>
  <c r="W169" i="4"/>
  <c r="V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U169" i="4" s="1"/>
  <c r="D169" i="4"/>
  <c r="C169" i="4"/>
  <c r="B169" i="4"/>
  <c r="A169" i="4"/>
  <c r="X168" i="4"/>
  <c r="T168" i="4"/>
  <c r="S168" i="4"/>
  <c r="R168" i="4"/>
  <c r="Q168" i="4"/>
  <c r="P168" i="4"/>
  <c r="O168" i="4"/>
  <c r="W168" i="4" s="1"/>
  <c r="N168" i="4"/>
  <c r="M168" i="4"/>
  <c r="L168" i="4"/>
  <c r="K168" i="4"/>
  <c r="J168" i="4"/>
  <c r="I168" i="4"/>
  <c r="H168" i="4"/>
  <c r="G168" i="4"/>
  <c r="F168" i="4"/>
  <c r="E168" i="4"/>
  <c r="U168" i="4" s="1"/>
  <c r="D168" i="4"/>
  <c r="C168" i="4"/>
  <c r="V168" i="4" s="1"/>
  <c r="B168" i="4"/>
  <c r="A168" i="4"/>
  <c r="X167" i="4"/>
  <c r="V167" i="4"/>
  <c r="T167" i="4"/>
  <c r="S167" i="4"/>
  <c r="R167" i="4"/>
  <c r="Q167" i="4"/>
  <c r="P167" i="4"/>
  <c r="O167" i="4"/>
  <c r="W167" i="4" s="1"/>
  <c r="N167" i="4"/>
  <c r="M167" i="4"/>
  <c r="L167" i="4"/>
  <c r="K167" i="4"/>
  <c r="J167" i="4"/>
  <c r="I167" i="4"/>
  <c r="H167" i="4"/>
  <c r="G167" i="4"/>
  <c r="F167" i="4"/>
  <c r="E167" i="4"/>
  <c r="U167" i="4" s="1"/>
  <c r="D167" i="4"/>
  <c r="C167" i="4"/>
  <c r="B167" i="4"/>
  <c r="A167" i="4"/>
  <c r="X166" i="4"/>
  <c r="T166" i="4"/>
  <c r="S166" i="4"/>
  <c r="R166" i="4"/>
  <c r="Q166" i="4"/>
  <c r="P166" i="4"/>
  <c r="O166" i="4"/>
  <c r="W166" i="4" s="1"/>
  <c r="N166" i="4"/>
  <c r="M166" i="4"/>
  <c r="L166" i="4"/>
  <c r="K166" i="4"/>
  <c r="J166" i="4"/>
  <c r="I166" i="4"/>
  <c r="H166" i="4"/>
  <c r="G166" i="4"/>
  <c r="F166" i="4"/>
  <c r="E166" i="4"/>
  <c r="U166" i="4" s="1"/>
  <c r="D166" i="4"/>
  <c r="C166" i="4"/>
  <c r="V166" i="4" s="1"/>
  <c r="B166" i="4"/>
  <c r="A166" i="4"/>
  <c r="X165" i="4"/>
  <c r="V165" i="4"/>
  <c r="T165" i="4"/>
  <c r="S165" i="4"/>
  <c r="R165" i="4"/>
  <c r="Q165" i="4"/>
  <c r="P165" i="4"/>
  <c r="O165" i="4"/>
  <c r="W165" i="4" s="1"/>
  <c r="N165" i="4"/>
  <c r="M165" i="4"/>
  <c r="L165" i="4"/>
  <c r="K165" i="4"/>
  <c r="J165" i="4"/>
  <c r="I165" i="4"/>
  <c r="H165" i="4"/>
  <c r="G165" i="4"/>
  <c r="F165" i="4"/>
  <c r="E165" i="4"/>
  <c r="U165" i="4" s="1"/>
  <c r="D165" i="4"/>
  <c r="C165" i="4"/>
  <c r="B165" i="4"/>
  <c r="A165" i="4"/>
  <c r="X164" i="4"/>
  <c r="W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U164" i="4" s="1"/>
  <c r="D164" i="4"/>
  <c r="C164" i="4"/>
  <c r="V164" i="4" s="1"/>
  <c r="B164" i="4"/>
  <c r="A164" i="4"/>
  <c r="X163" i="4"/>
  <c r="V163" i="4"/>
  <c r="T163" i="4"/>
  <c r="S163" i="4"/>
  <c r="R163" i="4"/>
  <c r="Q163" i="4"/>
  <c r="P163" i="4"/>
  <c r="O163" i="4"/>
  <c r="W163" i="4" s="1"/>
  <c r="N163" i="4"/>
  <c r="M163" i="4"/>
  <c r="L163" i="4"/>
  <c r="K163" i="4"/>
  <c r="J163" i="4"/>
  <c r="I163" i="4"/>
  <c r="H163" i="4"/>
  <c r="G163" i="4"/>
  <c r="F163" i="4"/>
  <c r="E163" i="4"/>
  <c r="U163" i="4" s="1"/>
  <c r="D163" i="4"/>
  <c r="C163" i="4"/>
  <c r="B163" i="4"/>
  <c r="A163" i="4"/>
  <c r="X162" i="4"/>
  <c r="T162" i="4"/>
  <c r="S162" i="4"/>
  <c r="W162" i="4" s="1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U162" i="4" s="1"/>
  <c r="D162" i="4"/>
  <c r="C162" i="4"/>
  <c r="V162" i="4" s="1"/>
  <c r="B162" i="4"/>
  <c r="A162" i="4"/>
  <c r="X161" i="4"/>
  <c r="W161" i="4"/>
  <c r="V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U161" i="4" s="1"/>
  <c r="D161" i="4"/>
  <c r="C161" i="4"/>
  <c r="B161" i="4"/>
  <c r="A161" i="4"/>
  <c r="X160" i="4"/>
  <c r="T160" i="4"/>
  <c r="S160" i="4"/>
  <c r="R160" i="4"/>
  <c r="Q160" i="4"/>
  <c r="P160" i="4"/>
  <c r="O160" i="4"/>
  <c r="W160" i="4" s="1"/>
  <c r="N160" i="4"/>
  <c r="M160" i="4"/>
  <c r="L160" i="4"/>
  <c r="K160" i="4"/>
  <c r="J160" i="4"/>
  <c r="I160" i="4"/>
  <c r="H160" i="4"/>
  <c r="G160" i="4"/>
  <c r="F160" i="4"/>
  <c r="E160" i="4"/>
  <c r="U160" i="4" s="1"/>
  <c r="D160" i="4"/>
  <c r="C160" i="4"/>
  <c r="V160" i="4" s="1"/>
  <c r="B160" i="4"/>
  <c r="A160" i="4"/>
  <c r="X159" i="4"/>
  <c r="W159" i="4"/>
  <c r="V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U159" i="4" s="1"/>
  <c r="D159" i="4"/>
  <c r="C159" i="4"/>
  <c r="B159" i="4"/>
  <c r="A159" i="4"/>
  <c r="X158" i="4"/>
  <c r="T158" i="4"/>
  <c r="S158" i="4"/>
  <c r="R158" i="4"/>
  <c r="Q158" i="4"/>
  <c r="P158" i="4"/>
  <c r="O158" i="4"/>
  <c r="W158" i="4" s="1"/>
  <c r="N158" i="4"/>
  <c r="M158" i="4"/>
  <c r="L158" i="4"/>
  <c r="K158" i="4"/>
  <c r="J158" i="4"/>
  <c r="I158" i="4"/>
  <c r="H158" i="4"/>
  <c r="G158" i="4"/>
  <c r="F158" i="4"/>
  <c r="E158" i="4"/>
  <c r="U158" i="4" s="1"/>
  <c r="D158" i="4"/>
  <c r="C158" i="4"/>
  <c r="V158" i="4" s="1"/>
  <c r="B158" i="4"/>
  <c r="A158" i="4"/>
  <c r="X157" i="4"/>
  <c r="W157" i="4"/>
  <c r="V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U157" i="4" s="1"/>
  <c r="D157" i="4"/>
  <c r="C157" i="4"/>
  <c r="B157" i="4"/>
  <c r="A157" i="4"/>
  <c r="X156" i="4"/>
  <c r="T156" i="4"/>
  <c r="S156" i="4"/>
  <c r="W156" i="4" s="1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U156" i="4" s="1"/>
  <c r="D156" i="4"/>
  <c r="C156" i="4"/>
  <c r="V156" i="4" s="1"/>
  <c r="B156" i="4"/>
  <c r="A156" i="4"/>
  <c r="X155" i="4"/>
  <c r="V155" i="4"/>
  <c r="T155" i="4"/>
  <c r="S155" i="4"/>
  <c r="R155" i="4"/>
  <c r="Q155" i="4"/>
  <c r="P155" i="4"/>
  <c r="O155" i="4"/>
  <c r="W155" i="4" s="1"/>
  <c r="N155" i="4"/>
  <c r="M155" i="4"/>
  <c r="L155" i="4"/>
  <c r="K155" i="4"/>
  <c r="J155" i="4"/>
  <c r="I155" i="4"/>
  <c r="H155" i="4"/>
  <c r="G155" i="4"/>
  <c r="F155" i="4"/>
  <c r="E155" i="4"/>
  <c r="U155" i="4" s="1"/>
  <c r="D155" i="4"/>
  <c r="C155" i="4"/>
  <c r="B155" i="4"/>
  <c r="A155" i="4"/>
  <c r="X154" i="4"/>
  <c r="W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U154" i="4" s="1"/>
  <c r="D154" i="4"/>
  <c r="C154" i="4"/>
  <c r="V154" i="4" s="1"/>
  <c r="B154" i="4"/>
  <c r="A154" i="4"/>
  <c r="X153" i="4"/>
  <c r="V153" i="4"/>
  <c r="T153" i="4"/>
  <c r="S153" i="4"/>
  <c r="R153" i="4"/>
  <c r="Q153" i="4"/>
  <c r="P153" i="4"/>
  <c r="O153" i="4"/>
  <c r="W153" i="4" s="1"/>
  <c r="N153" i="4"/>
  <c r="M153" i="4"/>
  <c r="L153" i="4"/>
  <c r="K153" i="4"/>
  <c r="J153" i="4"/>
  <c r="I153" i="4"/>
  <c r="H153" i="4"/>
  <c r="G153" i="4"/>
  <c r="F153" i="4"/>
  <c r="E153" i="4"/>
  <c r="U153" i="4" s="1"/>
  <c r="D153" i="4"/>
  <c r="C153" i="4"/>
  <c r="B153" i="4"/>
  <c r="A153" i="4"/>
  <c r="X152" i="4"/>
  <c r="T152" i="4"/>
  <c r="S152" i="4"/>
  <c r="W152" i="4" s="1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U152" i="4" s="1"/>
  <c r="D152" i="4"/>
  <c r="C152" i="4"/>
  <c r="V152" i="4" s="1"/>
  <c r="B152" i="4"/>
  <c r="A152" i="4"/>
  <c r="X151" i="4"/>
  <c r="V151" i="4"/>
  <c r="T151" i="4"/>
  <c r="S151" i="4"/>
  <c r="R151" i="4"/>
  <c r="Q151" i="4"/>
  <c r="P151" i="4"/>
  <c r="O151" i="4"/>
  <c r="W151" i="4" s="1"/>
  <c r="N151" i="4"/>
  <c r="M151" i="4"/>
  <c r="L151" i="4"/>
  <c r="K151" i="4"/>
  <c r="J151" i="4"/>
  <c r="I151" i="4"/>
  <c r="H151" i="4"/>
  <c r="G151" i="4"/>
  <c r="F151" i="4"/>
  <c r="E151" i="4"/>
  <c r="U151" i="4" s="1"/>
  <c r="D151" i="4"/>
  <c r="C151" i="4"/>
  <c r="B151" i="4"/>
  <c r="A151" i="4"/>
  <c r="X150" i="4"/>
  <c r="T150" i="4"/>
  <c r="S150" i="4"/>
  <c r="R150" i="4"/>
  <c r="Q150" i="4"/>
  <c r="P150" i="4"/>
  <c r="O150" i="4"/>
  <c r="W150" i="4" s="1"/>
  <c r="N150" i="4"/>
  <c r="M150" i="4"/>
  <c r="L150" i="4"/>
  <c r="K150" i="4"/>
  <c r="J150" i="4"/>
  <c r="I150" i="4"/>
  <c r="H150" i="4"/>
  <c r="G150" i="4"/>
  <c r="F150" i="4"/>
  <c r="E150" i="4"/>
  <c r="U150" i="4" s="1"/>
  <c r="D150" i="4"/>
  <c r="C150" i="4"/>
  <c r="V150" i="4" s="1"/>
  <c r="B150" i="4"/>
  <c r="A150" i="4"/>
  <c r="X149" i="4"/>
  <c r="W149" i="4"/>
  <c r="V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U149" i="4" s="1"/>
  <c r="D149" i="4"/>
  <c r="C149" i="4"/>
  <c r="B149" i="4"/>
  <c r="A149" i="4"/>
  <c r="X148" i="4"/>
  <c r="T148" i="4"/>
  <c r="S148" i="4"/>
  <c r="R148" i="4"/>
  <c r="Q148" i="4"/>
  <c r="P148" i="4"/>
  <c r="O148" i="4"/>
  <c r="W148" i="4" s="1"/>
  <c r="N148" i="4"/>
  <c r="M148" i="4"/>
  <c r="L148" i="4"/>
  <c r="K148" i="4"/>
  <c r="J148" i="4"/>
  <c r="I148" i="4"/>
  <c r="H148" i="4"/>
  <c r="G148" i="4"/>
  <c r="F148" i="4"/>
  <c r="E148" i="4"/>
  <c r="U148" i="4" s="1"/>
  <c r="D148" i="4"/>
  <c r="C148" i="4"/>
  <c r="V148" i="4" s="1"/>
  <c r="B148" i="4"/>
  <c r="A148" i="4"/>
  <c r="X147" i="4"/>
  <c r="W147" i="4"/>
  <c r="V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U147" i="4" s="1"/>
  <c r="D147" i="4"/>
  <c r="C147" i="4"/>
  <c r="B147" i="4"/>
  <c r="A147" i="4"/>
  <c r="X146" i="4"/>
  <c r="T146" i="4"/>
  <c r="S146" i="4"/>
  <c r="W146" i="4" s="1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U146" i="4" s="1"/>
  <c r="D146" i="4"/>
  <c r="C146" i="4"/>
  <c r="V146" i="4" s="1"/>
  <c r="B146" i="4"/>
  <c r="A146" i="4"/>
  <c r="X145" i="4"/>
  <c r="W145" i="4"/>
  <c r="V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U145" i="4" s="1"/>
  <c r="D145" i="4"/>
  <c r="C145" i="4"/>
  <c r="B145" i="4"/>
  <c r="A145" i="4"/>
  <c r="X144" i="4"/>
  <c r="T144" i="4"/>
  <c r="S144" i="4"/>
  <c r="R144" i="4"/>
  <c r="Q144" i="4"/>
  <c r="P144" i="4"/>
  <c r="O144" i="4"/>
  <c r="W144" i="4" s="1"/>
  <c r="N144" i="4"/>
  <c r="M144" i="4"/>
  <c r="L144" i="4"/>
  <c r="K144" i="4"/>
  <c r="J144" i="4"/>
  <c r="I144" i="4"/>
  <c r="H144" i="4"/>
  <c r="G144" i="4"/>
  <c r="F144" i="4"/>
  <c r="E144" i="4"/>
  <c r="U144" i="4" s="1"/>
  <c r="D144" i="4"/>
  <c r="C144" i="4"/>
  <c r="V144" i="4" s="1"/>
  <c r="B144" i="4"/>
  <c r="A144" i="4"/>
  <c r="X143" i="4"/>
  <c r="V143" i="4"/>
  <c r="T143" i="4"/>
  <c r="S143" i="4"/>
  <c r="R143" i="4"/>
  <c r="Q143" i="4"/>
  <c r="P143" i="4"/>
  <c r="O143" i="4"/>
  <c r="W143" i="4" s="1"/>
  <c r="N143" i="4"/>
  <c r="M143" i="4"/>
  <c r="L143" i="4"/>
  <c r="K143" i="4"/>
  <c r="J143" i="4"/>
  <c r="I143" i="4"/>
  <c r="H143" i="4"/>
  <c r="G143" i="4"/>
  <c r="F143" i="4"/>
  <c r="E143" i="4"/>
  <c r="U143" i="4" s="1"/>
  <c r="D143" i="4"/>
  <c r="C143" i="4"/>
  <c r="B143" i="4"/>
  <c r="A143" i="4"/>
  <c r="X142" i="4"/>
  <c r="T142" i="4"/>
  <c r="S142" i="4"/>
  <c r="W142" i="4" s="1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U142" i="4" s="1"/>
  <c r="D142" i="4"/>
  <c r="C142" i="4"/>
  <c r="V142" i="4" s="1"/>
  <c r="B142" i="4"/>
  <c r="A142" i="4"/>
  <c r="X141" i="4"/>
  <c r="V141" i="4"/>
  <c r="T141" i="4"/>
  <c r="S141" i="4"/>
  <c r="R141" i="4"/>
  <c r="Q141" i="4"/>
  <c r="P141" i="4"/>
  <c r="O141" i="4"/>
  <c r="W141" i="4" s="1"/>
  <c r="N141" i="4"/>
  <c r="M141" i="4"/>
  <c r="L141" i="4"/>
  <c r="K141" i="4"/>
  <c r="J141" i="4"/>
  <c r="I141" i="4"/>
  <c r="H141" i="4"/>
  <c r="G141" i="4"/>
  <c r="F141" i="4"/>
  <c r="E141" i="4"/>
  <c r="U141" i="4" s="1"/>
  <c r="D141" i="4"/>
  <c r="C141" i="4"/>
  <c r="B141" i="4"/>
  <c r="A141" i="4"/>
  <c r="X140" i="4"/>
  <c r="T140" i="4"/>
  <c r="S140" i="4"/>
  <c r="W140" i="4" s="1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U140" i="4" s="1"/>
  <c r="D140" i="4"/>
  <c r="C140" i="4"/>
  <c r="V140" i="4" s="1"/>
  <c r="B140" i="4"/>
  <c r="A140" i="4"/>
  <c r="X139" i="4"/>
  <c r="V139" i="4"/>
  <c r="T139" i="4"/>
  <c r="S139" i="4"/>
  <c r="R139" i="4"/>
  <c r="Q139" i="4"/>
  <c r="P139" i="4"/>
  <c r="O139" i="4"/>
  <c r="W139" i="4" s="1"/>
  <c r="N139" i="4"/>
  <c r="M139" i="4"/>
  <c r="L139" i="4"/>
  <c r="K139" i="4"/>
  <c r="J139" i="4"/>
  <c r="I139" i="4"/>
  <c r="H139" i="4"/>
  <c r="G139" i="4"/>
  <c r="F139" i="4"/>
  <c r="E139" i="4"/>
  <c r="U139" i="4" s="1"/>
  <c r="D139" i="4"/>
  <c r="C139" i="4"/>
  <c r="B139" i="4"/>
  <c r="A139" i="4"/>
  <c r="X138" i="4"/>
  <c r="T138" i="4"/>
  <c r="S138" i="4"/>
  <c r="R138" i="4"/>
  <c r="Q138" i="4"/>
  <c r="P138" i="4"/>
  <c r="O138" i="4"/>
  <c r="W138" i="4" s="1"/>
  <c r="N138" i="4"/>
  <c r="M138" i="4"/>
  <c r="L138" i="4"/>
  <c r="K138" i="4"/>
  <c r="J138" i="4"/>
  <c r="I138" i="4"/>
  <c r="H138" i="4"/>
  <c r="G138" i="4"/>
  <c r="F138" i="4"/>
  <c r="E138" i="4"/>
  <c r="U138" i="4" s="1"/>
  <c r="D138" i="4"/>
  <c r="C138" i="4"/>
  <c r="V138" i="4" s="1"/>
  <c r="B138" i="4"/>
  <c r="A138" i="4"/>
  <c r="X137" i="4"/>
  <c r="W137" i="4"/>
  <c r="V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U137" i="4" s="1"/>
  <c r="D137" i="4"/>
  <c r="C137" i="4"/>
  <c r="B137" i="4"/>
  <c r="A137" i="4"/>
  <c r="X136" i="4"/>
  <c r="T136" i="4"/>
  <c r="S136" i="4"/>
  <c r="R136" i="4"/>
  <c r="Q136" i="4"/>
  <c r="P136" i="4"/>
  <c r="O136" i="4"/>
  <c r="W136" i="4" s="1"/>
  <c r="N136" i="4"/>
  <c r="M136" i="4"/>
  <c r="L136" i="4"/>
  <c r="K136" i="4"/>
  <c r="J136" i="4"/>
  <c r="I136" i="4"/>
  <c r="H136" i="4"/>
  <c r="G136" i="4"/>
  <c r="F136" i="4"/>
  <c r="E136" i="4"/>
  <c r="U136" i="4" s="1"/>
  <c r="D136" i="4"/>
  <c r="C136" i="4"/>
  <c r="V136" i="4" s="1"/>
  <c r="B136" i="4"/>
  <c r="A136" i="4"/>
  <c r="X135" i="4"/>
  <c r="V135" i="4"/>
  <c r="T135" i="4"/>
  <c r="S135" i="4"/>
  <c r="R135" i="4"/>
  <c r="Q135" i="4"/>
  <c r="P135" i="4"/>
  <c r="O135" i="4"/>
  <c r="W135" i="4" s="1"/>
  <c r="N135" i="4"/>
  <c r="M135" i="4"/>
  <c r="L135" i="4"/>
  <c r="K135" i="4"/>
  <c r="J135" i="4"/>
  <c r="I135" i="4"/>
  <c r="H135" i="4"/>
  <c r="G135" i="4"/>
  <c r="F135" i="4"/>
  <c r="E135" i="4"/>
  <c r="U135" i="4" s="1"/>
  <c r="D135" i="4"/>
  <c r="C135" i="4"/>
  <c r="B135" i="4"/>
  <c r="A135" i="4"/>
  <c r="X134" i="4"/>
  <c r="T134" i="4"/>
  <c r="S134" i="4"/>
  <c r="R134" i="4"/>
  <c r="Q134" i="4"/>
  <c r="P134" i="4"/>
  <c r="O134" i="4"/>
  <c r="W134" i="4" s="1"/>
  <c r="N134" i="4"/>
  <c r="M134" i="4"/>
  <c r="L134" i="4"/>
  <c r="K134" i="4"/>
  <c r="J134" i="4"/>
  <c r="I134" i="4"/>
  <c r="H134" i="4"/>
  <c r="G134" i="4"/>
  <c r="F134" i="4"/>
  <c r="E134" i="4"/>
  <c r="U134" i="4" s="1"/>
  <c r="D134" i="4"/>
  <c r="C134" i="4"/>
  <c r="V134" i="4" s="1"/>
  <c r="B134" i="4"/>
  <c r="A134" i="4"/>
  <c r="X133" i="4"/>
  <c r="V133" i="4"/>
  <c r="T133" i="4"/>
  <c r="S133" i="4"/>
  <c r="R133" i="4"/>
  <c r="Q133" i="4"/>
  <c r="P133" i="4"/>
  <c r="O133" i="4"/>
  <c r="W133" i="4" s="1"/>
  <c r="N133" i="4"/>
  <c r="M133" i="4"/>
  <c r="L133" i="4"/>
  <c r="K133" i="4"/>
  <c r="J133" i="4"/>
  <c r="I133" i="4"/>
  <c r="H133" i="4"/>
  <c r="G133" i="4"/>
  <c r="F133" i="4"/>
  <c r="E133" i="4"/>
  <c r="U133" i="4" s="1"/>
  <c r="D133" i="4"/>
  <c r="C133" i="4"/>
  <c r="B133" i="4"/>
  <c r="A133" i="4"/>
  <c r="X132" i="4"/>
  <c r="W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U132" i="4" s="1"/>
  <c r="D132" i="4"/>
  <c r="C132" i="4"/>
  <c r="V132" i="4" s="1"/>
  <c r="B132" i="4"/>
  <c r="A132" i="4"/>
  <c r="X131" i="4"/>
  <c r="V131" i="4"/>
  <c r="T131" i="4"/>
  <c r="S131" i="4"/>
  <c r="R131" i="4"/>
  <c r="Q131" i="4"/>
  <c r="P131" i="4"/>
  <c r="O131" i="4"/>
  <c r="W131" i="4" s="1"/>
  <c r="N131" i="4"/>
  <c r="M131" i="4"/>
  <c r="L131" i="4"/>
  <c r="K131" i="4"/>
  <c r="J131" i="4"/>
  <c r="I131" i="4"/>
  <c r="H131" i="4"/>
  <c r="G131" i="4"/>
  <c r="F131" i="4"/>
  <c r="E131" i="4"/>
  <c r="U131" i="4" s="1"/>
  <c r="D131" i="4"/>
  <c r="C131" i="4"/>
  <c r="B131" i="4"/>
  <c r="A131" i="4"/>
  <c r="X130" i="4"/>
  <c r="T130" i="4"/>
  <c r="S130" i="4"/>
  <c r="W130" i="4" s="1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U130" i="4" s="1"/>
  <c r="D130" i="4"/>
  <c r="C130" i="4"/>
  <c r="V130" i="4" s="1"/>
  <c r="B130" i="4"/>
  <c r="A130" i="4"/>
  <c r="X129" i="4"/>
  <c r="W129" i="4"/>
  <c r="V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U129" i="4" s="1"/>
  <c r="D129" i="4"/>
  <c r="C129" i="4"/>
  <c r="B129" i="4"/>
  <c r="A129" i="4"/>
  <c r="X128" i="4"/>
  <c r="T128" i="4"/>
  <c r="S128" i="4"/>
  <c r="R128" i="4"/>
  <c r="Q128" i="4"/>
  <c r="P128" i="4"/>
  <c r="O128" i="4"/>
  <c r="W128" i="4" s="1"/>
  <c r="N128" i="4"/>
  <c r="M128" i="4"/>
  <c r="L128" i="4"/>
  <c r="K128" i="4"/>
  <c r="J128" i="4"/>
  <c r="I128" i="4"/>
  <c r="H128" i="4"/>
  <c r="G128" i="4"/>
  <c r="F128" i="4"/>
  <c r="E128" i="4"/>
  <c r="U128" i="4" s="1"/>
  <c r="D128" i="4"/>
  <c r="C128" i="4"/>
  <c r="V128" i="4" s="1"/>
  <c r="B128" i="4"/>
  <c r="A128" i="4"/>
  <c r="X127" i="4"/>
  <c r="W127" i="4"/>
  <c r="V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U127" i="4" s="1"/>
  <c r="D127" i="4"/>
  <c r="C127" i="4"/>
  <c r="B127" i="4"/>
  <c r="A127" i="4"/>
  <c r="X126" i="4"/>
  <c r="T126" i="4"/>
  <c r="S126" i="4"/>
  <c r="R126" i="4"/>
  <c r="Q126" i="4"/>
  <c r="P126" i="4"/>
  <c r="O126" i="4"/>
  <c r="W126" i="4" s="1"/>
  <c r="N126" i="4"/>
  <c r="M126" i="4"/>
  <c r="L126" i="4"/>
  <c r="K126" i="4"/>
  <c r="J126" i="4"/>
  <c r="I126" i="4"/>
  <c r="H126" i="4"/>
  <c r="G126" i="4"/>
  <c r="F126" i="4"/>
  <c r="E126" i="4"/>
  <c r="U126" i="4" s="1"/>
  <c r="D126" i="4"/>
  <c r="C126" i="4"/>
  <c r="V126" i="4" s="1"/>
  <c r="B126" i="4"/>
  <c r="A126" i="4"/>
  <c r="X125" i="4"/>
  <c r="W125" i="4"/>
  <c r="V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U125" i="4" s="1"/>
  <c r="D125" i="4"/>
  <c r="C125" i="4"/>
  <c r="B125" i="4"/>
  <c r="A125" i="4"/>
  <c r="X124" i="4"/>
  <c r="T124" i="4"/>
  <c r="S124" i="4"/>
  <c r="R124" i="4"/>
  <c r="Q124" i="4"/>
  <c r="P124" i="4"/>
  <c r="O124" i="4"/>
  <c r="W124" i="4" s="1"/>
  <c r="N124" i="4"/>
  <c r="M124" i="4"/>
  <c r="L124" i="4"/>
  <c r="K124" i="4"/>
  <c r="J124" i="4"/>
  <c r="I124" i="4"/>
  <c r="H124" i="4"/>
  <c r="G124" i="4"/>
  <c r="F124" i="4"/>
  <c r="E124" i="4"/>
  <c r="U124" i="4" s="1"/>
  <c r="D124" i="4"/>
  <c r="C124" i="4"/>
  <c r="V124" i="4" s="1"/>
  <c r="B124" i="4"/>
  <c r="A124" i="4"/>
  <c r="X123" i="4"/>
  <c r="V123" i="4"/>
  <c r="T123" i="4"/>
  <c r="S123" i="4"/>
  <c r="R123" i="4"/>
  <c r="Q123" i="4"/>
  <c r="P123" i="4"/>
  <c r="O123" i="4"/>
  <c r="W123" i="4" s="1"/>
  <c r="N123" i="4"/>
  <c r="M123" i="4"/>
  <c r="L123" i="4"/>
  <c r="K123" i="4"/>
  <c r="J123" i="4"/>
  <c r="I123" i="4"/>
  <c r="H123" i="4"/>
  <c r="G123" i="4"/>
  <c r="F123" i="4"/>
  <c r="E123" i="4"/>
  <c r="U123" i="4" s="1"/>
  <c r="D123" i="4"/>
  <c r="C123" i="4"/>
  <c r="B123" i="4"/>
  <c r="A123" i="4"/>
  <c r="X122" i="4"/>
  <c r="W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U122" i="4" s="1"/>
  <c r="D122" i="4"/>
  <c r="C122" i="4"/>
  <c r="V122" i="4" s="1"/>
  <c r="B122" i="4"/>
  <c r="A122" i="4"/>
  <c r="X121" i="4"/>
  <c r="V121" i="4"/>
  <c r="T121" i="4"/>
  <c r="S121" i="4"/>
  <c r="R121" i="4"/>
  <c r="Q121" i="4"/>
  <c r="P121" i="4"/>
  <c r="O121" i="4"/>
  <c r="W121" i="4" s="1"/>
  <c r="N121" i="4"/>
  <c r="M121" i="4"/>
  <c r="L121" i="4"/>
  <c r="K121" i="4"/>
  <c r="J121" i="4"/>
  <c r="I121" i="4"/>
  <c r="H121" i="4"/>
  <c r="G121" i="4"/>
  <c r="F121" i="4"/>
  <c r="E121" i="4"/>
  <c r="U121" i="4" s="1"/>
  <c r="D121" i="4"/>
  <c r="C121" i="4"/>
  <c r="B121" i="4"/>
  <c r="A121" i="4"/>
  <c r="X120" i="4"/>
  <c r="T120" i="4"/>
  <c r="S120" i="4"/>
  <c r="W120" i="4" s="1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U120" i="4" s="1"/>
  <c r="D120" i="4"/>
  <c r="C120" i="4"/>
  <c r="V120" i="4" s="1"/>
  <c r="B120" i="4"/>
  <c r="A120" i="4"/>
  <c r="X119" i="4"/>
  <c r="V119" i="4"/>
  <c r="T119" i="4"/>
  <c r="S119" i="4"/>
  <c r="R119" i="4"/>
  <c r="Q119" i="4"/>
  <c r="P119" i="4"/>
  <c r="O119" i="4"/>
  <c r="W119" i="4" s="1"/>
  <c r="N119" i="4"/>
  <c r="M119" i="4"/>
  <c r="L119" i="4"/>
  <c r="K119" i="4"/>
  <c r="J119" i="4"/>
  <c r="I119" i="4"/>
  <c r="H119" i="4"/>
  <c r="G119" i="4"/>
  <c r="F119" i="4"/>
  <c r="E119" i="4"/>
  <c r="U119" i="4" s="1"/>
  <c r="D119" i="4"/>
  <c r="C119" i="4"/>
  <c r="B119" i="4"/>
  <c r="A119" i="4"/>
  <c r="X118" i="4"/>
  <c r="T118" i="4"/>
  <c r="S118" i="4"/>
  <c r="R118" i="4"/>
  <c r="Q118" i="4"/>
  <c r="P118" i="4"/>
  <c r="O118" i="4"/>
  <c r="W118" i="4" s="1"/>
  <c r="N118" i="4"/>
  <c r="M118" i="4"/>
  <c r="L118" i="4"/>
  <c r="K118" i="4"/>
  <c r="J118" i="4"/>
  <c r="I118" i="4"/>
  <c r="H118" i="4"/>
  <c r="G118" i="4"/>
  <c r="F118" i="4"/>
  <c r="E118" i="4"/>
  <c r="U118" i="4" s="1"/>
  <c r="D118" i="4"/>
  <c r="C118" i="4"/>
  <c r="V118" i="4" s="1"/>
  <c r="B118" i="4"/>
  <c r="A118" i="4"/>
  <c r="X117" i="4"/>
  <c r="W117" i="4"/>
  <c r="V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U117" i="4" s="1"/>
  <c r="D117" i="4"/>
  <c r="C117" i="4"/>
  <c r="B117" i="4"/>
  <c r="A117" i="4"/>
  <c r="X116" i="4"/>
  <c r="T116" i="4"/>
  <c r="S116" i="4"/>
  <c r="R116" i="4"/>
  <c r="Q116" i="4"/>
  <c r="P116" i="4"/>
  <c r="O116" i="4"/>
  <c r="W116" i="4" s="1"/>
  <c r="N116" i="4"/>
  <c r="M116" i="4"/>
  <c r="L116" i="4"/>
  <c r="K116" i="4"/>
  <c r="J116" i="4"/>
  <c r="I116" i="4"/>
  <c r="H116" i="4"/>
  <c r="G116" i="4"/>
  <c r="F116" i="4"/>
  <c r="E116" i="4"/>
  <c r="U116" i="4" s="1"/>
  <c r="D116" i="4"/>
  <c r="C116" i="4"/>
  <c r="V116" i="4" s="1"/>
  <c r="B116" i="4"/>
  <c r="A116" i="4"/>
  <c r="X115" i="4"/>
  <c r="W115" i="4"/>
  <c r="V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U115" i="4" s="1"/>
  <c r="D115" i="4"/>
  <c r="C115" i="4"/>
  <c r="B115" i="4"/>
  <c r="A115" i="4"/>
  <c r="X114" i="4"/>
  <c r="T114" i="4"/>
  <c r="S114" i="4"/>
  <c r="W114" i="4" s="1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U114" i="4" s="1"/>
  <c r="D114" i="4"/>
  <c r="C114" i="4"/>
  <c r="V114" i="4" s="1"/>
  <c r="B114" i="4"/>
  <c r="A114" i="4"/>
  <c r="X113" i="4"/>
  <c r="W113" i="4"/>
  <c r="V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U113" i="4" s="1"/>
  <c r="D113" i="4"/>
  <c r="C113" i="4"/>
  <c r="B113" i="4"/>
  <c r="A113" i="4"/>
  <c r="X112" i="4"/>
  <c r="T112" i="4"/>
  <c r="S112" i="4"/>
  <c r="R112" i="4"/>
  <c r="Q112" i="4"/>
  <c r="P112" i="4"/>
  <c r="O112" i="4"/>
  <c r="W112" i="4" s="1"/>
  <c r="N112" i="4"/>
  <c r="M112" i="4"/>
  <c r="L112" i="4"/>
  <c r="K112" i="4"/>
  <c r="J112" i="4"/>
  <c r="I112" i="4"/>
  <c r="H112" i="4"/>
  <c r="G112" i="4"/>
  <c r="F112" i="4"/>
  <c r="E112" i="4"/>
  <c r="U112" i="4" s="1"/>
  <c r="D112" i="4"/>
  <c r="C112" i="4"/>
  <c r="V112" i="4" s="1"/>
  <c r="B112" i="4"/>
  <c r="A112" i="4"/>
  <c r="X111" i="4"/>
  <c r="V111" i="4"/>
  <c r="T111" i="4"/>
  <c r="S111" i="4"/>
  <c r="R111" i="4"/>
  <c r="Q111" i="4"/>
  <c r="P111" i="4"/>
  <c r="O111" i="4"/>
  <c r="W111" i="4" s="1"/>
  <c r="N111" i="4"/>
  <c r="M111" i="4"/>
  <c r="L111" i="4"/>
  <c r="K111" i="4"/>
  <c r="J111" i="4"/>
  <c r="I111" i="4"/>
  <c r="H111" i="4"/>
  <c r="G111" i="4"/>
  <c r="F111" i="4"/>
  <c r="E111" i="4"/>
  <c r="U111" i="4" s="1"/>
  <c r="D111" i="4"/>
  <c r="C111" i="4"/>
  <c r="B111" i="4"/>
  <c r="A111" i="4"/>
  <c r="X110" i="4"/>
  <c r="T110" i="4"/>
  <c r="S110" i="4"/>
  <c r="W110" i="4" s="1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U110" i="4" s="1"/>
  <c r="D110" i="4"/>
  <c r="C110" i="4"/>
  <c r="V110" i="4" s="1"/>
  <c r="B110" i="4"/>
  <c r="A110" i="4"/>
  <c r="X109" i="4"/>
  <c r="V109" i="4"/>
  <c r="T109" i="4"/>
  <c r="S109" i="4"/>
  <c r="R109" i="4"/>
  <c r="Q109" i="4"/>
  <c r="P109" i="4"/>
  <c r="O109" i="4"/>
  <c r="W109" i="4" s="1"/>
  <c r="N109" i="4"/>
  <c r="M109" i="4"/>
  <c r="L109" i="4"/>
  <c r="K109" i="4"/>
  <c r="J109" i="4"/>
  <c r="I109" i="4"/>
  <c r="H109" i="4"/>
  <c r="G109" i="4"/>
  <c r="F109" i="4"/>
  <c r="E109" i="4"/>
  <c r="U109" i="4" s="1"/>
  <c r="D109" i="4"/>
  <c r="C109" i="4"/>
  <c r="B109" i="4"/>
  <c r="A109" i="4"/>
  <c r="X108" i="4"/>
  <c r="T108" i="4"/>
  <c r="S108" i="4"/>
  <c r="W108" i="4" s="1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U108" i="4" s="1"/>
  <c r="D108" i="4"/>
  <c r="C108" i="4"/>
  <c r="V108" i="4" s="1"/>
  <c r="B108" i="4"/>
  <c r="A108" i="4"/>
  <c r="X107" i="4"/>
  <c r="V107" i="4"/>
  <c r="T107" i="4"/>
  <c r="S107" i="4"/>
  <c r="R107" i="4"/>
  <c r="Q107" i="4"/>
  <c r="P107" i="4"/>
  <c r="O107" i="4"/>
  <c r="W107" i="4" s="1"/>
  <c r="N107" i="4"/>
  <c r="M107" i="4"/>
  <c r="L107" i="4"/>
  <c r="K107" i="4"/>
  <c r="J107" i="4"/>
  <c r="I107" i="4"/>
  <c r="H107" i="4"/>
  <c r="G107" i="4"/>
  <c r="F107" i="4"/>
  <c r="E107" i="4"/>
  <c r="U107" i="4" s="1"/>
  <c r="D107" i="4"/>
  <c r="C107" i="4"/>
  <c r="B107" i="4"/>
  <c r="A107" i="4"/>
  <c r="X106" i="4"/>
  <c r="T106" i="4"/>
  <c r="S106" i="4"/>
  <c r="R106" i="4"/>
  <c r="Q106" i="4"/>
  <c r="P106" i="4"/>
  <c r="O106" i="4"/>
  <c r="W106" i="4" s="1"/>
  <c r="N106" i="4"/>
  <c r="M106" i="4"/>
  <c r="L106" i="4"/>
  <c r="K106" i="4"/>
  <c r="J106" i="4"/>
  <c r="I106" i="4"/>
  <c r="H106" i="4"/>
  <c r="G106" i="4"/>
  <c r="F106" i="4"/>
  <c r="E106" i="4"/>
  <c r="U106" i="4" s="1"/>
  <c r="D106" i="4"/>
  <c r="C106" i="4"/>
  <c r="V106" i="4" s="1"/>
  <c r="B106" i="4"/>
  <c r="A106" i="4"/>
  <c r="X105" i="4"/>
  <c r="W105" i="4"/>
  <c r="V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U105" i="4" s="1"/>
  <c r="D105" i="4"/>
  <c r="C105" i="4"/>
  <c r="B105" i="4"/>
  <c r="A105" i="4"/>
  <c r="X104" i="4"/>
  <c r="T104" i="4"/>
  <c r="S104" i="4"/>
  <c r="R104" i="4"/>
  <c r="Q104" i="4"/>
  <c r="P104" i="4"/>
  <c r="O104" i="4"/>
  <c r="W104" i="4" s="1"/>
  <c r="N104" i="4"/>
  <c r="M104" i="4"/>
  <c r="L104" i="4"/>
  <c r="K104" i="4"/>
  <c r="J104" i="4"/>
  <c r="I104" i="4"/>
  <c r="H104" i="4"/>
  <c r="G104" i="4"/>
  <c r="F104" i="4"/>
  <c r="E104" i="4"/>
  <c r="U104" i="4" s="1"/>
  <c r="D104" i="4"/>
  <c r="C104" i="4"/>
  <c r="V104" i="4" s="1"/>
  <c r="B104" i="4"/>
  <c r="A104" i="4"/>
  <c r="X103" i="4"/>
  <c r="V103" i="4"/>
  <c r="T103" i="4"/>
  <c r="S103" i="4"/>
  <c r="R103" i="4"/>
  <c r="Q103" i="4"/>
  <c r="P103" i="4"/>
  <c r="O103" i="4"/>
  <c r="W103" i="4" s="1"/>
  <c r="N103" i="4"/>
  <c r="M103" i="4"/>
  <c r="L103" i="4"/>
  <c r="K103" i="4"/>
  <c r="J103" i="4"/>
  <c r="I103" i="4"/>
  <c r="H103" i="4"/>
  <c r="G103" i="4"/>
  <c r="F103" i="4"/>
  <c r="E103" i="4"/>
  <c r="U103" i="4" s="1"/>
  <c r="D103" i="4"/>
  <c r="C103" i="4"/>
  <c r="B103" i="4"/>
  <c r="A103" i="4"/>
  <c r="X102" i="4"/>
  <c r="T102" i="4"/>
  <c r="S102" i="4"/>
  <c r="R102" i="4"/>
  <c r="Q102" i="4"/>
  <c r="P102" i="4"/>
  <c r="O102" i="4"/>
  <c r="W102" i="4" s="1"/>
  <c r="N102" i="4"/>
  <c r="M102" i="4"/>
  <c r="L102" i="4"/>
  <c r="K102" i="4"/>
  <c r="J102" i="4"/>
  <c r="I102" i="4"/>
  <c r="H102" i="4"/>
  <c r="G102" i="4"/>
  <c r="F102" i="4"/>
  <c r="E102" i="4"/>
  <c r="U102" i="4" s="1"/>
  <c r="D102" i="4"/>
  <c r="C102" i="4"/>
  <c r="V102" i="4" s="1"/>
  <c r="B102" i="4"/>
  <c r="A102" i="4"/>
  <c r="X101" i="4"/>
  <c r="V101" i="4"/>
  <c r="T101" i="4"/>
  <c r="S101" i="4"/>
  <c r="R101" i="4"/>
  <c r="Q101" i="4"/>
  <c r="P101" i="4"/>
  <c r="O101" i="4"/>
  <c r="W101" i="4" s="1"/>
  <c r="N101" i="4"/>
  <c r="M101" i="4"/>
  <c r="L101" i="4"/>
  <c r="K101" i="4"/>
  <c r="J101" i="4"/>
  <c r="I101" i="4"/>
  <c r="H101" i="4"/>
  <c r="G101" i="4"/>
  <c r="F101" i="4"/>
  <c r="E101" i="4"/>
  <c r="U101" i="4" s="1"/>
  <c r="D101" i="4"/>
  <c r="C101" i="4"/>
  <c r="B101" i="4"/>
  <c r="A101" i="4"/>
  <c r="X100" i="4"/>
  <c r="W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U100" i="4" s="1"/>
  <c r="D100" i="4"/>
  <c r="C100" i="4"/>
  <c r="V100" i="4" s="1"/>
  <c r="B100" i="4"/>
  <c r="A100" i="4"/>
  <c r="X99" i="4"/>
  <c r="V99" i="4"/>
  <c r="T99" i="4"/>
  <c r="S99" i="4"/>
  <c r="R99" i="4"/>
  <c r="Q99" i="4"/>
  <c r="P99" i="4"/>
  <c r="O99" i="4"/>
  <c r="W99" i="4" s="1"/>
  <c r="N99" i="4"/>
  <c r="M99" i="4"/>
  <c r="L99" i="4"/>
  <c r="K99" i="4"/>
  <c r="J99" i="4"/>
  <c r="I99" i="4"/>
  <c r="H99" i="4"/>
  <c r="G99" i="4"/>
  <c r="F99" i="4"/>
  <c r="E99" i="4"/>
  <c r="U99" i="4" s="1"/>
  <c r="D99" i="4"/>
  <c r="C99" i="4"/>
  <c r="B99" i="4"/>
  <c r="A99" i="4"/>
  <c r="X98" i="4"/>
  <c r="T98" i="4"/>
  <c r="S98" i="4"/>
  <c r="W98" i="4" s="1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U98" i="4" s="1"/>
  <c r="D98" i="4"/>
  <c r="C98" i="4"/>
  <c r="V98" i="4" s="1"/>
  <c r="B98" i="4"/>
  <c r="A98" i="4"/>
  <c r="X97" i="4"/>
  <c r="W97" i="4"/>
  <c r="V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U97" i="4" s="1"/>
  <c r="D97" i="4"/>
  <c r="C97" i="4"/>
  <c r="B97" i="4"/>
  <c r="A97" i="4"/>
  <c r="X96" i="4"/>
  <c r="T96" i="4"/>
  <c r="S96" i="4"/>
  <c r="R96" i="4"/>
  <c r="Q96" i="4"/>
  <c r="P96" i="4"/>
  <c r="O96" i="4"/>
  <c r="W96" i="4" s="1"/>
  <c r="N96" i="4"/>
  <c r="M96" i="4"/>
  <c r="L96" i="4"/>
  <c r="K96" i="4"/>
  <c r="J96" i="4"/>
  <c r="I96" i="4"/>
  <c r="H96" i="4"/>
  <c r="G96" i="4"/>
  <c r="F96" i="4"/>
  <c r="E96" i="4"/>
  <c r="U96" i="4" s="1"/>
  <c r="D96" i="4"/>
  <c r="C96" i="4"/>
  <c r="V96" i="4" s="1"/>
  <c r="B96" i="4"/>
  <c r="A96" i="4"/>
  <c r="X95" i="4"/>
  <c r="W95" i="4"/>
  <c r="V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U95" i="4" s="1"/>
  <c r="D95" i="4"/>
  <c r="C95" i="4"/>
  <c r="B95" i="4"/>
  <c r="A95" i="4"/>
  <c r="X94" i="4"/>
  <c r="T94" i="4"/>
  <c r="S94" i="4"/>
  <c r="R94" i="4"/>
  <c r="Q94" i="4"/>
  <c r="P94" i="4"/>
  <c r="O94" i="4"/>
  <c r="W94" i="4" s="1"/>
  <c r="N94" i="4"/>
  <c r="M94" i="4"/>
  <c r="L94" i="4"/>
  <c r="K94" i="4"/>
  <c r="J94" i="4"/>
  <c r="I94" i="4"/>
  <c r="H94" i="4"/>
  <c r="G94" i="4"/>
  <c r="F94" i="4"/>
  <c r="E94" i="4"/>
  <c r="U94" i="4" s="1"/>
  <c r="D94" i="4"/>
  <c r="C94" i="4"/>
  <c r="V94" i="4" s="1"/>
  <c r="B94" i="4"/>
  <c r="A94" i="4"/>
  <c r="X93" i="4"/>
  <c r="W93" i="4"/>
  <c r="V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U93" i="4" s="1"/>
  <c r="D93" i="4"/>
  <c r="C93" i="4"/>
  <c r="B93" i="4"/>
  <c r="A93" i="4"/>
  <c r="X92" i="4"/>
  <c r="T92" i="4"/>
  <c r="S92" i="4"/>
  <c r="R92" i="4"/>
  <c r="Q92" i="4"/>
  <c r="P92" i="4"/>
  <c r="O92" i="4"/>
  <c r="W92" i="4" s="1"/>
  <c r="N92" i="4"/>
  <c r="M92" i="4"/>
  <c r="L92" i="4"/>
  <c r="K92" i="4"/>
  <c r="J92" i="4"/>
  <c r="I92" i="4"/>
  <c r="H92" i="4"/>
  <c r="G92" i="4"/>
  <c r="F92" i="4"/>
  <c r="E92" i="4"/>
  <c r="U92" i="4" s="1"/>
  <c r="D92" i="4"/>
  <c r="C92" i="4"/>
  <c r="V92" i="4" s="1"/>
  <c r="B92" i="4"/>
  <c r="A92" i="4"/>
  <c r="X91" i="4"/>
  <c r="V91" i="4"/>
  <c r="T91" i="4"/>
  <c r="S91" i="4"/>
  <c r="R91" i="4"/>
  <c r="Q91" i="4"/>
  <c r="P91" i="4"/>
  <c r="O91" i="4"/>
  <c r="W91" i="4" s="1"/>
  <c r="N91" i="4"/>
  <c r="M91" i="4"/>
  <c r="L91" i="4"/>
  <c r="K91" i="4"/>
  <c r="J91" i="4"/>
  <c r="I91" i="4"/>
  <c r="H91" i="4"/>
  <c r="G91" i="4"/>
  <c r="F91" i="4"/>
  <c r="E91" i="4"/>
  <c r="U91" i="4" s="1"/>
  <c r="D91" i="4"/>
  <c r="C91" i="4"/>
  <c r="B91" i="4"/>
  <c r="A91" i="4"/>
  <c r="X90" i="4"/>
  <c r="W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U90" i="4" s="1"/>
  <c r="D90" i="4"/>
  <c r="C90" i="4"/>
  <c r="V90" i="4" s="1"/>
  <c r="B90" i="4"/>
  <c r="A90" i="4"/>
  <c r="X89" i="4"/>
  <c r="V89" i="4"/>
  <c r="T89" i="4"/>
  <c r="S89" i="4"/>
  <c r="R89" i="4"/>
  <c r="Q89" i="4"/>
  <c r="P89" i="4"/>
  <c r="O89" i="4"/>
  <c r="W89" i="4" s="1"/>
  <c r="N89" i="4"/>
  <c r="M89" i="4"/>
  <c r="L89" i="4"/>
  <c r="K89" i="4"/>
  <c r="J89" i="4"/>
  <c r="I89" i="4"/>
  <c r="H89" i="4"/>
  <c r="G89" i="4"/>
  <c r="F89" i="4"/>
  <c r="E89" i="4"/>
  <c r="U89" i="4" s="1"/>
  <c r="D89" i="4"/>
  <c r="C89" i="4"/>
  <c r="B89" i="4"/>
  <c r="A89" i="4"/>
  <c r="X88" i="4"/>
  <c r="T88" i="4"/>
  <c r="S88" i="4"/>
  <c r="W88" i="4" s="1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U88" i="4" s="1"/>
  <c r="D88" i="4"/>
  <c r="C88" i="4"/>
  <c r="V88" i="4" s="1"/>
  <c r="B88" i="4"/>
  <c r="A88" i="4"/>
  <c r="X87" i="4"/>
  <c r="V87" i="4"/>
  <c r="T87" i="4"/>
  <c r="S87" i="4"/>
  <c r="R87" i="4"/>
  <c r="Q87" i="4"/>
  <c r="P87" i="4"/>
  <c r="O87" i="4"/>
  <c r="W87" i="4" s="1"/>
  <c r="N87" i="4"/>
  <c r="M87" i="4"/>
  <c r="L87" i="4"/>
  <c r="K87" i="4"/>
  <c r="J87" i="4"/>
  <c r="I87" i="4"/>
  <c r="H87" i="4"/>
  <c r="G87" i="4"/>
  <c r="F87" i="4"/>
  <c r="E87" i="4"/>
  <c r="U87" i="4" s="1"/>
  <c r="D87" i="4"/>
  <c r="C87" i="4"/>
  <c r="B87" i="4"/>
  <c r="A87" i="4"/>
  <c r="X86" i="4"/>
  <c r="T86" i="4"/>
  <c r="S86" i="4"/>
  <c r="R86" i="4"/>
  <c r="Q86" i="4"/>
  <c r="P86" i="4"/>
  <c r="O86" i="4"/>
  <c r="W86" i="4" s="1"/>
  <c r="N86" i="4"/>
  <c r="M86" i="4"/>
  <c r="L86" i="4"/>
  <c r="K86" i="4"/>
  <c r="J86" i="4"/>
  <c r="I86" i="4"/>
  <c r="H86" i="4"/>
  <c r="G86" i="4"/>
  <c r="F86" i="4"/>
  <c r="E86" i="4"/>
  <c r="U86" i="4" s="1"/>
  <c r="D86" i="4"/>
  <c r="C86" i="4"/>
  <c r="V86" i="4" s="1"/>
  <c r="B86" i="4"/>
  <c r="A86" i="4"/>
  <c r="X85" i="4"/>
  <c r="W85" i="4"/>
  <c r="V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U85" i="4" s="1"/>
  <c r="D85" i="4"/>
  <c r="C85" i="4"/>
  <c r="B85" i="4"/>
  <c r="A85" i="4"/>
  <c r="X84" i="4"/>
  <c r="T84" i="4"/>
  <c r="S84" i="4"/>
  <c r="R84" i="4"/>
  <c r="Q84" i="4"/>
  <c r="P84" i="4"/>
  <c r="O84" i="4"/>
  <c r="W84" i="4" s="1"/>
  <c r="N84" i="4"/>
  <c r="M84" i="4"/>
  <c r="L84" i="4"/>
  <c r="K84" i="4"/>
  <c r="J84" i="4"/>
  <c r="I84" i="4"/>
  <c r="H84" i="4"/>
  <c r="G84" i="4"/>
  <c r="F84" i="4"/>
  <c r="E84" i="4"/>
  <c r="U84" i="4" s="1"/>
  <c r="D84" i="4"/>
  <c r="C84" i="4"/>
  <c r="V84" i="4" s="1"/>
  <c r="B84" i="4"/>
  <c r="A84" i="4"/>
  <c r="X83" i="4"/>
  <c r="W83" i="4"/>
  <c r="V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U83" i="4" s="1"/>
  <c r="D83" i="4"/>
  <c r="C83" i="4"/>
  <c r="B83" i="4"/>
  <c r="A83" i="4"/>
  <c r="X82" i="4"/>
  <c r="T82" i="4"/>
  <c r="S82" i="4"/>
  <c r="W82" i="4" s="1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U82" i="4" s="1"/>
  <c r="D82" i="4"/>
  <c r="C82" i="4"/>
  <c r="V82" i="4" s="1"/>
  <c r="B82" i="4"/>
  <c r="A82" i="4"/>
  <c r="X81" i="4"/>
  <c r="W81" i="4"/>
  <c r="V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U81" i="4" s="1"/>
  <c r="D81" i="4"/>
  <c r="C81" i="4"/>
  <c r="B81" i="4"/>
  <c r="A81" i="4"/>
  <c r="X80" i="4"/>
  <c r="T80" i="4"/>
  <c r="S80" i="4"/>
  <c r="R80" i="4"/>
  <c r="Q80" i="4"/>
  <c r="P80" i="4"/>
  <c r="O80" i="4"/>
  <c r="W80" i="4" s="1"/>
  <c r="N80" i="4"/>
  <c r="M80" i="4"/>
  <c r="L80" i="4"/>
  <c r="K80" i="4"/>
  <c r="J80" i="4"/>
  <c r="I80" i="4"/>
  <c r="H80" i="4"/>
  <c r="G80" i="4"/>
  <c r="F80" i="4"/>
  <c r="E80" i="4"/>
  <c r="U80" i="4" s="1"/>
  <c r="D80" i="4"/>
  <c r="C80" i="4"/>
  <c r="V80" i="4" s="1"/>
  <c r="B80" i="4"/>
  <c r="A80" i="4"/>
  <c r="X79" i="4"/>
  <c r="V79" i="4"/>
  <c r="T79" i="4"/>
  <c r="S79" i="4"/>
  <c r="R79" i="4"/>
  <c r="Q79" i="4"/>
  <c r="P79" i="4"/>
  <c r="O79" i="4"/>
  <c r="W79" i="4" s="1"/>
  <c r="N79" i="4"/>
  <c r="M79" i="4"/>
  <c r="L79" i="4"/>
  <c r="K79" i="4"/>
  <c r="J79" i="4"/>
  <c r="I79" i="4"/>
  <c r="H79" i="4"/>
  <c r="G79" i="4"/>
  <c r="F79" i="4"/>
  <c r="E79" i="4"/>
  <c r="U79" i="4" s="1"/>
  <c r="D79" i="4"/>
  <c r="C79" i="4"/>
  <c r="B79" i="4"/>
  <c r="A79" i="4"/>
  <c r="X78" i="4"/>
  <c r="T78" i="4"/>
  <c r="S78" i="4"/>
  <c r="W78" i="4" s="1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U78" i="4" s="1"/>
  <c r="D78" i="4"/>
  <c r="C78" i="4"/>
  <c r="V78" i="4" s="1"/>
  <c r="B78" i="4"/>
  <c r="A78" i="4"/>
  <c r="X77" i="4"/>
  <c r="V77" i="4"/>
  <c r="T77" i="4"/>
  <c r="S77" i="4"/>
  <c r="R77" i="4"/>
  <c r="Q77" i="4"/>
  <c r="P77" i="4"/>
  <c r="O77" i="4"/>
  <c r="W77" i="4" s="1"/>
  <c r="N77" i="4"/>
  <c r="M77" i="4"/>
  <c r="L77" i="4"/>
  <c r="K77" i="4"/>
  <c r="J77" i="4"/>
  <c r="I77" i="4"/>
  <c r="H77" i="4"/>
  <c r="G77" i="4"/>
  <c r="F77" i="4"/>
  <c r="E77" i="4"/>
  <c r="U77" i="4" s="1"/>
  <c r="D77" i="4"/>
  <c r="C77" i="4"/>
  <c r="B77" i="4"/>
  <c r="A77" i="4"/>
  <c r="X76" i="4"/>
  <c r="T76" i="4"/>
  <c r="S76" i="4"/>
  <c r="W76" i="4" s="1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U76" i="4" s="1"/>
  <c r="D76" i="4"/>
  <c r="C76" i="4"/>
  <c r="V76" i="4" s="1"/>
  <c r="B76" i="4"/>
  <c r="A76" i="4"/>
  <c r="X75" i="4"/>
  <c r="V75" i="4"/>
  <c r="T75" i="4"/>
  <c r="S75" i="4"/>
  <c r="R75" i="4"/>
  <c r="Q75" i="4"/>
  <c r="P75" i="4"/>
  <c r="O75" i="4"/>
  <c r="W75" i="4" s="1"/>
  <c r="N75" i="4"/>
  <c r="M75" i="4"/>
  <c r="L75" i="4"/>
  <c r="K75" i="4"/>
  <c r="J75" i="4"/>
  <c r="I75" i="4"/>
  <c r="H75" i="4"/>
  <c r="G75" i="4"/>
  <c r="F75" i="4"/>
  <c r="E75" i="4"/>
  <c r="U75" i="4" s="1"/>
  <c r="D75" i="4"/>
  <c r="C75" i="4"/>
  <c r="B75" i="4"/>
  <c r="A75" i="4"/>
  <c r="X74" i="4"/>
  <c r="T74" i="4"/>
  <c r="S74" i="4"/>
  <c r="R74" i="4"/>
  <c r="Q74" i="4"/>
  <c r="P74" i="4"/>
  <c r="O74" i="4"/>
  <c r="W74" i="4" s="1"/>
  <c r="N74" i="4"/>
  <c r="M74" i="4"/>
  <c r="L74" i="4"/>
  <c r="K74" i="4"/>
  <c r="J74" i="4"/>
  <c r="I74" i="4"/>
  <c r="H74" i="4"/>
  <c r="G74" i="4"/>
  <c r="F74" i="4"/>
  <c r="E74" i="4"/>
  <c r="U74" i="4" s="1"/>
  <c r="D74" i="4"/>
  <c r="C74" i="4"/>
  <c r="V74" i="4" s="1"/>
  <c r="B74" i="4"/>
  <c r="A74" i="4"/>
  <c r="X73" i="4"/>
  <c r="W73" i="4"/>
  <c r="V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U73" i="4" s="1"/>
  <c r="D73" i="4"/>
  <c r="C73" i="4"/>
  <c r="B73" i="4"/>
  <c r="A73" i="4"/>
  <c r="X72" i="4"/>
  <c r="T72" i="4"/>
  <c r="S72" i="4"/>
  <c r="R72" i="4"/>
  <c r="Q72" i="4"/>
  <c r="P72" i="4"/>
  <c r="O72" i="4"/>
  <c r="W72" i="4" s="1"/>
  <c r="N72" i="4"/>
  <c r="M72" i="4"/>
  <c r="L72" i="4"/>
  <c r="K72" i="4"/>
  <c r="J72" i="4"/>
  <c r="I72" i="4"/>
  <c r="H72" i="4"/>
  <c r="G72" i="4"/>
  <c r="F72" i="4"/>
  <c r="E72" i="4"/>
  <c r="U72" i="4" s="1"/>
  <c r="D72" i="4"/>
  <c r="C72" i="4"/>
  <c r="V72" i="4" s="1"/>
  <c r="B72" i="4"/>
  <c r="A72" i="4"/>
  <c r="X71" i="4"/>
  <c r="V71" i="4"/>
  <c r="T71" i="4"/>
  <c r="S71" i="4"/>
  <c r="R71" i="4"/>
  <c r="Q71" i="4"/>
  <c r="P71" i="4"/>
  <c r="O71" i="4"/>
  <c r="W71" i="4" s="1"/>
  <c r="N71" i="4"/>
  <c r="M71" i="4"/>
  <c r="L71" i="4"/>
  <c r="K71" i="4"/>
  <c r="J71" i="4"/>
  <c r="I71" i="4"/>
  <c r="H71" i="4"/>
  <c r="G71" i="4"/>
  <c r="F71" i="4"/>
  <c r="E71" i="4"/>
  <c r="U71" i="4" s="1"/>
  <c r="D71" i="4"/>
  <c r="C71" i="4"/>
  <c r="B71" i="4"/>
  <c r="A71" i="4"/>
  <c r="X70" i="4"/>
  <c r="T70" i="4"/>
  <c r="S70" i="4"/>
  <c r="R70" i="4"/>
  <c r="Q70" i="4"/>
  <c r="P70" i="4"/>
  <c r="O70" i="4"/>
  <c r="W70" i="4" s="1"/>
  <c r="N70" i="4"/>
  <c r="M70" i="4"/>
  <c r="L70" i="4"/>
  <c r="K70" i="4"/>
  <c r="J70" i="4"/>
  <c r="I70" i="4"/>
  <c r="H70" i="4"/>
  <c r="G70" i="4"/>
  <c r="F70" i="4"/>
  <c r="E70" i="4"/>
  <c r="U70" i="4" s="1"/>
  <c r="D70" i="4"/>
  <c r="C70" i="4"/>
  <c r="V70" i="4" s="1"/>
  <c r="B70" i="4"/>
  <c r="A70" i="4"/>
  <c r="X69" i="4"/>
  <c r="V69" i="4"/>
  <c r="T69" i="4"/>
  <c r="S69" i="4"/>
  <c r="R69" i="4"/>
  <c r="Q69" i="4"/>
  <c r="P69" i="4"/>
  <c r="O69" i="4"/>
  <c r="W69" i="4" s="1"/>
  <c r="N69" i="4"/>
  <c r="M69" i="4"/>
  <c r="L69" i="4"/>
  <c r="K69" i="4"/>
  <c r="J69" i="4"/>
  <c r="I69" i="4"/>
  <c r="H69" i="4"/>
  <c r="G69" i="4"/>
  <c r="F69" i="4"/>
  <c r="E69" i="4"/>
  <c r="U69" i="4" s="1"/>
  <c r="D69" i="4"/>
  <c r="C69" i="4"/>
  <c r="B69" i="4"/>
  <c r="A69" i="4"/>
  <c r="X68" i="4"/>
  <c r="W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U68" i="4" s="1"/>
  <c r="D68" i="4"/>
  <c r="C68" i="4"/>
  <c r="V68" i="4" s="1"/>
  <c r="B68" i="4"/>
  <c r="A68" i="4"/>
  <c r="X67" i="4"/>
  <c r="V67" i="4"/>
  <c r="T67" i="4"/>
  <c r="S67" i="4"/>
  <c r="R67" i="4"/>
  <c r="Q67" i="4"/>
  <c r="P67" i="4"/>
  <c r="O67" i="4"/>
  <c r="W67" i="4" s="1"/>
  <c r="N67" i="4"/>
  <c r="M67" i="4"/>
  <c r="L67" i="4"/>
  <c r="K67" i="4"/>
  <c r="J67" i="4"/>
  <c r="I67" i="4"/>
  <c r="H67" i="4"/>
  <c r="G67" i="4"/>
  <c r="F67" i="4"/>
  <c r="E67" i="4"/>
  <c r="U67" i="4" s="1"/>
  <c r="D67" i="4"/>
  <c r="C67" i="4"/>
  <c r="B67" i="4"/>
  <c r="A67" i="4"/>
  <c r="X66" i="4"/>
  <c r="T66" i="4"/>
  <c r="S66" i="4"/>
  <c r="W66" i="4" s="1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U66" i="4" s="1"/>
  <c r="D66" i="4"/>
  <c r="C66" i="4"/>
  <c r="V66" i="4" s="1"/>
  <c r="B66" i="4"/>
  <c r="A66" i="4"/>
  <c r="X65" i="4"/>
  <c r="W65" i="4"/>
  <c r="V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U65" i="4" s="1"/>
  <c r="D65" i="4"/>
  <c r="C65" i="4"/>
  <c r="B65" i="4"/>
  <c r="A65" i="4"/>
  <c r="X64" i="4"/>
  <c r="T64" i="4"/>
  <c r="S64" i="4"/>
  <c r="R64" i="4"/>
  <c r="Q64" i="4"/>
  <c r="P64" i="4"/>
  <c r="O64" i="4"/>
  <c r="W64" i="4" s="1"/>
  <c r="N64" i="4"/>
  <c r="M64" i="4"/>
  <c r="L64" i="4"/>
  <c r="K64" i="4"/>
  <c r="J64" i="4"/>
  <c r="I64" i="4"/>
  <c r="H64" i="4"/>
  <c r="G64" i="4"/>
  <c r="F64" i="4"/>
  <c r="E64" i="4"/>
  <c r="U64" i="4" s="1"/>
  <c r="D64" i="4"/>
  <c r="C64" i="4"/>
  <c r="V64" i="4" s="1"/>
  <c r="B64" i="4"/>
  <c r="A64" i="4"/>
  <c r="X63" i="4"/>
  <c r="W63" i="4"/>
  <c r="V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U63" i="4" s="1"/>
  <c r="D63" i="4"/>
  <c r="C63" i="4"/>
  <c r="B63" i="4"/>
  <c r="A63" i="4"/>
  <c r="X62" i="4"/>
  <c r="T62" i="4"/>
  <c r="S62" i="4"/>
  <c r="R62" i="4"/>
  <c r="Q62" i="4"/>
  <c r="P62" i="4"/>
  <c r="O62" i="4"/>
  <c r="W62" i="4" s="1"/>
  <c r="N62" i="4"/>
  <c r="M62" i="4"/>
  <c r="L62" i="4"/>
  <c r="K62" i="4"/>
  <c r="J62" i="4"/>
  <c r="I62" i="4"/>
  <c r="H62" i="4"/>
  <c r="G62" i="4"/>
  <c r="F62" i="4"/>
  <c r="E62" i="4"/>
  <c r="U62" i="4" s="1"/>
  <c r="D62" i="4"/>
  <c r="C62" i="4"/>
  <c r="V62" i="4" s="1"/>
  <c r="B62" i="4"/>
  <c r="A62" i="4"/>
  <c r="X61" i="4"/>
  <c r="W61" i="4"/>
  <c r="V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U61" i="4" s="1"/>
  <c r="D61" i="4"/>
  <c r="C61" i="4"/>
  <c r="B61" i="4"/>
  <c r="A61" i="4"/>
  <c r="X60" i="4"/>
  <c r="T60" i="4"/>
  <c r="S60" i="4"/>
  <c r="R60" i="4"/>
  <c r="Q60" i="4"/>
  <c r="P60" i="4"/>
  <c r="O60" i="4"/>
  <c r="W60" i="4" s="1"/>
  <c r="N60" i="4"/>
  <c r="M60" i="4"/>
  <c r="L60" i="4"/>
  <c r="K60" i="4"/>
  <c r="J60" i="4"/>
  <c r="I60" i="4"/>
  <c r="H60" i="4"/>
  <c r="G60" i="4"/>
  <c r="F60" i="4"/>
  <c r="E60" i="4"/>
  <c r="U60" i="4" s="1"/>
  <c r="D60" i="4"/>
  <c r="C60" i="4"/>
  <c r="V60" i="4" s="1"/>
  <c r="B60" i="4"/>
  <c r="A60" i="4"/>
  <c r="X59" i="4"/>
  <c r="V59" i="4"/>
  <c r="T59" i="4"/>
  <c r="S59" i="4"/>
  <c r="R59" i="4"/>
  <c r="Q59" i="4"/>
  <c r="P59" i="4"/>
  <c r="O59" i="4"/>
  <c r="W59" i="4" s="1"/>
  <c r="N59" i="4"/>
  <c r="M59" i="4"/>
  <c r="L59" i="4"/>
  <c r="K59" i="4"/>
  <c r="J59" i="4"/>
  <c r="I59" i="4"/>
  <c r="H59" i="4"/>
  <c r="G59" i="4"/>
  <c r="F59" i="4"/>
  <c r="E59" i="4"/>
  <c r="U59" i="4" s="1"/>
  <c r="D59" i="4"/>
  <c r="C59" i="4"/>
  <c r="B59" i="4"/>
  <c r="A59" i="4"/>
  <c r="X58" i="4"/>
  <c r="W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U58" i="4" s="1"/>
  <c r="D58" i="4"/>
  <c r="C58" i="4"/>
  <c r="V58" i="4" s="1"/>
  <c r="B58" i="4"/>
  <c r="A58" i="4"/>
  <c r="X57" i="4"/>
  <c r="V57" i="4"/>
  <c r="T57" i="4"/>
  <c r="S57" i="4"/>
  <c r="R57" i="4"/>
  <c r="Q57" i="4"/>
  <c r="P57" i="4"/>
  <c r="O57" i="4"/>
  <c r="W57" i="4" s="1"/>
  <c r="N57" i="4"/>
  <c r="M57" i="4"/>
  <c r="L57" i="4"/>
  <c r="K57" i="4"/>
  <c r="J57" i="4"/>
  <c r="I57" i="4"/>
  <c r="H57" i="4"/>
  <c r="G57" i="4"/>
  <c r="F57" i="4"/>
  <c r="E57" i="4"/>
  <c r="U57" i="4" s="1"/>
  <c r="D57" i="4"/>
  <c r="C57" i="4"/>
  <c r="B57" i="4"/>
  <c r="A57" i="4"/>
  <c r="X56" i="4"/>
  <c r="T56" i="4"/>
  <c r="S56" i="4"/>
  <c r="W56" i="4" s="1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U56" i="4" s="1"/>
  <c r="D56" i="4"/>
  <c r="C56" i="4"/>
  <c r="V56" i="4" s="1"/>
  <c r="B56" i="4"/>
  <c r="A56" i="4"/>
  <c r="X55" i="4"/>
  <c r="V55" i="4"/>
  <c r="T55" i="4"/>
  <c r="S55" i="4"/>
  <c r="R55" i="4"/>
  <c r="Q55" i="4"/>
  <c r="P55" i="4"/>
  <c r="O55" i="4"/>
  <c r="W55" i="4" s="1"/>
  <c r="N55" i="4"/>
  <c r="M55" i="4"/>
  <c r="L55" i="4"/>
  <c r="K55" i="4"/>
  <c r="J55" i="4"/>
  <c r="I55" i="4"/>
  <c r="H55" i="4"/>
  <c r="G55" i="4"/>
  <c r="F55" i="4"/>
  <c r="E55" i="4"/>
  <c r="U55" i="4" s="1"/>
  <c r="D55" i="4"/>
  <c r="C55" i="4"/>
  <c r="B55" i="4"/>
  <c r="A55" i="4"/>
  <c r="X54" i="4"/>
  <c r="T54" i="4"/>
  <c r="S54" i="4"/>
  <c r="R54" i="4"/>
  <c r="Q54" i="4"/>
  <c r="P54" i="4"/>
  <c r="O54" i="4"/>
  <c r="W54" i="4" s="1"/>
  <c r="N54" i="4"/>
  <c r="M54" i="4"/>
  <c r="L54" i="4"/>
  <c r="K54" i="4"/>
  <c r="J54" i="4"/>
  <c r="I54" i="4"/>
  <c r="H54" i="4"/>
  <c r="G54" i="4"/>
  <c r="F54" i="4"/>
  <c r="E54" i="4"/>
  <c r="U54" i="4" s="1"/>
  <c r="D54" i="4"/>
  <c r="C54" i="4"/>
  <c r="V54" i="4" s="1"/>
  <c r="B54" i="4"/>
  <c r="A54" i="4"/>
  <c r="X53" i="4"/>
  <c r="W53" i="4"/>
  <c r="V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U53" i="4" s="1"/>
  <c r="D53" i="4"/>
  <c r="C53" i="4"/>
  <c r="B53" i="4"/>
  <c r="A53" i="4"/>
  <c r="X52" i="4"/>
  <c r="T52" i="4"/>
  <c r="S52" i="4"/>
  <c r="R52" i="4"/>
  <c r="Q52" i="4"/>
  <c r="P52" i="4"/>
  <c r="O52" i="4"/>
  <c r="W52" i="4" s="1"/>
  <c r="N52" i="4"/>
  <c r="M52" i="4"/>
  <c r="L52" i="4"/>
  <c r="K52" i="4"/>
  <c r="J52" i="4"/>
  <c r="I52" i="4"/>
  <c r="H52" i="4"/>
  <c r="G52" i="4"/>
  <c r="F52" i="4"/>
  <c r="E52" i="4"/>
  <c r="U52" i="4" s="1"/>
  <c r="D52" i="4"/>
  <c r="C52" i="4"/>
  <c r="V52" i="4" s="1"/>
  <c r="B52" i="4"/>
  <c r="A52" i="4"/>
  <c r="X51" i="4"/>
  <c r="W51" i="4"/>
  <c r="V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U51" i="4" s="1"/>
  <c r="D51" i="4"/>
  <c r="C51" i="4"/>
  <c r="B51" i="4"/>
  <c r="A51" i="4"/>
  <c r="X50" i="4"/>
  <c r="T50" i="4"/>
  <c r="S50" i="4"/>
  <c r="W50" i="4" s="1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U50" i="4" s="1"/>
  <c r="D50" i="4"/>
  <c r="C50" i="4"/>
  <c r="V50" i="4" s="1"/>
  <c r="B50" i="4"/>
  <c r="A50" i="4"/>
  <c r="X49" i="4"/>
  <c r="W49" i="4"/>
  <c r="V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U49" i="4" s="1"/>
  <c r="D49" i="4"/>
  <c r="C49" i="4"/>
  <c r="B49" i="4"/>
  <c r="A49" i="4"/>
  <c r="X48" i="4"/>
  <c r="T48" i="4"/>
  <c r="S48" i="4"/>
  <c r="R48" i="4"/>
  <c r="Q48" i="4"/>
  <c r="P48" i="4"/>
  <c r="O48" i="4"/>
  <c r="W48" i="4" s="1"/>
  <c r="N48" i="4"/>
  <c r="M48" i="4"/>
  <c r="L48" i="4"/>
  <c r="K48" i="4"/>
  <c r="J48" i="4"/>
  <c r="I48" i="4"/>
  <c r="H48" i="4"/>
  <c r="G48" i="4"/>
  <c r="F48" i="4"/>
  <c r="E48" i="4"/>
  <c r="U48" i="4" s="1"/>
  <c r="D48" i="4"/>
  <c r="C48" i="4"/>
  <c r="V48" i="4" s="1"/>
  <c r="B48" i="4"/>
  <c r="A48" i="4"/>
  <c r="X47" i="4"/>
  <c r="V47" i="4"/>
  <c r="T47" i="4"/>
  <c r="S47" i="4"/>
  <c r="R47" i="4"/>
  <c r="Q47" i="4"/>
  <c r="P47" i="4"/>
  <c r="O47" i="4"/>
  <c r="W47" i="4" s="1"/>
  <c r="N47" i="4"/>
  <c r="M47" i="4"/>
  <c r="L47" i="4"/>
  <c r="K47" i="4"/>
  <c r="J47" i="4"/>
  <c r="I47" i="4"/>
  <c r="H47" i="4"/>
  <c r="G47" i="4"/>
  <c r="F47" i="4"/>
  <c r="E47" i="4"/>
  <c r="U47" i="4" s="1"/>
  <c r="D47" i="4"/>
  <c r="C47" i="4"/>
  <c r="B47" i="4"/>
  <c r="A47" i="4"/>
  <c r="X46" i="4"/>
  <c r="T46" i="4"/>
  <c r="S46" i="4"/>
  <c r="W46" i="4" s="1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U46" i="4" s="1"/>
  <c r="D46" i="4"/>
  <c r="C46" i="4"/>
  <c r="V46" i="4" s="1"/>
  <c r="B46" i="4"/>
  <c r="A46" i="4"/>
  <c r="X45" i="4"/>
  <c r="V45" i="4"/>
  <c r="T45" i="4"/>
  <c r="S45" i="4"/>
  <c r="R45" i="4"/>
  <c r="Q45" i="4"/>
  <c r="P45" i="4"/>
  <c r="O45" i="4"/>
  <c r="W45" i="4" s="1"/>
  <c r="N45" i="4"/>
  <c r="M45" i="4"/>
  <c r="L45" i="4"/>
  <c r="K45" i="4"/>
  <c r="J45" i="4"/>
  <c r="I45" i="4"/>
  <c r="H45" i="4"/>
  <c r="G45" i="4"/>
  <c r="F45" i="4"/>
  <c r="E45" i="4"/>
  <c r="U45" i="4" s="1"/>
  <c r="D45" i="4"/>
  <c r="C45" i="4"/>
  <c r="B45" i="4"/>
  <c r="A45" i="4"/>
  <c r="X44" i="4"/>
  <c r="T44" i="4"/>
  <c r="S44" i="4"/>
  <c r="W44" i="4" s="1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U44" i="4" s="1"/>
  <c r="D44" i="4"/>
  <c r="C44" i="4"/>
  <c r="V44" i="4" s="1"/>
  <c r="B44" i="4"/>
  <c r="A44" i="4"/>
  <c r="X43" i="4"/>
  <c r="V43" i="4"/>
  <c r="T43" i="4"/>
  <c r="S43" i="4"/>
  <c r="R43" i="4"/>
  <c r="Q43" i="4"/>
  <c r="P43" i="4"/>
  <c r="O43" i="4"/>
  <c r="W43" i="4" s="1"/>
  <c r="N43" i="4"/>
  <c r="M43" i="4"/>
  <c r="L43" i="4"/>
  <c r="K43" i="4"/>
  <c r="J43" i="4"/>
  <c r="I43" i="4"/>
  <c r="H43" i="4"/>
  <c r="G43" i="4"/>
  <c r="F43" i="4"/>
  <c r="E43" i="4"/>
  <c r="U43" i="4" s="1"/>
  <c r="D43" i="4"/>
  <c r="C43" i="4"/>
  <c r="B43" i="4"/>
  <c r="A43" i="4"/>
  <c r="X42" i="4"/>
  <c r="T42" i="4"/>
  <c r="S42" i="4"/>
  <c r="R42" i="4"/>
  <c r="Q42" i="4"/>
  <c r="P42" i="4"/>
  <c r="O42" i="4"/>
  <c r="W42" i="4" s="1"/>
  <c r="N42" i="4"/>
  <c r="M42" i="4"/>
  <c r="L42" i="4"/>
  <c r="K42" i="4"/>
  <c r="J42" i="4"/>
  <c r="I42" i="4"/>
  <c r="H42" i="4"/>
  <c r="G42" i="4"/>
  <c r="F42" i="4"/>
  <c r="E42" i="4"/>
  <c r="U42" i="4" s="1"/>
  <c r="D42" i="4"/>
  <c r="C42" i="4"/>
  <c r="V42" i="4" s="1"/>
  <c r="B42" i="4"/>
  <c r="A42" i="4"/>
  <c r="X41" i="4"/>
  <c r="W41" i="4"/>
  <c r="V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U41" i="4" s="1"/>
  <c r="D41" i="4"/>
  <c r="C41" i="4"/>
  <c r="B41" i="4"/>
  <c r="A41" i="4"/>
  <c r="X40" i="4"/>
  <c r="T40" i="4"/>
  <c r="S40" i="4"/>
  <c r="R40" i="4"/>
  <c r="Q40" i="4"/>
  <c r="P40" i="4"/>
  <c r="O40" i="4"/>
  <c r="W40" i="4" s="1"/>
  <c r="N40" i="4"/>
  <c r="M40" i="4"/>
  <c r="L40" i="4"/>
  <c r="K40" i="4"/>
  <c r="J40" i="4"/>
  <c r="I40" i="4"/>
  <c r="H40" i="4"/>
  <c r="G40" i="4"/>
  <c r="F40" i="4"/>
  <c r="E40" i="4"/>
  <c r="U40" i="4" s="1"/>
  <c r="D40" i="4"/>
  <c r="C40" i="4"/>
  <c r="V40" i="4" s="1"/>
  <c r="B40" i="4"/>
  <c r="A40" i="4"/>
  <c r="X39" i="4"/>
  <c r="V39" i="4"/>
  <c r="T39" i="4"/>
  <c r="S39" i="4"/>
  <c r="R39" i="4"/>
  <c r="Q39" i="4"/>
  <c r="P39" i="4"/>
  <c r="O39" i="4"/>
  <c r="W39" i="4" s="1"/>
  <c r="N39" i="4"/>
  <c r="M39" i="4"/>
  <c r="L39" i="4"/>
  <c r="K39" i="4"/>
  <c r="J39" i="4"/>
  <c r="I39" i="4"/>
  <c r="H39" i="4"/>
  <c r="G39" i="4"/>
  <c r="F39" i="4"/>
  <c r="E39" i="4"/>
  <c r="U39" i="4" s="1"/>
  <c r="D39" i="4"/>
  <c r="C39" i="4"/>
  <c r="B39" i="4"/>
  <c r="A39" i="4"/>
  <c r="X38" i="4"/>
  <c r="T38" i="4"/>
  <c r="S38" i="4"/>
  <c r="R38" i="4"/>
  <c r="Q38" i="4"/>
  <c r="P38" i="4"/>
  <c r="O38" i="4"/>
  <c r="W38" i="4" s="1"/>
  <c r="N38" i="4"/>
  <c r="M38" i="4"/>
  <c r="L38" i="4"/>
  <c r="K38" i="4"/>
  <c r="J38" i="4"/>
  <c r="I38" i="4"/>
  <c r="H38" i="4"/>
  <c r="G38" i="4"/>
  <c r="F38" i="4"/>
  <c r="E38" i="4"/>
  <c r="U38" i="4" s="1"/>
  <c r="D38" i="4"/>
  <c r="C38" i="4"/>
  <c r="V38" i="4" s="1"/>
  <c r="B38" i="4"/>
  <c r="A38" i="4"/>
  <c r="X37" i="4"/>
  <c r="V37" i="4"/>
  <c r="T37" i="4"/>
  <c r="S37" i="4"/>
  <c r="R37" i="4"/>
  <c r="Q37" i="4"/>
  <c r="P37" i="4"/>
  <c r="O37" i="4"/>
  <c r="W37" i="4" s="1"/>
  <c r="N37" i="4"/>
  <c r="M37" i="4"/>
  <c r="L37" i="4"/>
  <c r="K37" i="4"/>
  <c r="J37" i="4"/>
  <c r="I37" i="4"/>
  <c r="H37" i="4"/>
  <c r="G37" i="4"/>
  <c r="F37" i="4"/>
  <c r="E37" i="4"/>
  <c r="U37" i="4" s="1"/>
  <c r="D37" i="4"/>
  <c r="C37" i="4"/>
  <c r="B37" i="4"/>
  <c r="A37" i="4"/>
  <c r="X36" i="4"/>
  <c r="W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U36" i="4" s="1"/>
  <c r="D36" i="4"/>
  <c r="C36" i="4"/>
  <c r="V36" i="4" s="1"/>
  <c r="B36" i="4"/>
  <c r="A36" i="4"/>
  <c r="X35" i="4"/>
  <c r="V35" i="4"/>
  <c r="T35" i="4"/>
  <c r="S35" i="4"/>
  <c r="R35" i="4"/>
  <c r="Q35" i="4"/>
  <c r="P35" i="4"/>
  <c r="O35" i="4"/>
  <c r="W35" i="4" s="1"/>
  <c r="N35" i="4"/>
  <c r="M35" i="4"/>
  <c r="L35" i="4"/>
  <c r="K35" i="4"/>
  <c r="J35" i="4"/>
  <c r="I35" i="4"/>
  <c r="H35" i="4"/>
  <c r="G35" i="4"/>
  <c r="F35" i="4"/>
  <c r="E35" i="4"/>
  <c r="U35" i="4" s="1"/>
  <c r="D35" i="4"/>
  <c r="C35" i="4"/>
  <c r="B35" i="4"/>
  <c r="A35" i="4"/>
  <c r="X34" i="4"/>
  <c r="T34" i="4"/>
  <c r="S34" i="4"/>
  <c r="W34" i="4" s="1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U34" i="4" s="1"/>
  <c r="D34" i="4"/>
  <c r="C34" i="4"/>
  <c r="V34" i="4" s="1"/>
  <c r="B34" i="4"/>
  <c r="A34" i="4"/>
  <c r="X33" i="4"/>
  <c r="W33" i="4"/>
  <c r="V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U33" i="4" s="1"/>
  <c r="D33" i="4"/>
  <c r="C33" i="4"/>
  <c r="B33" i="4"/>
  <c r="A33" i="4"/>
  <c r="X32" i="4"/>
  <c r="T32" i="4"/>
  <c r="S32" i="4"/>
  <c r="R32" i="4"/>
  <c r="Q32" i="4"/>
  <c r="P32" i="4"/>
  <c r="O32" i="4"/>
  <c r="W32" i="4" s="1"/>
  <c r="N32" i="4"/>
  <c r="M32" i="4"/>
  <c r="L32" i="4"/>
  <c r="K32" i="4"/>
  <c r="J32" i="4"/>
  <c r="I32" i="4"/>
  <c r="H32" i="4"/>
  <c r="G32" i="4"/>
  <c r="F32" i="4"/>
  <c r="E32" i="4"/>
  <c r="U32" i="4" s="1"/>
  <c r="D32" i="4"/>
  <c r="C32" i="4"/>
  <c r="V32" i="4" s="1"/>
  <c r="B32" i="4"/>
  <c r="A32" i="4"/>
  <c r="X31" i="4"/>
  <c r="W31" i="4"/>
  <c r="V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U31" i="4" s="1"/>
  <c r="D31" i="4"/>
  <c r="C31" i="4"/>
  <c r="B31" i="4"/>
  <c r="A31" i="4"/>
  <c r="X30" i="4"/>
  <c r="T30" i="4"/>
  <c r="S30" i="4"/>
  <c r="R30" i="4"/>
  <c r="Q30" i="4"/>
  <c r="P30" i="4"/>
  <c r="O30" i="4"/>
  <c r="W30" i="4" s="1"/>
  <c r="N30" i="4"/>
  <c r="M30" i="4"/>
  <c r="L30" i="4"/>
  <c r="K30" i="4"/>
  <c r="J30" i="4"/>
  <c r="I30" i="4"/>
  <c r="H30" i="4"/>
  <c r="G30" i="4"/>
  <c r="F30" i="4"/>
  <c r="E30" i="4"/>
  <c r="U30" i="4" s="1"/>
  <c r="D30" i="4"/>
  <c r="C30" i="4"/>
  <c r="V30" i="4" s="1"/>
  <c r="B30" i="4"/>
  <c r="A30" i="4"/>
  <c r="X29" i="4"/>
  <c r="W29" i="4"/>
  <c r="V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U29" i="4" s="1"/>
  <c r="D29" i="4"/>
  <c r="C29" i="4"/>
  <c r="B29" i="4"/>
  <c r="A29" i="4"/>
  <c r="X28" i="4"/>
  <c r="T28" i="4"/>
  <c r="S28" i="4"/>
  <c r="W28" i="4" s="1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U28" i="4" s="1"/>
  <c r="D28" i="4"/>
  <c r="C28" i="4"/>
  <c r="V28" i="4" s="1"/>
  <c r="B28" i="4"/>
  <c r="A28" i="4"/>
  <c r="X27" i="4"/>
  <c r="V27" i="4"/>
  <c r="T27" i="4"/>
  <c r="S27" i="4"/>
  <c r="R27" i="4"/>
  <c r="Q27" i="4"/>
  <c r="P27" i="4"/>
  <c r="O27" i="4"/>
  <c r="W27" i="4" s="1"/>
  <c r="N27" i="4"/>
  <c r="M27" i="4"/>
  <c r="L27" i="4"/>
  <c r="K27" i="4"/>
  <c r="J27" i="4"/>
  <c r="I27" i="4"/>
  <c r="H27" i="4"/>
  <c r="G27" i="4"/>
  <c r="F27" i="4"/>
  <c r="E27" i="4"/>
  <c r="U27" i="4" s="1"/>
  <c r="D27" i="4"/>
  <c r="C27" i="4"/>
  <c r="B27" i="4"/>
  <c r="A27" i="4"/>
  <c r="X26" i="4"/>
  <c r="W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U26" i="4" s="1"/>
  <c r="D26" i="4"/>
  <c r="C26" i="4"/>
  <c r="V26" i="4" s="1"/>
  <c r="B26" i="4"/>
  <c r="A26" i="4"/>
  <c r="X25" i="4"/>
  <c r="V25" i="4"/>
  <c r="T25" i="4"/>
  <c r="S25" i="4"/>
  <c r="R25" i="4"/>
  <c r="Q25" i="4"/>
  <c r="P25" i="4"/>
  <c r="O25" i="4"/>
  <c r="W25" i="4" s="1"/>
  <c r="N25" i="4"/>
  <c r="M25" i="4"/>
  <c r="L25" i="4"/>
  <c r="K25" i="4"/>
  <c r="J25" i="4"/>
  <c r="I25" i="4"/>
  <c r="H25" i="4"/>
  <c r="G25" i="4"/>
  <c r="F25" i="4"/>
  <c r="E25" i="4"/>
  <c r="U25" i="4" s="1"/>
  <c r="D25" i="4"/>
  <c r="C25" i="4"/>
  <c r="B25" i="4"/>
  <c r="A25" i="4"/>
  <c r="X24" i="4"/>
  <c r="T24" i="4"/>
  <c r="S24" i="4"/>
  <c r="W24" i="4" s="1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U24" i="4" s="1"/>
  <c r="D24" i="4"/>
  <c r="C24" i="4"/>
  <c r="V24" i="4" s="1"/>
  <c r="B24" i="4"/>
  <c r="A24" i="4"/>
  <c r="X23" i="4"/>
  <c r="V23" i="4"/>
  <c r="T23" i="4"/>
  <c r="S23" i="4"/>
  <c r="R23" i="4"/>
  <c r="Q23" i="4"/>
  <c r="P23" i="4"/>
  <c r="O23" i="4"/>
  <c r="W23" i="4" s="1"/>
  <c r="N23" i="4"/>
  <c r="M23" i="4"/>
  <c r="L23" i="4"/>
  <c r="K23" i="4"/>
  <c r="J23" i="4"/>
  <c r="I23" i="4"/>
  <c r="H23" i="4"/>
  <c r="G23" i="4"/>
  <c r="F23" i="4"/>
  <c r="E23" i="4"/>
  <c r="U23" i="4" s="1"/>
  <c r="D23" i="4"/>
  <c r="C23" i="4"/>
  <c r="B23" i="4"/>
  <c r="A23" i="4"/>
  <c r="X22" i="4"/>
  <c r="T22" i="4"/>
  <c r="S22" i="4"/>
  <c r="R22" i="4"/>
  <c r="Q22" i="4"/>
  <c r="P22" i="4"/>
  <c r="O22" i="4"/>
  <c r="W22" i="4" s="1"/>
  <c r="N22" i="4"/>
  <c r="M22" i="4"/>
  <c r="L22" i="4"/>
  <c r="K22" i="4"/>
  <c r="J22" i="4"/>
  <c r="I22" i="4"/>
  <c r="H22" i="4"/>
  <c r="G22" i="4"/>
  <c r="F22" i="4"/>
  <c r="E22" i="4"/>
  <c r="U22" i="4" s="1"/>
  <c r="D22" i="4"/>
  <c r="C22" i="4"/>
  <c r="V22" i="4" s="1"/>
  <c r="B22" i="4"/>
  <c r="A22" i="4"/>
  <c r="X21" i="4"/>
  <c r="W21" i="4"/>
  <c r="V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U21" i="4" s="1"/>
  <c r="D21" i="4"/>
  <c r="C21" i="4"/>
  <c r="B21" i="4"/>
  <c r="A21" i="4"/>
  <c r="X20" i="4"/>
  <c r="T20" i="4"/>
  <c r="S20" i="4"/>
  <c r="R20" i="4"/>
  <c r="Q20" i="4"/>
  <c r="P20" i="4"/>
  <c r="O20" i="4"/>
  <c r="W20" i="4" s="1"/>
  <c r="N20" i="4"/>
  <c r="M20" i="4"/>
  <c r="L20" i="4"/>
  <c r="K20" i="4"/>
  <c r="J20" i="4"/>
  <c r="I20" i="4"/>
  <c r="H20" i="4"/>
  <c r="G20" i="4"/>
  <c r="F20" i="4"/>
  <c r="E20" i="4"/>
  <c r="U20" i="4" s="1"/>
  <c r="D20" i="4"/>
  <c r="C20" i="4"/>
  <c r="V20" i="4" s="1"/>
  <c r="B20" i="4"/>
  <c r="A20" i="4"/>
  <c r="X19" i="4"/>
  <c r="W19" i="4"/>
  <c r="V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U19" i="4" s="1"/>
  <c r="D19" i="4"/>
  <c r="C19" i="4"/>
  <c r="B19" i="4"/>
  <c r="A19" i="4"/>
  <c r="X18" i="4"/>
  <c r="T18" i="4"/>
  <c r="S18" i="4"/>
  <c r="W18" i="4" s="1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U18" i="4" s="1"/>
  <c r="D18" i="4"/>
  <c r="C18" i="4"/>
  <c r="V18" i="4" s="1"/>
  <c r="B18" i="4"/>
  <c r="A18" i="4"/>
  <c r="X17" i="4"/>
  <c r="W17" i="4"/>
  <c r="V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U17" i="4" s="1"/>
  <c r="D17" i="4"/>
  <c r="C17" i="4"/>
  <c r="B17" i="4"/>
  <c r="A17" i="4"/>
  <c r="X16" i="4"/>
  <c r="T16" i="4"/>
  <c r="S16" i="4"/>
  <c r="R16" i="4"/>
  <c r="Q16" i="4"/>
  <c r="P16" i="4"/>
  <c r="O16" i="4"/>
  <c r="W16" i="4" s="1"/>
  <c r="N16" i="4"/>
  <c r="M16" i="4"/>
  <c r="L16" i="4"/>
  <c r="K16" i="4"/>
  <c r="J16" i="4"/>
  <c r="I16" i="4"/>
  <c r="H16" i="4"/>
  <c r="G16" i="4"/>
  <c r="F16" i="4"/>
  <c r="E16" i="4"/>
  <c r="U16" i="4" s="1"/>
  <c r="D16" i="4"/>
  <c r="C16" i="4"/>
  <c r="V16" i="4" s="1"/>
  <c r="B16" i="4"/>
  <c r="A16" i="4"/>
  <c r="X15" i="4"/>
  <c r="V15" i="4"/>
  <c r="T15" i="4"/>
  <c r="S15" i="4"/>
  <c r="R15" i="4"/>
  <c r="Q15" i="4"/>
  <c r="P15" i="4"/>
  <c r="O15" i="4"/>
  <c r="W15" i="4" s="1"/>
  <c r="N15" i="4"/>
  <c r="M15" i="4"/>
  <c r="L15" i="4"/>
  <c r="K15" i="4"/>
  <c r="J15" i="4"/>
  <c r="I15" i="4"/>
  <c r="H15" i="4"/>
  <c r="G15" i="4"/>
  <c r="F15" i="4"/>
  <c r="E15" i="4"/>
  <c r="U15" i="4" s="1"/>
  <c r="D15" i="4"/>
  <c r="C15" i="4"/>
  <c r="B15" i="4"/>
  <c r="A15" i="4"/>
  <c r="X14" i="4"/>
  <c r="T14" i="4"/>
  <c r="S14" i="4"/>
  <c r="W14" i="4" s="1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U14" i="4" s="1"/>
  <c r="D14" i="4"/>
  <c r="C14" i="4"/>
  <c r="V14" i="4" s="1"/>
  <c r="B14" i="4"/>
  <c r="A14" i="4"/>
  <c r="X13" i="4"/>
  <c r="W13" i="4"/>
  <c r="V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U13" i="4" s="1"/>
  <c r="D13" i="4"/>
  <c r="C13" i="4"/>
  <c r="B13" i="4"/>
  <c r="A13" i="4"/>
  <c r="X12" i="4"/>
  <c r="T12" i="4"/>
  <c r="S12" i="4"/>
  <c r="W12" i="4" s="1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U12" i="4" s="1"/>
  <c r="D12" i="4"/>
  <c r="C12" i="4"/>
  <c r="V12" i="4" s="1"/>
  <c r="B12" i="4"/>
  <c r="A12" i="4"/>
  <c r="X11" i="4"/>
  <c r="V11" i="4"/>
  <c r="T11" i="4"/>
  <c r="S11" i="4"/>
  <c r="R11" i="4"/>
  <c r="Q11" i="4"/>
  <c r="P11" i="4"/>
  <c r="O11" i="4"/>
  <c r="W11" i="4" s="1"/>
  <c r="N11" i="4"/>
  <c r="M11" i="4"/>
  <c r="L11" i="4"/>
  <c r="K11" i="4"/>
  <c r="J11" i="4"/>
  <c r="I11" i="4"/>
  <c r="H11" i="4"/>
  <c r="G11" i="4"/>
  <c r="F11" i="4"/>
  <c r="E11" i="4"/>
  <c r="U11" i="4" s="1"/>
  <c r="D11" i="4"/>
  <c r="C11" i="4"/>
  <c r="B11" i="4"/>
  <c r="A11" i="4"/>
  <c r="X10" i="4"/>
  <c r="T10" i="4"/>
  <c r="S10" i="4"/>
  <c r="R10" i="4"/>
  <c r="Q10" i="4"/>
  <c r="P10" i="4"/>
  <c r="O10" i="4"/>
  <c r="W10" i="4" s="1"/>
  <c r="N10" i="4"/>
  <c r="M10" i="4"/>
  <c r="L10" i="4"/>
  <c r="K10" i="4"/>
  <c r="J10" i="4"/>
  <c r="I10" i="4"/>
  <c r="H10" i="4"/>
  <c r="G10" i="4"/>
  <c r="F10" i="4"/>
  <c r="E10" i="4"/>
  <c r="U10" i="4" s="1"/>
  <c r="D10" i="4"/>
  <c r="C10" i="4"/>
  <c r="V10" i="4" s="1"/>
  <c r="B10" i="4"/>
  <c r="A10" i="4"/>
  <c r="X9" i="4"/>
  <c r="W9" i="4"/>
  <c r="V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U9" i="4" s="1"/>
  <c r="D9" i="4"/>
  <c r="C9" i="4"/>
  <c r="B9" i="4"/>
  <c r="A9" i="4"/>
  <c r="X8" i="4"/>
  <c r="T8" i="4"/>
  <c r="S8" i="4"/>
  <c r="R8" i="4"/>
  <c r="Q8" i="4"/>
  <c r="P8" i="4"/>
  <c r="O8" i="4"/>
  <c r="W8" i="4" s="1"/>
  <c r="N8" i="4"/>
  <c r="M8" i="4"/>
  <c r="L8" i="4"/>
  <c r="K8" i="4"/>
  <c r="J8" i="4"/>
  <c r="I8" i="4"/>
  <c r="H8" i="4"/>
  <c r="G8" i="4"/>
  <c r="F8" i="4"/>
  <c r="E8" i="4"/>
  <c r="U8" i="4" s="1"/>
  <c r="D8" i="4"/>
  <c r="C8" i="4"/>
  <c r="V8" i="4" s="1"/>
  <c r="B8" i="4"/>
  <c r="A8" i="4"/>
  <c r="X7" i="4"/>
  <c r="V7" i="4"/>
  <c r="T7" i="4"/>
  <c r="S7" i="4"/>
  <c r="R7" i="4"/>
  <c r="Q7" i="4"/>
  <c r="P7" i="4"/>
  <c r="O7" i="4"/>
  <c r="W7" i="4" s="1"/>
  <c r="N7" i="4"/>
  <c r="M7" i="4"/>
  <c r="L7" i="4"/>
  <c r="K7" i="4"/>
  <c r="J7" i="4"/>
  <c r="I7" i="4"/>
  <c r="H7" i="4"/>
  <c r="G7" i="4"/>
  <c r="F7" i="4"/>
  <c r="E7" i="4"/>
  <c r="U7" i="4" s="1"/>
  <c r="D7" i="4"/>
  <c r="C7" i="4"/>
  <c r="B7" i="4"/>
  <c r="A7" i="4"/>
  <c r="X6" i="4"/>
  <c r="T6" i="4"/>
  <c r="S6" i="4"/>
  <c r="R6" i="4"/>
  <c r="Q6" i="4"/>
  <c r="P6" i="4"/>
  <c r="O6" i="4"/>
  <c r="W6" i="4" s="1"/>
  <c r="N6" i="4"/>
  <c r="M6" i="4"/>
  <c r="L6" i="4"/>
  <c r="K6" i="4"/>
  <c r="J6" i="4"/>
  <c r="I6" i="4"/>
  <c r="H6" i="4"/>
  <c r="G6" i="4"/>
  <c r="F6" i="4"/>
  <c r="E6" i="4"/>
  <c r="U6" i="4" s="1"/>
  <c r="D6" i="4"/>
  <c r="C6" i="4"/>
  <c r="V6" i="4" s="1"/>
  <c r="B6" i="4"/>
  <c r="A6" i="4"/>
  <c r="X5" i="4"/>
  <c r="V5" i="4"/>
  <c r="T5" i="4"/>
  <c r="S5" i="4"/>
  <c r="R5" i="4"/>
  <c r="Q5" i="4"/>
  <c r="P5" i="4"/>
  <c r="O5" i="4"/>
  <c r="W5" i="4" s="1"/>
  <c r="N5" i="4"/>
  <c r="M5" i="4"/>
  <c r="L5" i="4"/>
  <c r="K5" i="4"/>
  <c r="J5" i="4"/>
  <c r="I5" i="4"/>
  <c r="H5" i="4"/>
  <c r="G5" i="4"/>
  <c r="F5" i="4"/>
  <c r="E5" i="4"/>
  <c r="U5" i="4" s="1"/>
  <c r="D5" i="4"/>
  <c r="C5" i="4"/>
  <c r="B5" i="4"/>
  <c r="A5" i="4"/>
  <c r="X4" i="4"/>
  <c r="W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U4" i="4" s="1"/>
  <c r="D4" i="4"/>
  <c r="C4" i="4"/>
  <c r="V4" i="4" s="1"/>
  <c r="B4" i="4"/>
  <c r="A4" i="4"/>
  <c r="X3" i="4"/>
  <c r="V3" i="4"/>
  <c r="T3" i="4"/>
  <c r="S3" i="4"/>
  <c r="R3" i="4"/>
  <c r="Q3" i="4"/>
  <c r="P3" i="4"/>
  <c r="O3" i="4"/>
  <c r="W3" i="4" s="1"/>
  <c r="N3" i="4"/>
  <c r="M3" i="4"/>
  <c r="L3" i="4"/>
  <c r="K3" i="4"/>
  <c r="J3" i="4"/>
  <c r="I3" i="4"/>
  <c r="H3" i="4"/>
  <c r="G3" i="4"/>
  <c r="F3" i="4"/>
  <c r="E3" i="4"/>
  <c r="U3" i="4" s="1"/>
  <c r="D3" i="4"/>
  <c r="C3" i="4"/>
  <c r="B3" i="4"/>
  <c r="A3" i="4"/>
  <c r="X2" i="4"/>
  <c r="T2" i="4"/>
  <c r="S2" i="4"/>
  <c r="W2" i="4" s="1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U2" i="4" s="1"/>
  <c r="D2" i="4"/>
  <c r="C2" i="4"/>
  <c r="V2" i="4" s="1"/>
  <c r="B2" i="4"/>
  <c r="A2" i="4"/>
  <c r="B6" i="6" s="1"/>
  <c r="D31" i="5" l="1"/>
  <c r="I39" i="5"/>
  <c r="I43" i="5"/>
  <c r="H43" i="5"/>
  <c r="I42" i="5"/>
  <c r="H42" i="5"/>
  <c r="I44" i="5"/>
  <c r="H44" i="5"/>
  <c r="I41" i="5"/>
  <c r="H41" i="5"/>
  <c r="I40" i="5"/>
  <c r="H40" i="5"/>
  <c r="H39" i="5"/>
  <c r="W316" i="4"/>
  <c r="W478" i="4"/>
  <c r="W574" i="4"/>
  <c r="D7" i="5"/>
  <c r="C9" i="5"/>
  <c r="C7" i="5"/>
  <c r="E7" i="5" s="1"/>
  <c r="D9" i="5"/>
  <c r="D8" i="5"/>
  <c r="C8" i="5"/>
  <c r="W318" i="4"/>
  <c r="W476" i="4"/>
  <c r="D16" i="5"/>
  <c r="D15" i="5"/>
  <c r="C15" i="5"/>
  <c r="E15" i="5" s="1"/>
  <c r="D19" i="5"/>
  <c r="C19" i="5"/>
  <c r="E19" i="5" s="1"/>
  <c r="D18" i="5"/>
  <c r="C18" i="5"/>
  <c r="D17" i="5"/>
  <c r="C17" i="5"/>
  <c r="C16" i="5"/>
  <c r="W350" i="4"/>
  <c r="W508" i="4"/>
  <c r="I32" i="5"/>
  <c r="H32" i="5"/>
  <c r="I31" i="5"/>
  <c r="H31" i="5"/>
  <c r="I34" i="5"/>
  <c r="H34" i="5"/>
  <c r="J34" i="5" s="1"/>
  <c r="I33" i="5"/>
  <c r="H33" i="5"/>
  <c r="W380" i="4"/>
  <c r="W414" i="4"/>
  <c r="V6" i="6"/>
  <c r="D40" i="5"/>
  <c r="C40" i="5"/>
  <c r="D39" i="5"/>
  <c r="C39" i="5"/>
  <c r="W254" i="4"/>
  <c r="W523" i="4"/>
  <c r="I16" i="5"/>
  <c r="H16" i="5"/>
  <c r="J16" i="5" s="1"/>
  <c r="I15" i="5"/>
  <c r="H15" i="5"/>
  <c r="J15" i="5" s="1"/>
  <c r="I17" i="5"/>
  <c r="H17" i="5"/>
  <c r="J17" i="5" s="1"/>
  <c r="W250" i="4"/>
  <c r="W282" i="4"/>
  <c r="W314" i="4"/>
  <c r="W346" i="4"/>
  <c r="W378" i="4"/>
  <c r="W410" i="4"/>
  <c r="W442" i="4"/>
  <c r="W474" i="4"/>
  <c r="W526" i="4"/>
  <c r="W248" i="4"/>
  <c r="W280" i="4"/>
  <c r="W312" i="4"/>
  <c r="W344" i="4"/>
  <c r="W376" i="4"/>
  <c r="W408" i="4"/>
  <c r="W440" i="4"/>
  <c r="W472" i="4"/>
  <c r="W246" i="4"/>
  <c r="W278" i="4"/>
  <c r="W310" i="4"/>
  <c r="W342" i="4"/>
  <c r="W374" i="4"/>
  <c r="W406" i="4"/>
  <c r="W438" i="4"/>
  <c r="W470" i="4"/>
  <c r="W549" i="4"/>
  <c r="W572" i="4"/>
  <c r="W238" i="4"/>
  <c r="W270" i="4"/>
  <c r="W302" i="4"/>
  <c r="W334" i="4"/>
  <c r="W366" i="4"/>
  <c r="W398" i="4"/>
  <c r="W430" i="4"/>
  <c r="W462" i="4"/>
  <c r="W236" i="4"/>
  <c r="W268" i="4"/>
  <c r="W300" i="4"/>
  <c r="W332" i="4"/>
  <c r="W364" i="4"/>
  <c r="W396" i="4"/>
  <c r="W428" i="4"/>
  <c r="W460" i="4"/>
  <c r="W490" i="4"/>
  <c r="W565" i="4"/>
  <c r="W588" i="4"/>
  <c r="I10" i="5"/>
  <c r="H7" i="5"/>
  <c r="J7" i="5" s="1"/>
  <c r="H10" i="5"/>
  <c r="H9" i="5"/>
  <c r="J9" i="5" s="1"/>
  <c r="H8" i="5"/>
  <c r="J8" i="5" s="1"/>
  <c r="I7" i="5"/>
  <c r="I11" i="5"/>
  <c r="H11" i="5"/>
  <c r="J11" i="5" s="1"/>
  <c r="I9" i="5"/>
  <c r="I8" i="5"/>
  <c r="R6" i="6"/>
  <c r="I26" i="5"/>
  <c r="H23" i="5"/>
  <c r="H26" i="5"/>
  <c r="J26" i="5" s="1"/>
  <c r="H25" i="5"/>
  <c r="H24" i="5"/>
  <c r="I23" i="5"/>
  <c r="I27" i="5"/>
  <c r="H27" i="5"/>
  <c r="I25" i="5"/>
  <c r="I24" i="5"/>
  <c r="W234" i="4"/>
  <c r="W266" i="4"/>
  <c r="W298" i="4"/>
  <c r="W330" i="4"/>
  <c r="W362" i="4"/>
  <c r="W394" i="4"/>
  <c r="W426" i="4"/>
  <c r="W458" i="4"/>
  <c r="W517" i="4"/>
  <c r="W540" i="4"/>
  <c r="W752" i="4"/>
  <c r="D23" i="5"/>
  <c r="C25" i="5"/>
  <c r="C24" i="5"/>
  <c r="E24" i="5" s="1"/>
  <c r="C23" i="5"/>
  <c r="E23" i="5" s="1"/>
  <c r="D25" i="5"/>
  <c r="D24" i="5"/>
  <c r="W232" i="4"/>
  <c r="W264" i="4"/>
  <c r="W555" i="4"/>
  <c r="W558" i="4"/>
  <c r="W230" i="4"/>
  <c r="C33" i="5" s="1"/>
  <c r="W262" i="4"/>
  <c r="W507" i="4"/>
  <c r="W723" i="4"/>
  <c r="W733" i="4"/>
  <c r="W593" i="4"/>
  <c r="W685" i="4"/>
  <c r="W695" i="4"/>
  <c r="W860" i="4"/>
  <c r="J6" i="6"/>
  <c r="F6" i="6"/>
  <c r="W621" i="4"/>
  <c r="W633" i="4"/>
  <c r="W645" i="4"/>
  <c r="W657" i="4"/>
  <c r="W721" i="4"/>
  <c r="W789" i="4"/>
  <c r="W870" i="4"/>
  <c r="W719" i="4"/>
  <c r="W766" i="4"/>
  <c r="W814" i="4"/>
  <c r="W914" i="4"/>
  <c r="W798" i="4"/>
  <c r="W589" i="4"/>
  <c r="W601" i="4"/>
  <c r="W613" i="4"/>
  <c r="W625" i="4"/>
  <c r="W827" i="4"/>
  <c r="W956" i="4"/>
  <c r="W609" i="4"/>
  <c r="W641" i="4"/>
  <c r="W673" i="4"/>
  <c r="W693" i="4"/>
  <c r="W607" i="4"/>
  <c r="W639" i="4"/>
  <c r="W671" i="4"/>
  <c r="W727" i="4"/>
  <c r="W740" i="4"/>
  <c r="W838" i="4"/>
  <c r="W856" i="4"/>
  <c r="W597" i="4"/>
  <c r="W629" i="4"/>
  <c r="W661" i="4"/>
  <c r="W687" i="4"/>
  <c r="W701" i="4"/>
  <c r="W852" i="4"/>
  <c r="W595" i="4"/>
  <c r="W627" i="4"/>
  <c r="W659" i="4"/>
  <c r="W743" i="4"/>
  <c r="W821" i="4"/>
  <c r="W591" i="4"/>
  <c r="W623" i="4"/>
  <c r="W655" i="4"/>
  <c r="W699" i="4"/>
  <c r="W804" i="4"/>
  <c r="W865" i="4"/>
  <c r="W783" i="4"/>
  <c r="W815" i="4"/>
  <c r="W918" i="4"/>
  <c r="W715" i="4"/>
  <c r="W960" i="4"/>
  <c r="W713" i="4"/>
  <c r="W848" i="4"/>
  <c r="W924" i="4"/>
  <c r="W709" i="4"/>
  <c r="W741" i="4"/>
  <c r="W773" i="4"/>
  <c r="W805" i="4"/>
  <c r="W874" i="4"/>
  <c r="W707" i="4"/>
  <c r="W739" i="4"/>
  <c r="W771" i="4"/>
  <c r="W803" i="4"/>
  <c r="W906" i="4"/>
  <c r="W705" i="4"/>
  <c r="W737" i="4"/>
  <c r="W769" i="4"/>
  <c r="W801" i="4"/>
  <c r="W833" i="4"/>
  <c r="W846" i="4"/>
  <c r="W867" i="4"/>
  <c r="W901" i="4"/>
  <c r="W703" i="4"/>
  <c r="W735" i="4"/>
  <c r="W767" i="4"/>
  <c r="W799" i="4"/>
  <c r="W831" i="4"/>
  <c r="W1120" i="4"/>
  <c r="W883" i="4"/>
  <c r="W877" i="4"/>
  <c r="W893" i="4"/>
  <c r="W875" i="4"/>
  <c r="W891" i="4"/>
  <c r="W907" i="4"/>
  <c r="W1152" i="4"/>
  <c r="W1184" i="4"/>
  <c r="W1216" i="4"/>
  <c r="W1260" i="4"/>
  <c r="W1108" i="4"/>
  <c r="W1140" i="4"/>
  <c r="W1172" i="4"/>
  <c r="W1204" i="4"/>
  <c r="W1104" i="4"/>
  <c r="W1168" i="4"/>
  <c r="W1200" i="4"/>
  <c r="W1370" i="4"/>
  <c r="W1124" i="4"/>
  <c r="W1156" i="4"/>
  <c r="W1188" i="4"/>
  <c r="W1220" i="4"/>
  <c r="W1284" i="4"/>
  <c r="W1357" i="4"/>
  <c r="W1424" i="4"/>
  <c r="W1134" i="4"/>
  <c r="W1150" i="4"/>
  <c r="W1166" i="4"/>
  <c r="W1182" i="4"/>
  <c r="W1198" i="4"/>
  <c r="W1214" i="4"/>
  <c r="W1246" i="4"/>
  <c r="W1252" i="4"/>
  <c r="W1280" i="4"/>
  <c r="W1112" i="4"/>
  <c r="W1128" i="4"/>
  <c r="W1144" i="4"/>
  <c r="W1160" i="4"/>
  <c r="W1176" i="4"/>
  <c r="W1192" i="4"/>
  <c r="W1385" i="4"/>
  <c r="W1110" i="4"/>
  <c r="W1126" i="4"/>
  <c r="W1142" i="4"/>
  <c r="W1158" i="4"/>
  <c r="W1174" i="4"/>
  <c r="W1190" i="4"/>
  <c r="W1206" i="4"/>
  <c r="W1250" i="4"/>
  <c r="W1358" i="4"/>
  <c r="W1434" i="4"/>
  <c r="W1389" i="4"/>
  <c r="W1396" i="4"/>
  <c r="W1485" i="4"/>
  <c r="W1353" i="4"/>
  <c r="W1452" i="4"/>
  <c r="W1374" i="4"/>
  <c r="W1381" i="4"/>
  <c r="W1384" i="4"/>
  <c r="W1400" i="4"/>
  <c r="W1465" i="4"/>
  <c r="W1445" i="4"/>
  <c r="W1453" i="4"/>
  <c r="W1388" i="4"/>
  <c r="W1433" i="4"/>
  <c r="J24" i="5" l="1"/>
  <c r="J25" i="5"/>
  <c r="J31" i="5"/>
  <c r="J23" i="5"/>
  <c r="J32" i="5"/>
  <c r="E8" i="5"/>
  <c r="E39" i="5"/>
  <c r="E16" i="5"/>
  <c r="E9" i="5"/>
  <c r="E40" i="5"/>
  <c r="E17" i="5"/>
  <c r="D33" i="5"/>
  <c r="E33" i="5" s="1"/>
  <c r="C31" i="5"/>
  <c r="E31" i="5" s="1"/>
  <c r="E25" i="5"/>
  <c r="E18" i="5"/>
  <c r="C32" i="5"/>
  <c r="D32" i="5"/>
  <c r="J27" i="5"/>
  <c r="J10" i="5"/>
  <c r="J33" i="5"/>
  <c r="N6" i="6"/>
  <c r="E32" i="5" l="1"/>
</calcChain>
</file>

<file path=xl/sharedStrings.xml><?xml version="1.0" encoding="utf-8"?>
<sst xmlns="http://schemas.openxmlformats.org/spreadsheetml/2006/main" count="7684" uniqueCount="117">
  <si>
    <t>Dashboards for Customer Churn Analysis</t>
  </si>
  <si>
    <t>E-Commerce Customer Churn — Simulated Dataset &amp; Dashboard Workbook</t>
  </si>
  <si>
    <t>How this workbook is organised</t>
  </si>
  <si>
    <t>1. Raw Data — the simulated source dataset (5,630-row Kaggle schema, scaled to 1,500 customers), imported as-is including missing values. Do not edit this sheet — it represents the raw data extract.</t>
  </si>
  <si>
    <t>2. Lookup Tables — reference tables used by lookup formulas in Cleaned Data (City Tier labels, Satisfaction labels, Risk thresholds).</t>
  </si>
  <si>
    <t>3. Cleaned Data — formula-driven copy of Raw Data: missing values are imputed with INDEX/MATCH + AVERAGE/median formulas, plus derived columns (Tenure Bucket, Risk Segment, City Tier Label) built with lookup and nested IF formulas.</t>
  </si>
  <si>
    <t>4. Summary Calculations — COUNTIFS / AVERAGEIFS / SUMIFS pivot-style breakdowns of churn by segment, feeding the Dashboard charts.</t>
  </si>
  <si>
    <t>5. Dashboard — KPI cards and charts for presentation. All numbers are live formulas — change Raw Data and everything recalculates.</t>
  </si>
  <si>
    <t>Editing this workbook</t>
  </si>
  <si>
    <t>Cells shaded yellow are the editable/raw input area (Raw Data sheet). Every other sheet is formula-driven — edit Raw Data and the rest of the workbook updates automatically.</t>
  </si>
  <si>
    <t>This dataset is a SIMULATED dataset built to match the structure of the public Kaggle dataset 'Ecommerce Customer Churn Analysis and Prediction' (ankitverma2010), created for this capstone per the assignment brief.</t>
  </si>
  <si>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</si>
  <si>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</si>
  <si>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</si>
  <si>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</si>
  <si>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</si>
  <si>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</si>
  <si>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</si>
  <si>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</si>
  <si>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</si>
  <si>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</si>
  <si>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</si>
  <si>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</si>
  <si>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</si>
  <si>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</si>
  <si>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</si>
  <si>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</si>
  <si>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</si>
  <si>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</si>
  <si>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</si>
  <si>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</si>
  <si>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Computer</t>
  </si>
  <si>
    <t>UPI</t>
  </si>
  <si>
    <t>Male</t>
  </si>
  <si>
    <t>Others</t>
  </si>
  <si>
    <t>Married</t>
  </si>
  <si>
    <t>Mobile Phone</t>
  </si>
  <si>
    <t>Credit Card</t>
  </si>
  <si>
    <t>Female</t>
  </si>
  <si>
    <t>Debit Card</t>
  </si>
  <si>
    <t>Fashion</t>
  </si>
  <si>
    <t>Single</t>
  </si>
  <si>
    <t>Phone</t>
  </si>
  <si>
    <t>Cash on Delivery</t>
  </si>
  <si>
    <t>Laptop &amp; Accessory</t>
  </si>
  <si>
    <t>Divorced</t>
  </si>
  <si>
    <t>Grocery</t>
  </si>
  <si>
    <t>E wallet</t>
  </si>
  <si>
    <t>Lookup Tables</t>
  </si>
  <si>
    <t>Reference tables used by lookup formulas in the Cleaned Data sheet</t>
  </si>
  <si>
    <t>City Tier Lookup</t>
  </si>
  <si>
    <t>CityTierLabel</t>
  </si>
  <si>
    <t>Tier 1 (Metro)</t>
  </si>
  <si>
    <t>Tier 2 (Urban)</t>
  </si>
  <si>
    <t>Tier 3 (Semi-urban/Rural)</t>
  </si>
  <si>
    <t>Satisfaction Score Lookup</t>
  </si>
  <si>
    <t>SatisfactionLabel</t>
  </si>
  <si>
    <t>Very Low</t>
  </si>
  <si>
    <t>Low</t>
  </si>
  <si>
    <t>Neutral</t>
  </si>
  <si>
    <t>High</t>
  </si>
  <si>
    <t>Very High</t>
  </si>
  <si>
    <t>Tenure Bucket Rule (used in Cleaned Data nested IF formula)</t>
  </si>
  <si>
    <t>Bucket</t>
  </si>
  <si>
    <t>Rule</t>
  </si>
  <si>
    <t>0-6 months</t>
  </si>
  <si>
    <t>Tenure &lt;= 6</t>
  </si>
  <si>
    <t>7-12 months</t>
  </si>
  <si>
    <t>6 &lt; Tenure &lt;= 12</t>
  </si>
  <si>
    <t>13-24 months</t>
  </si>
  <si>
    <t>12 &lt; Tenure &lt;= 24</t>
  </si>
  <si>
    <t>25+ months</t>
  </si>
  <si>
    <t>Tenure &gt; 24</t>
  </si>
  <si>
    <t>Risk Segment Rule (used in Cleaned Data nested IF formula)</t>
  </si>
  <si>
    <t>Segment</t>
  </si>
  <si>
    <t>High Risk</t>
  </si>
  <si>
    <t>Complain = 1 AND SatisfactionScore &lt;= 2</t>
  </si>
  <si>
    <t>Medium Risk</t>
  </si>
  <si>
    <t>SatisfactionScore = 3 OR DaySinceLastOrder &gt; 15</t>
  </si>
  <si>
    <t>Low Risk</t>
  </si>
  <si>
    <t>All other customers</t>
  </si>
  <si>
    <t>TenureBucket</t>
  </si>
  <si>
    <t>RiskSegment</t>
  </si>
  <si>
    <t>ChurnLabel</t>
  </si>
  <si>
    <t>Summary Calculations</t>
  </si>
  <si>
    <t>COUNTIFS / AVERAGEIFS breakdowns of churn by customer segment — feeds the Dashboard charts</t>
  </si>
  <si>
    <t>1. Churn Rate by City Tier</t>
  </si>
  <si>
    <t>2. Churn Rate by Preferred Order Category</t>
  </si>
  <si>
    <t>Customers</t>
  </si>
  <si>
    <t>Churned</t>
  </si>
  <si>
    <t>Churn Rate</t>
  </si>
  <si>
    <t>3. Churn Rate by Preferred Payment Mode</t>
  </si>
  <si>
    <t>4. Churn Rate by Login Device</t>
  </si>
  <si>
    <t>5. Churn Rate by Marital Status</t>
  </si>
  <si>
    <t>6. Churn Rate by Satisfaction Score</t>
  </si>
  <si>
    <t>7. Churn Rate by Risk Segment</t>
  </si>
  <si>
    <t>8. Churn Rate by Tenure Bucket</t>
  </si>
  <si>
    <t>9. Churn Rate by Complaint Filed</t>
  </si>
  <si>
    <t>10. Behavioural Averages: Churned vs Retained</t>
  </si>
  <si>
    <t>Metric</t>
  </si>
  <si>
    <t>Retained (No)</t>
  </si>
  <si>
    <t>Churned (Yes)</t>
  </si>
  <si>
    <t>Complaint Filed</t>
  </si>
  <si>
    <t>Avg Tenure (months)</t>
  </si>
  <si>
    <t>No Complaint</t>
  </si>
  <si>
    <t>Avg Satisfaction Score</t>
  </si>
  <si>
    <t>Avg Day Since Last Order</t>
  </si>
  <si>
    <t>Avg Cashback Amount</t>
  </si>
  <si>
    <t>Avg Order Count</t>
  </si>
  <si>
    <t>Avg Coupon Used</t>
  </si>
  <si>
    <t>Customer Churn Analysis — Dashboard</t>
  </si>
  <si>
    <t>E-Commerce Customer Churn | Simulated Dataset (1,500 customers) | All figures are live formulas</t>
  </si>
  <si>
    <t>Total Customers</t>
  </si>
  <si>
    <t>Churned Customers</t>
  </si>
  <si>
    <t>Overall Churn Rate</t>
  </si>
  <si>
    <t>High-Risk Customers</t>
  </si>
  <si>
    <t>Customers with Complaints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</si>
</sst>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b/>
      <sz val="12"/>
      <color rgb="FF1F4E78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sz val="10"/>
      <color rgb="FFFFFFFF"/>
      <name val="Arial"/>
      <charset val="1"/>
    </font>
    <font>
      <b/>
      <sz val="20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2C3E50"/>
      </patternFill>
    </fill>
    <fill>
      <patternFill patternType="solid">
        <fgColor rgb="FFFFF2CC"/>
        <bgColor rgb="FFF9F9F9"/>
      </patternFill>
    </fill>
    <fill>
      <patternFill patternType="solid">
        <fgColor rgb="FF2C3E50"/>
        <bgColor rgb="FF1F4E78"/>
      </patternFill>
    </fill>
    <fill>
      <patternFill patternType="solid">
        <fgColor rgb="FFC0392B"/>
        <bgColor rgb="FFC0504D"/>
      </patternFill>
    </fill>
    <fill>
      <patternFill patternType="solid">
        <fgColor rgb="FFE67E22"/>
        <bgColor rgb="FFFF9900"/>
      </patternFill>
    </fill>
    <fill>
      <patternFill patternType="solid">
        <fgColor rgb="FF8E44AD"/>
        <bgColor rgb="FFC0504D"/>
      </patternFill>
    </fill>
    <fill>
      <patternFill patternType="solid">
        <fgColor rgb="FF16A085"/>
        <bgColor rgb="FF2E86AB"/>
      </patternFill>
    </fill>
    <fill>
      <patternFill patternType="solid">
        <fgColor rgb="FF2980B9"/>
        <bgColor rgb="FF2E86AB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8" fillId="7" borderId="0" xfId="0" applyNumberFormat="1" applyFont="1" applyFill="1" applyAlignment="1">
      <alignment vertical="center"/>
    </xf>
    <xf numFmtId="164" fontId="8" fillId="6" borderId="0" xfId="0" applyNumberFormat="1" applyFont="1" applyFill="1" applyAlignment="1">
      <alignment vertical="center"/>
    </xf>
    <xf numFmtId="1" fontId="8" fillId="5" borderId="0" xfId="0" applyNumberFormat="1" applyFont="1" applyFill="1" applyAlignment="1">
      <alignment vertical="center"/>
    </xf>
    <xf numFmtId="1" fontId="8" fillId="4" borderId="0" xfId="0" applyNumberFormat="1" applyFont="1" applyFill="1" applyAlignment="1">
      <alignment vertical="center"/>
    </xf>
    <xf numFmtId="0" fontId="7" fillId="9" borderId="0" xfId="0" applyFont="1" applyFill="1" applyAlignment="1">
      <alignment vertical="center" wrapText="1"/>
    </xf>
    <xf numFmtId="0" fontId="7" fillId="8" borderId="0" xfId="0" applyFont="1" applyFill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0" fillId="0" borderId="0" xfId="0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3" fillId="0" borderId="0" xfId="0" applyFont="1"/>
    <xf numFmtId="0" fontId="0" fillId="0" borderId="1" xfId="0" applyBorder="1"/>
    <xf numFmtId="0" fontId="4" fillId="0" borderId="1" xfId="0" applyFont="1" applyBorder="1"/>
    <xf numFmtId="164" fontId="4" fillId="0" borderId="1" xfId="0" applyNumberFormat="1" applyFont="1" applyBorder="1"/>
    <xf numFmtId="2" fontId="8" fillId="8" borderId="0" xfId="0" applyNumberFormat="1" applyFont="1" applyFill="1" applyAlignment="1">
      <alignment vertical="center"/>
    </xf>
    <xf numFmtId="1" fontId="8" fillId="9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B7B7B7"/>
      <rgbColor rgb="FF808080"/>
      <rgbColor rgb="FF9999FF"/>
      <rgbColor rgb="FF8E44AD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E67E22"/>
      <rgbColor rgb="FF595959"/>
      <rgbColor rgb="FF878787"/>
      <rgbColor rgb="FF003366"/>
      <rgbColor rgb="FF16A085"/>
      <rgbColor rgb="FF003300"/>
      <rgbColor rgb="FF333300"/>
      <rgbColor rgb="FFC0392B"/>
      <rgbColor rgb="FFC0504D"/>
      <rgbColor rgb="FF1F4E78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Churn Rate by City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Calculations'!$E$6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Calculations'!$B$7:$B$9</c:f>
              <c:strCache>
                <c:ptCount val="3"/>
                <c:pt idx="0">
                  <c:v>Tier 1 (Metro)</c:v>
                </c:pt>
                <c:pt idx="1">
                  <c:v>Tier 2 (Urban)</c:v>
                </c:pt>
                <c:pt idx="2">
                  <c:v>Tier 3 (Semi-urban/Rural)</c:v>
                </c:pt>
              </c:strCache>
            </c:strRef>
          </c:cat>
          <c:val>
            <c:numRef>
              <c:f>'Summary Calculations'!$E$7:$E$9</c:f>
              <c:numCache>
                <c:formatCode>0.0%</c:formatCode>
                <c:ptCount val="3"/>
                <c:pt idx="0">
                  <c:v>0.15211640211640212</c:v>
                </c:pt>
                <c:pt idx="1">
                  <c:v>0.12751677852348994</c:v>
                </c:pt>
                <c:pt idx="2">
                  <c:v>0.13901345291479822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6-4C38-AF68-8572A3D51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139280"/>
        <c:axId val="93345170"/>
      </c:barChart>
      <c:catAx>
        <c:axId val="5713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345170"/>
        <c:crosses val="autoZero"/>
        <c:auto val="1"/>
        <c:lblAlgn val="ctr"/>
        <c:lblOffset val="100"/>
        <c:noMultiLvlLbl val="0"/>
      </c:catAx>
      <c:valAx>
        <c:axId val="933451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1392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Churn Rate by Order Category</a:t>
            </a:r>
          </a:p>
        </c:rich>
      </c:tx>
      <c:layout>
        <c:manualLayout>
          <c:xMode val="edge"/>
          <c:yMode val="edge"/>
          <c:x val="0.23723273011569437"/>
          <c:y val="2.755717571496766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Calculations'!$J$6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Calculations'!$G$7:$G$11</c:f>
              <c:strCache>
                <c:ptCount val="5"/>
                <c:pt idx="0">
                  <c:v>Laptop &amp; Accessory</c:v>
                </c:pt>
                <c:pt idx="1">
                  <c:v>Mobile Phone</c:v>
                </c:pt>
                <c:pt idx="2">
                  <c:v>Fashion</c:v>
                </c:pt>
                <c:pt idx="3">
                  <c:v>Grocery</c:v>
                </c:pt>
                <c:pt idx="4">
                  <c:v>Others</c:v>
                </c:pt>
              </c:strCache>
            </c:strRef>
          </c:cat>
          <c:val>
            <c:numRef>
              <c:f>'Summary Calculations'!$J$7:$J$11</c:f>
              <c:numCache>
                <c:formatCode>0.0%</c:formatCode>
                <c:ptCount val="5"/>
                <c:pt idx="0">
                  <c:v>0.14565217391304347</c:v>
                </c:pt>
                <c:pt idx="1">
                  <c:v>0.16289592760180996</c:v>
                </c:pt>
                <c:pt idx="2">
                  <c:v>0.10188679245283019</c:v>
                </c:pt>
                <c:pt idx="3">
                  <c:v>0.14358974358974358</c:v>
                </c:pt>
                <c:pt idx="4">
                  <c:v>0.15217391304347827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B-428C-B6F1-36C05953C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013439"/>
        <c:axId val="7766488"/>
      </c:barChart>
      <c:catAx>
        <c:axId val="6401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66488"/>
        <c:crosses val="autoZero"/>
        <c:auto val="1"/>
        <c:lblAlgn val="ctr"/>
        <c:lblOffset val="100"/>
        <c:noMultiLvlLbl val="0"/>
      </c:catAx>
      <c:valAx>
        <c:axId val="77664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0134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Churn Rate by Payment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Calculations'!$E$14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Calculations'!$B$15:$B$19</c:f>
              <c:strCache>
                <c:ptCount val="5"/>
                <c:pt idx="0">
                  <c:v>Debit Card</c:v>
                </c:pt>
                <c:pt idx="1">
                  <c:v>Credit Card</c:v>
                </c:pt>
                <c:pt idx="2">
                  <c:v>E wallet</c:v>
                </c:pt>
                <c:pt idx="3">
                  <c:v>UPI</c:v>
                </c:pt>
                <c:pt idx="4">
                  <c:v>Cash on Delivery</c:v>
                </c:pt>
              </c:strCache>
            </c:strRef>
          </c:cat>
          <c:val>
            <c:numRef>
              <c:f>'Summary Calculations'!$E$15:$E$19</c:f>
              <c:numCache>
                <c:formatCode>0.0%</c:formatCode>
                <c:ptCount val="5"/>
                <c:pt idx="0">
                  <c:v>0.14363636363636365</c:v>
                </c:pt>
                <c:pt idx="1">
                  <c:v>0.14609571788413098</c:v>
                </c:pt>
                <c:pt idx="2">
                  <c:v>0.15315315315315314</c:v>
                </c:pt>
                <c:pt idx="3">
                  <c:v>0.12244897959183673</c:v>
                </c:pt>
                <c:pt idx="4">
                  <c:v>0.14814814814814814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3-4583-8E4B-136D68F6A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23786"/>
        <c:axId val="19458056"/>
      </c:barChart>
      <c:catAx>
        <c:axId val="161237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458056"/>
        <c:crosses val="autoZero"/>
        <c:auto val="1"/>
        <c:lblAlgn val="ctr"/>
        <c:lblOffset val="100"/>
        <c:noMultiLvlLbl val="0"/>
      </c:catAx>
      <c:valAx>
        <c:axId val="194580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1237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Churn Rate by Login Device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Calculations'!$J$14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Calculations'!$G$15:$G$17</c:f>
              <c:strCache>
                <c:ptCount val="3"/>
                <c:pt idx="0">
                  <c:v>Mobile Phone</c:v>
                </c:pt>
                <c:pt idx="1">
                  <c:v>Computer</c:v>
                </c:pt>
                <c:pt idx="2">
                  <c:v>Phone</c:v>
                </c:pt>
              </c:strCache>
            </c:strRef>
          </c:cat>
          <c:val>
            <c:numRef>
              <c:f>'Summary Calculations'!$J$15:$J$17</c:f>
              <c:numCache>
                <c:formatCode>0.0%</c:formatCode>
                <c:ptCount val="3"/>
                <c:pt idx="0">
                  <c:v>0.13309776207302709</c:v>
                </c:pt>
                <c:pt idx="1">
                  <c:v>0.16666666666666666</c:v>
                </c:pt>
                <c:pt idx="2">
                  <c:v>0.14563106796116504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1-4D87-B143-BD930F7B8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4516"/>
        <c:axId val="11874229"/>
      </c:barChart>
      <c:catAx>
        <c:axId val="20445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874229"/>
        <c:crosses val="autoZero"/>
        <c:auto val="1"/>
        <c:lblAlgn val="ctr"/>
        <c:lblOffset val="100"/>
        <c:noMultiLvlLbl val="0"/>
      </c:catAx>
      <c:valAx>
        <c:axId val="118742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445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Churn Rate by Satisfaction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Calculations'!$J$22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Calculations'!$G$23:$G$27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'Summary Calculations'!$J$23:$J$27</c:f>
              <c:numCache>
                <c:formatCode>0.0%</c:formatCode>
                <c:ptCount val="5"/>
                <c:pt idx="0">
                  <c:v>0.16265060240963855</c:v>
                </c:pt>
                <c:pt idx="1">
                  <c:v>0.19897959183673469</c:v>
                </c:pt>
                <c:pt idx="2">
                  <c:v>0.18599562363238512</c:v>
                </c:pt>
                <c:pt idx="3">
                  <c:v>0.11163895486935867</c:v>
                </c:pt>
                <c:pt idx="4">
                  <c:v>6.5384615384615388E-2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B-469E-A9C3-9967641EE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982202"/>
        <c:axId val="98182310"/>
      </c:barChart>
      <c:catAx>
        <c:axId val="889822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182310"/>
        <c:crosses val="autoZero"/>
        <c:auto val="1"/>
        <c:lblAlgn val="ctr"/>
        <c:lblOffset val="100"/>
        <c:noMultiLvlLbl val="0"/>
      </c:catAx>
      <c:valAx>
        <c:axId val="98182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9822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Churn Rate by Risk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Calculations'!$E$30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Calculations'!$B$31:$B$33</c:f>
              <c:strCache>
                <c:ptCount val="3"/>
                <c:pt idx="0">
                  <c:v>High Risk</c:v>
                </c:pt>
                <c:pt idx="1">
                  <c:v>Medium Risk</c:v>
                </c:pt>
                <c:pt idx="2">
                  <c:v>Low Risk</c:v>
                </c:pt>
              </c:strCache>
            </c:strRef>
          </c:cat>
          <c:val>
            <c:numRef>
              <c:f>'Summary Calculations'!$E$31:$E$33</c:f>
              <c:numCache>
                <c:formatCode>0.0%</c:formatCode>
                <c:ptCount val="3"/>
                <c:pt idx="0">
                  <c:v>0.22222222222222221</c:v>
                </c:pt>
                <c:pt idx="1">
                  <c:v>0.1831275720164609</c:v>
                </c:pt>
                <c:pt idx="2">
                  <c:v>0.11471861471861472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1-49BA-8478-65844296B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54171"/>
        <c:axId val="37071715"/>
      </c:barChart>
      <c:catAx>
        <c:axId val="732541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71715"/>
        <c:crosses val="autoZero"/>
        <c:auto val="1"/>
        <c:lblAlgn val="ctr"/>
        <c:lblOffset val="100"/>
        <c:noMultiLvlLbl val="0"/>
      </c:catAx>
      <c:valAx>
        <c:axId val="370717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2541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Churn Rate by Tenure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Calculations'!$J$30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Calculations'!$G$31:$G$34</c:f>
              <c:strCache>
                <c:ptCount val="4"/>
                <c:pt idx="0">
                  <c:v>0-6 months</c:v>
                </c:pt>
                <c:pt idx="1">
                  <c:v>7-12 months</c:v>
                </c:pt>
                <c:pt idx="2">
                  <c:v>13-24 months</c:v>
                </c:pt>
                <c:pt idx="3">
                  <c:v>25+ months</c:v>
                </c:pt>
              </c:strCache>
            </c:strRef>
          </c:cat>
          <c:val>
            <c:numRef>
              <c:f>'Summary Calculations'!$J$31:$J$34</c:f>
              <c:numCache>
                <c:formatCode>0.0%</c:formatCode>
                <c:ptCount val="4"/>
                <c:pt idx="0">
                  <c:v>0.17948717948717949</c:v>
                </c:pt>
                <c:pt idx="1">
                  <c:v>0.14899713467048711</c:v>
                </c:pt>
                <c:pt idx="2">
                  <c:v>8.3333333333333329E-2</c:v>
                </c:pt>
                <c:pt idx="3">
                  <c:v>4.9180327868852458E-2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6-4515-873B-168DF8ED6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47227"/>
        <c:axId val="41823308"/>
      </c:barChart>
      <c:catAx>
        <c:axId val="399472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23308"/>
        <c:crosses val="autoZero"/>
        <c:auto val="1"/>
        <c:lblAlgn val="ctr"/>
        <c:lblOffset val="100"/>
        <c:noMultiLvlLbl val="0"/>
      </c:catAx>
      <c:valAx>
        <c:axId val="418233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9472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Churn Rate by Marital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Calculations'!$E$22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Calculations'!$B$23:$B$25</c:f>
              <c:strCache>
                <c:ptCount val="3"/>
                <c:pt idx="0">
                  <c:v>Single</c:v>
                </c:pt>
                <c:pt idx="1">
                  <c:v>Married</c:v>
                </c:pt>
                <c:pt idx="2">
                  <c:v>Divorced</c:v>
                </c:pt>
              </c:strCache>
            </c:strRef>
          </c:cat>
          <c:val>
            <c:numRef>
              <c:f>'Summary Calculations'!$E$23:$E$25</c:f>
              <c:numCache>
                <c:formatCode>0.0%</c:formatCode>
                <c:ptCount val="3"/>
                <c:pt idx="0">
                  <c:v>0.13805309734513274</c:v>
                </c:pt>
                <c:pt idx="1">
                  <c:v>0.14678899082568808</c:v>
                </c:pt>
                <c:pt idx="2">
                  <c:v>0.14534883720930233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9-4C18-B8A7-12B77027D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4012"/>
        <c:axId val="99087845"/>
      </c:barChart>
      <c:catAx>
        <c:axId val="486540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087845"/>
        <c:crosses val="autoZero"/>
        <c:auto val="1"/>
        <c:lblAlgn val="ctr"/>
        <c:lblOffset val="100"/>
        <c:noMultiLvlLbl val="0"/>
      </c:catAx>
      <c:valAx>
        <c:axId val="990878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6540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Churn Rate: Complaint Filed vs Not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'Summary Calculations'!$E$38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2C8-4536-A01E-B7A03A51457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2C8-4536-A01E-B7A03A51457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22C8-4536-A01E-B7A03A51457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2C8-4536-A01E-B7A03A5145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'Summary Calculations'!$B$39:$B$40</c:f>
              <c:strCache>
                <c:ptCount val="2"/>
                <c:pt idx="0">
                  <c:v>Complaint Filed</c:v>
                </c:pt>
                <c:pt idx="1">
                  <c:v>No Complaint</c:v>
                </c:pt>
              </c:strCache>
            </c:strRef>
          </c:cat>
          <c:val>
            <c:numRef>
              <c:f>'Summary Calculations'!$E$39:$E$40</c:f>
              <c:numCache>
                <c:formatCode>0.0%</c:formatCode>
                <c:ptCount val="2"/>
                <c:pt idx="0">
                  <c:v>0.1888111888111888</c:v>
                </c:pt>
                <c:pt idx="1">
                  <c:v>0.12511671335200747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C8-4536-A01E-B7A03A514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131040</xdr:rowOff>
    </xdr:from>
    <xdr:to>
      <xdr:col>10</xdr:col>
      <xdr:colOff>364680</xdr:colOff>
      <xdr:row>22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563880</xdr:colOff>
      <xdr:row>7</xdr:row>
      <xdr:rowOff>115800</xdr:rowOff>
    </xdr:from>
    <xdr:to>
      <xdr:col>21</xdr:col>
      <xdr:colOff>349440</xdr:colOff>
      <xdr:row>22</xdr:row>
      <xdr:rowOff>137760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130680</xdr:rowOff>
    </xdr:from>
    <xdr:to>
      <xdr:col>10</xdr:col>
      <xdr:colOff>364680</xdr:colOff>
      <xdr:row>39</xdr:row>
      <xdr:rowOff>152640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38100</xdr:colOff>
      <xdr:row>24</xdr:row>
      <xdr:rowOff>138300</xdr:rowOff>
    </xdr:from>
    <xdr:to>
      <xdr:col>21</xdr:col>
      <xdr:colOff>402780</xdr:colOff>
      <xdr:row>39</xdr:row>
      <xdr:rowOff>160260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83820</xdr:colOff>
      <xdr:row>41</xdr:row>
      <xdr:rowOff>138300</xdr:rowOff>
    </xdr:from>
    <xdr:to>
      <xdr:col>21</xdr:col>
      <xdr:colOff>448500</xdr:colOff>
      <xdr:row>56</xdr:row>
      <xdr:rowOff>160620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41</xdr:row>
      <xdr:rowOff>130680</xdr:rowOff>
    </xdr:from>
    <xdr:to>
      <xdr:col>10</xdr:col>
      <xdr:colOff>364680</xdr:colOff>
      <xdr:row>56</xdr:row>
      <xdr:rowOff>153000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83820</xdr:colOff>
      <xdr:row>58</xdr:row>
      <xdr:rowOff>115440</xdr:rowOff>
    </xdr:from>
    <xdr:to>
      <xdr:col>21</xdr:col>
      <xdr:colOff>448500</xdr:colOff>
      <xdr:row>73</xdr:row>
      <xdr:rowOff>137760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58</xdr:row>
      <xdr:rowOff>130680</xdr:rowOff>
    </xdr:from>
    <xdr:to>
      <xdr:col>10</xdr:col>
      <xdr:colOff>364680</xdr:colOff>
      <xdr:row>73</xdr:row>
      <xdr:rowOff>153000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525780</xdr:colOff>
      <xdr:row>75</xdr:row>
      <xdr:rowOff>161160</xdr:rowOff>
    </xdr:from>
    <xdr:to>
      <xdr:col>15</xdr:col>
      <xdr:colOff>350520</xdr:colOff>
      <xdr:row>94</xdr:row>
      <xdr:rowOff>121920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awData" displayName="RawData" ref="A1:T1501" totalsRowShown="0">
  <autoFilter ref="A1:T1501" xr:uid="{00000000-0009-0000-0100-000002000000}"/>
  <tableColumns count="20">
    <tableColumn id="1" xr3:uid="{00000000-0010-0000-0000-000001000000}" name="CustomerID"/>
    <tableColumn id="2" xr3:uid="{00000000-0010-0000-0000-000002000000}" name="Churn"/>
    <tableColumn id="3" xr3:uid="{00000000-0010-0000-0000-000003000000}" name="Tenure"/>
    <tableColumn id="4" xr3:uid="{00000000-0010-0000-0000-000004000000}" name="PreferredLoginDevice"/>
    <tableColumn id="5" xr3:uid="{00000000-0010-0000-0000-000005000000}" name="CityTier"/>
    <tableColumn id="6" xr3:uid="{00000000-0010-0000-0000-000006000000}" name="WarehouseToHome"/>
    <tableColumn id="7" xr3:uid="{00000000-0010-0000-0000-000007000000}" name="PreferredPaymentMode"/>
    <tableColumn id="8" xr3:uid="{00000000-0010-0000-0000-000008000000}" name="Gender"/>
    <tableColumn id="9" xr3:uid="{00000000-0010-0000-0000-000009000000}" name="HourSpendOnApp"/>
    <tableColumn id="10" xr3:uid="{00000000-0010-0000-0000-00000A000000}" name="NumberOfDeviceRegistered"/>
    <tableColumn id="11" xr3:uid="{00000000-0010-0000-0000-00000B000000}" name="PreferedOrderCat"/>
    <tableColumn id="12" xr3:uid="{00000000-0010-0000-0000-00000C000000}" name="SatisfactionScore"/>
    <tableColumn id="13" xr3:uid="{00000000-0010-0000-0000-00000D000000}" name="MaritalStatus"/>
    <tableColumn id="14" xr3:uid="{00000000-0010-0000-0000-00000E000000}" name="NumberOfAddress"/>
    <tableColumn id="15" xr3:uid="{00000000-0010-0000-0000-00000F000000}" name="Complain"/>
    <tableColumn id="16" xr3:uid="{00000000-0010-0000-0000-000010000000}" name="OrderAmountHikeFromlastYear"/>
    <tableColumn id="17" xr3:uid="{00000000-0010-0000-0000-000011000000}" name="CouponUsed"/>
    <tableColumn id="18" xr3:uid="{00000000-0010-0000-0000-000012000000}" name="OrderCount"/>
    <tableColumn id="19" xr3:uid="{00000000-0010-0000-0000-000013000000}" name="DaySinceLastOrder"/>
    <tableColumn id="20" xr3:uid="{00000000-0010-0000-0000-000014000000}" name="CashbackAm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leanedData" displayName="CleanedData" ref="A1:X1501" totalsRowShown="0">
  <autoFilter ref="A1:X1501" xr:uid="{00000000-0009-0000-0100-000001000000}"/>
  <tableColumns count="24">
    <tableColumn id="1" xr3:uid="{00000000-0010-0000-0100-000001000000}" name="CustomerID"/>
    <tableColumn id="2" xr3:uid="{00000000-0010-0000-0100-000002000000}" name="Churn"/>
    <tableColumn id="3" xr3:uid="{00000000-0010-0000-0100-000003000000}" name="Tenure"/>
    <tableColumn id="4" xr3:uid="{00000000-0010-0000-0100-000004000000}" name="PreferredLoginDevice"/>
    <tableColumn id="5" xr3:uid="{00000000-0010-0000-0100-000005000000}" name="CityTier"/>
    <tableColumn id="6" xr3:uid="{00000000-0010-0000-0100-000006000000}" name="WarehouseToHome"/>
    <tableColumn id="7" xr3:uid="{00000000-0010-0000-0100-000007000000}" name="PreferredPaymentMode"/>
    <tableColumn id="8" xr3:uid="{00000000-0010-0000-0100-000008000000}" name="Gender"/>
    <tableColumn id="9" xr3:uid="{00000000-0010-0000-0100-000009000000}" name="HourSpendOnApp"/>
    <tableColumn id="10" xr3:uid="{00000000-0010-0000-0100-00000A000000}" name="NumberOfDeviceRegistered"/>
    <tableColumn id="11" xr3:uid="{00000000-0010-0000-0100-00000B000000}" name="PreferedOrderCat"/>
    <tableColumn id="12" xr3:uid="{00000000-0010-0000-0100-00000C000000}" name="SatisfactionScore"/>
    <tableColumn id="13" xr3:uid="{00000000-0010-0000-0100-00000D000000}" name="MaritalStatus"/>
    <tableColumn id="14" xr3:uid="{00000000-0010-0000-0100-00000E000000}" name="NumberOfAddress"/>
    <tableColumn id="15" xr3:uid="{00000000-0010-0000-0100-00000F000000}" name="Complain"/>
    <tableColumn id="16" xr3:uid="{00000000-0010-0000-0100-000010000000}" name="OrderAmountHikeFromlastYear"/>
    <tableColumn id="17" xr3:uid="{00000000-0010-0000-0100-000011000000}" name="CouponUsed"/>
    <tableColumn id="18" xr3:uid="{00000000-0010-0000-0100-000012000000}" name="OrderCount"/>
    <tableColumn id="19" xr3:uid="{00000000-0010-0000-0100-000013000000}" name="DaySinceLastOrder"/>
    <tableColumn id="20" xr3:uid="{00000000-0010-0000-0100-000014000000}" name="CashbackAmount"/>
    <tableColumn id="21" xr3:uid="{00000000-0010-0000-0100-000015000000}" name="CityTierLabel"/>
    <tableColumn id="22" xr3:uid="{00000000-0010-0000-0100-000016000000}" name="TenureBucket"/>
    <tableColumn id="23" xr3:uid="{00000000-0010-0000-0100-000017000000}" name="RiskSegment"/>
    <tableColumn id="24" xr3:uid="{00000000-0010-0000-0100-000018000000}" name="ChurnLab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5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110" customWidth="1"/>
  </cols>
  <sheetData>
    <row r="2" spans="2:10" ht="21" x14ac:dyDescent="0.4">
      <c r="B2" s="15" t="s">
        <v>0</v>
      </c>
    </row>
    <row r="3" spans="2:10" x14ac:dyDescent="0.3">
      <c r="B3" s="16" t="s">
        <v>1</v>
      </c>
    </row>
    <row r="5" spans="2:10" ht="18" customHeight="1" x14ac:dyDescent="0.3">
      <c r="B5" s="14" t="s">
        <v>2</v>
      </c>
      <c r="C5" s="14"/>
      <c r="D5" s="14"/>
      <c r="E5" s="14"/>
      <c r="F5" s="14"/>
      <c r="G5" s="14"/>
      <c r="H5" s="14"/>
      <c r="I5" s="14"/>
      <c r="J5" s="14"/>
    </row>
    <row r="6" spans="2:10" ht="30" customHeight="1" x14ac:dyDescent="0.3">
      <c r="B6" s="13" t="s">
        <v>3</v>
      </c>
      <c r="C6" s="13"/>
      <c r="D6" s="13"/>
      <c r="E6" s="13"/>
      <c r="F6" s="13"/>
      <c r="G6" s="13"/>
      <c r="H6" s="13"/>
      <c r="I6" s="13"/>
      <c r="J6" s="13"/>
    </row>
    <row r="7" spans="2:10" ht="30" customHeight="1" x14ac:dyDescent="0.3">
      <c r="B7" s="13" t="s">
        <v>4</v>
      </c>
      <c r="C7" s="13"/>
      <c r="D7" s="13"/>
      <c r="E7" s="13"/>
      <c r="F7" s="13"/>
      <c r="G7" s="13"/>
      <c r="H7" s="13"/>
      <c r="I7" s="13"/>
      <c r="J7" s="13"/>
    </row>
    <row r="8" spans="2:10" ht="30" customHeight="1" x14ac:dyDescent="0.3">
      <c r="B8" s="13" t="s">
        <v>5</v>
      </c>
      <c r="C8" s="13"/>
      <c r="D8" s="13"/>
      <c r="E8" s="13"/>
      <c r="F8" s="13"/>
      <c r="G8" s="13"/>
      <c r="H8" s="13"/>
      <c r="I8" s="13"/>
      <c r="J8" s="13"/>
    </row>
    <row r="9" spans="2:10" ht="30" customHeight="1" x14ac:dyDescent="0.3">
      <c r="B9" s="13" t="s">
        <v>6</v>
      </c>
      <c r="C9" s="13"/>
      <c r="D9" s="13"/>
      <c r="E9" s="13"/>
      <c r="F9" s="13"/>
      <c r="G9" s="13"/>
      <c r="H9" s="13"/>
      <c r="I9" s="13"/>
      <c r="J9" s="13"/>
    </row>
    <row r="10" spans="2:10" ht="30" customHeight="1" x14ac:dyDescent="0.3">
      <c r="B10" s="13" t="s">
        <v>7</v>
      </c>
      <c r="C10" s="13"/>
      <c r="D10" s="13"/>
      <c r="E10" s="13"/>
      <c r="F10" s="13"/>
      <c r="G10" s="13"/>
      <c r="H10" s="13"/>
      <c r="I10" s="13"/>
      <c r="J10" s="13"/>
    </row>
    <row r="11" spans="2:10" ht="30" customHeight="1" x14ac:dyDescent="0.3">
      <c r="B11" s="13"/>
      <c r="C11" s="13"/>
      <c r="D11" s="13"/>
      <c r="E11" s="13"/>
      <c r="F11" s="13"/>
      <c r="G11" s="13"/>
      <c r="H11" s="13"/>
      <c r="I11" s="13"/>
      <c r="J11" s="13"/>
    </row>
    <row r="12" spans="2:10" ht="18" customHeight="1" x14ac:dyDescent="0.3">
      <c r="B12" s="14" t="s">
        <v>8</v>
      </c>
      <c r="C12" s="14"/>
      <c r="D12" s="14"/>
      <c r="E12" s="14"/>
      <c r="F12" s="14"/>
      <c r="G12" s="14"/>
      <c r="H12" s="14"/>
      <c r="I12" s="14"/>
      <c r="J12" s="14"/>
    </row>
    <row r="13" spans="2:10" ht="30" customHeight="1" x14ac:dyDescent="0.3">
      <c r="B13" s="13" t="s">
        <v>9</v>
      </c>
      <c r="C13" s="13"/>
      <c r="D13" s="13"/>
      <c r="E13" s="13"/>
      <c r="F13" s="13"/>
      <c r="G13" s="13"/>
      <c r="H13" s="13"/>
      <c r="I13" s="13"/>
      <c r="J13" s="13"/>
    </row>
    <row r="14" spans="2:10" ht="18" customHeight="1" x14ac:dyDescent="0.3">
      <c r="B14" s="12" t="s">
        <v>10</v>
      </c>
      <c r="C14" s="12"/>
      <c r="D14" s="12"/>
      <c r="E14" s="12"/>
      <c r="F14" s="12"/>
      <c r="G14" s="12"/>
      <c r="H14" s="12"/>
      <c r="I14" s="12"/>
      <c r="J14" s="12"/>
    </row>
    <row r="15" spans="2:10" x14ac:dyDescent="0.3">
      <c r="B15" s="11"/>
      <c r="C15" s="11"/>
      <c r="D15" s="11"/>
      <c r="E15" s="11"/>
      <c r="F15" s="11"/>
      <c r="G15" s="11"/>
      <c r="H15" s="11"/>
      <c r="I15" s="11"/>
      <c r="J15" s="11"/>
    </row>
  </sheetData>
  <mergeCells count="11">
    <mergeCell ref="B15:J15"/>
    <mergeCell ref="B10:J10"/>
    <mergeCell ref="B11:J11"/>
    <mergeCell ref="B12:J12"/>
    <mergeCell ref="B13:J13"/>
    <mergeCell ref="B14:J14"/>
    <mergeCell ref="B5:J5"/>
    <mergeCell ref="B6:J6"/>
    <mergeCell ref="B7:J7"/>
    <mergeCell ref="B8:J8"/>
    <mergeCell ref="B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2" customWidth="1"/>
    <col min="4" max="4" width="22" customWidth="1"/>
    <col min="5" max="5" width="12" customWidth="1"/>
    <col min="6" max="6" width="17" customWidth="1"/>
    <col min="7" max="7" width="22" customWidth="1"/>
    <col min="8" max="8" width="12" customWidth="1"/>
    <col min="9" max="9" width="16" customWidth="1"/>
    <col min="10" max="10" width="26" customWidth="1"/>
    <col min="11" max="11" width="18" customWidth="1"/>
    <col min="12" max="12" width="19" customWidth="1"/>
    <col min="13" max="13" width="15" customWidth="1"/>
    <col min="14" max="14" width="17" customWidth="1"/>
    <col min="15" max="15" width="12" customWidth="1"/>
    <col min="16" max="16" width="29" customWidth="1"/>
    <col min="17" max="18" width="12" customWidth="1"/>
    <col min="19" max="19" width="19" customWidth="1"/>
    <col min="20" max="20" width="16" customWidth="1"/>
  </cols>
  <sheetData>
    <row r="1" spans="1:20" ht="26.4" x14ac:dyDescent="0.3">
      <c r="A1" s="17" t="s">
        <v>11</v>
      </c>
      <c r="B1" s="17" t="s">
        <v>12</v>
      </c>
      <c r="C1" s="17" t="s">
        <v>13</v>
      </c>
      <c r="D1" s="17" t="s">
        <v>14</v>
      </c>
      <c r="E1" s="17" t="s">
        <v>15</v>
      </c>
      <c r="F1" s="17" t="s">
        <v>16</v>
      </c>
      <c r="G1" s="17" t="s">
        <v>17</v>
      </c>
      <c r="H1" s="17" t="s">
        <v>18</v>
      </c>
      <c r="I1" s="17" t="s">
        <v>19</v>
      </c>
      <c r="J1" s="17" t="s">
        <v>20</v>
      </c>
      <c r="K1" s="17" t="s">
        <v>21</v>
      </c>
      <c r="L1" s="17" t="s">
        <v>22</v>
      </c>
      <c r="M1" s="17" t="s">
        <v>23</v>
      </c>
      <c r="N1" s="17" t="s">
        <v>24</v>
      </c>
      <c r="O1" s="17" t="s">
        <v>25</v>
      </c>
      <c r="P1" s="17" t="s">
        <v>26</v>
      </c>
      <c r="Q1" s="17" t="s">
        <v>27</v>
      </c>
      <c r="R1" s="17" t="s">
        <v>28</v>
      </c>
      <c r="S1" s="17" t="s">
        <v>29</v>
      </c>
      <c r="T1" s="17" t="s">
        <v>30</v>
      </c>
    </row>
    <row r="2" spans="1:20" x14ac:dyDescent="0.3">
      <c r="A2" s="18">
        <v>50001</v>
      </c>
      <c r="B2" s="18">
        <v>0</v>
      </c>
      <c r="C2" s="18">
        <v>11</v>
      </c>
      <c r="D2" s="18" t="s">
        <v>31</v>
      </c>
      <c r="E2" s="18">
        <v>1</v>
      </c>
      <c r="F2" s="18">
        <v>17</v>
      </c>
      <c r="G2" s="18" t="s">
        <v>32</v>
      </c>
      <c r="H2" s="18" t="s">
        <v>33</v>
      </c>
      <c r="I2" s="18">
        <v>3.6</v>
      </c>
      <c r="J2" s="18">
        <v>5</v>
      </c>
      <c r="K2" s="18" t="s">
        <v>34</v>
      </c>
      <c r="L2" s="18">
        <v>3</v>
      </c>
      <c r="M2" s="18" t="s">
        <v>35</v>
      </c>
      <c r="N2" s="18">
        <v>15</v>
      </c>
      <c r="O2" s="18">
        <v>0</v>
      </c>
      <c r="P2" s="18">
        <v>17</v>
      </c>
      <c r="Q2" s="18">
        <v>2</v>
      </c>
      <c r="R2" s="18">
        <v>2</v>
      </c>
      <c r="S2" s="18">
        <v>3</v>
      </c>
      <c r="T2" s="18">
        <v>198.83</v>
      </c>
    </row>
    <row r="3" spans="1:20" x14ac:dyDescent="0.3">
      <c r="A3" s="18">
        <v>50002</v>
      </c>
      <c r="B3" s="18">
        <v>0</v>
      </c>
      <c r="C3" s="18">
        <v>25</v>
      </c>
      <c r="D3" s="18" t="s">
        <v>36</v>
      </c>
      <c r="E3" s="18">
        <v>1</v>
      </c>
      <c r="F3" s="18">
        <v>5</v>
      </c>
      <c r="G3" s="18" t="s">
        <v>37</v>
      </c>
      <c r="H3" s="18" t="s">
        <v>38</v>
      </c>
      <c r="I3" s="18">
        <v>3.5</v>
      </c>
      <c r="J3" s="18">
        <v>3</v>
      </c>
      <c r="K3" s="18" t="s">
        <v>36</v>
      </c>
      <c r="L3" s="18">
        <v>1</v>
      </c>
      <c r="M3" s="18" t="s">
        <v>35</v>
      </c>
      <c r="N3" s="18">
        <v>1</v>
      </c>
      <c r="O3" s="18">
        <v>0</v>
      </c>
      <c r="P3" s="18">
        <v>15.4</v>
      </c>
      <c r="Q3" s="18">
        <v>1</v>
      </c>
      <c r="R3" s="18">
        <v>5</v>
      </c>
      <c r="S3" s="18">
        <v>4</v>
      </c>
      <c r="T3" s="18">
        <v>133.09</v>
      </c>
    </row>
    <row r="4" spans="1:20" x14ac:dyDescent="0.3">
      <c r="A4" s="18">
        <v>50003</v>
      </c>
      <c r="B4" s="18">
        <v>0</v>
      </c>
      <c r="C4" s="18">
        <v>12</v>
      </c>
      <c r="D4" s="18" t="s">
        <v>36</v>
      </c>
      <c r="E4" s="18">
        <v>3</v>
      </c>
      <c r="F4" s="18">
        <v>17</v>
      </c>
      <c r="G4" s="18" t="s">
        <v>39</v>
      </c>
      <c r="H4" s="18" t="s">
        <v>38</v>
      </c>
      <c r="I4" s="18">
        <v>2.5</v>
      </c>
      <c r="J4" s="18">
        <v>4</v>
      </c>
      <c r="K4" s="18" t="s">
        <v>36</v>
      </c>
      <c r="L4" s="18">
        <v>1</v>
      </c>
      <c r="M4" s="18" t="s">
        <v>35</v>
      </c>
      <c r="N4" s="18">
        <v>1</v>
      </c>
      <c r="O4" s="18">
        <v>0</v>
      </c>
      <c r="P4" s="18">
        <v>13.3</v>
      </c>
      <c r="Q4" s="18">
        <v>2</v>
      </c>
      <c r="R4" s="18">
        <v>2</v>
      </c>
      <c r="S4" s="18">
        <v>1</v>
      </c>
      <c r="T4" s="18">
        <v>191.3</v>
      </c>
    </row>
    <row r="5" spans="1:20" x14ac:dyDescent="0.3">
      <c r="A5" s="18">
        <v>50004</v>
      </c>
      <c r="B5" s="18">
        <v>0</v>
      </c>
      <c r="C5" s="18">
        <v>1</v>
      </c>
      <c r="D5" s="18" t="s">
        <v>36</v>
      </c>
      <c r="E5" s="18">
        <v>2</v>
      </c>
      <c r="F5" s="18">
        <v>13</v>
      </c>
      <c r="G5" s="18" t="s">
        <v>32</v>
      </c>
      <c r="H5" s="18" t="s">
        <v>33</v>
      </c>
      <c r="I5" s="18">
        <v>2.4</v>
      </c>
      <c r="J5" s="18">
        <v>4</v>
      </c>
      <c r="K5" s="18" t="s">
        <v>40</v>
      </c>
      <c r="L5" s="18">
        <v>5</v>
      </c>
      <c r="M5" s="18" t="s">
        <v>41</v>
      </c>
      <c r="N5" s="18">
        <v>1</v>
      </c>
      <c r="O5" s="18">
        <v>0</v>
      </c>
      <c r="P5" s="18">
        <v>14.6</v>
      </c>
      <c r="Q5" s="18"/>
      <c r="R5" s="18">
        <v>3</v>
      </c>
      <c r="S5" s="18">
        <v>15</v>
      </c>
      <c r="T5" s="18">
        <v>223.6</v>
      </c>
    </row>
    <row r="6" spans="1:20" x14ac:dyDescent="0.3">
      <c r="A6" s="18">
        <v>50005</v>
      </c>
      <c r="B6" s="18">
        <v>0</v>
      </c>
      <c r="C6" s="18">
        <v>8</v>
      </c>
      <c r="D6" s="18" t="s">
        <v>42</v>
      </c>
      <c r="E6" s="18">
        <v>2</v>
      </c>
      <c r="F6" s="18">
        <v>5</v>
      </c>
      <c r="G6" s="18" t="s">
        <v>43</v>
      </c>
      <c r="H6" s="18" t="s">
        <v>33</v>
      </c>
      <c r="I6" s="18">
        <v>2</v>
      </c>
      <c r="J6" s="18">
        <v>3</v>
      </c>
      <c r="K6" s="18" t="s">
        <v>44</v>
      </c>
      <c r="L6" s="18">
        <v>5</v>
      </c>
      <c r="M6" s="18" t="s">
        <v>35</v>
      </c>
      <c r="N6" s="18">
        <v>4</v>
      </c>
      <c r="O6" s="18">
        <v>1</v>
      </c>
      <c r="P6" s="18">
        <v>14.2</v>
      </c>
      <c r="Q6" s="18">
        <v>2</v>
      </c>
      <c r="R6" s="18">
        <v>3</v>
      </c>
      <c r="S6" s="18">
        <v>3</v>
      </c>
      <c r="T6" s="18">
        <v>147.76</v>
      </c>
    </row>
    <row r="7" spans="1:20" x14ac:dyDescent="0.3">
      <c r="A7" s="18">
        <v>50006</v>
      </c>
      <c r="B7" s="18">
        <v>0</v>
      </c>
      <c r="C7" s="18">
        <v>9</v>
      </c>
      <c r="D7" s="18" t="s">
        <v>36</v>
      </c>
      <c r="E7" s="18">
        <v>1</v>
      </c>
      <c r="F7" s="18">
        <v>8</v>
      </c>
      <c r="G7" s="18" t="s">
        <v>43</v>
      </c>
      <c r="H7" s="18" t="s">
        <v>33</v>
      </c>
      <c r="I7" s="18">
        <v>3</v>
      </c>
      <c r="J7" s="18">
        <v>1</v>
      </c>
      <c r="K7" s="18" t="s">
        <v>44</v>
      </c>
      <c r="L7" s="18">
        <v>4</v>
      </c>
      <c r="M7" s="18" t="s">
        <v>35</v>
      </c>
      <c r="N7" s="18">
        <v>1</v>
      </c>
      <c r="O7" s="18">
        <v>0</v>
      </c>
      <c r="P7" s="18"/>
      <c r="Q7" s="18">
        <v>1</v>
      </c>
      <c r="R7" s="18">
        <v>5</v>
      </c>
      <c r="S7" s="18">
        <v>1</v>
      </c>
      <c r="T7" s="18">
        <v>186.54</v>
      </c>
    </row>
    <row r="8" spans="1:20" x14ac:dyDescent="0.3">
      <c r="A8" s="18">
        <v>50007</v>
      </c>
      <c r="B8" s="18">
        <v>0</v>
      </c>
      <c r="C8" s="18">
        <v>5</v>
      </c>
      <c r="D8" s="18" t="s">
        <v>36</v>
      </c>
      <c r="E8" s="18">
        <v>3</v>
      </c>
      <c r="F8" s="18">
        <v>11</v>
      </c>
      <c r="G8" s="18" t="s">
        <v>37</v>
      </c>
      <c r="H8" s="18" t="s">
        <v>38</v>
      </c>
      <c r="I8" s="18">
        <v>2.1</v>
      </c>
      <c r="J8" s="18">
        <v>4</v>
      </c>
      <c r="K8" s="18" t="s">
        <v>40</v>
      </c>
      <c r="L8" s="18">
        <v>3</v>
      </c>
      <c r="M8" s="18" t="s">
        <v>45</v>
      </c>
      <c r="N8" s="18">
        <v>4</v>
      </c>
      <c r="O8" s="18">
        <v>0</v>
      </c>
      <c r="P8" s="18">
        <v>17.2</v>
      </c>
      <c r="Q8" s="18">
        <v>7</v>
      </c>
      <c r="R8" s="18">
        <v>3</v>
      </c>
      <c r="S8" s="18">
        <v>0</v>
      </c>
      <c r="T8" s="18">
        <v>172</v>
      </c>
    </row>
    <row r="9" spans="1:20" x14ac:dyDescent="0.3">
      <c r="A9" s="18">
        <v>50008</v>
      </c>
      <c r="B9" s="18">
        <v>0</v>
      </c>
      <c r="C9" s="18">
        <v>13</v>
      </c>
      <c r="D9" s="18" t="s">
        <v>36</v>
      </c>
      <c r="E9" s="18">
        <v>1</v>
      </c>
      <c r="F9" s="18">
        <v>30</v>
      </c>
      <c r="G9" s="18" t="s">
        <v>39</v>
      </c>
      <c r="H9" s="18" t="s">
        <v>38</v>
      </c>
      <c r="I9" s="18">
        <v>2.1</v>
      </c>
      <c r="J9" s="18">
        <v>3</v>
      </c>
      <c r="K9" s="18" t="s">
        <v>36</v>
      </c>
      <c r="L9" s="18">
        <v>5</v>
      </c>
      <c r="M9" s="18" t="s">
        <v>35</v>
      </c>
      <c r="N9" s="18">
        <v>1</v>
      </c>
      <c r="O9" s="18">
        <v>0</v>
      </c>
      <c r="P9" s="18">
        <v>18.399999999999999</v>
      </c>
      <c r="Q9" s="18">
        <v>2</v>
      </c>
      <c r="R9" s="18">
        <v>3</v>
      </c>
      <c r="S9" s="18">
        <v>3</v>
      </c>
      <c r="T9" s="18">
        <v>271.43</v>
      </c>
    </row>
    <row r="10" spans="1:20" x14ac:dyDescent="0.3">
      <c r="A10" s="18">
        <v>50009</v>
      </c>
      <c r="B10" s="18">
        <v>1</v>
      </c>
      <c r="C10" s="18">
        <v>27</v>
      </c>
      <c r="D10" s="18" t="s">
        <v>31</v>
      </c>
      <c r="E10" s="18">
        <v>1</v>
      </c>
      <c r="F10" s="18">
        <v>19</v>
      </c>
      <c r="G10" s="18" t="s">
        <v>37</v>
      </c>
      <c r="H10" s="18" t="s">
        <v>33</v>
      </c>
      <c r="I10" s="18">
        <v>2.6</v>
      </c>
      <c r="J10" s="18">
        <v>4</v>
      </c>
      <c r="K10" s="18" t="s">
        <v>46</v>
      </c>
      <c r="L10" s="18">
        <v>4</v>
      </c>
      <c r="M10" s="18" t="s">
        <v>45</v>
      </c>
      <c r="N10" s="18">
        <v>3</v>
      </c>
      <c r="O10" s="18">
        <v>0</v>
      </c>
      <c r="P10" s="18">
        <v>11.9</v>
      </c>
      <c r="Q10" s="18">
        <v>0</v>
      </c>
      <c r="R10" s="18">
        <v>4</v>
      </c>
      <c r="S10" s="18">
        <v>2</v>
      </c>
      <c r="T10" s="18">
        <v>226.84</v>
      </c>
    </row>
    <row r="11" spans="1:20" x14ac:dyDescent="0.3">
      <c r="A11" s="18">
        <v>50010</v>
      </c>
      <c r="B11" s="18">
        <v>0</v>
      </c>
      <c r="C11" s="18">
        <v>25</v>
      </c>
      <c r="D11" s="18" t="s">
        <v>36</v>
      </c>
      <c r="E11" s="18">
        <v>2</v>
      </c>
      <c r="F11" s="18">
        <v>5</v>
      </c>
      <c r="G11" s="18" t="s">
        <v>39</v>
      </c>
      <c r="H11" s="18" t="s">
        <v>33</v>
      </c>
      <c r="I11" s="18">
        <v>2.6</v>
      </c>
      <c r="J11" s="18">
        <v>3</v>
      </c>
      <c r="K11" s="18" t="s">
        <v>34</v>
      </c>
      <c r="L11" s="18">
        <v>5</v>
      </c>
      <c r="M11" s="18" t="s">
        <v>35</v>
      </c>
      <c r="N11" s="18">
        <v>5</v>
      </c>
      <c r="O11" s="18">
        <v>1</v>
      </c>
      <c r="P11" s="18">
        <v>21</v>
      </c>
      <c r="Q11" s="18">
        <v>1</v>
      </c>
      <c r="R11" s="18">
        <v>3</v>
      </c>
      <c r="S11" s="18">
        <v>1</v>
      </c>
      <c r="T11" s="18">
        <v>213.5</v>
      </c>
    </row>
    <row r="12" spans="1:20" x14ac:dyDescent="0.3">
      <c r="A12" s="18">
        <v>50011</v>
      </c>
      <c r="B12" s="18">
        <v>0</v>
      </c>
      <c r="C12" s="18">
        <v>5</v>
      </c>
      <c r="D12" s="18" t="s">
        <v>42</v>
      </c>
      <c r="E12" s="18">
        <v>1</v>
      </c>
      <c r="F12" s="18">
        <v>18</v>
      </c>
      <c r="G12" s="18" t="s">
        <v>43</v>
      </c>
      <c r="H12" s="18" t="s">
        <v>33</v>
      </c>
      <c r="I12" s="18">
        <v>2.5</v>
      </c>
      <c r="J12" s="18">
        <v>3</v>
      </c>
      <c r="K12" s="18" t="s">
        <v>36</v>
      </c>
      <c r="L12" s="18">
        <v>4</v>
      </c>
      <c r="M12" s="18" t="s">
        <v>35</v>
      </c>
      <c r="N12" s="18">
        <v>2</v>
      </c>
      <c r="O12" s="18">
        <v>1</v>
      </c>
      <c r="P12" s="18">
        <v>14.5</v>
      </c>
      <c r="Q12" s="18">
        <v>3</v>
      </c>
      <c r="R12" s="18">
        <v>2</v>
      </c>
      <c r="S12" s="18">
        <v>0</v>
      </c>
      <c r="T12" s="18">
        <v>85.58</v>
      </c>
    </row>
    <row r="13" spans="1:20" x14ac:dyDescent="0.3">
      <c r="A13" s="18">
        <v>50012</v>
      </c>
      <c r="B13" s="18">
        <v>0</v>
      </c>
      <c r="C13" s="18">
        <v>1</v>
      </c>
      <c r="D13" s="18" t="s">
        <v>36</v>
      </c>
      <c r="E13" s="18">
        <v>1</v>
      </c>
      <c r="F13" s="18">
        <v>5</v>
      </c>
      <c r="G13" s="18" t="s">
        <v>39</v>
      </c>
      <c r="H13" s="18" t="s">
        <v>33</v>
      </c>
      <c r="I13" s="18">
        <v>3.2</v>
      </c>
      <c r="J13" s="18">
        <v>5</v>
      </c>
      <c r="K13" s="18" t="s">
        <v>36</v>
      </c>
      <c r="L13" s="18">
        <v>3</v>
      </c>
      <c r="M13" s="18" t="s">
        <v>41</v>
      </c>
      <c r="N13" s="18">
        <v>2</v>
      </c>
      <c r="O13" s="18">
        <v>0</v>
      </c>
      <c r="P13" s="18">
        <v>12.1</v>
      </c>
      <c r="Q13" s="18">
        <v>2</v>
      </c>
      <c r="R13" s="18">
        <v>4</v>
      </c>
      <c r="S13" s="18">
        <v>4</v>
      </c>
      <c r="T13" s="18">
        <v>189.51</v>
      </c>
    </row>
    <row r="14" spans="1:20" x14ac:dyDescent="0.3">
      <c r="A14" s="18">
        <v>50013</v>
      </c>
      <c r="B14" s="18">
        <v>0</v>
      </c>
      <c r="C14" s="18">
        <v>41</v>
      </c>
      <c r="D14" s="18" t="s">
        <v>42</v>
      </c>
      <c r="E14" s="18">
        <v>2</v>
      </c>
      <c r="F14" s="18">
        <v>23</v>
      </c>
      <c r="G14" s="18" t="s">
        <v>39</v>
      </c>
      <c r="H14" s="18" t="s">
        <v>38</v>
      </c>
      <c r="I14" s="18">
        <v>3</v>
      </c>
      <c r="J14" s="18">
        <v>2</v>
      </c>
      <c r="K14" s="18" t="s">
        <v>36</v>
      </c>
      <c r="L14" s="18">
        <v>3</v>
      </c>
      <c r="M14" s="18" t="s">
        <v>45</v>
      </c>
      <c r="N14" s="18">
        <v>1</v>
      </c>
      <c r="O14" s="18">
        <v>0</v>
      </c>
      <c r="P14" s="18">
        <v>14.5</v>
      </c>
      <c r="Q14" s="18">
        <v>2</v>
      </c>
      <c r="R14" s="18">
        <v>3</v>
      </c>
      <c r="S14" s="18">
        <v>4</v>
      </c>
      <c r="T14" s="18">
        <v>171.47</v>
      </c>
    </row>
    <row r="15" spans="1:20" x14ac:dyDescent="0.3">
      <c r="A15" s="18">
        <v>50014</v>
      </c>
      <c r="B15" s="18">
        <v>0</v>
      </c>
      <c r="C15" s="18">
        <v>18</v>
      </c>
      <c r="D15" s="18" t="s">
        <v>36</v>
      </c>
      <c r="E15" s="18">
        <v>3</v>
      </c>
      <c r="F15" s="18">
        <v>11</v>
      </c>
      <c r="G15" s="18" t="s">
        <v>37</v>
      </c>
      <c r="H15" s="18" t="s">
        <v>33</v>
      </c>
      <c r="I15" s="18">
        <v>2.7</v>
      </c>
      <c r="J15" s="18">
        <v>4</v>
      </c>
      <c r="K15" s="18" t="s">
        <v>34</v>
      </c>
      <c r="L15" s="18">
        <v>2</v>
      </c>
      <c r="M15" s="18" t="s">
        <v>35</v>
      </c>
      <c r="N15" s="18">
        <v>1</v>
      </c>
      <c r="O15" s="18">
        <v>0</v>
      </c>
      <c r="P15" s="18">
        <v>24.7</v>
      </c>
      <c r="Q15" s="18">
        <v>1</v>
      </c>
      <c r="R15" s="18">
        <v>3</v>
      </c>
      <c r="S15" s="18">
        <v>0</v>
      </c>
      <c r="T15" s="18">
        <v>171</v>
      </c>
    </row>
    <row r="16" spans="1:20" x14ac:dyDescent="0.3">
      <c r="A16" s="18">
        <v>50015</v>
      </c>
      <c r="B16" s="18">
        <v>0</v>
      </c>
      <c r="C16" s="18">
        <v>1</v>
      </c>
      <c r="D16" s="18" t="s">
        <v>31</v>
      </c>
      <c r="E16" s="18">
        <v>1</v>
      </c>
      <c r="F16" s="18">
        <v>14</v>
      </c>
      <c r="G16" s="18" t="s">
        <v>37</v>
      </c>
      <c r="H16" s="18" t="s">
        <v>33</v>
      </c>
      <c r="I16" s="18">
        <v>3</v>
      </c>
      <c r="J16" s="18">
        <v>3</v>
      </c>
      <c r="K16" s="18" t="s">
        <v>46</v>
      </c>
      <c r="L16" s="18">
        <v>3</v>
      </c>
      <c r="M16" s="18" t="s">
        <v>45</v>
      </c>
      <c r="N16" s="18">
        <v>2</v>
      </c>
      <c r="O16" s="18">
        <v>0</v>
      </c>
      <c r="P16" s="18">
        <v>14.6</v>
      </c>
      <c r="Q16" s="18">
        <v>0</v>
      </c>
      <c r="R16" s="18">
        <v>3</v>
      </c>
      <c r="S16" s="18">
        <v>4</v>
      </c>
      <c r="T16" s="18">
        <v>94.01</v>
      </c>
    </row>
    <row r="17" spans="1:20" x14ac:dyDescent="0.3">
      <c r="A17" s="18">
        <v>50016</v>
      </c>
      <c r="B17" s="18">
        <v>0</v>
      </c>
      <c r="C17" s="18">
        <v>25</v>
      </c>
      <c r="D17" s="18" t="s">
        <v>42</v>
      </c>
      <c r="E17" s="18">
        <v>3</v>
      </c>
      <c r="F17" s="18">
        <v>25</v>
      </c>
      <c r="G17" s="18" t="s">
        <v>32</v>
      </c>
      <c r="H17" s="18" t="s">
        <v>38</v>
      </c>
      <c r="I17" s="18"/>
      <c r="J17" s="18">
        <v>3</v>
      </c>
      <c r="K17" s="18" t="s">
        <v>34</v>
      </c>
      <c r="L17" s="18">
        <v>4</v>
      </c>
      <c r="M17" s="18" t="s">
        <v>35</v>
      </c>
      <c r="N17" s="18">
        <v>2</v>
      </c>
      <c r="O17" s="18">
        <v>0</v>
      </c>
      <c r="P17" s="18">
        <v>14.9</v>
      </c>
      <c r="Q17" s="18">
        <v>3</v>
      </c>
      <c r="R17" s="18">
        <v>6</v>
      </c>
      <c r="S17" s="18">
        <v>15</v>
      </c>
      <c r="T17" s="18">
        <v>120.17</v>
      </c>
    </row>
    <row r="18" spans="1:20" x14ac:dyDescent="0.3">
      <c r="A18" s="18">
        <v>50017</v>
      </c>
      <c r="B18" s="18">
        <v>0</v>
      </c>
      <c r="C18" s="18">
        <v>20</v>
      </c>
      <c r="D18" s="18" t="s">
        <v>36</v>
      </c>
      <c r="E18" s="18">
        <v>3</v>
      </c>
      <c r="F18" s="18">
        <v>5</v>
      </c>
      <c r="G18" s="18" t="s">
        <v>37</v>
      </c>
      <c r="H18" s="18" t="s">
        <v>38</v>
      </c>
      <c r="I18" s="18">
        <v>3</v>
      </c>
      <c r="J18" s="18">
        <v>3</v>
      </c>
      <c r="K18" s="18" t="s">
        <v>44</v>
      </c>
      <c r="L18" s="18">
        <v>5</v>
      </c>
      <c r="M18" s="18" t="s">
        <v>35</v>
      </c>
      <c r="N18" s="18">
        <v>8</v>
      </c>
      <c r="O18" s="18">
        <v>0</v>
      </c>
      <c r="P18" s="18">
        <v>15.3</v>
      </c>
      <c r="Q18" s="18">
        <v>3</v>
      </c>
      <c r="R18" s="18">
        <v>3</v>
      </c>
      <c r="S18" s="18">
        <v>19</v>
      </c>
      <c r="T18" s="18">
        <v>176.26</v>
      </c>
    </row>
    <row r="19" spans="1:20" x14ac:dyDescent="0.3">
      <c r="A19" s="18">
        <v>50018</v>
      </c>
      <c r="B19" s="18">
        <v>0</v>
      </c>
      <c r="C19" s="18">
        <v>7</v>
      </c>
      <c r="D19" s="18" t="s">
        <v>42</v>
      </c>
      <c r="E19" s="18">
        <v>1</v>
      </c>
      <c r="F19" s="18">
        <v>5</v>
      </c>
      <c r="G19" s="18" t="s">
        <v>39</v>
      </c>
      <c r="H19" s="18" t="s">
        <v>33</v>
      </c>
      <c r="I19" s="18">
        <v>3</v>
      </c>
      <c r="J19" s="18">
        <v>2</v>
      </c>
      <c r="K19" s="18" t="s">
        <v>40</v>
      </c>
      <c r="L19" s="18">
        <v>4</v>
      </c>
      <c r="M19" s="18" t="s">
        <v>41</v>
      </c>
      <c r="N19" s="18">
        <v>8</v>
      </c>
      <c r="O19" s="18">
        <v>0</v>
      </c>
      <c r="P19" s="18">
        <v>15.5</v>
      </c>
      <c r="Q19" s="18"/>
      <c r="R19" s="18">
        <v>3</v>
      </c>
      <c r="S19" s="18">
        <v>10</v>
      </c>
      <c r="T19" s="18">
        <v>241.29</v>
      </c>
    </row>
    <row r="20" spans="1:20" x14ac:dyDescent="0.3">
      <c r="A20" s="18">
        <v>50019</v>
      </c>
      <c r="B20" s="18">
        <v>0</v>
      </c>
      <c r="C20" s="18">
        <v>8</v>
      </c>
      <c r="D20" s="18" t="s">
        <v>36</v>
      </c>
      <c r="E20" s="18">
        <v>1</v>
      </c>
      <c r="F20" s="18">
        <v>10</v>
      </c>
      <c r="G20" s="18" t="s">
        <v>39</v>
      </c>
      <c r="H20" s="18" t="s">
        <v>38</v>
      </c>
      <c r="I20" s="18">
        <v>1.8</v>
      </c>
      <c r="J20" s="18">
        <v>4</v>
      </c>
      <c r="K20" s="18" t="s">
        <v>44</v>
      </c>
      <c r="L20" s="18">
        <v>3</v>
      </c>
      <c r="M20" s="18" t="s">
        <v>41</v>
      </c>
      <c r="N20" s="18">
        <v>6</v>
      </c>
      <c r="O20" s="18">
        <v>0</v>
      </c>
      <c r="P20" s="18">
        <v>13.3</v>
      </c>
      <c r="Q20" s="18">
        <v>0</v>
      </c>
      <c r="R20" s="18">
        <v>4</v>
      </c>
      <c r="S20" s="18">
        <v>8</v>
      </c>
      <c r="T20" s="18">
        <v>147.52000000000001</v>
      </c>
    </row>
    <row r="21" spans="1:20" x14ac:dyDescent="0.3">
      <c r="A21" s="18">
        <v>50020</v>
      </c>
      <c r="B21" s="18">
        <v>0</v>
      </c>
      <c r="C21" s="18">
        <v>5</v>
      </c>
      <c r="D21" s="18" t="s">
        <v>42</v>
      </c>
      <c r="E21" s="18">
        <v>1</v>
      </c>
      <c r="F21" s="18">
        <v>23</v>
      </c>
      <c r="G21" s="18" t="s">
        <v>37</v>
      </c>
      <c r="H21" s="18" t="s">
        <v>33</v>
      </c>
      <c r="I21" s="18">
        <v>3.6</v>
      </c>
      <c r="J21" s="18">
        <v>5</v>
      </c>
      <c r="K21" s="18" t="s">
        <v>44</v>
      </c>
      <c r="L21" s="18">
        <v>1</v>
      </c>
      <c r="M21" s="18" t="s">
        <v>45</v>
      </c>
      <c r="N21" s="18">
        <v>1</v>
      </c>
      <c r="O21" s="18">
        <v>1</v>
      </c>
      <c r="P21" s="18"/>
      <c r="Q21" s="18">
        <v>2</v>
      </c>
      <c r="R21" s="18">
        <v>4</v>
      </c>
      <c r="S21" s="18">
        <v>1</v>
      </c>
      <c r="T21" s="18">
        <v>158</v>
      </c>
    </row>
    <row r="22" spans="1:20" x14ac:dyDescent="0.3">
      <c r="A22" s="18">
        <v>50021</v>
      </c>
      <c r="B22" s="18">
        <v>0</v>
      </c>
      <c r="C22" s="18">
        <v>0</v>
      </c>
      <c r="D22" s="18" t="s">
        <v>31</v>
      </c>
      <c r="E22" s="18">
        <v>1</v>
      </c>
      <c r="F22" s="18">
        <v>5</v>
      </c>
      <c r="G22" s="18" t="s">
        <v>39</v>
      </c>
      <c r="H22" s="18" t="s">
        <v>38</v>
      </c>
      <c r="I22" s="18">
        <v>2.2999999999999998</v>
      </c>
      <c r="J22" s="18">
        <v>4</v>
      </c>
      <c r="K22" s="18" t="s">
        <v>34</v>
      </c>
      <c r="L22" s="18">
        <v>1</v>
      </c>
      <c r="M22" s="18" t="s">
        <v>41</v>
      </c>
      <c r="N22" s="18">
        <v>4</v>
      </c>
      <c r="O22" s="18">
        <v>1</v>
      </c>
      <c r="P22" s="18">
        <v>19.8</v>
      </c>
      <c r="Q22" s="18">
        <v>3</v>
      </c>
      <c r="R22" s="18">
        <v>5</v>
      </c>
      <c r="S22" s="18">
        <v>0</v>
      </c>
      <c r="T22" s="18">
        <v>277.95999999999998</v>
      </c>
    </row>
    <row r="23" spans="1:20" x14ac:dyDescent="0.3">
      <c r="A23" s="18">
        <v>50022</v>
      </c>
      <c r="B23" s="18">
        <v>0</v>
      </c>
      <c r="C23" s="18">
        <v>4</v>
      </c>
      <c r="D23" s="18" t="s">
        <v>36</v>
      </c>
      <c r="E23" s="18">
        <v>1</v>
      </c>
      <c r="F23" s="18">
        <v>5</v>
      </c>
      <c r="G23" s="18" t="s">
        <v>47</v>
      </c>
      <c r="H23" s="18" t="s">
        <v>38</v>
      </c>
      <c r="I23" s="18">
        <v>3</v>
      </c>
      <c r="J23" s="18">
        <v>3</v>
      </c>
      <c r="K23" s="18" t="s">
        <v>44</v>
      </c>
      <c r="L23" s="18">
        <v>3</v>
      </c>
      <c r="M23" s="18" t="s">
        <v>41</v>
      </c>
      <c r="N23" s="18">
        <v>1</v>
      </c>
      <c r="O23" s="18">
        <v>1</v>
      </c>
      <c r="P23" s="18">
        <v>17.100000000000001</v>
      </c>
      <c r="Q23" s="18">
        <v>1</v>
      </c>
      <c r="R23" s="18">
        <v>4</v>
      </c>
      <c r="S23" s="18">
        <v>2</v>
      </c>
      <c r="T23" s="18">
        <v>163.66999999999999</v>
      </c>
    </row>
    <row r="24" spans="1:20" x14ac:dyDescent="0.3">
      <c r="A24" s="18">
        <v>50023</v>
      </c>
      <c r="B24" s="18">
        <v>0</v>
      </c>
      <c r="C24" s="18">
        <v>16</v>
      </c>
      <c r="D24" s="18" t="s">
        <v>36</v>
      </c>
      <c r="E24" s="18">
        <v>3</v>
      </c>
      <c r="F24" s="18">
        <v>11</v>
      </c>
      <c r="G24" s="18" t="s">
        <v>37</v>
      </c>
      <c r="H24" s="18" t="s">
        <v>33</v>
      </c>
      <c r="I24" s="18">
        <v>3.7</v>
      </c>
      <c r="J24" s="18">
        <v>2</v>
      </c>
      <c r="K24" s="18" t="s">
        <v>34</v>
      </c>
      <c r="L24" s="18">
        <v>3</v>
      </c>
      <c r="M24" s="18" t="s">
        <v>35</v>
      </c>
      <c r="N24" s="18">
        <v>1</v>
      </c>
      <c r="O24" s="18">
        <v>0</v>
      </c>
      <c r="P24" s="18">
        <v>12.1</v>
      </c>
      <c r="Q24" s="18">
        <v>3</v>
      </c>
      <c r="R24" s="18">
        <v>5</v>
      </c>
      <c r="S24" s="18">
        <v>4</v>
      </c>
      <c r="T24" s="18">
        <v>172.92</v>
      </c>
    </row>
    <row r="25" spans="1:20" x14ac:dyDescent="0.3">
      <c r="A25" s="18">
        <v>50024</v>
      </c>
      <c r="B25" s="18">
        <v>0</v>
      </c>
      <c r="C25" s="18">
        <v>0</v>
      </c>
      <c r="D25" s="18" t="s">
        <v>36</v>
      </c>
      <c r="E25" s="18">
        <v>3</v>
      </c>
      <c r="F25" s="18">
        <v>19</v>
      </c>
      <c r="G25" s="18" t="s">
        <v>47</v>
      </c>
      <c r="H25" s="18" t="s">
        <v>38</v>
      </c>
      <c r="I25" s="18">
        <v>3.5</v>
      </c>
      <c r="J25" s="18">
        <v>4</v>
      </c>
      <c r="K25" s="18" t="s">
        <v>44</v>
      </c>
      <c r="L25" s="18">
        <v>4</v>
      </c>
      <c r="M25" s="18" t="s">
        <v>35</v>
      </c>
      <c r="N25" s="18">
        <v>1</v>
      </c>
      <c r="O25" s="18">
        <v>0</v>
      </c>
      <c r="P25" s="18">
        <v>14.8</v>
      </c>
      <c r="Q25" s="18">
        <v>4</v>
      </c>
      <c r="R25" s="18">
        <v>4</v>
      </c>
      <c r="S25" s="18">
        <v>9</v>
      </c>
      <c r="T25" s="18">
        <v>173.66</v>
      </c>
    </row>
    <row r="26" spans="1:20" x14ac:dyDescent="0.3">
      <c r="A26" s="18">
        <v>50025</v>
      </c>
      <c r="B26" s="18">
        <v>0</v>
      </c>
      <c r="C26" s="18">
        <v>4</v>
      </c>
      <c r="D26" s="18" t="s">
        <v>36</v>
      </c>
      <c r="E26" s="18">
        <v>2</v>
      </c>
      <c r="F26" s="18">
        <v>24</v>
      </c>
      <c r="G26" s="18" t="s">
        <v>43</v>
      </c>
      <c r="H26" s="18" t="s">
        <v>38</v>
      </c>
      <c r="I26" s="18">
        <v>2.9</v>
      </c>
      <c r="J26" s="18">
        <v>5</v>
      </c>
      <c r="K26" s="18" t="s">
        <v>46</v>
      </c>
      <c r="L26" s="18">
        <v>1</v>
      </c>
      <c r="M26" s="18" t="s">
        <v>41</v>
      </c>
      <c r="N26" s="18">
        <v>1</v>
      </c>
      <c r="O26" s="18">
        <v>0</v>
      </c>
      <c r="P26" s="18">
        <v>14.1</v>
      </c>
      <c r="Q26" s="18">
        <v>3</v>
      </c>
      <c r="R26" s="18">
        <v>2</v>
      </c>
      <c r="S26" s="18">
        <v>1</v>
      </c>
      <c r="T26" s="18">
        <v>106</v>
      </c>
    </row>
    <row r="27" spans="1:20" x14ac:dyDescent="0.3">
      <c r="A27" s="18">
        <v>50026</v>
      </c>
      <c r="B27" s="18">
        <v>0</v>
      </c>
      <c r="C27" s="18">
        <v>5</v>
      </c>
      <c r="D27" s="18" t="s">
        <v>36</v>
      </c>
      <c r="E27" s="18">
        <v>1</v>
      </c>
      <c r="F27" s="18">
        <v>11</v>
      </c>
      <c r="G27" s="18" t="s">
        <v>43</v>
      </c>
      <c r="H27" s="18" t="s">
        <v>33</v>
      </c>
      <c r="I27" s="18">
        <v>2.6</v>
      </c>
      <c r="J27" s="18">
        <v>3</v>
      </c>
      <c r="K27" s="18" t="s">
        <v>44</v>
      </c>
      <c r="L27" s="18">
        <v>5</v>
      </c>
      <c r="M27" s="18" t="s">
        <v>41</v>
      </c>
      <c r="N27" s="18">
        <v>1</v>
      </c>
      <c r="O27" s="18">
        <v>0</v>
      </c>
      <c r="P27" s="18">
        <v>16.2</v>
      </c>
      <c r="Q27" s="18">
        <v>4</v>
      </c>
      <c r="R27" s="18">
        <v>4</v>
      </c>
      <c r="S27" s="18">
        <v>3</v>
      </c>
      <c r="T27" s="18">
        <v>211.45</v>
      </c>
    </row>
    <row r="28" spans="1:20" x14ac:dyDescent="0.3">
      <c r="A28" s="18">
        <v>50027</v>
      </c>
      <c r="B28" s="18">
        <v>0</v>
      </c>
      <c r="C28" s="18">
        <v>7</v>
      </c>
      <c r="D28" s="18" t="s">
        <v>36</v>
      </c>
      <c r="E28" s="18">
        <v>3</v>
      </c>
      <c r="F28" s="18">
        <v>11</v>
      </c>
      <c r="G28" s="18" t="s">
        <v>43</v>
      </c>
      <c r="H28" s="18" t="s">
        <v>33</v>
      </c>
      <c r="I28" s="18">
        <v>3.6</v>
      </c>
      <c r="J28" s="18">
        <v>3</v>
      </c>
      <c r="K28" s="18" t="s">
        <v>36</v>
      </c>
      <c r="L28" s="18">
        <v>3</v>
      </c>
      <c r="M28" s="18" t="s">
        <v>35</v>
      </c>
      <c r="N28" s="18">
        <v>2</v>
      </c>
      <c r="O28" s="18">
        <v>0</v>
      </c>
      <c r="P28" s="18">
        <v>20.7</v>
      </c>
      <c r="Q28" s="18">
        <v>2</v>
      </c>
      <c r="R28" s="18">
        <v>4</v>
      </c>
      <c r="S28" s="18">
        <v>5</v>
      </c>
      <c r="T28" s="18">
        <v>144.09</v>
      </c>
    </row>
    <row r="29" spans="1:20" x14ac:dyDescent="0.3">
      <c r="A29" s="18">
        <v>50028</v>
      </c>
      <c r="B29" s="18">
        <v>0</v>
      </c>
      <c r="C29" s="18">
        <v>25</v>
      </c>
      <c r="D29" s="18" t="s">
        <v>36</v>
      </c>
      <c r="E29" s="18">
        <v>3</v>
      </c>
      <c r="F29" s="18">
        <v>24</v>
      </c>
      <c r="G29" s="18" t="s">
        <v>39</v>
      </c>
      <c r="H29" s="18" t="s">
        <v>38</v>
      </c>
      <c r="I29" s="18">
        <v>3.4</v>
      </c>
      <c r="J29" s="18">
        <v>3</v>
      </c>
      <c r="K29" s="18" t="s">
        <v>44</v>
      </c>
      <c r="L29" s="18">
        <v>5</v>
      </c>
      <c r="M29" s="18" t="s">
        <v>41</v>
      </c>
      <c r="N29" s="18">
        <v>10</v>
      </c>
      <c r="O29" s="18">
        <v>0</v>
      </c>
      <c r="P29" s="18">
        <v>15.5</v>
      </c>
      <c r="Q29" s="18">
        <v>2</v>
      </c>
      <c r="R29" s="18">
        <v>2</v>
      </c>
      <c r="S29" s="18">
        <v>2</v>
      </c>
      <c r="T29" s="18">
        <v>178.35</v>
      </c>
    </row>
    <row r="30" spans="1:20" x14ac:dyDescent="0.3">
      <c r="A30" s="18">
        <v>50029</v>
      </c>
      <c r="B30" s="18">
        <v>0</v>
      </c>
      <c r="C30" s="18">
        <v>4</v>
      </c>
      <c r="D30" s="18" t="s">
        <v>31</v>
      </c>
      <c r="E30" s="18">
        <v>3</v>
      </c>
      <c r="F30" s="18">
        <v>5</v>
      </c>
      <c r="G30" s="18" t="s">
        <v>39</v>
      </c>
      <c r="H30" s="18" t="s">
        <v>33</v>
      </c>
      <c r="I30" s="18">
        <v>2.5</v>
      </c>
      <c r="J30" s="18">
        <v>3</v>
      </c>
      <c r="K30" s="18" t="s">
        <v>36</v>
      </c>
      <c r="L30" s="18">
        <v>3</v>
      </c>
      <c r="M30" s="18" t="s">
        <v>35</v>
      </c>
      <c r="N30" s="18">
        <v>1</v>
      </c>
      <c r="O30" s="18">
        <v>0</v>
      </c>
      <c r="P30" s="18">
        <v>15.7</v>
      </c>
      <c r="Q30" s="18">
        <v>2</v>
      </c>
      <c r="R30" s="18">
        <v>4</v>
      </c>
      <c r="S30" s="18">
        <v>3</v>
      </c>
      <c r="T30" s="18">
        <v>204.44</v>
      </c>
    </row>
    <row r="31" spans="1:20" x14ac:dyDescent="0.3">
      <c r="A31" s="18">
        <v>50030</v>
      </c>
      <c r="B31" s="18">
        <v>0</v>
      </c>
      <c r="C31" s="18">
        <v>4</v>
      </c>
      <c r="D31" s="18" t="s">
        <v>36</v>
      </c>
      <c r="E31" s="18">
        <v>1</v>
      </c>
      <c r="F31" s="18">
        <v>11</v>
      </c>
      <c r="G31" s="18" t="s">
        <v>39</v>
      </c>
      <c r="H31" s="18" t="s">
        <v>33</v>
      </c>
      <c r="I31" s="18">
        <v>2.2999999999999998</v>
      </c>
      <c r="J31" s="18">
        <v>1</v>
      </c>
      <c r="K31" s="18" t="s">
        <v>36</v>
      </c>
      <c r="L31" s="18">
        <v>2</v>
      </c>
      <c r="M31" s="18" t="s">
        <v>41</v>
      </c>
      <c r="N31" s="18">
        <v>8</v>
      </c>
      <c r="O31" s="18">
        <v>0</v>
      </c>
      <c r="P31" s="18">
        <v>22.2</v>
      </c>
      <c r="Q31" s="18">
        <v>1</v>
      </c>
      <c r="R31" s="18">
        <v>3</v>
      </c>
      <c r="S31" s="18">
        <v>1</v>
      </c>
      <c r="T31" s="18">
        <v>286.83999999999997</v>
      </c>
    </row>
    <row r="32" spans="1:20" x14ac:dyDescent="0.3">
      <c r="A32" s="18">
        <v>50031</v>
      </c>
      <c r="B32" s="18">
        <v>1</v>
      </c>
      <c r="C32" s="18">
        <v>13</v>
      </c>
      <c r="D32" s="18" t="s">
        <v>36</v>
      </c>
      <c r="E32" s="18">
        <v>2</v>
      </c>
      <c r="F32" s="18">
        <v>16</v>
      </c>
      <c r="G32" s="18" t="s">
        <v>32</v>
      </c>
      <c r="H32" s="18" t="s">
        <v>38</v>
      </c>
      <c r="I32" s="18">
        <v>1.4</v>
      </c>
      <c r="J32" s="18">
        <v>4</v>
      </c>
      <c r="K32" s="18" t="s">
        <v>40</v>
      </c>
      <c r="L32" s="18">
        <v>4</v>
      </c>
      <c r="M32" s="18" t="s">
        <v>35</v>
      </c>
      <c r="N32" s="18">
        <v>1</v>
      </c>
      <c r="O32" s="18">
        <v>0</v>
      </c>
      <c r="P32" s="18">
        <v>19.100000000000001</v>
      </c>
      <c r="Q32" s="18">
        <v>1</v>
      </c>
      <c r="R32" s="18">
        <v>1</v>
      </c>
      <c r="S32" s="18">
        <v>21</v>
      </c>
      <c r="T32" s="18">
        <v>107.52</v>
      </c>
    </row>
    <row r="33" spans="1:20" x14ac:dyDescent="0.3">
      <c r="A33" s="18">
        <v>50032</v>
      </c>
      <c r="B33" s="18">
        <v>0</v>
      </c>
      <c r="C33" s="18">
        <v>6</v>
      </c>
      <c r="D33" s="18" t="s">
        <v>31</v>
      </c>
      <c r="E33" s="18">
        <v>1</v>
      </c>
      <c r="F33" s="18">
        <v>18</v>
      </c>
      <c r="G33" s="18" t="s">
        <v>43</v>
      </c>
      <c r="H33" s="18" t="s">
        <v>38</v>
      </c>
      <c r="I33" s="18">
        <v>3</v>
      </c>
      <c r="J33" s="18">
        <v>2</v>
      </c>
      <c r="K33" s="18" t="s">
        <v>44</v>
      </c>
      <c r="L33" s="18">
        <v>4</v>
      </c>
      <c r="M33" s="18" t="s">
        <v>35</v>
      </c>
      <c r="N33" s="18">
        <v>1</v>
      </c>
      <c r="O33" s="18">
        <v>0</v>
      </c>
      <c r="P33" s="18">
        <v>18</v>
      </c>
      <c r="Q33" s="18">
        <v>5</v>
      </c>
      <c r="R33" s="18">
        <v>1</v>
      </c>
      <c r="S33" s="18"/>
      <c r="T33" s="18">
        <v>227.57</v>
      </c>
    </row>
    <row r="34" spans="1:20" x14ac:dyDescent="0.3">
      <c r="A34" s="18">
        <v>50033</v>
      </c>
      <c r="B34" s="18">
        <v>0</v>
      </c>
      <c r="C34" s="18">
        <v>2</v>
      </c>
      <c r="D34" s="18" t="s">
        <v>36</v>
      </c>
      <c r="E34" s="18">
        <v>1</v>
      </c>
      <c r="F34" s="18">
        <v>10</v>
      </c>
      <c r="G34" s="18" t="s">
        <v>32</v>
      </c>
      <c r="H34" s="18" t="s">
        <v>33</v>
      </c>
      <c r="I34" s="18">
        <v>2.8</v>
      </c>
      <c r="J34" s="18">
        <v>2</v>
      </c>
      <c r="K34" s="18" t="s">
        <v>44</v>
      </c>
      <c r="L34" s="18">
        <v>3</v>
      </c>
      <c r="M34" s="18" t="s">
        <v>35</v>
      </c>
      <c r="N34" s="18">
        <v>2</v>
      </c>
      <c r="O34" s="18">
        <v>0</v>
      </c>
      <c r="P34" s="18">
        <v>22.9</v>
      </c>
      <c r="Q34" s="18">
        <v>0</v>
      </c>
      <c r="R34" s="18">
        <v>3</v>
      </c>
      <c r="S34" s="18">
        <v>3</v>
      </c>
      <c r="T34" s="18">
        <v>227.78</v>
      </c>
    </row>
    <row r="35" spans="1:20" x14ac:dyDescent="0.3">
      <c r="A35" s="18">
        <v>50034</v>
      </c>
      <c r="B35" s="18">
        <v>0</v>
      </c>
      <c r="C35" s="18">
        <v>6</v>
      </c>
      <c r="D35" s="18" t="s">
        <v>36</v>
      </c>
      <c r="E35" s="18">
        <v>1</v>
      </c>
      <c r="F35" s="18">
        <v>15</v>
      </c>
      <c r="G35" s="18" t="s">
        <v>39</v>
      </c>
      <c r="H35" s="18" t="s">
        <v>33</v>
      </c>
      <c r="I35" s="18"/>
      <c r="J35" s="18">
        <v>4</v>
      </c>
      <c r="K35" s="18" t="s">
        <v>44</v>
      </c>
      <c r="L35" s="18">
        <v>3</v>
      </c>
      <c r="M35" s="18" t="s">
        <v>41</v>
      </c>
      <c r="N35" s="18">
        <v>3</v>
      </c>
      <c r="O35" s="18">
        <v>0</v>
      </c>
      <c r="P35" s="18">
        <v>17.7</v>
      </c>
      <c r="Q35" s="18">
        <v>2</v>
      </c>
      <c r="R35" s="18">
        <v>5</v>
      </c>
      <c r="S35" s="18">
        <v>1</v>
      </c>
      <c r="T35" s="18">
        <v>144.9</v>
      </c>
    </row>
    <row r="36" spans="1:20" x14ac:dyDescent="0.3">
      <c r="A36" s="18">
        <v>50035</v>
      </c>
      <c r="B36" s="18">
        <v>0</v>
      </c>
      <c r="C36" s="18">
        <v>1</v>
      </c>
      <c r="D36" s="18" t="s">
        <v>36</v>
      </c>
      <c r="E36" s="18">
        <v>2</v>
      </c>
      <c r="F36" s="18">
        <v>5</v>
      </c>
      <c r="G36" s="18" t="s">
        <v>43</v>
      </c>
      <c r="H36" s="18" t="s">
        <v>33</v>
      </c>
      <c r="I36" s="18">
        <v>3.2</v>
      </c>
      <c r="J36" s="18">
        <v>2</v>
      </c>
      <c r="K36" s="18" t="s">
        <v>36</v>
      </c>
      <c r="L36" s="18">
        <v>1</v>
      </c>
      <c r="M36" s="18" t="s">
        <v>35</v>
      </c>
      <c r="N36" s="18">
        <v>1</v>
      </c>
      <c r="O36" s="18">
        <v>1</v>
      </c>
      <c r="P36" s="18">
        <v>11</v>
      </c>
      <c r="Q36" s="18">
        <v>2</v>
      </c>
      <c r="R36" s="18">
        <v>3</v>
      </c>
      <c r="S36" s="18">
        <v>3</v>
      </c>
      <c r="T36" s="18">
        <v>212.97</v>
      </c>
    </row>
    <row r="37" spans="1:20" x14ac:dyDescent="0.3">
      <c r="A37" s="18">
        <v>50036</v>
      </c>
      <c r="B37" s="18">
        <v>0</v>
      </c>
      <c r="C37" s="18">
        <v>1</v>
      </c>
      <c r="D37" s="18" t="s">
        <v>42</v>
      </c>
      <c r="E37" s="18">
        <v>2</v>
      </c>
      <c r="F37" s="18">
        <v>9</v>
      </c>
      <c r="G37" s="18" t="s">
        <v>37</v>
      </c>
      <c r="H37" s="18" t="s">
        <v>33</v>
      </c>
      <c r="I37" s="18">
        <v>3.8</v>
      </c>
      <c r="J37" s="18">
        <v>3</v>
      </c>
      <c r="K37" s="18" t="s">
        <v>46</v>
      </c>
      <c r="L37" s="18">
        <v>4</v>
      </c>
      <c r="M37" s="18" t="s">
        <v>35</v>
      </c>
      <c r="N37" s="18">
        <v>1</v>
      </c>
      <c r="O37" s="18">
        <v>0</v>
      </c>
      <c r="P37" s="18">
        <v>18.899999999999999</v>
      </c>
      <c r="Q37" s="18">
        <v>3</v>
      </c>
      <c r="R37" s="18">
        <v>5</v>
      </c>
      <c r="S37" s="18">
        <v>1</v>
      </c>
      <c r="T37" s="18">
        <v>270.39</v>
      </c>
    </row>
    <row r="38" spans="1:20" x14ac:dyDescent="0.3">
      <c r="A38" s="18">
        <v>50037</v>
      </c>
      <c r="B38" s="18">
        <v>0</v>
      </c>
      <c r="C38" s="18">
        <v>6</v>
      </c>
      <c r="D38" s="18" t="s">
        <v>42</v>
      </c>
      <c r="E38" s="18">
        <v>1</v>
      </c>
      <c r="F38" s="18">
        <v>18</v>
      </c>
      <c r="G38" s="18" t="s">
        <v>39</v>
      </c>
      <c r="H38" s="18" t="s">
        <v>33</v>
      </c>
      <c r="I38" s="18">
        <v>2.4</v>
      </c>
      <c r="J38" s="18">
        <v>5</v>
      </c>
      <c r="K38" s="18" t="s">
        <v>46</v>
      </c>
      <c r="L38" s="18">
        <v>5</v>
      </c>
      <c r="M38" s="18" t="s">
        <v>41</v>
      </c>
      <c r="N38" s="18">
        <v>2</v>
      </c>
      <c r="O38" s="18">
        <v>1</v>
      </c>
      <c r="P38" s="18">
        <v>11</v>
      </c>
      <c r="Q38" s="18">
        <v>1</v>
      </c>
      <c r="R38" s="18">
        <v>2</v>
      </c>
      <c r="S38" s="18">
        <v>1</v>
      </c>
      <c r="T38" s="18">
        <v>137.93</v>
      </c>
    </row>
    <row r="39" spans="1:20" x14ac:dyDescent="0.3">
      <c r="A39" s="18">
        <v>50038</v>
      </c>
      <c r="B39" s="18">
        <v>0</v>
      </c>
      <c r="C39" s="18">
        <v>5</v>
      </c>
      <c r="D39" s="18" t="s">
        <v>36</v>
      </c>
      <c r="E39" s="18">
        <v>1</v>
      </c>
      <c r="F39" s="18">
        <v>7</v>
      </c>
      <c r="G39" s="18" t="s">
        <v>37</v>
      </c>
      <c r="H39" s="18" t="s">
        <v>38</v>
      </c>
      <c r="I39" s="18">
        <v>3.7</v>
      </c>
      <c r="J39" s="18">
        <v>2</v>
      </c>
      <c r="K39" s="18" t="s">
        <v>44</v>
      </c>
      <c r="L39" s="18">
        <v>1</v>
      </c>
      <c r="M39" s="18" t="s">
        <v>35</v>
      </c>
      <c r="N39" s="18">
        <v>1</v>
      </c>
      <c r="O39" s="18">
        <v>0</v>
      </c>
      <c r="P39" s="18">
        <v>17.600000000000001</v>
      </c>
      <c r="Q39" s="18">
        <v>1</v>
      </c>
      <c r="R39" s="18">
        <v>4</v>
      </c>
      <c r="S39" s="18">
        <v>1</v>
      </c>
      <c r="T39" s="18">
        <v>193.28</v>
      </c>
    </row>
    <row r="40" spans="1:20" x14ac:dyDescent="0.3">
      <c r="A40" s="18">
        <v>50039</v>
      </c>
      <c r="B40" s="18">
        <v>0</v>
      </c>
      <c r="C40" s="18">
        <v>24</v>
      </c>
      <c r="D40" s="18" t="s">
        <v>31</v>
      </c>
      <c r="E40" s="18">
        <v>1</v>
      </c>
      <c r="F40" s="18">
        <v>15</v>
      </c>
      <c r="G40" s="18" t="s">
        <v>39</v>
      </c>
      <c r="H40" s="18" t="s">
        <v>33</v>
      </c>
      <c r="I40" s="18">
        <v>2.5</v>
      </c>
      <c r="J40" s="18">
        <v>2</v>
      </c>
      <c r="K40" s="18" t="s">
        <v>36</v>
      </c>
      <c r="L40" s="18">
        <v>3</v>
      </c>
      <c r="M40" s="18" t="s">
        <v>35</v>
      </c>
      <c r="N40" s="18">
        <v>4</v>
      </c>
      <c r="O40" s="18">
        <v>0</v>
      </c>
      <c r="P40" s="18">
        <v>11</v>
      </c>
      <c r="Q40" s="18">
        <v>3</v>
      </c>
      <c r="R40" s="18">
        <v>4</v>
      </c>
      <c r="S40" s="18">
        <v>0</v>
      </c>
      <c r="T40" s="18">
        <v>202.26</v>
      </c>
    </row>
    <row r="41" spans="1:20" x14ac:dyDescent="0.3">
      <c r="A41" s="18">
        <v>50040</v>
      </c>
      <c r="B41" s="18">
        <v>0</v>
      </c>
      <c r="C41" s="18">
        <v>4</v>
      </c>
      <c r="D41" s="18" t="s">
        <v>36</v>
      </c>
      <c r="E41" s="18">
        <v>1</v>
      </c>
      <c r="F41" s="18">
        <v>18</v>
      </c>
      <c r="G41" s="18" t="s">
        <v>37</v>
      </c>
      <c r="H41" s="18" t="s">
        <v>33</v>
      </c>
      <c r="I41" s="18">
        <v>3.4</v>
      </c>
      <c r="J41" s="18">
        <v>3</v>
      </c>
      <c r="K41" s="18" t="s">
        <v>40</v>
      </c>
      <c r="L41" s="18">
        <v>5</v>
      </c>
      <c r="M41" s="18" t="s">
        <v>35</v>
      </c>
      <c r="N41" s="18">
        <v>2</v>
      </c>
      <c r="O41" s="18">
        <v>1</v>
      </c>
      <c r="P41" s="18">
        <v>14.4</v>
      </c>
      <c r="Q41" s="18">
        <v>6</v>
      </c>
      <c r="R41" s="18">
        <v>1</v>
      </c>
      <c r="S41" s="18">
        <v>4</v>
      </c>
      <c r="T41" s="18">
        <v>209.38</v>
      </c>
    </row>
    <row r="42" spans="1:20" x14ac:dyDescent="0.3">
      <c r="A42" s="18">
        <v>50041</v>
      </c>
      <c r="B42" s="18">
        <v>0</v>
      </c>
      <c r="C42" s="18">
        <v>8</v>
      </c>
      <c r="D42" s="18" t="s">
        <v>31</v>
      </c>
      <c r="E42" s="18">
        <v>1</v>
      </c>
      <c r="F42" s="18">
        <v>12</v>
      </c>
      <c r="G42" s="18" t="s">
        <v>39</v>
      </c>
      <c r="H42" s="18" t="s">
        <v>33</v>
      </c>
      <c r="I42" s="18">
        <v>1.9</v>
      </c>
      <c r="J42" s="18">
        <v>4</v>
      </c>
      <c r="K42" s="18" t="s">
        <v>44</v>
      </c>
      <c r="L42" s="18">
        <v>3</v>
      </c>
      <c r="M42" s="18" t="s">
        <v>41</v>
      </c>
      <c r="N42" s="18">
        <v>1</v>
      </c>
      <c r="O42" s="18">
        <v>0</v>
      </c>
      <c r="P42" s="18">
        <v>14.7</v>
      </c>
      <c r="Q42" s="18">
        <v>2</v>
      </c>
      <c r="R42" s="18">
        <v>2</v>
      </c>
      <c r="S42" s="18">
        <v>2</v>
      </c>
      <c r="T42" s="18">
        <v>222.31</v>
      </c>
    </row>
    <row r="43" spans="1:20" x14ac:dyDescent="0.3">
      <c r="A43" s="18">
        <v>50042</v>
      </c>
      <c r="B43" s="18">
        <v>0</v>
      </c>
      <c r="C43" s="18">
        <v>10</v>
      </c>
      <c r="D43" s="18" t="s">
        <v>31</v>
      </c>
      <c r="E43" s="18">
        <v>1</v>
      </c>
      <c r="F43" s="18">
        <v>16</v>
      </c>
      <c r="G43" s="18" t="s">
        <v>37</v>
      </c>
      <c r="H43" s="18" t="s">
        <v>38</v>
      </c>
      <c r="I43" s="18">
        <v>3.1</v>
      </c>
      <c r="J43" s="18">
        <v>2</v>
      </c>
      <c r="K43" s="18" t="s">
        <v>36</v>
      </c>
      <c r="L43" s="18">
        <v>4</v>
      </c>
      <c r="M43" s="18" t="s">
        <v>41</v>
      </c>
      <c r="N43" s="18">
        <v>7</v>
      </c>
      <c r="O43" s="18">
        <v>0</v>
      </c>
      <c r="P43" s="18">
        <v>13.3</v>
      </c>
      <c r="Q43" s="18">
        <v>0</v>
      </c>
      <c r="R43" s="18">
        <v>5</v>
      </c>
      <c r="S43" s="18">
        <v>11</v>
      </c>
      <c r="T43" s="18">
        <v>189.15</v>
      </c>
    </row>
    <row r="44" spans="1:20" x14ac:dyDescent="0.3">
      <c r="A44" s="18">
        <v>50043</v>
      </c>
      <c r="B44" s="18">
        <v>0</v>
      </c>
      <c r="C44" s="18">
        <v>0</v>
      </c>
      <c r="D44" s="18" t="s">
        <v>31</v>
      </c>
      <c r="E44" s="18">
        <v>3</v>
      </c>
      <c r="F44" s="18">
        <v>7</v>
      </c>
      <c r="G44" s="18" t="s">
        <v>47</v>
      </c>
      <c r="H44" s="18" t="s">
        <v>33</v>
      </c>
      <c r="I44" s="18">
        <v>1.5</v>
      </c>
      <c r="J44" s="18">
        <v>4</v>
      </c>
      <c r="K44" s="18" t="s">
        <v>36</v>
      </c>
      <c r="L44" s="18">
        <v>3</v>
      </c>
      <c r="M44" s="18" t="s">
        <v>45</v>
      </c>
      <c r="N44" s="18">
        <v>1</v>
      </c>
      <c r="O44" s="18">
        <v>1</v>
      </c>
      <c r="P44" s="18">
        <v>14.8</v>
      </c>
      <c r="Q44" s="18">
        <v>1</v>
      </c>
      <c r="R44" s="18">
        <v>4</v>
      </c>
      <c r="S44" s="18">
        <v>0</v>
      </c>
      <c r="T44" s="18">
        <v>208.24</v>
      </c>
    </row>
    <row r="45" spans="1:20" x14ac:dyDescent="0.3">
      <c r="A45" s="18">
        <v>50044</v>
      </c>
      <c r="B45" s="18">
        <v>0</v>
      </c>
      <c r="C45" s="18">
        <v>10</v>
      </c>
      <c r="D45" s="18" t="s">
        <v>36</v>
      </c>
      <c r="E45" s="18">
        <v>1</v>
      </c>
      <c r="F45" s="18">
        <v>13</v>
      </c>
      <c r="G45" s="18" t="s">
        <v>32</v>
      </c>
      <c r="H45" s="18" t="s">
        <v>33</v>
      </c>
      <c r="I45" s="18">
        <v>2.7</v>
      </c>
      <c r="J45" s="18">
        <v>4</v>
      </c>
      <c r="K45" s="18" t="s">
        <v>44</v>
      </c>
      <c r="L45" s="18">
        <v>4</v>
      </c>
      <c r="M45" s="18" t="s">
        <v>35</v>
      </c>
      <c r="N45" s="18">
        <v>4</v>
      </c>
      <c r="O45" s="18">
        <v>0</v>
      </c>
      <c r="P45" s="18">
        <v>19.600000000000001</v>
      </c>
      <c r="Q45" s="18">
        <v>1</v>
      </c>
      <c r="R45" s="18">
        <v>2</v>
      </c>
      <c r="S45" s="18">
        <v>0</v>
      </c>
      <c r="T45" s="18">
        <v>129.87</v>
      </c>
    </row>
    <row r="46" spans="1:20" x14ac:dyDescent="0.3">
      <c r="A46" s="18">
        <v>50045</v>
      </c>
      <c r="B46" s="18">
        <v>1</v>
      </c>
      <c r="C46" s="18">
        <v>1</v>
      </c>
      <c r="D46" s="18" t="s">
        <v>36</v>
      </c>
      <c r="E46" s="18">
        <v>1</v>
      </c>
      <c r="F46" s="18">
        <v>19</v>
      </c>
      <c r="G46" s="18" t="s">
        <v>47</v>
      </c>
      <c r="H46" s="18" t="s">
        <v>33</v>
      </c>
      <c r="I46" s="18">
        <v>3.2</v>
      </c>
      <c r="J46" s="18">
        <v>1</v>
      </c>
      <c r="K46" s="18" t="s">
        <v>44</v>
      </c>
      <c r="L46" s="18">
        <v>3</v>
      </c>
      <c r="M46" s="18" t="s">
        <v>35</v>
      </c>
      <c r="N46" s="18">
        <v>5</v>
      </c>
      <c r="O46" s="18">
        <v>0</v>
      </c>
      <c r="P46" s="18">
        <v>13.5</v>
      </c>
      <c r="Q46" s="18">
        <v>1</v>
      </c>
      <c r="R46" s="18">
        <v>2</v>
      </c>
      <c r="S46" s="18">
        <v>10</v>
      </c>
      <c r="T46" s="18">
        <v>189.02</v>
      </c>
    </row>
    <row r="47" spans="1:20" x14ac:dyDescent="0.3">
      <c r="A47" s="18">
        <v>50046</v>
      </c>
      <c r="B47" s="18">
        <v>0</v>
      </c>
      <c r="C47" s="18">
        <v>32</v>
      </c>
      <c r="D47" s="18" t="s">
        <v>36</v>
      </c>
      <c r="E47" s="18">
        <v>1</v>
      </c>
      <c r="F47" s="18">
        <v>16</v>
      </c>
      <c r="G47" s="18" t="s">
        <v>37</v>
      </c>
      <c r="H47" s="18" t="s">
        <v>33</v>
      </c>
      <c r="I47" s="18">
        <v>2.5</v>
      </c>
      <c r="J47" s="18">
        <v>4</v>
      </c>
      <c r="K47" s="18" t="s">
        <v>44</v>
      </c>
      <c r="L47" s="18">
        <v>3</v>
      </c>
      <c r="M47" s="18" t="s">
        <v>35</v>
      </c>
      <c r="N47" s="18">
        <v>11</v>
      </c>
      <c r="O47" s="18">
        <v>1</v>
      </c>
      <c r="P47" s="18">
        <v>17.899999999999999</v>
      </c>
      <c r="Q47" s="18">
        <v>4</v>
      </c>
      <c r="R47" s="18">
        <v>5</v>
      </c>
      <c r="S47" s="18">
        <v>0</v>
      </c>
      <c r="T47" s="18">
        <v>153.80000000000001</v>
      </c>
    </row>
    <row r="48" spans="1:20" x14ac:dyDescent="0.3">
      <c r="A48" s="18">
        <v>50047</v>
      </c>
      <c r="B48" s="18">
        <v>0</v>
      </c>
      <c r="C48" s="18">
        <v>1</v>
      </c>
      <c r="D48" s="18" t="s">
        <v>42</v>
      </c>
      <c r="E48" s="18">
        <v>3</v>
      </c>
      <c r="F48" s="18">
        <v>10</v>
      </c>
      <c r="G48" s="18" t="s">
        <v>32</v>
      </c>
      <c r="H48" s="18" t="s">
        <v>33</v>
      </c>
      <c r="I48" s="18">
        <v>2.2000000000000002</v>
      </c>
      <c r="J48" s="18">
        <v>4</v>
      </c>
      <c r="K48" s="18" t="s">
        <v>40</v>
      </c>
      <c r="L48" s="18">
        <v>1</v>
      </c>
      <c r="M48" s="18" t="s">
        <v>41</v>
      </c>
      <c r="N48" s="18">
        <v>2</v>
      </c>
      <c r="O48" s="18">
        <v>0</v>
      </c>
      <c r="P48" s="18">
        <v>12.6</v>
      </c>
      <c r="Q48" s="18">
        <v>4</v>
      </c>
      <c r="R48" s="18">
        <v>4</v>
      </c>
      <c r="S48" s="18">
        <v>0</v>
      </c>
      <c r="T48" s="18">
        <v>112.36</v>
      </c>
    </row>
    <row r="49" spans="1:20" x14ac:dyDescent="0.3">
      <c r="A49" s="18">
        <v>50048</v>
      </c>
      <c r="B49" s="18">
        <v>0</v>
      </c>
      <c r="C49" s="18">
        <v>5</v>
      </c>
      <c r="D49" s="18" t="s">
        <v>31</v>
      </c>
      <c r="E49" s="18">
        <v>2</v>
      </c>
      <c r="F49" s="18">
        <v>16</v>
      </c>
      <c r="G49" s="18" t="s">
        <v>43</v>
      </c>
      <c r="H49" s="18" t="s">
        <v>33</v>
      </c>
      <c r="I49" s="18">
        <v>3.5</v>
      </c>
      <c r="J49" s="18">
        <v>3</v>
      </c>
      <c r="K49" s="18" t="s">
        <v>44</v>
      </c>
      <c r="L49" s="18">
        <v>4</v>
      </c>
      <c r="M49" s="18" t="s">
        <v>35</v>
      </c>
      <c r="N49" s="18">
        <v>3</v>
      </c>
      <c r="O49" s="18">
        <v>0</v>
      </c>
      <c r="P49" s="18">
        <v>15.3</v>
      </c>
      <c r="Q49" s="18">
        <v>1</v>
      </c>
      <c r="R49" s="18">
        <v>7</v>
      </c>
      <c r="S49" s="18">
        <v>0</v>
      </c>
      <c r="T49" s="18">
        <v>152</v>
      </c>
    </row>
    <row r="50" spans="1:20" x14ac:dyDescent="0.3">
      <c r="A50" s="18">
        <v>50049</v>
      </c>
      <c r="B50" s="18">
        <v>1</v>
      </c>
      <c r="C50" s="18">
        <v>0</v>
      </c>
      <c r="D50" s="18" t="s">
        <v>42</v>
      </c>
      <c r="E50" s="18">
        <v>2</v>
      </c>
      <c r="F50" s="18">
        <v>20</v>
      </c>
      <c r="G50" s="18" t="s">
        <v>39</v>
      </c>
      <c r="H50" s="18" t="s">
        <v>33</v>
      </c>
      <c r="I50" s="18">
        <v>2.8</v>
      </c>
      <c r="J50" s="18">
        <v>4</v>
      </c>
      <c r="K50" s="18" t="s">
        <v>44</v>
      </c>
      <c r="L50" s="18">
        <v>4</v>
      </c>
      <c r="M50" s="18" t="s">
        <v>41</v>
      </c>
      <c r="N50" s="18">
        <v>1</v>
      </c>
      <c r="O50" s="18">
        <v>0</v>
      </c>
      <c r="P50" s="18">
        <v>17.100000000000001</v>
      </c>
      <c r="Q50" s="18">
        <v>4</v>
      </c>
      <c r="R50" s="18">
        <v>6</v>
      </c>
      <c r="S50" s="18">
        <v>8</v>
      </c>
      <c r="T50" s="18">
        <v>194.82</v>
      </c>
    </row>
    <row r="51" spans="1:20" x14ac:dyDescent="0.3">
      <c r="A51" s="18">
        <v>50050</v>
      </c>
      <c r="B51" s="18">
        <v>0</v>
      </c>
      <c r="C51" s="18">
        <v>57</v>
      </c>
      <c r="D51" s="18" t="s">
        <v>42</v>
      </c>
      <c r="E51" s="18">
        <v>1</v>
      </c>
      <c r="F51" s="18">
        <v>5</v>
      </c>
      <c r="G51" s="18" t="s">
        <v>37</v>
      </c>
      <c r="H51" s="18" t="s">
        <v>33</v>
      </c>
      <c r="I51" s="18">
        <v>2.6</v>
      </c>
      <c r="J51" s="18">
        <v>4</v>
      </c>
      <c r="K51" s="18" t="s">
        <v>36</v>
      </c>
      <c r="L51" s="18">
        <v>4</v>
      </c>
      <c r="M51" s="18" t="s">
        <v>35</v>
      </c>
      <c r="N51" s="18">
        <v>3</v>
      </c>
      <c r="O51" s="18">
        <v>1</v>
      </c>
      <c r="P51" s="18">
        <v>12.5</v>
      </c>
      <c r="Q51" s="18">
        <v>2</v>
      </c>
      <c r="R51" s="18">
        <v>4</v>
      </c>
      <c r="S51" s="18">
        <v>8</v>
      </c>
      <c r="T51" s="18">
        <v>203.97</v>
      </c>
    </row>
    <row r="52" spans="1:20" x14ac:dyDescent="0.3">
      <c r="A52" s="18">
        <v>50051</v>
      </c>
      <c r="B52" s="18">
        <v>0</v>
      </c>
      <c r="C52" s="18">
        <v>6</v>
      </c>
      <c r="D52" s="18" t="s">
        <v>36</v>
      </c>
      <c r="E52" s="18">
        <v>2</v>
      </c>
      <c r="F52" s="18">
        <v>24</v>
      </c>
      <c r="G52" s="18" t="s">
        <v>39</v>
      </c>
      <c r="H52" s="18" t="s">
        <v>33</v>
      </c>
      <c r="I52" s="18">
        <v>2.9</v>
      </c>
      <c r="J52" s="18">
        <v>3</v>
      </c>
      <c r="K52" s="18" t="s">
        <v>44</v>
      </c>
      <c r="L52" s="18">
        <v>4</v>
      </c>
      <c r="M52" s="18" t="s">
        <v>35</v>
      </c>
      <c r="N52" s="18">
        <v>2</v>
      </c>
      <c r="O52" s="18">
        <v>0</v>
      </c>
      <c r="P52" s="18">
        <v>11.4</v>
      </c>
      <c r="Q52" s="18">
        <v>0</v>
      </c>
      <c r="R52" s="18">
        <v>4</v>
      </c>
      <c r="S52" s="18">
        <v>2</v>
      </c>
      <c r="T52" s="18">
        <v>110.23</v>
      </c>
    </row>
    <row r="53" spans="1:20" x14ac:dyDescent="0.3">
      <c r="A53" s="18">
        <v>50052</v>
      </c>
      <c r="B53" s="18">
        <v>0</v>
      </c>
      <c r="C53" s="18">
        <v>9</v>
      </c>
      <c r="D53" s="18" t="s">
        <v>31</v>
      </c>
      <c r="E53" s="18">
        <v>1</v>
      </c>
      <c r="F53" s="18">
        <v>12</v>
      </c>
      <c r="G53" s="18" t="s">
        <v>39</v>
      </c>
      <c r="H53" s="18" t="s">
        <v>33</v>
      </c>
      <c r="I53" s="18">
        <v>4.7</v>
      </c>
      <c r="J53" s="18">
        <v>3</v>
      </c>
      <c r="K53" s="18" t="s">
        <v>44</v>
      </c>
      <c r="L53" s="18">
        <v>2</v>
      </c>
      <c r="M53" s="18" t="s">
        <v>45</v>
      </c>
      <c r="N53" s="18">
        <v>2</v>
      </c>
      <c r="O53" s="18">
        <v>0</v>
      </c>
      <c r="P53" s="18">
        <v>17.7</v>
      </c>
      <c r="Q53" s="18">
        <v>4</v>
      </c>
      <c r="R53" s="18">
        <v>3</v>
      </c>
      <c r="S53" s="18">
        <v>5</v>
      </c>
      <c r="T53" s="18">
        <v>128.43</v>
      </c>
    </row>
    <row r="54" spans="1:20" x14ac:dyDescent="0.3">
      <c r="A54" s="18">
        <v>50053</v>
      </c>
      <c r="B54" s="18">
        <v>1</v>
      </c>
      <c r="C54" s="18">
        <v>0</v>
      </c>
      <c r="D54" s="18" t="s">
        <v>31</v>
      </c>
      <c r="E54" s="18">
        <v>2</v>
      </c>
      <c r="F54" s="18">
        <v>18</v>
      </c>
      <c r="G54" s="18" t="s">
        <v>47</v>
      </c>
      <c r="H54" s="18" t="s">
        <v>33</v>
      </c>
      <c r="I54" s="18">
        <v>3.7</v>
      </c>
      <c r="J54" s="18">
        <v>2</v>
      </c>
      <c r="K54" s="18" t="s">
        <v>34</v>
      </c>
      <c r="L54" s="18">
        <v>1</v>
      </c>
      <c r="M54" s="18" t="s">
        <v>35</v>
      </c>
      <c r="N54" s="18">
        <v>6</v>
      </c>
      <c r="O54" s="18">
        <v>0</v>
      </c>
      <c r="P54" s="18">
        <v>19.899999999999999</v>
      </c>
      <c r="Q54" s="18">
        <v>3</v>
      </c>
      <c r="R54" s="18">
        <v>3</v>
      </c>
      <c r="S54" s="18"/>
      <c r="T54" s="18">
        <v>219.86</v>
      </c>
    </row>
    <row r="55" spans="1:20" x14ac:dyDescent="0.3">
      <c r="A55" s="18">
        <v>50054</v>
      </c>
      <c r="B55" s="18">
        <v>0</v>
      </c>
      <c r="C55" s="18">
        <v>13</v>
      </c>
      <c r="D55" s="18" t="s">
        <v>42</v>
      </c>
      <c r="E55" s="18">
        <v>3</v>
      </c>
      <c r="F55" s="18">
        <v>24</v>
      </c>
      <c r="G55" s="18" t="s">
        <v>32</v>
      </c>
      <c r="H55" s="18" t="s">
        <v>33</v>
      </c>
      <c r="I55" s="18">
        <v>3.7</v>
      </c>
      <c r="J55" s="18">
        <v>3</v>
      </c>
      <c r="K55" s="18" t="s">
        <v>44</v>
      </c>
      <c r="L55" s="18">
        <v>4</v>
      </c>
      <c r="M55" s="18" t="s">
        <v>41</v>
      </c>
      <c r="N55" s="18">
        <v>1</v>
      </c>
      <c r="O55" s="18">
        <v>1</v>
      </c>
      <c r="P55" s="18">
        <v>15.7</v>
      </c>
      <c r="Q55" s="18">
        <v>2</v>
      </c>
      <c r="R55" s="18">
        <v>2</v>
      </c>
      <c r="S55" s="18">
        <v>11</v>
      </c>
      <c r="T55" s="18">
        <v>207.95</v>
      </c>
    </row>
    <row r="56" spans="1:20" x14ac:dyDescent="0.3">
      <c r="A56" s="18">
        <v>50055</v>
      </c>
      <c r="B56" s="18">
        <v>0</v>
      </c>
      <c r="C56" s="18">
        <v>2</v>
      </c>
      <c r="D56" s="18" t="s">
        <v>42</v>
      </c>
      <c r="E56" s="18">
        <v>2</v>
      </c>
      <c r="F56" s="18">
        <v>5</v>
      </c>
      <c r="G56" s="18" t="s">
        <v>39</v>
      </c>
      <c r="H56" s="18" t="s">
        <v>33</v>
      </c>
      <c r="I56" s="18">
        <v>3.2</v>
      </c>
      <c r="J56" s="18">
        <v>4</v>
      </c>
      <c r="K56" s="18" t="s">
        <v>40</v>
      </c>
      <c r="L56" s="18">
        <v>3</v>
      </c>
      <c r="M56" s="18" t="s">
        <v>35</v>
      </c>
      <c r="N56" s="18">
        <v>7</v>
      </c>
      <c r="O56" s="18">
        <v>0</v>
      </c>
      <c r="P56" s="18">
        <v>14.4</v>
      </c>
      <c r="Q56" s="18">
        <v>0</v>
      </c>
      <c r="R56" s="18">
        <v>1</v>
      </c>
      <c r="S56" s="18">
        <v>0</v>
      </c>
      <c r="T56" s="18">
        <v>228.79</v>
      </c>
    </row>
    <row r="57" spans="1:20" x14ac:dyDescent="0.3">
      <c r="A57" s="18">
        <v>50056</v>
      </c>
      <c r="B57" s="18">
        <v>0</v>
      </c>
      <c r="C57" s="18">
        <v>22</v>
      </c>
      <c r="D57" s="18" t="s">
        <v>31</v>
      </c>
      <c r="E57" s="18">
        <v>3</v>
      </c>
      <c r="F57" s="18">
        <v>9</v>
      </c>
      <c r="G57" s="18" t="s">
        <v>32</v>
      </c>
      <c r="H57" s="18" t="s">
        <v>33</v>
      </c>
      <c r="I57" s="18"/>
      <c r="J57" s="18">
        <v>3</v>
      </c>
      <c r="K57" s="18" t="s">
        <v>36</v>
      </c>
      <c r="L57" s="18">
        <v>3</v>
      </c>
      <c r="M57" s="18" t="s">
        <v>41</v>
      </c>
      <c r="N57" s="18">
        <v>6</v>
      </c>
      <c r="O57" s="18">
        <v>1</v>
      </c>
      <c r="P57" s="18">
        <v>16.5</v>
      </c>
      <c r="Q57" s="18">
        <v>2</v>
      </c>
      <c r="R57" s="18">
        <v>7</v>
      </c>
      <c r="S57" s="18">
        <v>8</v>
      </c>
      <c r="T57" s="18">
        <v>255.23</v>
      </c>
    </row>
    <row r="58" spans="1:20" x14ac:dyDescent="0.3">
      <c r="A58" s="18">
        <v>50057</v>
      </c>
      <c r="B58" s="18">
        <v>0</v>
      </c>
      <c r="C58" s="18">
        <v>2</v>
      </c>
      <c r="D58" s="18" t="s">
        <v>36</v>
      </c>
      <c r="E58" s="18">
        <v>3</v>
      </c>
      <c r="F58" s="18">
        <v>12</v>
      </c>
      <c r="G58" s="18" t="s">
        <v>32</v>
      </c>
      <c r="H58" s="18" t="s">
        <v>38</v>
      </c>
      <c r="I58" s="18">
        <v>1.2</v>
      </c>
      <c r="J58" s="18">
        <v>1</v>
      </c>
      <c r="K58" s="18" t="s">
        <v>40</v>
      </c>
      <c r="L58" s="18">
        <v>2</v>
      </c>
      <c r="M58" s="18" t="s">
        <v>41</v>
      </c>
      <c r="N58" s="18">
        <v>2</v>
      </c>
      <c r="O58" s="18">
        <v>0</v>
      </c>
      <c r="P58" s="18">
        <v>16.2</v>
      </c>
      <c r="Q58" s="18">
        <v>0</v>
      </c>
      <c r="R58" s="18">
        <v>2</v>
      </c>
      <c r="S58" s="18"/>
      <c r="T58" s="18">
        <v>209.58</v>
      </c>
    </row>
    <row r="59" spans="1:20" x14ac:dyDescent="0.3">
      <c r="A59" s="18">
        <v>50058</v>
      </c>
      <c r="B59" s="18">
        <v>1</v>
      </c>
      <c r="C59" s="18">
        <v>2</v>
      </c>
      <c r="D59" s="18" t="s">
        <v>31</v>
      </c>
      <c r="E59" s="18">
        <v>1</v>
      </c>
      <c r="F59" s="18">
        <v>8</v>
      </c>
      <c r="G59" s="18" t="s">
        <v>43</v>
      </c>
      <c r="H59" s="18" t="s">
        <v>33</v>
      </c>
      <c r="I59" s="18">
        <v>2.4</v>
      </c>
      <c r="J59" s="18">
        <v>4</v>
      </c>
      <c r="K59" s="18" t="s">
        <v>36</v>
      </c>
      <c r="L59" s="18">
        <v>1</v>
      </c>
      <c r="M59" s="18" t="s">
        <v>41</v>
      </c>
      <c r="N59" s="18">
        <v>2</v>
      </c>
      <c r="O59" s="18">
        <v>0</v>
      </c>
      <c r="P59" s="18">
        <v>16.899999999999999</v>
      </c>
      <c r="Q59" s="18">
        <v>1</v>
      </c>
      <c r="R59" s="18">
        <v>5</v>
      </c>
      <c r="S59" s="18">
        <v>2</v>
      </c>
      <c r="T59" s="18">
        <v>157.19</v>
      </c>
    </row>
    <row r="60" spans="1:20" x14ac:dyDescent="0.3">
      <c r="A60" s="18">
        <v>50059</v>
      </c>
      <c r="B60" s="18">
        <v>0</v>
      </c>
      <c r="C60" s="18">
        <v>0</v>
      </c>
      <c r="D60" s="18" t="s">
        <v>36</v>
      </c>
      <c r="E60" s="18">
        <v>3</v>
      </c>
      <c r="F60" s="18">
        <v>28</v>
      </c>
      <c r="G60" s="18" t="s">
        <v>39</v>
      </c>
      <c r="H60" s="18" t="s">
        <v>33</v>
      </c>
      <c r="I60" s="18">
        <v>2.6</v>
      </c>
      <c r="J60" s="18">
        <v>3</v>
      </c>
      <c r="K60" s="18" t="s">
        <v>44</v>
      </c>
      <c r="L60" s="18">
        <v>3</v>
      </c>
      <c r="M60" s="18" t="s">
        <v>35</v>
      </c>
      <c r="N60" s="18">
        <v>1</v>
      </c>
      <c r="O60" s="18">
        <v>1</v>
      </c>
      <c r="P60" s="18">
        <v>11</v>
      </c>
      <c r="Q60" s="18">
        <v>1</v>
      </c>
      <c r="R60" s="18">
        <v>5</v>
      </c>
      <c r="S60" s="18">
        <v>1</v>
      </c>
      <c r="T60" s="18">
        <v>186.32</v>
      </c>
    </row>
    <row r="61" spans="1:20" x14ac:dyDescent="0.3">
      <c r="A61" s="18">
        <v>50060</v>
      </c>
      <c r="B61" s="18">
        <v>0</v>
      </c>
      <c r="C61" s="18">
        <v>6</v>
      </c>
      <c r="D61" s="18" t="s">
        <v>31</v>
      </c>
      <c r="E61" s="18">
        <v>1</v>
      </c>
      <c r="F61" s="18">
        <v>8</v>
      </c>
      <c r="G61" s="18" t="s">
        <v>43</v>
      </c>
      <c r="H61" s="18" t="s">
        <v>33</v>
      </c>
      <c r="I61" s="18">
        <v>1.6</v>
      </c>
      <c r="J61" s="18">
        <v>3</v>
      </c>
      <c r="K61" s="18" t="s">
        <v>46</v>
      </c>
      <c r="L61" s="18">
        <v>4</v>
      </c>
      <c r="M61" s="18" t="s">
        <v>41</v>
      </c>
      <c r="N61" s="18">
        <v>18</v>
      </c>
      <c r="O61" s="18">
        <v>1</v>
      </c>
      <c r="P61" s="18">
        <v>12.3</v>
      </c>
      <c r="Q61" s="18">
        <v>2</v>
      </c>
      <c r="R61" s="18">
        <v>2</v>
      </c>
      <c r="S61" s="18">
        <v>6</v>
      </c>
      <c r="T61" s="18">
        <v>271.29000000000002</v>
      </c>
    </row>
    <row r="62" spans="1:20" x14ac:dyDescent="0.3">
      <c r="A62" s="18">
        <v>50061</v>
      </c>
      <c r="B62" s="18">
        <v>0</v>
      </c>
      <c r="C62" s="18">
        <v>8</v>
      </c>
      <c r="D62" s="18" t="s">
        <v>42</v>
      </c>
      <c r="E62" s="18">
        <v>2</v>
      </c>
      <c r="F62" s="18">
        <v>10</v>
      </c>
      <c r="G62" s="18" t="s">
        <v>39</v>
      </c>
      <c r="H62" s="18" t="s">
        <v>38</v>
      </c>
      <c r="I62" s="18">
        <v>2.1</v>
      </c>
      <c r="J62" s="18">
        <v>4</v>
      </c>
      <c r="K62" s="18" t="s">
        <v>36</v>
      </c>
      <c r="L62" s="18">
        <v>5</v>
      </c>
      <c r="M62" s="18" t="s">
        <v>35</v>
      </c>
      <c r="N62" s="18">
        <v>1</v>
      </c>
      <c r="O62" s="18">
        <v>0</v>
      </c>
      <c r="P62" s="18">
        <v>13</v>
      </c>
      <c r="Q62" s="18">
        <v>4</v>
      </c>
      <c r="R62" s="18">
        <v>6</v>
      </c>
      <c r="S62" s="18">
        <v>5</v>
      </c>
      <c r="T62" s="18">
        <v>325</v>
      </c>
    </row>
    <row r="63" spans="1:20" x14ac:dyDescent="0.3">
      <c r="A63" s="18">
        <v>50062</v>
      </c>
      <c r="B63" s="18">
        <v>0</v>
      </c>
      <c r="C63" s="18">
        <v>0</v>
      </c>
      <c r="D63" s="18" t="s">
        <v>36</v>
      </c>
      <c r="E63" s="18">
        <v>1</v>
      </c>
      <c r="F63" s="18">
        <v>16</v>
      </c>
      <c r="G63" s="18" t="s">
        <v>37</v>
      </c>
      <c r="H63" s="18" t="s">
        <v>38</v>
      </c>
      <c r="I63" s="18">
        <v>1.5</v>
      </c>
      <c r="J63" s="18">
        <v>5</v>
      </c>
      <c r="K63" s="18" t="s">
        <v>46</v>
      </c>
      <c r="L63" s="18">
        <v>5</v>
      </c>
      <c r="M63" s="18" t="s">
        <v>45</v>
      </c>
      <c r="N63" s="18">
        <v>3</v>
      </c>
      <c r="O63" s="18">
        <v>0</v>
      </c>
      <c r="P63" s="18">
        <v>16.5</v>
      </c>
      <c r="Q63" s="18">
        <v>0</v>
      </c>
      <c r="R63" s="18">
        <v>3</v>
      </c>
      <c r="S63" s="18">
        <v>3</v>
      </c>
      <c r="T63" s="18">
        <v>205.47</v>
      </c>
    </row>
    <row r="64" spans="1:20" x14ac:dyDescent="0.3">
      <c r="A64" s="18">
        <v>50063</v>
      </c>
      <c r="B64" s="18">
        <v>1</v>
      </c>
      <c r="C64" s="18">
        <v>14</v>
      </c>
      <c r="D64" s="18" t="s">
        <v>31</v>
      </c>
      <c r="E64" s="18">
        <v>1</v>
      </c>
      <c r="F64" s="18">
        <v>5</v>
      </c>
      <c r="G64" s="18" t="s">
        <v>39</v>
      </c>
      <c r="H64" s="18" t="s">
        <v>33</v>
      </c>
      <c r="I64" s="18">
        <v>2.9</v>
      </c>
      <c r="J64" s="18">
        <v>1</v>
      </c>
      <c r="K64" s="18" t="s">
        <v>36</v>
      </c>
      <c r="L64" s="18">
        <v>5</v>
      </c>
      <c r="M64" s="18" t="s">
        <v>35</v>
      </c>
      <c r="N64" s="18">
        <v>4</v>
      </c>
      <c r="O64" s="18">
        <v>1</v>
      </c>
      <c r="P64" s="18">
        <v>16.7</v>
      </c>
      <c r="Q64" s="18">
        <v>2</v>
      </c>
      <c r="R64" s="18">
        <v>5</v>
      </c>
      <c r="S64" s="18">
        <v>5</v>
      </c>
      <c r="T64" s="18">
        <v>209.46</v>
      </c>
    </row>
    <row r="65" spans="1:20" x14ac:dyDescent="0.3">
      <c r="A65" s="18">
        <v>50064</v>
      </c>
      <c r="B65" s="18">
        <v>0</v>
      </c>
      <c r="C65" s="18">
        <v>6</v>
      </c>
      <c r="D65" s="18" t="s">
        <v>36</v>
      </c>
      <c r="E65" s="18">
        <v>1</v>
      </c>
      <c r="F65" s="18">
        <v>11</v>
      </c>
      <c r="G65" s="18" t="s">
        <v>39</v>
      </c>
      <c r="H65" s="18" t="s">
        <v>33</v>
      </c>
      <c r="I65" s="18">
        <v>3.5</v>
      </c>
      <c r="J65" s="18">
        <v>4</v>
      </c>
      <c r="K65" s="18" t="s">
        <v>34</v>
      </c>
      <c r="L65" s="18">
        <v>5</v>
      </c>
      <c r="M65" s="18" t="s">
        <v>41</v>
      </c>
      <c r="N65" s="18">
        <v>9</v>
      </c>
      <c r="O65" s="18">
        <v>0</v>
      </c>
      <c r="P65" s="18">
        <v>18.2</v>
      </c>
      <c r="Q65" s="18">
        <v>2</v>
      </c>
      <c r="R65" s="18">
        <v>2</v>
      </c>
      <c r="S65" s="18">
        <v>5</v>
      </c>
      <c r="T65" s="18">
        <v>219.91</v>
      </c>
    </row>
    <row r="66" spans="1:20" x14ac:dyDescent="0.3">
      <c r="A66" s="18">
        <v>50065</v>
      </c>
      <c r="B66" s="18">
        <v>0</v>
      </c>
      <c r="C66" s="18">
        <v>7</v>
      </c>
      <c r="D66" s="18" t="s">
        <v>36</v>
      </c>
      <c r="E66" s="18">
        <v>1</v>
      </c>
      <c r="F66" s="18">
        <v>17</v>
      </c>
      <c r="G66" s="18" t="s">
        <v>47</v>
      </c>
      <c r="H66" s="18" t="s">
        <v>33</v>
      </c>
      <c r="I66" s="18"/>
      <c r="J66" s="18">
        <v>2</v>
      </c>
      <c r="K66" s="18" t="s">
        <v>40</v>
      </c>
      <c r="L66" s="18">
        <v>3</v>
      </c>
      <c r="M66" s="18" t="s">
        <v>41</v>
      </c>
      <c r="N66" s="18">
        <v>5</v>
      </c>
      <c r="O66" s="18">
        <v>0</v>
      </c>
      <c r="P66" s="18">
        <v>16.899999999999999</v>
      </c>
      <c r="Q66" s="18">
        <v>3</v>
      </c>
      <c r="R66" s="18">
        <v>4</v>
      </c>
      <c r="S66" s="18">
        <v>7</v>
      </c>
      <c r="T66" s="18">
        <v>181.31</v>
      </c>
    </row>
    <row r="67" spans="1:20" x14ac:dyDescent="0.3">
      <c r="A67" s="18">
        <v>50066</v>
      </c>
      <c r="B67" s="18">
        <v>1</v>
      </c>
      <c r="C67" s="18">
        <v>5</v>
      </c>
      <c r="D67" s="18" t="s">
        <v>36</v>
      </c>
      <c r="E67" s="18">
        <v>1</v>
      </c>
      <c r="F67" s="18">
        <v>12</v>
      </c>
      <c r="G67" s="18" t="s">
        <v>37</v>
      </c>
      <c r="H67" s="18" t="s">
        <v>33</v>
      </c>
      <c r="I67" s="18">
        <v>3.2</v>
      </c>
      <c r="J67" s="18">
        <v>4</v>
      </c>
      <c r="K67" s="18" t="s">
        <v>34</v>
      </c>
      <c r="L67" s="18">
        <v>2</v>
      </c>
      <c r="M67" s="18" t="s">
        <v>35</v>
      </c>
      <c r="N67" s="18">
        <v>3</v>
      </c>
      <c r="O67" s="18">
        <v>0</v>
      </c>
      <c r="P67" s="18">
        <v>11.4</v>
      </c>
      <c r="Q67" s="18">
        <v>2</v>
      </c>
      <c r="R67" s="18">
        <v>9</v>
      </c>
      <c r="S67" s="18">
        <v>1</v>
      </c>
      <c r="T67" s="18">
        <v>244.01</v>
      </c>
    </row>
    <row r="68" spans="1:20" x14ac:dyDescent="0.3">
      <c r="A68" s="18">
        <v>50067</v>
      </c>
      <c r="B68" s="18">
        <v>1</v>
      </c>
      <c r="C68" s="18">
        <v>5</v>
      </c>
      <c r="D68" s="18" t="s">
        <v>31</v>
      </c>
      <c r="E68" s="18">
        <v>2</v>
      </c>
      <c r="F68" s="18">
        <v>14</v>
      </c>
      <c r="G68" s="18" t="s">
        <v>39</v>
      </c>
      <c r="H68" s="18" t="s">
        <v>33</v>
      </c>
      <c r="I68" s="18">
        <v>2.2000000000000002</v>
      </c>
      <c r="J68" s="18">
        <v>3</v>
      </c>
      <c r="K68" s="18" t="s">
        <v>36</v>
      </c>
      <c r="L68" s="18">
        <v>4</v>
      </c>
      <c r="M68" s="18" t="s">
        <v>45</v>
      </c>
      <c r="N68" s="18">
        <v>1</v>
      </c>
      <c r="O68" s="18">
        <v>1</v>
      </c>
      <c r="P68" s="18">
        <v>21.1</v>
      </c>
      <c r="Q68" s="18">
        <v>3</v>
      </c>
      <c r="R68" s="18">
        <v>5</v>
      </c>
      <c r="S68" s="18">
        <v>2</v>
      </c>
      <c r="T68" s="18">
        <v>235.44</v>
      </c>
    </row>
    <row r="69" spans="1:20" x14ac:dyDescent="0.3">
      <c r="A69" s="18">
        <v>50068</v>
      </c>
      <c r="B69" s="18">
        <v>0</v>
      </c>
      <c r="C69" s="18">
        <v>8</v>
      </c>
      <c r="D69" s="18" t="s">
        <v>42</v>
      </c>
      <c r="E69" s="18">
        <v>1</v>
      </c>
      <c r="F69" s="18">
        <v>10</v>
      </c>
      <c r="G69" s="18" t="s">
        <v>39</v>
      </c>
      <c r="H69" s="18" t="s">
        <v>38</v>
      </c>
      <c r="I69" s="18">
        <v>1.5</v>
      </c>
      <c r="J69" s="18">
        <v>4</v>
      </c>
      <c r="K69" s="18" t="s">
        <v>36</v>
      </c>
      <c r="L69" s="18">
        <v>2</v>
      </c>
      <c r="M69" s="18" t="s">
        <v>41</v>
      </c>
      <c r="N69" s="18">
        <v>1</v>
      </c>
      <c r="O69" s="18">
        <v>1</v>
      </c>
      <c r="P69" s="18">
        <v>20.5</v>
      </c>
      <c r="Q69" s="18">
        <v>2</v>
      </c>
      <c r="R69" s="18">
        <v>1</v>
      </c>
      <c r="S69" s="18">
        <v>0</v>
      </c>
      <c r="T69" s="18">
        <v>199.49</v>
      </c>
    </row>
    <row r="70" spans="1:20" x14ac:dyDescent="0.3">
      <c r="A70" s="18">
        <v>50069</v>
      </c>
      <c r="B70" s="18">
        <v>1</v>
      </c>
      <c r="C70" s="18">
        <v>1</v>
      </c>
      <c r="D70" s="18" t="s">
        <v>42</v>
      </c>
      <c r="E70" s="18">
        <v>1</v>
      </c>
      <c r="F70" s="18">
        <v>5</v>
      </c>
      <c r="G70" s="18" t="s">
        <v>47</v>
      </c>
      <c r="H70" s="18" t="s">
        <v>33</v>
      </c>
      <c r="I70" s="18">
        <v>1.7</v>
      </c>
      <c r="J70" s="18">
        <v>3</v>
      </c>
      <c r="K70" s="18" t="s">
        <v>40</v>
      </c>
      <c r="L70" s="18">
        <v>3</v>
      </c>
      <c r="M70" s="18" t="s">
        <v>35</v>
      </c>
      <c r="N70" s="18">
        <v>1</v>
      </c>
      <c r="O70" s="18">
        <v>1</v>
      </c>
      <c r="P70" s="18">
        <v>11.6</v>
      </c>
      <c r="Q70" s="18">
        <v>0</v>
      </c>
      <c r="R70" s="18">
        <v>5</v>
      </c>
      <c r="S70" s="18">
        <v>2</v>
      </c>
      <c r="T70" s="18">
        <v>162.51</v>
      </c>
    </row>
    <row r="71" spans="1:20" x14ac:dyDescent="0.3">
      <c r="A71" s="18">
        <v>50070</v>
      </c>
      <c r="B71" s="18">
        <v>0</v>
      </c>
      <c r="C71" s="18">
        <v>2</v>
      </c>
      <c r="D71" s="18" t="s">
        <v>36</v>
      </c>
      <c r="E71" s="18">
        <v>2</v>
      </c>
      <c r="F71" s="18">
        <v>17</v>
      </c>
      <c r="G71" s="18" t="s">
        <v>39</v>
      </c>
      <c r="H71" s="18" t="s">
        <v>38</v>
      </c>
      <c r="I71" s="18">
        <v>2</v>
      </c>
      <c r="J71" s="18">
        <v>1</v>
      </c>
      <c r="K71" s="18" t="s">
        <v>46</v>
      </c>
      <c r="L71" s="18">
        <v>2</v>
      </c>
      <c r="M71" s="18" t="s">
        <v>35</v>
      </c>
      <c r="N71" s="18">
        <v>7</v>
      </c>
      <c r="O71" s="18">
        <v>0</v>
      </c>
      <c r="P71" s="18">
        <v>17.2</v>
      </c>
      <c r="Q71" s="18">
        <v>3</v>
      </c>
      <c r="R71" s="18">
        <v>7</v>
      </c>
      <c r="S71" s="18">
        <v>6</v>
      </c>
      <c r="T71" s="18">
        <v>96.36</v>
      </c>
    </row>
    <row r="72" spans="1:20" x14ac:dyDescent="0.3">
      <c r="A72" s="18">
        <v>50071</v>
      </c>
      <c r="B72" s="18">
        <v>0</v>
      </c>
      <c r="C72" s="18">
        <v>19</v>
      </c>
      <c r="D72" s="18" t="s">
        <v>42</v>
      </c>
      <c r="E72" s="18">
        <v>1</v>
      </c>
      <c r="F72" s="18">
        <v>29</v>
      </c>
      <c r="G72" s="18" t="s">
        <v>32</v>
      </c>
      <c r="H72" s="18" t="s">
        <v>33</v>
      </c>
      <c r="I72" s="18">
        <v>2.2999999999999998</v>
      </c>
      <c r="J72" s="18">
        <v>3</v>
      </c>
      <c r="K72" s="18" t="s">
        <v>34</v>
      </c>
      <c r="L72" s="18">
        <v>3</v>
      </c>
      <c r="M72" s="18" t="s">
        <v>35</v>
      </c>
      <c r="N72" s="18">
        <v>4</v>
      </c>
      <c r="O72" s="18">
        <v>0</v>
      </c>
      <c r="P72" s="18">
        <v>13.9</v>
      </c>
      <c r="Q72" s="18">
        <v>2</v>
      </c>
      <c r="R72" s="18">
        <v>3</v>
      </c>
      <c r="S72" s="18">
        <v>5</v>
      </c>
      <c r="T72" s="18">
        <v>220.28</v>
      </c>
    </row>
    <row r="73" spans="1:20" x14ac:dyDescent="0.3">
      <c r="A73" s="18">
        <v>50072</v>
      </c>
      <c r="B73" s="18">
        <v>0</v>
      </c>
      <c r="C73" s="18">
        <v>29</v>
      </c>
      <c r="D73" s="18" t="s">
        <v>31</v>
      </c>
      <c r="E73" s="18">
        <v>3</v>
      </c>
      <c r="F73" s="18">
        <v>15</v>
      </c>
      <c r="G73" s="18" t="s">
        <v>39</v>
      </c>
      <c r="H73" s="18" t="s">
        <v>38</v>
      </c>
      <c r="I73" s="18">
        <v>2.8</v>
      </c>
      <c r="J73" s="18">
        <v>4</v>
      </c>
      <c r="K73" s="18" t="s">
        <v>36</v>
      </c>
      <c r="L73" s="18">
        <v>3</v>
      </c>
      <c r="M73" s="18" t="s">
        <v>45</v>
      </c>
      <c r="N73" s="18">
        <v>4</v>
      </c>
      <c r="O73" s="18">
        <v>0</v>
      </c>
      <c r="P73" s="18">
        <v>16.5</v>
      </c>
      <c r="Q73" s="18">
        <v>1</v>
      </c>
      <c r="R73" s="18">
        <v>5</v>
      </c>
      <c r="S73" s="18">
        <v>6</v>
      </c>
      <c r="T73" s="18">
        <v>191.71</v>
      </c>
    </row>
    <row r="74" spans="1:20" x14ac:dyDescent="0.3">
      <c r="A74" s="18">
        <v>50073</v>
      </c>
      <c r="B74" s="18">
        <v>0</v>
      </c>
      <c r="C74" s="18">
        <v>4</v>
      </c>
      <c r="D74" s="18" t="s">
        <v>36</v>
      </c>
      <c r="E74" s="18">
        <v>2</v>
      </c>
      <c r="F74" s="18">
        <v>16</v>
      </c>
      <c r="G74" s="18" t="s">
        <v>39</v>
      </c>
      <c r="H74" s="18" t="s">
        <v>38</v>
      </c>
      <c r="I74" s="18">
        <v>2.2000000000000002</v>
      </c>
      <c r="J74" s="18">
        <v>4</v>
      </c>
      <c r="K74" s="18" t="s">
        <v>46</v>
      </c>
      <c r="L74" s="18">
        <v>2</v>
      </c>
      <c r="M74" s="18" t="s">
        <v>35</v>
      </c>
      <c r="N74" s="18">
        <v>3</v>
      </c>
      <c r="O74" s="18">
        <v>0</v>
      </c>
      <c r="P74" s="18">
        <v>19.7</v>
      </c>
      <c r="Q74" s="18">
        <v>1</v>
      </c>
      <c r="R74" s="18">
        <v>2</v>
      </c>
      <c r="S74" s="18">
        <v>1</v>
      </c>
      <c r="T74" s="18">
        <v>139.41999999999999</v>
      </c>
    </row>
    <row r="75" spans="1:20" x14ac:dyDescent="0.3">
      <c r="A75" s="18">
        <v>50074</v>
      </c>
      <c r="B75" s="18">
        <v>0</v>
      </c>
      <c r="C75" s="18">
        <v>3</v>
      </c>
      <c r="D75" s="18" t="s">
        <v>36</v>
      </c>
      <c r="E75" s="18">
        <v>3</v>
      </c>
      <c r="F75" s="18">
        <v>20</v>
      </c>
      <c r="G75" s="18" t="s">
        <v>37</v>
      </c>
      <c r="H75" s="18" t="s">
        <v>33</v>
      </c>
      <c r="I75" s="18">
        <v>3.1</v>
      </c>
      <c r="J75" s="18">
        <v>2</v>
      </c>
      <c r="K75" s="18" t="s">
        <v>44</v>
      </c>
      <c r="L75" s="18">
        <v>3</v>
      </c>
      <c r="M75" s="18" t="s">
        <v>35</v>
      </c>
      <c r="N75" s="18">
        <v>2</v>
      </c>
      <c r="O75" s="18">
        <v>0</v>
      </c>
      <c r="P75" s="18">
        <v>23.5</v>
      </c>
      <c r="Q75" s="18">
        <v>4</v>
      </c>
      <c r="R75" s="18">
        <v>2</v>
      </c>
      <c r="S75" s="18">
        <v>5</v>
      </c>
      <c r="T75" s="18">
        <v>117.85</v>
      </c>
    </row>
    <row r="76" spans="1:20" x14ac:dyDescent="0.3">
      <c r="A76" s="18">
        <v>50075</v>
      </c>
      <c r="B76" s="18">
        <v>0</v>
      </c>
      <c r="C76" s="18">
        <v>10</v>
      </c>
      <c r="D76" s="18" t="s">
        <v>36</v>
      </c>
      <c r="E76" s="18">
        <v>2</v>
      </c>
      <c r="F76" s="18">
        <v>5</v>
      </c>
      <c r="G76" s="18" t="s">
        <v>37</v>
      </c>
      <c r="H76" s="18" t="s">
        <v>33</v>
      </c>
      <c r="I76" s="18">
        <v>2.7</v>
      </c>
      <c r="J76" s="18">
        <v>4</v>
      </c>
      <c r="K76" s="18" t="s">
        <v>36</v>
      </c>
      <c r="L76" s="18">
        <v>5</v>
      </c>
      <c r="M76" s="18" t="s">
        <v>41</v>
      </c>
      <c r="N76" s="18">
        <v>1</v>
      </c>
      <c r="O76" s="18">
        <v>0</v>
      </c>
      <c r="P76" s="18">
        <v>18.600000000000001</v>
      </c>
      <c r="Q76" s="18">
        <v>1</v>
      </c>
      <c r="R76" s="18">
        <v>3</v>
      </c>
      <c r="S76" s="18">
        <v>2</v>
      </c>
      <c r="T76" s="18">
        <v>216.38</v>
      </c>
    </row>
    <row r="77" spans="1:20" x14ac:dyDescent="0.3">
      <c r="A77" s="18">
        <v>50076</v>
      </c>
      <c r="B77" s="18">
        <v>1</v>
      </c>
      <c r="C77" s="18">
        <v>5</v>
      </c>
      <c r="D77" s="18" t="s">
        <v>42</v>
      </c>
      <c r="E77" s="18">
        <v>1</v>
      </c>
      <c r="F77" s="18">
        <v>28</v>
      </c>
      <c r="G77" s="18" t="s">
        <v>37</v>
      </c>
      <c r="H77" s="18" t="s">
        <v>33</v>
      </c>
      <c r="I77" s="18">
        <v>2.9</v>
      </c>
      <c r="J77" s="18">
        <v>3</v>
      </c>
      <c r="K77" s="18" t="s">
        <v>44</v>
      </c>
      <c r="L77" s="18">
        <v>4</v>
      </c>
      <c r="M77" s="18" t="s">
        <v>35</v>
      </c>
      <c r="N77" s="18">
        <v>1</v>
      </c>
      <c r="O77" s="18">
        <v>0</v>
      </c>
      <c r="P77" s="18">
        <v>17</v>
      </c>
      <c r="Q77" s="18">
        <v>1</v>
      </c>
      <c r="R77" s="18">
        <v>3</v>
      </c>
      <c r="S77" s="18">
        <v>14</v>
      </c>
      <c r="T77" s="18">
        <v>91.93</v>
      </c>
    </row>
    <row r="78" spans="1:20" x14ac:dyDescent="0.3">
      <c r="A78" s="18">
        <v>50077</v>
      </c>
      <c r="B78" s="18">
        <v>1</v>
      </c>
      <c r="C78" s="18">
        <v>0</v>
      </c>
      <c r="D78" s="18" t="s">
        <v>31</v>
      </c>
      <c r="E78" s="18">
        <v>2</v>
      </c>
      <c r="F78" s="18">
        <v>16</v>
      </c>
      <c r="G78" s="18" t="s">
        <v>39</v>
      </c>
      <c r="H78" s="18" t="s">
        <v>33</v>
      </c>
      <c r="I78" s="18">
        <v>3.7</v>
      </c>
      <c r="J78" s="18">
        <v>4</v>
      </c>
      <c r="K78" s="18" t="s">
        <v>36</v>
      </c>
      <c r="L78" s="18">
        <v>5</v>
      </c>
      <c r="M78" s="18" t="s">
        <v>35</v>
      </c>
      <c r="N78" s="18">
        <v>1</v>
      </c>
      <c r="O78" s="18">
        <v>0</v>
      </c>
      <c r="P78" s="18">
        <v>14.8</v>
      </c>
      <c r="Q78" s="18">
        <v>2</v>
      </c>
      <c r="R78" s="18">
        <v>5</v>
      </c>
      <c r="S78" s="18">
        <v>2</v>
      </c>
      <c r="T78" s="18">
        <v>196.48</v>
      </c>
    </row>
    <row r="79" spans="1:20" x14ac:dyDescent="0.3">
      <c r="A79" s="18">
        <v>50078</v>
      </c>
      <c r="B79" s="18">
        <v>0</v>
      </c>
      <c r="C79" s="18">
        <v>1</v>
      </c>
      <c r="D79" s="18" t="s">
        <v>31</v>
      </c>
      <c r="E79" s="18">
        <v>1</v>
      </c>
      <c r="F79" s="18">
        <v>28</v>
      </c>
      <c r="G79" s="18" t="s">
        <v>43</v>
      </c>
      <c r="H79" s="18" t="s">
        <v>33</v>
      </c>
      <c r="I79" s="18">
        <v>2.1</v>
      </c>
      <c r="J79" s="18">
        <v>3</v>
      </c>
      <c r="K79" s="18" t="s">
        <v>34</v>
      </c>
      <c r="L79" s="18">
        <v>2</v>
      </c>
      <c r="M79" s="18" t="s">
        <v>41</v>
      </c>
      <c r="N79" s="18">
        <v>4</v>
      </c>
      <c r="O79" s="18">
        <v>0</v>
      </c>
      <c r="P79" s="18">
        <v>16.600000000000001</v>
      </c>
      <c r="Q79" s="18">
        <v>2</v>
      </c>
      <c r="R79" s="18">
        <v>4</v>
      </c>
      <c r="S79" s="18">
        <v>4</v>
      </c>
      <c r="T79" s="18">
        <v>226.4</v>
      </c>
    </row>
    <row r="80" spans="1:20" x14ac:dyDescent="0.3">
      <c r="A80" s="18">
        <v>50079</v>
      </c>
      <c r="B80" s="18">
        <v>0</v>
      </c>
      <c r="C80" s="18">
        <v>12</v>
      </c>
      <c r="D80" s="18" t="s">
        <v>36</v>
      </c>
      <c r="E80" s="18">
        <v>1</v>
      </c>
      <c r="F80" s="18">
        <v>9</v>
      </c>
      <c r="G80" s="18" t="s">
        <v>47</v>
      </c>
      <c r="H80" s="18" t="s">
        <v>33</v>
      </c>
      <c r="I80" s="18">
        <v>3.2</v>
      </c>
      <c r="J80" s="18">
        <v>3</v>
      </c>
      <c r="K80" s="18" t="s">
        <v>44</v>
      </c>
      <c r="L80" s="18">
        <v>2</v>
      </c>
      <c r="M80" s="18" t="s">
        <v>35</v>
      </c>
      <c r="N80" s="18">
        <v>1</v>
      </c>
      <c r="O80" s="18">
        <v>1</v>
      </c>
      <c r="P80" s="18">
        <v>20.8</v>
      </c>
      <c r="Q80" s="18">
        <v>3</v>
      </c>
      <c r="R80" s="18">
        <v>2</v>
      </c>
      <c r="S80" s="18">
        <v>6</v>
      </c>
      <c r="T80" s="18">
        <v>210.24</v>
      </c>
    </row>
    <row r="81" spans="1:20" x14ac:dyDescent="0.3">
      <c r="A81" s="18">
        <v>50080</v>
      </c>
      <c r="B81" s="18">
        <v>0</v>
      </c>
      <c r="C81" s="18">
        <v>10</v>
      </c>
      <c r="D81" s="18" t="s">
        <v>31</v>
      </c>
      <c r="E81" s="18">
        <v>3</v>
      </c>
      <c r="F81" s="18">
        <v>29</v>
      </c>
      <c r="G81" s="18" t="s">
        <v>39</v>
      </c>
      <c r="H81" s="18" t="s">
        <v>33</v>
      </c>
      <c r="I81" s="18">
        <v>2.9</v>
      </c>
      <c r="J81" s="18">
        <v>4</v>
      </c>
      <c r="K81" s="18" t="s">
        <v>40</v>
      </c>
      <c r="L81" s="18">
        <v>4</v>
      </c>
      <c r="M81" s="18" t="s">
        <v>41</v>
      </c>
      <c r="N81" s="18">
        <v>4</v>
      </c>
      <c r="O81" s="18">
        <v>0</v>
      </c>
      <c r="P81" s="18">
        <v>15.8</v>
      </c>
      <c r="Q81" s="18">
        <v>5</v>
      </c>
      <c r="R81" s="18">
        <v>6</v>
      </c>
      <c r="S81" s="18">
        <v>11</v>
      </c>
      <c r="T81" s="18">
        <v>158.51</v>
      </c>
    </row>
    <row r="82" spans="1:20" x14ac:dyDescent="0.3">
      <c r="A82" s="18">
        <v>50081</v>
      </c>
      <c r="B82" s="18">
        <v>0</v>
      </c>
      <c r="C82" s="18">
        <v>0</v>
      </c>
      <c r="D82" s="18" t="s">
        <v>36</v>
      </c>
      <c r="E82" s="18">
        <v>1</v>
      </c>
      <c r="F82" s="18">
        <v>21</v>
      </c>
      <c r="G82" s="18" t="s">
        <v>37</v>
      </c>
      <c r="H82" s="18" t="s">
        <v>38</v>
      </c>
      <c r="I82" s="18">
        <v>2.7</v>
      </c>
      <c r="J82" s="18">
        <v>2</v>
      </c>
      <c r="K82" s="18" t="s">
        <v>36</v>
      </c>
      <c r="L82" s="18">
        <v>3</v>
      </c>
      <c r="M82" s="18" t="s">
        <v>41</v>
      </c>
      <c r="N82" s="18">
        <v>4</v>
      </c>
      <c r="O82" s="18">
        <v>0</v>
      </c>
      <c r="P82" s="18">
        <v>12.9</v>
      </c>
      <c r="Q82" s="18">
        <v>0</v>
      </c>
      <c r="R82" s="18">
        <v>7</v>
      </c>
      <c r="S82" s="18">
        <v>2</v>
      </c>
      <c r="T82" s="18">
        <v>111.28</v>
      </c>
    </row>
    <row r="83" spans="1:20" x14ac:dyDescent="0.3">
      <c r="A83" s="18">
        <v>50082</v>
      </c>
      <c r="B83" s="18">
        <v>0</v>
      </c>
      <c r="C83" s="18">
        <v>2</v>
      </c>
      <c r="D83" s="18" t="s">
        <v>36</v>
      </c>
      <c r="E83" s="18">
        <v>3</v>
      </c>
      <c r="F83" s="18">
        <v>19</v>
      </c>
      <c r="G83" s="18" t="s">
        <v>32</v>
      </c>
      <c r="H83" s="18" t="s">
        <v>33</v>
      </c>
      <c r="I83" s="18">
        <v>3.5</v>
      </c>
      <c r="J83" s="18">
        <v>3</v>
      </c>
      <c r="K83" s="18" t="s">
        <v>44</v>
      </c>
      <c r="L83" s="18">
        <v>4</v>
      </c>
      <c r="M83" s="18" t="s">
        <v>41</v>
      </c>
      <c r="N83" s="18">
        <v>2</v>
      </c>
      <c r="O83" s="18">
        <v>0</v>
      </c>
      <c r="P83" s="18">
        <v>11</v>
      </c>
      <c r="Q83" s="18">
        <v>5</v>
      </c>
      <c r="R83" s="18">
        <v>4</v>
      </c>
      <c r="S83" s="18">
        <v>2</v>
      </c>
      <c r="T83" s="18">
        <v>212.29</v>
      </c>
    </row>
    <row r="84" spans="1:20" x14ac:dyDescent="0.3">
      <c r="A84" s="18">
        <v>50083</v>
      </c>
      <c r="B84" s="18">
        <v>0</v>
      </c>
      <c r="C84" s="18">
        <v>2</v>
      </c>
      <c r="D84" s="18" t="s">
        <v>31</v>
      </c>
      <c r="E84" s="18">
        <v>3</v>
      </c>
      <c r="F84" s="18">
        <v>16</v>
      </c>
      <c r="G84" s="18" t="s">
        <v>39</v>
      </c>
      <c r="H84" s="18" t="s">
        <v>38</v>
      </c>
      <c r="I84" s="18">
        <v>3.5</v>
      </c>
      <c r="J84" s="18">
        <v>3</v>
      </c>
      <c r="K84" s="18" t="s">
        <v>36</v>
      </c>
      <c r="L84" s="18">
        <v>4</v>
      </c>
      <c r="M84" s="18" t="s">
        <v>35</v>
      </c>
      <c r="N84" s="18">
        <v>1</v>
      </c>
      <c r="O84" s="18">
        <v>1</v>
      </c>
      <c r="P84" s="18">
        <v>17.8</v>
      </c>
      <c r="Q84" s="18">
        <v>1</v>
      </c>
      <c r="R84" s="18">
        <v>4</v>
      </c>
      <c r="S84" s="18">
        <v>2</v>
      </c>
      <c r="T84" s="18">
        <v>246.03</v>
      </c>
    </row>
    <row r="85" spans="1:20" x14ac:dyDescent="0.3">
      <c r="A85" s="18">
        <v>50084</v>
      </c>
      <c r="B85" s="18">
        <v>0</v>
      </c>
      <c r="C85" s="18">
        <v>11</v>
      </c>
      <c r="D85" s="18" t="s">
        <v>36</v>
      </c>
      <c r="E85" s="18">
        <v>3</v>
      </c>
      <c r="F85" s="18">
        <v>13</v>
      </c>
      <c r="G85" s="18" t="s">
        <v>39</v>
      </c>
      <c r="H85" s="18" t="s">
        <v>33</v>
      </c>
      <c r="I85" s="18">
        <v>2.2000000000000002</v>
      </c>
      <c r="J85" s="18">
        <v>6</v>
      </c>
      <c r="K85" s="18" t="s">
        <v>36</v>
      </c>
      <c r="L85" s="18">
        <v>4</v>
      </c>
      <c r="M85" s="18" t="s">
        <v>45</v>
      </c>
      <c r="N85" s="18">
        <v>1</v>
      </c>
      <c r="O85" s="18">
        <v>0</v>
      </c>
      <c r="P85" s="18"/>
      <c r="Q85" s="18">
        <v>2</v>
      </c>
      <c r="R85" s="18">
        <v>4</v>
      </c>
      <c r="S85" s="18">
        <v>1</v>
      </c>
      <c r="T85" s="18">
        <v>148.5</v>
      </c>
    </row>
    <row r="86" spans="1:20" x14ac:dyDescent="0.3">
      <c r="A86" s="18">
        <v>50085</v>
      </c>
      <c r="B86" s="18">
        <v>0</v>
      </c>
      <c r="C86" s="18">
        <v>0</v>
      </c>
      <c r="D86" s="18" t="s">
        <v>42</v>
      </c>
      <c r="E86" s="18">
        <v>3</v>
      </c>
      <c r="F86" s="18">
        <v>24</v>
      </c>
      <c r="G86" s="18" t="s">
        <v>32</v>
      </c>
      <c r="H86" s="18" t="s">
        <v>38</v>
      </c>
      <c r="I86" s="18">
        <v>2.8</v>
      </c>
      <c r="J86" s="18">
        <v>2</v>
      </c>
      <c r="K86" s="18" t="s">
        <v>44</v>
      </c>
      <c r="L86" s="18">
        <v>5</v>
      </c>
      <c r="M86" s="18" t="s">
        <v>35</v>
      </c>
      <c r="N86" s="18">
        <v>1</v>
      </c>
      <c r="O86" s="18">
        <v>0</v>
      </c>
      <c r="P86" s="18">
        <v>13.7</v>
      </c>
      <c r="Q86" s="18">
        <v>4</v>
      </c>
      <c r="R86" s="18">
        <v>6</v>
      </c>
      <c r="S86" s="18">
        <v>5</v>
      </c>
      <c r="T86" s="18">
        <v>207.88</v>
      </c>
    </row>
    <row r="87" spans="1:20" x14ac:dyDescent="0.3">
      <c r="A87" s="18">
        <v>50086</v>
      </c>
      <c r="B87" s="18">
        <v>0</v>
      </c>
      <c r="C87" s="18">
        <v>1</v>
      </c>
      <c r="D87" s="18" t="s">
        <v>36</v>
      </c>
      <c r="E87" s="18">
        <v>1</v>
      </c>
      <c r="F87" s="18">
        <v>16</v>
      </c>
      <c r="G87" s="18" t="s">
        <v>47</v>
      </c>
      <c r="H87" s="18" t="s">
        <v>33</v>
      </c>
      <c r="I87" s="18">
        <v>3.1</v>
      </c>
      <c r="J87" s="18">
        <v>5</v>
      </c>
      <c r="K87" s="18" t="s">
        <v>46</v>
      </c>
      <c r="L87" s="18">
        <v>3</v>
      </c>
      <c r="M87" s="18" t="s">
        <v>35</v>
      </c>
      <c r="N87" s="18">
        <v>4</v>
      </c>
      <c r="O87" s="18">
        <v>0</v>
      </c>
      <c r="P87" s="18">
        <v>19.600000000000001</v>
      </c>
      <c r="Q87" s="18">
        <v>1</v>
      </c>
      <c r="R87" s="18">
        <v>3</v>
      </c>
      <c r="S87" s="18">
        <v>13</v>
      </c>
      <c r="T87" s="18">
        <v>266.98</v>
      </c>
    </row>
    <row r="88" spans="1:20" x14ac:dyDescent="0.3">
      <c r="A88" s="18">
        <v>50087</v>
      </c>
      <c r="B88" s="18">
        <v>1</v>
      </c>
      <c r="C88" s="18">
        <v>16</v>
      </c>
      <c r="D88" s="18" t="s">
        <v>31</v>
      </c>
      <c r="E88" s="18">
        <v>1</v>
      </c>
      <c r="F88" s="18">
        <v>5</v>
      </c>
      <c r="G88" s="18" t="s">
        <v>37</v>
      </c>
      <c r="H88" s="18" t="s">
        <v>33</v>
      </c>
      <c r="I88" s="18">
        <v>2.7</v>
      </c>
      <c r="J88" s="18">
        <v>5</v>
      </c>
      <c r="K88" s="18" t="s">
        <v>34</v>
      </c>
      <c r="L88" s="18">
        <v>2</v>
      </c>
      <c r="M88" s="18" t="s">
        <v>41</v>
      </c>
      <c r="N88" s="18">
        <v>1</v>
      </c>
      <c r="O88" s="18">
        <v>0</v>
      </c>
      <c r="P88" s="18">
        <v>14.5</v>
      </c>
      <c r="Q88" s="18">
        <v>1</v>
      </c>
      <c r="R88" s="18">
        <v>4</v>
      </c>
      <c r="S88" s="18">
        <v>0</v>
      </c>
      <c r="T88" s="18">
        <v>198.64</v>
      </c>
    </row>
    <row r="89" spans="1:20" x14ac:dyDescent="0.3">
      <c r="A89" s="18">
        <v>50088</v>
      </c>
      <c r="B89" s="18">
        <v>0</v>
      </c>
      <c r="C89" s="18">
        <v>1</v>
      </c>
      <c r="D89" s="18" t="s">
        <v>36</v>
      </c>
      <c r="E89" s="18">
        <v>2</v>
      </c>
      <c r="F89" s="18">
        <v>6</v>
      </c>
      <c r="G89" s="18" t="s">
        <v>39</v>
      </c>
      <c r="H89" s="18" t="s">
        <v>38</v>
      </c>
      <c r="I89" s="18">
        <v>3.3</v>
      </c>
      <c r="J89" s="18">
        <v>3</v>
      </c>
      <c r="K89" s="18" t="s">
        <v>44</v>
      </c>
      <c r="L89" s="18">
        <v>4</v>
      </c>
      <c r="M89" s="18" t="s">
        <v>45</v>
      </c>
      <c r="N89" s="18">
        <v>6</v>
      </c>
      <c r="O89" s="18">
        <v>1</v>
      </c>
      <c r="P89" s="18">
        <v>15.5</v>
      </c>
      <c r="Q89" s="18">
        <v>2</v>
      </c>
      <c r="R89" s="18">
        <v>5</v>
      </c>
      <c r="S89" s="18">
        <v>4</v>
      </c>
      <c r="T89" s="18">
        <v>158.16999999999999</v>
      </c>
    </row>
    <row r="90" spans="1:20" x14ac:dyDescent="0.3">
      <c r="A90" s="18">
        <v>50089</v>
      </c>
      <c r="B90" s="18">
        <v>0</v>
      </c>
      <c r="C90" s="18">
        <v>10</v>
      </c>
      <c r="D90" s="18" t="s">
        <v>31</v>
      </c>
      <c r="E90" s="18">
        <v>1</v>
      </c>
      <c r="F90" s="18">
        <v>13</v>
      </c>
      <c r="G90" s="18" t="s">
        <v>39</v>
      </c>
      <c r="H90" s="18" t="s">
        <v>33</v>
      </c>
      <c r="I90" s="18">
        <v>3.1</v>
      </c>
      <c r="J90" s="18">
        <v>3</v>
      </c>
      <c r="K90" s="18" t="s">
        <v>44</v>
      </c>
      <c r="L90" s="18">
        <v>2</v>
      </c>
      <c r="M90" s="18" t="s">
        <v>35</v>
      </c>
      <c r="N90" s="18">
        <v>5</v>
      </c>
      <c r="O90" s="18">
        <v>0</v>
      </c>
      <c r="P90" s="18">
        <v>15.9</v>
      </c>
      <c r="Q90" s="18">
        <v>4</v>
      </c>
      <c r="R90" s="18">
        <v>4</v>
      </c>
      <c r="S90" s="18"/>
      <c r="T90" s="18">
        <v>237.25</v>
      </c>
    </row>
    <row r="91" spans="1:20" x14ac:dyDescent="0.3">
      <c r="A91" s="18">
        <v>50090</v>
      </c>
      <c r="B91" s="18">
        <v>0</v>
      </c>
      <c r="C91" s="18">
        <v>2</v>
      </c>
      <c r="D91" s="18" t="s">
        <v>36</v>
      </c>
      <c r="E91" s="18">
        <v>2</v>
      </c>
      <c r="F91" s="18">
        <v>17</v>
      </c>
      <c r="G91" s="18" t="s">
        <v>47</v>
      </c>
      <c r="H91" s="18" t="s">
        <v>38</v>
      </c>
      <c r="I91" s="18">
        <v>4.2</v>
      </c>
      <c r="J91" s="18">
        <v>3</v>
      </c>
      <c r="K91" s="18" t="s">
        <v>36</v>
      </c>
      <c r="L91" s="18">
        <v>3</v>
      </c>
      <c r="M91" s="18" t="s">
        <v>35</v>
      </c>
      <c r="N91" s="18">
        <v>1</v>
      </c>
      <c r="O91" s="18">
        <v>0</v>
      </c>
      <c r="P91" s="18">
        <v>14.8</v>
      </c>
      <c r="Q91" s="18">
        <v>2</v>
      </c>
      <c r="R91" s="18">
        <v>4</v>
      </c>
      <c r="S91" s="18">
        <v>0</v>
      </c>
      <c r="T91" s="18">
        <v>139.43</v>
      </c>
    </row>
    <row r="92" spans="1:20" x14ac:dyDescent="0.3">
      <c r="A92" s="18">
        <v>50091</v>
      </c>
      <c r="B92" s="18">
        <v>0</v>
      </c>
      <c r="C92" s="18">
        <v>1</v>
      </c>
      <c r="D92" s="18" t="s">
        <v>36</v>
      </c>
      <c r="E92" s="18">
        <v>3</v>
      </c>
      <c r="F92" s="18">
        <v>14</v>
      </c>
      <c r="G92" s="18" t="s">
        <v>39</v>
      </c>
      <c r="H92" s="18" t="s">
        <v>33</v>
      </c>
      <c r="I92" s="18">
        <v>1.8</v>
      </c>
      <c r="J92" s="18">
        <v>3</v>
      </c>
      <c r="K92" s="18" t="s">
        <v>40</v>
      </c>
      <c r="L92" s="18">
        <v>2</v>
      </c>
      <c r="M92" s="18" t="s">
        <v>35</v>
      </c>
      <c r="N92" s="18">
        <v>4</v>
      </c>
      <c r="O92" s="18">
        <v>0</v>
      </c>
      <c r="P92" s="18">
        <v>16.8</v>
      </c>
      <c r="Q92" s="18">
        <v>3</v>
      </c>
      <c r="R92" s="18">
        <v>4</v>
      </c>
      <c r="S92" s="18">
        <v>3</v>
      </c>
      <c r="T92" s="18">
        <v>108.6</v>
      </c>
    </row>
    <row r="93" spans="1:20" x14ac:dyDescent="0.3">
      <c r="A93" s="18">
        <v>50092</v>
      </c>
      <c r="B93" s="18">
        <v>1</v>
      </c>
      <c r="C93" s="18">
        <v>2</v>
      </c>
      <c r="D93" s="18" t="s">
        <v>42</v>
      </c>
      <c r="E93" s="18">
        <v>2</v>
      </c>
      <c r="F93" s="18">
        <v>24</v>
      </c>
      <c r="G93" s="18" t="s">
        <v>37</v>
      </c>
      <c r="H93" s="18" t="s">
        <v>33</v>
      </c>
      <c r="I93" s="18">
        <v>2.8</v>
      </c>
      <c r="J93" s="18">
        <v>2</v>
      </c>
      <c r="K93" s="18" t="s">
        <v>44</v>
      </c>
      <c r="L93" s="18">
        <v>3</v>
      </c>
      <c r="M93" s="18" t="s">
        <v>41</v>
      </c>
      <c r="N93" s="18">
        <v>3</v>
      </c>
      <c r="O93" s="18">
        <v>0</v>
      </c>
      <c r="P93" s="18">
        <v>20</v>
      </c>
      <c r="Q93" s="18">
        <v>2</v>
      </c>
      <c r="R93" s="18">
        <v>1</v>
      </c>
      <c r="S93" s="18">
        <v>10</v>
      </c>
      <c r="T93" s="18">
        <v>224.68</v>
      </c>
    </row>
    <row r="94" spans="1:20" x14ac:dyDescent="0.3">
      <c r="A94" s="18">
        <v>50093</v>
      </c>
      <c r="B94" s="18">
        <v>1</v>
      </c>
      <c r="C94" s="18">
        <v>12</v>
      </c>
      <c r="D94" s="18" t="s">
        <v>36</v>
      </c>
      <c r="E94" s="18">
        <v>1</v>
      </c>
      <c r="F94" s="18">
        <v>5</v>
      </c>
      <c r="G94" s="18" t="s">
        <v>37</v>
      </c>
      <c r="H94" s="18" t="s">
        <v>33</v>
      </c>
      <c r="I94" s="18">
        <v>2.2999999999999998</v>
      </c>
      <c r="J94" s="18">
        <v>3</v>
      </c>
      <c r="K94" s="18" t="s">
        <v>44</v>
      </c>
      <c r="L94" s="18">
        <v>2</v>
      </c>
      <c r="M94" s="18" t="s">
        <v>35</v>
      </c>
      <c r="N94" s="18">
        <v>4</v>
      </c>
      <c r="O94" s="18">
        <v>0</v>
      </c>
      <c r="P94" s="18">
        <v>12</v>
      </c>
      <c r="Q94" s="18">
        <v>1</v>
      </c>
      <c r="R94" s="18">
        <v>1</v>
      </c>
      <c r="S94" s="18">
        <v>11</v>
      </c>
      <c r="T94" s="18">
        <v>157.66</v>
      </c>
    </row>
    <row r="95" spans="1:20" x14ac:dyDescent="0.3">
      <c r="A95" s="18">
        <v>50094</v>
      </c>
      <c r="B95" s="18">
        <v>0</v>
      </c>
      <c r="C95" s="18">
        <v>19</v>
      </c>
      <c r="D95" s="18" t="s">
        <v>42</v>
      </c>
      <c r="E95" s="18">
        <v>1</v>
      </c>
      <c r="F95" s="18">
        <v>16</v>
      </c>
      <c r="G95" s="18" t="s">
        <v>39</v>
      </c>
      <c r="H95" s="18" t="s">
        <v>38</v>
      </c>
      <c r="I95" s="18">
        <v>3.3</v>
      </c>
      <c r="J95" s="18">
        <v>5</v>
      </c>
      <c r="K95" s="18" t="s">
        <v>36</v>
      </c>
      <c r="L95" s="18">
        <v>1</v>
      </c>
      <c r="M95" s="18" t="s">
        <v>45</v>
      </c>
      <c r="N95" s="18">
        <v>1</v>
      </c>
      <c r="O95" s="18">
        <v>0</v>
      </c>
      <c r="P95" s="18">
        <v>17.7</v>
      </c>
      <c r="Q95" s="18">
        <v>1</v>
      </c>
      <c r="R95" s="18">
        <v>4</v>
      </c>
      <c r="S95" s="18">
        <v>3</v>
      </c>
      <c r="T95" s="18">
        <v>162.59</v>
      </c>
    </row>
    <row r="96" spans="1:20" x14ac:dyDescent="0.3">
      <c r="A96" s="18">
        <v>50095</v>
      </c>
      <c r="B96" s="18">
        <v>0</v>
      </c>
      <c r="C96" s="18">
        <v>17</v>
      </c>
      <c r="D96" s="18" t="s">
        <v>42</v>
      </c>
      <c r="E96" s="18">
        <v>1</v>
      </c>
      <c r="F96" s="18">
        <v>5</v>
      </c>
      <c r="G96" s="18" t="s">
        <v>43</v>
      </c>
      <c r="H96" s="18" t="s">
        <v>33</v>
      </c>
      <c r="I96" s="18">
        <v>1.8</v>
      </c>
      <c r="J96" s="18">
        <v>3</v>
      </c>
      <c r="K96" s="18" t="s">
        <v>34</v>
      </c>
      <c r="L96" s="18">
        <v>4</v>
      </c>
      <c r="M96" s="18" t="s">
        <v>41</v>
      </c>
      <c r="N96" s="18">
        <v>1</v>
      </c>
      <c r="O96" s="18">
        <v>0</v>
      </c>
      <c r="P96" s="18">
        <v>16.600000000000001</v>
      </c>
      <c r="Q96" s="18">
        <v>5</v>
      </c>
      <c r="R96" s="18">
        <v>7</v>
      </c>
      <c r="S96" s="18">
        <v>0</v>
      </c>
      <c r="T96" s="18">
        <v>145.52000000000001</v>
      </c>
    </row>
    <row r="97" spans="1:20" x14ac:dyDescent="0.3">
      <c r="A97" s="18">
        <v>50096</v>
      </c>
      <c r="B97" s="18">
        <v>0</v>
      </c>
      <c r="C97" s="18">
        <v>5</v>
      </c>
      <c r="D97" s="18" t="s">
        <v>36</v>
      </c>
      <c r="E97" s="18">
        <v>1</v>
      </c>
      <c r="F97" s="18">
        <v>21</v>
      </c>
      <c r="G97" s="18" t="s">
        <v>32</v>
      </c>
      <c r="H97" s="18" t="s">
        <v>38</v>
      </c>
      <c r="I97" s="18">
        <v>3.1</v>
      </c>
      <c r="J97" s="18">
        <v>3</v>
      </c>
      <c r="K97" s="18" t="s">
        <v>36</v>
      </c>
      <c r="L97" s="18">
        <v>4</v>
      </c>
      <c r="M97" s="18" t="s">
        <v>35</v>
      </c>
      <c r="N97" s="18">
        <v>1</v>
      </c>
      <c r="O97" s="18">
        <v>1</v>
      </c>
      <c r="P97" s="18">
        <v>16.5</v>
      </c>
      <c r="Q97" s="18">
        <v>1</v>
      </c>
      <c r="R97" s="18">
        <v>7</v>
      </c>
      <c r="S97" s="18">
        <v>0</v>
      </c>
      <c r="T97" s="18">
        <v>154</v>
      </c>
    </row>
    <row r="98" spans="1:20" x14ac:dyDescent="0.3">
      <c r="A98" s="18">
        <v>50097</v>
      </c>
      <c r="B98" s="18">
        <v>0</v>
      </c>
      <c r="C98" s="18">
        <v>11</v>
      </c>
      <c r="D98" s="18" t="s">
        <v>36</v>
      </c>
      <c r="E98" s="18">
        <v>3</v>
      </c>
      <c r="F98" s="18">
        <v>14</v>
      </c>
      <c r="G98" s="18" t="s">
        <v>47</v>
      </c>
      <c r="H98" s="18" t="s">
        <v>38</v>
      </c>
      <c r="I98" s="18">
        <v>2.5</v>
      </c>
      <c r="J98" s="18">
        <v>1</v>
      </c>
      <c r="K98" s="18" t="s">
        <v>36</v>
      </c>
      <c r="L98" s="18">
        <v>4</v>
      </c>
      <c r="M98" s="18" t="s">
        <v>45</v>
      </c>
      <c r="N98" s="18">
        <v>1</v>
      </c>
      <c r="O98" s="18">
        <v>1</v>
      </c>
      <c r="P98" s="18">
        <v>19.100000000000001</v>
      </c>
      <c r="Q98" s="18">
        <v>0</v>
      </c>
      <c r="R98" s="18">
        <v>3</v>
      </c>
      <c r="S98" s="18">
        <v>4</v>
      </c>
      <c r="T98" s="18">
        <v>257.17</v>
      </c>
    </row>
    <row r="99" spans="1:20" x14ac:dyDescent="0.3">
      <c r="A99" s="18">
        <v>50098</v>
      </c>
      <c r="B99" s="18">
        <v>0</v>
      </c>
      <c r="C99" s="18">
        <v>2</v>
      </c>
      <c r="D99" s="18" t="s">
        <v>31</v>
      </c>
      <c r="E99" s="18">
        <v>1</v>
      </c>
      <c r="F99" s="18">
        <v>18</v>
      </c>
      <c r="G99" s="18" t="s">
        <v>39</v>
      </c>
      <c r="H99" s="18" t="s">
        <v>33</v>
      </c>
      <c r="I99" s="18">
        <v>2.4</v>
      </c>
      <c r="J99" s="18">
        <v>4</v>
      </c>
      <c r="K99" s="18" t="s">
        <v>34</v>
      </c>
      <c r="L99" s="18">
        <v>4</v>
      </c>
      <c r="M99" s="18" t="s">
        <v>41</v>
      </c>
      <c r="N99" s="18">
        <v>5</v>
      </c>
      <c r="O99" s="18">
        <v>0</v>
      </c>
      <c r="P99" s="18">
        <v>16.2</v>
      </c>
      <c r="Q99" s="18">
        <v>1</v>
      </c>
      <c r="R99" s="18">
        <v>6</v>
      </c>
      <c r="S99" s="18">
        <v>0</v>
      </c>
      <c r="T99" s="18">
        <v>271.44</v>
      </c>
    </row>
    <row r="100" spans="1:20" x14ac:dyDescent="0.3">
      <c r="A100" s="18">
        <v>50099</v>
      </c>
      <c r="B100" s="18">
        <v>0</v>
      </c>
      <c r="C100" s="18">
        <v>3</v>
      </c>
      <c r="D100" s="18" t="s">
        <v>42</v>
      </c>
      <c r="E100" s="18">
        <v>1</v>
      </c>
      <c r="F100" s="18">
        <v>8</v>
      </c>
      <c r="G100" s="18" t="s">
        <v>39</v>
      </c>
      <c r="H100" s="18" t="s">
        <v>33</v>
      </c>
      <c r="I100" s="18">
        <v>1.9</v>
      </c>
      <c r="J100" s="18">
        <v>3</v>
      </c>
      <c r="K100" s="18" t="s">
        <v>40</v>
      </c>
      <c r="L100" s="18">
        <v>2</v>
      </c>
      <c r="M100" s="18" t="s">
        <v>35</v>
      </c>
      <c r="N100" s="18">
        <v>4</v>
      </c>
      <c r="O100" s="18">
        <v>0</v>
      </c>
      <c r="P100" s="18">
        <v>17.7</v>
      </c>
      <c r="Q100" s="18">
        <v>2</v>
      </c>
      <c r="R100" s="18">
        <v>3</v>
      </c>
      <c r="S100" s="18">
        <v>0</v>
      </c>
      <c r="T100" s="18">
        <v>278.72000000000003</v>
      </c>
    </row>
    <row r="101" spans="1:20" x14ac:dyDescent="0.3">
      <c r="A101" s="18">
        <v>50100</v>
      </c>
      <c r="B101" s="18">
        <v>0</v>
      </c>
      <c r="C101" s="18">
        <v>22</v>
      </c>
      <c r="D101" s="18" t="s">
        <v>42</v>
      </c>
      <c r="E101" s="18">
        <v>1</v>
      </c>
      <c r="F101" s="18">
        <v>25</v>
      </c>
      <c r="G101" s="18" t="s">
        <v>37</v>
      </c>
      <c r="H101" s="18" t="s">
        <v>38</v>
      </c>
      <c r="I101" s="18">
        <v>2.6</v>
      </c>
      <c r="J101" s="18">
        <v>3</v>
      </c>
      <c r="K101" s="18" t="s">
        <v>40</v>
      </c>
      <c r="L101" s="18">
        <v>3</v>
      </c>
      <c r="M101" s="18" t="s">
        <v>45</v>
      </c>
      <c r="N101" s="18">
        <v>9</v>
      </c>
      <c r="O101" s="18">
        <v>0</v>
      </c>
      <c r="P101" s="18">
        <v>18.5</v>
      </c>
      <c r="Q101" s="18">
        <v>2</v>
      </c>
      <c r="R101" s="18">
        <v>4</v>
      </c>
      <c r="S101" s="18">
        <v>7</v>
      </c>
      <c r="T101" s="18">
        <v>239.96</v>
      </c>
    </row>
    <row r="102" spans="1:20" x14ac:dyDescent="0.3">
      <c r="A102" s="18">
        <v>50101</v>
      </c>
      <c r="B102" s="18">
        <v>0</v>
      </c>
      <c r="C102" s="18">
        <v>0</v>
      </c>
      <c r="D102" s="18" t="s">
        <v>36</v>
      </c>
      <c r="E102" s="18">
        <v>2</v>
      </c>
      <c r="F102" s="18">
        <v>23</v>
      </c>
      <c r="G102" s="18" t="s">
        <v>39</v>
      </c>
      <c r="H102" s="18" t="s">
        <v>33</v>
      </c>
      <c r="I102" s="18">
        <v>3.7</v>
      </c>
      <c r="J102" s="18">
        <v>3</v>
      </c>
      <c r="K102" s="18" t="s">
        <v>36</v>
      </c>
      <c r="L102" s="18">
        <v>2</v>
      </c>
      <c r="M102" s="18" t="s">
        <v>35</v>
      </c>
      <c r="N102" s="18">
        <v>1</v>
      </c>
      <c r="O102" s="18">
        <v>0</v>
      </c>
      <c r="P102" s="18">
        <v>14.2</v>
      </c>
      <c r="Q102" s="18">
        <v>1</v>
      </c>
      <c r="R102" s="18">
        <v>1</v>
      </c>
      <c r="S102" s="18">
        <v>6</v>
      </c>
      <c r="T102" s="18">
        <v>205.64</v>
      </c>
    </row>
    <row r="103" spans="1:20" x14ac:dyDescent="0.3">
      <c r="A103" s="18">
        <v>50102</v>
      </c>
      <c r="B103" s="18">
        <v>0</v>
      </c>
      <c r="C103" s="18">
        <v>0</v>
      </c>
      <c r="D103" s="18" t="s">
        <v>31</v>
      </c>
      <c r="E103" s="18">
        <v>2</v>
      </c>
      <c r="F103" s="18">
        <v>19</v>
      </c>
      <c r="G103" s="18" t="s">
        <v>43</v>
      </c>
      <c r="H103" s="18" t="s">
        <v>33</v>
      </c>
      <c r="I103" s="18">
        <v>2.9</v>
      </c>
      <c r="J103" s="18">
        <v>3</v>
      </c>
      <c r="K103" s="18" t="s">
        <v>34</v>
      </c>
      <c r="L103" s="18">
        <v>5</v>
      </c>
      <c r="M103" s="18" t="s">
        <v>41</v>
      </c>
      <c r="N103" s="18">
        <v>1</v>
      </c>
      <c r="O103" s="18">
        <v>0</v>
      </c>
      <c r="P103" s="18">
        <v>17</v>
      </c>
      <c r="Q103" s="18">
        <v>2</v>
      </c>
      <c r="R103" s="18">
        <v>3</v>
      </c>
      <c r="S103" s="18">
        <v>9</v>
      </c>
      <c r="T103" s="18">
        <v>101.22</v>
      </c>
    </row>
    <row r="104" spans="1:20" x14ac:dyDescent="0.3">
      <c r="A104" s="18">
        <v>50103</v>
      </c>
      <c r="B104" s="18">
        <v>0</v>
      </c>
      <c r="C104" s="18">
        <v>2</v>
      </c>
      <c r="D104" s="18" t="s">
        <v>36</v>
      </c>
      <c r="E104" s="18">
        <v>1</v>
      </c>
      <c r="F104" s="18">
        <v>13</v>
      </c>
      <c r="G104" s="18" t="s">
        <v>39</v>
      </c>
      <c r="H104" s="18" t="s">
        <v>33</v>
      </c>
      <c r="I104" s="18"/>
      <c r="J104" s="18">
        <v>4</v>
      </c>
      <c r="K104" s="18" t="s">
        <v>40</v>
      </c>
      <c r="L104" s="18">
        <v>4</v>
      </c>
      <c r="M104" s="18" t="s">
        <v>41</v>
      </c>
      <c r="N104" s="18">
        <v>4</v>
      </c>
      <c r="O104" s="18">
        <v>1</v>
      </c>
      <c r="P104" s="18">
        <v>15.1</v>
      </c>
      <c r="Q104" s="18">
        <v>5</v>
      </c>
      <c r="R104" s="18">
        <v>5</v>
      </c>
      <c r="S104" s="18">
        <v>0</v>
      </c>
      <c r="T104" s="18">
        <v>169.69</v>
      </c>
    </row>
    <row r="105" spans="1:20" x14ac:dyDescent="0.3">
      <c r="A105" s="18">
        <v>50104</v>
      </c>
      <c r="B105" s="18">
        <v>0</v>
      </c>
      <c r="C105" s="18">
        <v>0</v>
      </c>
      <c r="D105" s="18" t="s">
        <v>42</v>
      </c>
      <c r="E105" s="18">
        <v>1</v>
      </c>
      <c r="F105" s="18">
        <v>19</v>
      </c>
      <c r="G105" s="18" t="s">
        <v>37</v>
      </c>
      <c r="H105" s="18" t="s">
        <v>33</v>
      </c>
      <c r="I105" s="18">
        <v>4.0999999999999996</v>
      </c>
      <c r="J105" s="18">
        <v>3</v>
      </c>
      <c r="K105" s="18" t="s">
        <v>46</v>
      </c>
      <c r="L105" s="18">
        <v>2</v>
      </c>
      <c r="M105" s="18" t="s">
        <v>41</v>
      </c>
      <c r="N105" s="18">
        <v>1</v>
      </c>
      <c r="O105" s="18">
        <v>0</v>
      </c>
      <c r="P105" s="18">
        <v>15.5</v>
      </c>
      <c r="Q105" s="18">
        <v>2</v>
      </c>
      <c r="R105" s="18">
        <v>4</v>
      </c>
      <c r="S105" s="18">
        <v>1</v>
      </c>
      <c r="T105" s="18">
        <v>298.62</v>
      </c>
    </row>
    <row r="106" spans="1:20" x14ac:dyDescent="0.3">
      <c r="A106" s="18">
        <v>50105</v>
      </c>
      <c r="B106" s="18">
        <v>0</v>
      </c>
      <c r="C106" s="18">
        <v>2</v>
      </c>
      <c r="D106" s="18" t="s">
        <v>42</v>
      </c>
      <c r="E106" s="18">
        <v>1</v>
      </c>
      <c r="F106" s="18">
        <v>9</v>
      </c>
      <c r="G106" s="18" t="s">
        <v>37</v>
      </c>
      <c r="H106" s="18" t="s">
        <v>33</v>
      </c>
      <c r="I106" s="18">
        <v>3.1</v>
      </c>
      <c r="J106" s="18">
        <v>4</v>
      </c>
      <c r="K106" s="18" t="s">
        <v>40</v>
      </c>
      <c r="L106" s="18">
        <v>3</v>
      </c>
      <c r="M106" s="18" t="s">
        <v>35</v>
      </c>
      <c r="N106" s="18">
        <v>1</v>
      </c>
      <c r="O106" s="18">
        <v>1</v>
      </c>
      <c r="P106" s="18">
        <v>14.9</v>
      </c>
      <c r="Q106" s="18">
        <v>1</v>
      </c>
      <c r="R106" s="18">
        <v>7</v>
      </c>
      <c r="S106" s="18">
        <v>8</v>
      </c>
      <c r="T106" s="18">
        <v>156.04</v>
      </c>
    </row>
    <row r="107" spans="1:20" x14ac:dyDescent="0.3">
      <c r="A107" s="18">
        <v>50106</v>
      </c>
      <c r="B107" s="18">
        <v>0</v>
      </c>
      <c r="C107" s="18">
        <v>8</v>
      </c>
      <c r="D107" s="18" t="s">
        <v>36</v>
      </c>
      <c r="E107" s="18">
        <v>1</v>
      </c>
      <c r="F107" s="18">
        <v>21</v>
      </c>
      <c r="G107" s="18" t="s">
        <v>47</v>
      </c>
      <c r="H107" s="18" t="s">
        <v>33</v>
      </c>
      <c r="I107" s="18">
        <v>2.5</v>
      </c>
      <c r="J107" s="18">
        <v>3</v>
      </c>
      <c r="K107" s="18" t="s">
        <v>40</v>
      </c>
      <c r="L107" s="18">
        <v>5</v>
      </c>
      <c r="M107" s="18" t="s">
        <v>35</v>
      </c>
      <c r="N107" s="18">
        <v>2</v>
      </c>
      <c r="O107" s="18">
        <v>0</v>
      </c>
      <c r="P107" s="18">
        <v>17.600000000000001</v>
      </c>
      <c r="Q107" s="18">
        <v>0</v>
      </c>
      <c r="R107" s="18">
        <v>5</v>
      </c>
      <c r="S107" s="18">
        <v>6</v>
      </c>
      <c r="T107" s="18">
        <v>263.27999999999997</v>
      </c>
    </row>
    <row r="108" spans="1:20" x14ac:dyDescent="0.3">
      <c r="A108" s="18">
        <v>50107</v>
      </c>
      <c r="B108" s="18">
        <v>0</v>
      </c>
      <c r="C108" s="18">
        <v>5</v>
      </c>
      <c r="D108" s="18" t="s">
        <v>36</v>
      </c>
      <c r="E108" s="18">
        <v>2</v>
      </c>
      <c r="F108" s="18">
        <v>28</v>
      </c>
      <c r="G108" s="18" t="s">
        <v>39</v>
      </c>
      <c r="H108" s="18" t="s">
        <v>38</v>
      </c>
      <c r="I108" s="18">
        <v>3.2</v>
      </c>
      <c r="J108" s="18">
        <v>4</v>
      </c>
      <c r="K108" s="18" t="s">
        <v>44</v>
      </c>
      <c r="L108" s="18">
        <v>4</v>
      </c>
      <c r="M108" s="18" t="s">
        <v>35</v>
      </c>
      <c r="N108" s="18">
        <v>1</v>
      </c>
      <c r="O108" s="18">
        <v>0</v>
      </c>
      <c r="P108" s="18">
        <v>16.3</v>
      </c>
      <c r="Q108" s="18">
        <v>1</v>
      </c>
      <c r="R108" s="18">
        <v>5</v>
      </c>
      <c r="S108" s="18">
        <v>8</v>
      </c>
      <c r="T108" s="18">
        <v>183.03</v>
      </c>
    </row>
    <row r="109" spans="1:20" x14ac:dyDescent="0.3">
      <c r="A109" s="18">
        <v>50108</v>
      </c>
      <c r="B109" s="18">
        <v>0</v>
      </c>
      <c r="C109" s="18">
        <v>22</v>
      </c>
      <c r="D109" s="18" t="s">
        <v>36</v>
      </c>
      <c r="E109" s="18">
        <v>2</v>
      </c>
      <c r="F109" s="18">
        <v>23</v>
      </c>
      <c r="G109" s="18" t="s">
        <v>37</v>
      </c>
      <c r="H109" s="18" t="s">
        <v>33</v>
      </c>
      <c r="I109" s="18">
        <v>2.5</v>
      </c>
      <c r="J109" s="18">
        <v>4</v>
      </c>
      <c r="K109" s="18" t="s">
        <v>44</v>
      </c>
      <c r="L109" s="18">
        <v>4</v>
      </c>
      <c r="M109" s="18" t="s">
        <v>41</v>
      </c>
      <c r="N109" s="18">
        <v>3</v>
      </c>
      <c r="O109" s="18">
        <v>0</v>
      </c>
      <c r="P109" s="18">
        <v>17.399999999999999</v>
      </c>
      <c r="Q109" s="18">
        <v>4</v>
      </c>
      <c r="R109" s="18">
        <v>6</v>
      </c>
      <c r="S109" s="18">
        <v>22</v>
      </c>
      <c r="T109" s="18">
        <v>32.700000000000003</v>
      </c>
    </row>
    <row r="110" spans="1:20" x14ac:dyDescent="0.3">
      <c r="A110" s="18">
        <v>50109</v>
      </c>
      <c r="B110" s="18">
        <v>0</v>
      </c>
      <c r="C110" s="18">
        <v>17</v>
      </c>
      <c r="D110" s="18" t="s">
        <v>36</v>
      </c>
      <c r="E110" s="18">
        <v>1</v>
      </c>
      <c r="F110" s="18">
        <v>9</v>
      </c>
      <c r="G110" s="18" t="s">
        <v>39</v>
      </c>
      <c r="H110" s="18" t="s">
        <v>33</v>
      </c>
      <c r="I110" s="18">
        <v>2.5</v>
      </c>
      <c r="J110" s="18">
        <v>3</v>
      </c>
      <c r="K110" s="18" t="s">
        <v>46</v>
      </c>
      <c r="L110" s="18">
        <v>3</v>
      </c>
      <c r="M110" s="18" t="s">
        <v>41</v>
      </c>
      <c r="N110" s="18">
        <v>1</v>
      </c>
      <c r="O110" s="18">
        <v>0</v>
      </c>
      <c r="P110" s="18">
        <v>15.9</v>
      </c>
      <c r="Q110" s="18">
        <v>2</v>
      </c>
      <c r="R110" s="18">
        <v>6</v>
      </c>
      <c r="S110" s="18">
        <v>9</v>
      </c>
      <c r="T110" s="18">
        <v>215.23</v>
      </c>
    </row>
    <row r="111" spans="1:20" x14ac:dyDescent="0.3">
      <c r="A111" s="18">
        <v>50110</v>
      </c>
      <c r="B111" s="18">
        <v>1</v>
      </c>
      <c r="C111" s="18">
        <v>4</v>
      </c>
      <c r="D111" s="18" t="s">
        <v>42</v>
      </c>
      <c r="E111" s="18">
        <v>1</v>
      </c>
      <c r="F111" s="18">
        <v>17</v>
      </c>
      <c r="G111" s="18" t="s">
        <v>32</v>
      </c>
      <c r="H111" s="18" t="s">
        <v>38</v>
      </c>
      <c r="I111" s="18">
        <v>1.8</v>
      </c>
      <c r="J111" s="18">
        <v>5</v>
      </c>
      <c r="K111" s="18" t="s">
        <v>44</v>
      </c>
      <c r="L111" s="18">
        <v>2</v>
      </c>
      <c r="M111" s="18" t="s">
        <v>35</v>
      </c>
      <c r="N111" s="18">
        <v>3</v>
      </c>
      <c r="O111" s="18">
        <v>0</v>
      </c>
      <c r="P111" s="18">
        <v>11</v>
      </c>
      <c r="Q111" s="18">
        <v>0</v>
      </c>
      <c r="R111" s="18">
        <v>1</v>
      </c>
      <c r="S111" s="18">
        <v>3</v>
      </c>
      <c r="T111" s="18">
        <v>249.64</v>
      </c>
    </row>
    <row r="112" spans="1:20" x14ac:dyDescent="0.3">
      <c r="A112" s="18">
        <v>50111</v>
      </c>
      <c r="B112" s="18">
        <v>0</v>
      </c>
      <c r="C112" s="18">
        <v>3</v>
      </c>
      <c r="D112" s="18" t="s">
        <v>36</v>
      </c>
      <c r="E112" s="18">
        <v>3</v>
      </c>
      <c r="F112" s="18">
        <v>5</v>
      </c>
      <c r="G112" s="18" t="s">
        <v>39</v>
      </c>
      <c r="H112" s="18" t="s">
        <v>38</v>
      </c>
      <c r="I112" s="18">
        <v>3.5</v>
      </c>
      <c r="J112" s="18">
        <v>4</v>
      </c>
      <c r="K112" s="18" t="s">
        <v>36</v>
      </c>
      <c r="L112" s="18">
        <v>4</v>
      </c>
      <c r="M112" s="18" t="s">
        <v>35</v>
      </c>
      <c r="N112" s="18">
        <v>6</v>
      </c>
      <c r="O112" s="18">
        <v>1</v>
      </c>
      <c r="P112" s="18">
        <v>16.100000000000001</v>
      </c>
      <c r="Q112" s="18"/>
      <c r="R112" s="18">
        <v>5</v>
      </c>
      <c r="S112" s="18">
        <v>1</v>
      </c>
      <c r="T112" s="18">
        <v>177.31</v>
      </c>
    </row>
    <row r="113" spans="1:20" x14ac:dyDescent="0.3">
      <c r="A113" s="18">
        <v>50112</v>
      </c>
      <c r="B113" s="18">
        <v>0</v>
      </c>
      <c r="C113" s="18">
        <v>4</v>
      </c>
      <c r="D113" s="18" t="s">
        <v>36</v>
      </c>
      <c r="E113" s="18">
        <v>1</v>
      </c>
      <c r="F113" s="18">
        <v>19</v>
      </c>
      <c r="G113" s="18" t="s">
        <v>43</v>
      </c>
      <c r="H113" s="18" t="s">
        <v>38</v>
      </c>
      <c r="I113" s="18">
        <v>2.6</v>
      </c>
      <c r="J113" s="18">
        <v>5</v>
      </c>
      <c r="K113" s="18" t="s">
        <v>44</v>
      </c>
      <c r="L113" s="18">
        <v>4</v>
      </c>
      <c r="M113" s="18" t="s">
        <v>45</v>
      </c>
      <c r="N113" s="18">
        <v>1</v>
      </c>
      <c r="O113" s="18">
        <v>1</v>
      </c>
      <c r="P113" s="18">
        <v>16.2</v>
      </c>
      <c r="Q113" s="18">
        <v>1</v>
      </c>
      <c r="R113" s="18">
        <v>3</v>
      </c>
      <c r="S113" s="18">
        <v>4</v>
      </c>
      <c r="T113" s="18">
        <v>247.82</v>
      </c>
    </row>
    <row r="114" spans="1:20" x14ac:dyDescent="0.3">
      <c r="A114" s="18">
        <v>50113</v>
      </c>
      <c r="B114" s="18">
        <v>0</v>
      </c>
      <c r="C114" s="18">
        <v>8</v>
      </c>
      <c r="D114" s="18" t="s">
        <v>36</v>
      </c>
      <c r="E114" s="18">
        <v>2</v>
      </c>
      <c r="F114" s="18">
        <v>18</v>
      </c>
      <c r="G114" s="18" t="s">
        <v>32</v>
      </c>
      <c r="H114" s="18" t="s">
        <v>33</v>
      </c>
      <c r="I114" s="18">
        <v>3</v>
      </c>
      <c r="J114" s="18">
        <v>4</v>
      </c>
      <c r="K114" s="18" t="s">
        <v>46</v>
      </c>
      <c r="L114" s="18">
        <v>4</v>
      </c>
      <c r="M114" s="18" t="s">
        <v>35</v>
      </c>
      <c r="N114" s="18">
        <v>9</v>
      </c>
      <c r="O114" s="18">
        <v>0</v>
      </c>
      <c r="P114" s="18">
        <v>16.8</v>
      </c>
      <c r="Q114" s="18">
        <v>1</v>
      </c>
      <c r="R114" s="18">
        <v>4</v>
      </c>
      <c r="S114" s="18">
        <v>5</v>
      </c>
      <c r="T114" s="18">
        <v>88.27</v>
      </c>
    </row>
    <row r="115" spans="1:20" x14ac:dyDescent="0.3">
      <c r="A115" s="18">
        <v>50114</v>
      </c>
      <c r="B115" s="18">
        <v>0</v>
      </c>
      <c r="C115" s="18">
        <v>3</v>
      </c>
      <c r="D115" s="18" t="s">
        <v>42</v>
      </c>
      <c r="E115" s="18">
        <v>1</v>
      </c>
      <c r="F115" s="18">
        <v>5</v>
      </c>
      <c r="G115" s="18" t="s">
        <v>39</v>
      </c>
      <c r="H115" s="18" t="s">
        <v>38</v>
      </c>
      <c r="I115" s="18">
        <v>2.2000000000000002</v>
      </c>
      <c r="J115" s="18">
        <v>1</v>
      </c>
      <c r="K115" s="18" t="s">
        <v>44</v>
      </c>
      <c r="L115" s="18">
        <v>4</v>
      </c>
      <c r="M115" s="18" t="s">
        <v>35</v>
      </c>
      <c r="N115" s="18">
        <v>2</v>
      </c>
      <c r="O115" s="18">
        <v>0</v>
      </c>
      <c r="P115" s="18">
        <v>13.9</v>
      </c>
      <c r="Q115" s="18">
        <v>2</v>
      </c>
      <c r="R115" s="18">
        <v>6</v>
      </c>
      <c r="S115" s="18">
        <v>2</v>
      </c>
      <c r="T115" s="18">
        <v>103.79</v>
      </c>
    </row>
    <row r="116" spans="1:20" x14ac:dyDescent="0.3">
      <c r="A116" s="18">
        <v>50115</v>
      </c>
      <c r="B116" s="18">
        <v>0</v>
      </c>
      <c r="C116" s="18">
        <v>9</v>
      </c>
      <c r="D116" s="18" t="s">
        <v>31</v>
      </c>
      <c r="E116" s="18">
        <v>1</v>
      </c>
      <c r="F116" s="18">
        <v>5</v>
      </c>
      <c r="G116" s="18" t="s">
        <v>32</v>
      </c>
      <c r="H116" s="18" t="s">
        <v>33</v>
      </c>
      <c r="I116" s="18">
        <v>3.2</v>
      </c>
      <c r="J116" s="18">
        <v>5</v>
      </c>
      <c r="K116" s="18" t="s">
        <v>46</v>
      </c>
      <c r="L116" s="18">
        <v>4</v>
      </c>
      <c r="M116" s="18" t="s">
        <v>35</v>
      </c>
      <c r="N116" s="18">
        <v>8</v>
      </c>
      <c r="O116" s="18">
        <v>1</v>
      </c>
      <c r="P116" s="18">
        <v>11.8</v>
      </c>
      <c r="Q116" s="18">
        <v>4</v>
      </c>
      <c r="R116" s="18">
        <v>3</v>
      </c>
      <c r="S116" s="18">
        <v>7</v>
      </c>
      <c r="T116" s="18">
        <v>191.27</v>
      </c>
    </row>
    <row r="117" spans="1:20" x14ac:dyDescent="0.3">
      <c r="A117" s="18">
        <v>50116</v>
      </c>
      <c r="B117" s="18">
        <v>0</v>
      </c>
      <c r="C117" s="18">
        <v>5</v>
      </c>
      <c r="D117" s="18" t="s">
        <v>36</v>
      </c>
      <c r="E117" s="18">
        <v>1</v>
      </c>
      <c r="F117" s="18">
        <v>12</v>
      </c>
      <c r="G117" s="18" t="s">
        <v>39</v>
      </c>
      <c r="H117" s="18" t="s">
        <v>33</v>
      </c>
      <c r="I117" s="18">
        <v>2.4</v>
      </c>
      <c r="J117" s="18">
        <v>3</v>
      </c>
      <c r="K117" s="18" t="s">
        <v>40</v>
      </c>
      <c r="L117" s="18">
        <v>4</v>
      </c>
      <c r="M117" s="18" t="s">
        <v>35</v>
      </c>
      <c r="N117" s="18">
        <v>1</v>
      </c>
      <c r="O117" s="18">
        <v>1</v>
      </c>
      <c r="P117" s="18">
        <v>18.2</v>
      </c>
      <c r="Q117" s="18">
        <v>1</v>
      </c>
      <c r="R117" s="18">
        <v>4</v>
      </c>
      <c r="S117" s="18">
        <v>0</v>
      </c>
      <c r="T117" s="18">
        <v>206.24</v>
      </c>
    </row>
    <row r="118" spans="1:20" x14ac:dyDescent="0.3">
      <c r="A118" s="18">
        <v>50117</v>
      </c>
      <c r="B118" s="18">
        <v>1</v>
      </c>
      <c r="C118" s="18">
        <v>8</v>
      </c>
      <c r="D118" s="18" t="s">
        <v>36</v>
      </c>
      <c r="E118" s="18">
        <v>2</v>
      </c>
      <c r="F118" s="18">
        <v>12</v>
      </c>
      <c r="G118" s="18" t="s">
        <v>43</v>
      </c>
      <c r="H118" s="18" t="s">
        <v>33</v>
      </c>
      <c r="I118" s="18">
        <v>2.8</v>
      </c>
      <c r="J118" s="18">
        <v>3</v>
      </c>
      <c r="K118" s="18" t="s">
        <v>44</v>
      </c>
      <c r="L118" s="18">
        <v>3</v>
      </c>
      <c r="M118" s="18" t="s">
        <v>35</v>
      </c>
      <c r="N118" s="18">
        <v>3</v>
      </c>
      <c r="O118" s="18">
        <v>0</v>
      </c>
      <c r="P118" s="18">
        <v>15</v>
      </c>
      <c r="Q118" s="18">
        <v>2</v>
      </c>
      <c r="R118" s="18">
        <v>3</v>
      </c>
      <c r="S118" s="18">
        <v>7</v>
      </c>
      <c r="T118" s="18">
        <v>254.61</v>
      </c>
    </row>
    <row r="119" spans="1:20" x14ac:dyDescent="0.3">
      <c r="A119" s="18">
        <v>50118</v>
      </c>
      <c r="B119" s="18">
        <v>0</v>
      </c>
      <c r="C119" s="18">
        <v>5</v>
      </c>
      <c r="D119" s="18" t="s">
        <v>42</v>
      </c>
      <c r="E119" s="18">
        <v>3</v>
      </c>
      <c r="F119" s="18">
        <v>5</v>
      </c>
      <c r="G119" s="18" t="s">
        <v>37</v>
      </c>
      <c r="H119" s="18" t="s">
        <v>33</v>
      </c>
      <c r="I119" s="18">
        <v>3.5</v>
      </c>
      <c r="J119" s="18">
        <v>3</v>
      </c>
      <c r="K119" s="18" t="s">
        <v>36</v>
      </c>
      <c r="L119" s="18">
        <v>3</v>
      </c>
      <c r="M119" s="18" t="s">
        <v>45</v>
      </c>
      <c r="N119" s="18">
        <v>1</v>
      </c>
      <c r="O119" s="18">
        <v>0</v>
      </c>
      <c r="P119" s="18">
        <v>16.600000000000001</v>
      </c>
      <c r="Q119" s="18">
        <v>2</v>
      </c>
      <c r="R119" s="18">
        <v>7</v>
      </c>
      <c r="S119" s="18">
        <v>0</v>
      </c>
      <c r="T119" s="18">
        <v>215.14</v>
      </c>
    </row>
    <row r="120" spans="1:20" x14ac:dyDescent="0.3">
      <c r="A120" s="18">
        <v>50119</v>
      </c>
      <c r="B120" s="18">
        <v>0</v>
      </c>
      <c r="C120" s="18">
        <v>3</v>
      </c>
      <c r="D120" s="18" t="s">
        <v>42</v>
      </c>
      <c r="E120" s="18">
        <v>1</v>
      </c>
      <c r="F120" s="18">
        <v>18</v>
      </c>
      <c r="G120" s="18" t="s">
        <v>39</v>
      </c>
      <c r="H120" s="18" t="s">
        <v>38</v>
      </c>
      <c r="I120" s="18">
        <v>3.5</v>
      </c>
      <c r="J120" s="18">
        <v>3</v>
      </c>
      <c r="K120" s="18" t="s">
        <v>44</v>
      </c>
      <c r="L120" s="18">
        <v>5</v>
      </c>
      <c r="M120" s="18" t="s">
        <v>35</v>
      </c>
      <c r="N120" s="18">
        <v>5</v>
      </c>
      <c r="O120" s="18">
        <v>0</v>
      </c>
      <c r="P120" s="18">
        <v>15</v>
      </c>
      <c r="Q120" s="18">
        <v>3</v>
      </c>
      <c r="R120" s="18">
        <v>2</v>
      </c>
      <c r="S120" s="18">
        <v>3</v>
      </c>
      <c r="T120" s="18">
        <v>114.35</v>
      </c>
    </row>
    <row r="121" spans="1:20" x14ac:dyDescent="0.3">
      <c r="A121" s="18">
        <v>50120</v>
      </c>
      <c r="B121" s="18">
        <v>0</v>
      </c>
      <c r="C121" s="18">
        <v>29</v>
      </c>
      <c r="D121" s="18" t="s">
        <v>36</v>
      </c>
      <c r="E121" s="18">
        <v>1</v>
      </c>
      <c r="F121" s="18">
        <v>17</v>
      </c>
      <c r="G121" s="18" t="s">
        <v>37</v>
      </c>
      <c r="H121" s="18" t="s">
        <v>33</v>
      </c>
      <c r="I121" s="18">
        <v>2.9</v>
      </c>
      <c r="J121" s="18">
        <v>3</v>
      </c>
      <c r="K121" s="18" t="s">
        <v>36</v>
      </c>
      <c r="L121" s="18">
        <v>3</v>
      </c>
      <c r="M121" s="18" t="s">
        <v>41</v>
      </c>
      <c r="N121" s="18">
        <v>3</v>
      </c>
      <c r="O121" s="18">
        <v>0</v>
      </c>
      <c r="P121" s="18">
        <v>16</v>
      </c>
      <c r="Q121" s="18">
        <v>2</v>
      </c>
      <c r="R121" s="18">
        <v>3</v>
      </c>
      <c r="S121" s="18">
        <v>9</v>
      </c>
      <c r="T121" s="18">
        <v>191.72</v>
      </c>
    </row>
    <row r="122" spans="1:20" x14ac:dyDescent="0.3">
      <c r="A122" s="18">
        <v>50121</v>
      </c>
      <c r="B122" s="18">
        <v>0</v>
      </c>
      <c r="C122" s="18">
        <v>14</v>
      </c>
      <c r="D122" s="18" t="s">
        <v>36</v>
      </c>
      <c r="E122" s="18">
        <v>1</v>
      </c>
      <c r="F122" s="18">
        <v>13</v>
      </c>
      <c r="G122" s="18" t="s">
        <v>39</v>
      </c>
      <c r="H122" s="18" t="s">
        <v>38</v>
      </c>
      <c r="I122" s="18">
        <v>1.7</v>
      </c>
      <c r="J122" s="18">
        <v>3</v>
      </c>
      <c r="K122" s="18" t="s">
        <v>36</v>
      </c>
      <c r="L122" s="18">
        <v>3</v>
      </c>
      <c r="M122" s="18" t="s">
        <v>41</v>
      </c>
      <c r="N122" s="18">
        <v>2</v>
      </c>
      <c r="O122" s="18">
        <v>0</v>
      </c>
      <c r="P122" s="18">
        <v>14.4</v>
      </c>
      <c r="Q122" s="18">
        <v>3</v>
      </c>
      <c r="R122" s="18">
        <v>4</v>
      </c>
      <c r="S122" s="18">
        <v>0</v>
      </c>
      <c r="T122" s="18">
        <v>213.04</v>
      </c>
    </row>
    <row r="123" spans="1:20" x14ac:dyDescent="0.3">
      <c r="A123" s="18">
        <v>50122</v>
      </c>
      <c r="B123" s="18">
        <v>0</v>
      </c>
      <c r="C123" s="18">
        <v>1</v>
      </c>
      <c r="D123" s="18" t="s">
        <v>36</v>
      </c>
      <c r="E123" s="18">
        <v>1</v>
      </c>
      <c r="F123" s="18">
        <v>8</v>
      </c>
      <c r="G123" s="18" t="s">
        <v>43</v>
      </c>
      <c r="H123" s="18" t="s">
        <v>38</v>
      </c>
      <c r="I123" s="18">
        <v>5</v>
      </c>
      <c r="J123" s="18">
        <v>4</v>
      </c>
      <c r="K123" s="18" t="s">
        <v>44</v>
      </c>
      <c r="L123" s="18">
        <v>4</v>
      </c>
      <c r="M123" s="18" t="s">
        <v>41</v>
      </c>
      <c r="N123" s="18">
        <v>8</v>
      </c>
      <c r="O123" s="18">
        <v>0</v>
      </c>
      <c r="P123" s="18">
        <v>12.6</v>
      </c>
      <c r="Q123" s="18">
        <v>1</v>
      </c>
      <c r="R123" s="18">
        <v>5</v>
      </c>
      <c r="S123" s="18">
        <v>3</v>
      </c>
      <c r="T123" s="18">
        <v>76.92</v>
      </c>
    </row>
    <row r="124" spans="1:20" x14ac:dyDescent="0.3">
      <c r="A124" s="18">
        <v>50123</v>
      </c>
      <c r="B124" s="18">
        <v>0</v>
      </c>
      <c r="C124" s="18">
        <v>20</v>
      </c>
      <c r="D124" s="18" t="s">
        <v>36</v>
      </c>
      <c r="E124" s="18">
        <v>1</v>
      </c>
      <c r="F124" s="18">
        <v>23</v>
      </c>
      <c r="G124" s="18" t="s">
        <v>39</v>
      </c>
      <c r="H124" s="18" t="s">
        <v>33</v>
      </c>
      <c r="I124" s="18">
        <v>4.0999999999999996</v>
      </c>
      <c r="J124" s="18">
        <v>3</v>
      </c>
      <c r="K124" s="18" t="s">
        <v>34</v>
      </c>
      <c r="L124" s="18">
        <v>5</v>
      </c>
      <c r="M124" s="18" t="s">
        <v>35</v>
      </c>
      <c r="N124" s="18">
        <v>1</v>
      </c>
      <c r="O124" s="18">
        <v>0</v>
      </c>
      <c r="P124" s="18">
        <v>17.7</v>
      </c>
      <c r="Q124" s="18">
        <v>2</v>
      </c>
      <c r="R124" s="18">
        <v>2</v>
      </c>
      <c r="S124" s="18">
        <v>0</v>
      </c>
      <c r="T124" s="18">
        <v>177.6</v>
      </c>
    </row>
    <row r="125" spans="1:20" x14ac:dyDescent="0.3">
      <c r="A125" s="18">
        <v>50124</v>
      </c>
      <c r="B125" s="18">
        <v>0</v>
      </c>
      <c r="C125" s="18">
        <v>6</v>
      </c>
      <c r="D125" s="18" t="s">
        <v>31</v>
      </c>
      <c r="E125" s="18">
        <v>1</v>
      </c>
      <c r="F125" s="18">
        <v>28</v>
      </c>
      <c r="G125" s="18" t="s">
        <v>47</v>
      </c>
      <c r="H125" s="18" t="s">
        <v>33</v>
      </c>
      <c r="I125" s="18">
        <v>3.4</v>
      </c>
      <c r="J125" s="18">
        <v>3</v>
      </c>
      <c r="K125" s="18" t="s">
        <v>44</v>
      </c>
      <c r="L125" s="18">
        <v>3</v>
      </c>
      <c r="M125" s="18" t="s">
        <v>41</v>
      </c>
      <c r="N125" s="18">
        <v>1</v>
      </c>
      <c r="O125" s="18">
        <v>0</v>
      </c>
      <c r="P125" s="18">
        <v>13.9</v>
      </c>
      <c r="Q125" s="18">
        <v>1</v>
      </c>
      <c r="R125" s="18">
        <v>3</v>
      </c>
      <c r="S125" s="18">
        <v>11</v>
      </c>
      <c r="T125" s="18">
        <v>161.54</v>
      </c>
    </row>
    <row r="126" spans="1:20" x14ac:dyDescent="0.3">
      <c r="A126" s="18">
        <v>50125</v>
      </c>
      <c r="B126" s="18">
        <v>1</v>
      </c>
      <c r="C126" s="18">
        <v>22</v>
      </c>
      <c r="D126" s="18" t="s">
        <v>42</v>
      </c>
      <c r="E126" s="18">
        <v>3</v>
      </c>
      <c r="F126" s="18">
        <v>11</v>
      </c>
      <c r="G126" s="18" t="s">
        <v>37</v>
      </c>
      <c r="H126" s="18" t="s">
        <v>33</v>
      </c>
      <c r="I126" s="18">
        <v>2.4</v>
      </c>
      <c r="J126" s="18">
        <v>2</v>
      </c>
      <c r="K126" s="18" t="s">
        <v>40</v>
      </c>
      <c r="L126" s="18">
        <v>3</v>
      </c>
      <c r="M126" s="18" t="s">
        <v>41</v>
      </c>
      <c r="N126" s="18">
        <v>3</v>
      </c>
      <c r="O126" s="18">
        <v>0</v>
      </c>
      <c r="P126" s="18">
        <v>16.600000000000001</v>
      </c>
      <c r="Q126" s="18">
        <v>1</v>
      </c>
      <c r="R126" s="18">
        <v>3</v>
      </c>
      <c r="S126" s="18">
        <v>8</v>
      </c>
      <c r="T126" s="18">
        <v>143.99</v>
      </c>
    </row>
    <row r="127" spans="1:20" x14ac:dyDescent="0.3">
      <c r="A127" s="18">
        <v>50126</v>
      </c>
      <c r="B127" s="18">
        <v>0</v>
      </c>
      <c r="C127" s="18">
        <v>16</v>
      </c>
      <c r="D127" s="18" t="s">
        <v>36</v>
      </c>
      <c r="E127" s="18">
        <v>1</v>
      </c>
      <c r="F127" s="18">
        <v>10</v>
      </c>
      <c r="G127" s="18" t="s">
        <v>43</v>
      </c>
      <c r="H127" s="18" t="s">
        <v>33</v>
      </c>
      <c r="I127" s="18">
        <v>2.8</v>
      </c>
      <c r="J127" s="18">
        <v>3</v>
      </c>
      <c r="K127" s="18" t="s">
        <v>36</v>
      </c>
      <c r="L127" s="18">
        <v>5</v>
      </c>
      <c r="M127" s="18" t="s">
        <v>35</v>
      </c>
      <c r="N127" s="18">
        <v>3</v>
      </c>
      <c r="O127" s="18">
        <v>1</v>
      </c>
      <c r="P127" s="18">
        <v>17.399999999999999</v>
      </c>
      <c r="Q127" s="18">
        <v>2</v>
      </c>
      <c r="R127" s="18">
        <v>3</v>
      </c>
      <c r="S127" s="18">
        <v>13</v>
      </c>
      <c r="T127" s="18">
        <v>207.43</v>
      </c>
    </row>
    <row r="128" spans="1:20" x14ac:dyDescent="0.3">
      <c r="A128" s="18">
        <v>50127</v>
      </c>
      <c r="B128" s="18">
        <v>0</v>
      </c>
      <c r="C128" s="18">
        <v>5</v>
      </c>
      <c r="D128" s="18" t="s">
        <v>42</v>
      </c>
      <c r="E128" s="18">
        <v>1</v>
      </c>
      <c r="F128" s="18">
        <v>18</v>
      </c>
      <c r="G128" s="18" t="s">
        <v>39</v>
      </c>
      <c r="H128" s="18" t="s">
        <v>33</v>
      </c>
      <c r="I128" s="18">
        <v>2.5</v>
      </c>
      <c r="J128" s="18">
        <v>3</v>
      </c>
      <c r="K128" s="18" t="s">
        <v>40</v>
      </c>
      <c r="L128" s="18">
        <v>4</v>
      </c>
      <c r="M128" s="18" t="s">
        <v>41</v>
      </c>
      <c r="N128" s="18">
        <v>2</v>
      </c>
      <c r="O128" s="18">
        <v>1</v>
      </c>
      <c r="P128" s="18">
        <v>13.9</v>
      </c>
      <c r="Q128" s="18">
        <v>1</v>
      </c>
      <c r="R128" s="18">
        <v>4</v>
      </c>
      <c r="S128" s="18">
        <v>10</v>
      </c>
      <c r="T128" s="18">
        <v>116.77</v>
      </c>
    </row>
    <row r="129" spans="1:20" x14ac:dyDescent="0.3">
      <c r="A129" s="18">
        <v>50128</v>
      </c>
      <c r="B129" s="18">
        <v>0</v>
      </c>
      <c r="C129" s="18">
        <v>0</v>
      </c>
      <c r="D129" s="18" t="s">
        <v>36</v>
      </c>
      <c r="E129" s="18">
        <v>3</v>
      </c>
      <c r="F129" s="18">
        <v>12</v>
      </c>
      <c r="G129" s="18" t="s">
        <v>37</v>
      </c>
      <c r="H129" s="18" t="s">
        <v>38</v>
      </c>
      <c r="I129" s="18">
        <v>3.8</v>
      </c>
      <c r="J129" s="18">
        <v>4</v>
      </c>
      <c r="K129" s="18" t="s">
        <v>36</v>
      </c>
      <c r="L129" s="18">
        <v>4</v>
      </c>
      <c r="M129" s="18" t="s">
        <v>35</v>
      </c>
      <c r="N129" s="18">
        <v>2</v>
      </c>
      <c r="O129" s="18">
        <v>0</v>
      </c>
      <c r="P129" s="18">
        <v>11.8</v>
      </c>
      <c r="Q129" s="18"/>
      <c r="R129" s="18">
        <v>4</v>
      </c>
      <c r="S129" s="18">
        <v>6</v>
      </c>
      <c r="T129" s="18">
        <v>202.93</v>
      </c>
    </row>
    <row r="130" spans="1:20" x14ac:dyDescent="0.3">
      <c r="A130" s="18">
        <v>50129</v>
      </c>
      <c r="B130" s="18">
        <v>0</v>
      </c>
      <c r="C130" s="18">
        <v>3</v>
      </c>
      <c r="D130" s="18" t="s">
        <v>31</v>
      </c>
      <c r="E130" s="18">
        <v>1</v>
      </c>
      <c r="F130" s="18">
        <v>13</v>
      </c>
      <c r="G130" s="18" t="s">
        <v>37</v>
      </c>
      <c r="H130" s="18" t="s">
        <v>33</v>
      </c>
      <c r="I130" s="18">
        <v>3.1</v>
      </c>
      <c r="J130" s="18">
        <v>2</v>
      </c>
      <c r="K130" s="18" t="s">
        <v>40</v>
      </c>
      <c r="L130" s="18">
        <v>3</v>
      </c>
      <c r="M130" s="18" t="s">
        <v>35</v>
      </c>
      <c r="N130" s="18">
        <v>11</v>
      </c>
      <c r="O130" s="18">
        <v>0</v>
      </c>
      <c r="P130" s="18">
        <v>24.5</v>
      </c>
      <c r="Q130" s="18">
        <v>1</v>
      </c>
      <c r="R130" s="18">
        <v>1</v>
      </c>
      <c r="S130" s="18">
        <v>1</v>
      </c>
      <c r="T130" s="18">
        <v>210.77</v>
      </c>
    </row>
    <row r="131" spans="1:20" x14ac:dyDescent="0.3">
      <c r="A131" s="18">
        <v>50130</v>
      </c>
      <c r="B131" s="18">
        <v>0</v>
      </c>
      <c r="C131" s="18">
        <v>7</v>
      </c>
      <c r="D131" s="18" t="s">
        <v>31</v>
      </c>
      <c r="E131" s="18">
        <v>3</v>
      </c>
      <c r="F131" s="18">
        <v>20</v>
      </c>
      <c r="G131" s="18" t="s">
        <v>47</v>
      </c>
      <c r="H131" s="18" t="s">
        <v>33</v>
      </c>
      <c r="I131" s="18">
        <v>2.4</v>
      </c>
      <c r="J131" s="18">
        <v>2</v>
      </c>
      <c r="K131" s="18" t="s">
        <v>40</v>
      </c>
      <c r="L131" s="18">
        <v>3</v>
      </c>
      <c r="M131" s="18" t="s">
        <v>35</v>
      </c>
      <c r="N131" s="18">
        <v>4</v>
      </c>
      <c r="O131" s="18">
        <v>0</v>
      </c>
      <c r="P131" s="18">
        <v>14.2</v>
      </c>
      <c r="Q131" s="18">
        <v>1</v>
      </c>
      <c r="R131" s="18">
        <v>6</v>
      </c>
      <c r="S131" s="18">
        <v>1</v>
      </c>
      <c r="T131" s="18">
        <v>239.61</v>
      </c>
    </row>
    <row r="132" spans="1:20" x14ac:dyDescent="0.3">
      <c r="A132" s="18">
        <v>50131</v>
      </c>
      <c r="B132" s="18">
        <v>0</v>
      </c>
      <c r="C132" s="18">
        <v>10</v>
      </c>
      <c r="D132" s="18" t="s">
        <v>36</v>
      </c>
      <c r="E132" s="18">
        <v>1</v>
      </c>
      <c r="F132" s="18">
        <v>5</v>
      </c>
      <c r="G132" s="18" t="s">
        <v>39</v>
      </c>
      <c r="H132" s="18" t="s">
        <v>38</v>
      </c>
      <c r="I132" s="18">
        <v>2.6</v>
      </c>
      <c r="J132" s="18">
        <v>4</v>
      </c>
      <c r="K132" s="18" t="s">
        <v>40</v>
      </c>
      <c r="L132" s="18">
        <v>4</v>
      </c>
      <c r="M132" s="18" t="s">
        <v>41</v>
      </c>
      <c r="N132" s="18">
        <v>1</v>
      </c>
      <c r="O132" s="18">
        <v>0</v>
      </c>
      <c r="P132" s="18">
        <v>18.2</v>
      </c>
      <c r="Q132" s="18">
        <v>2</v>
      </c>
      <c r="R132" s="18">
        <v>5</v>
      </c>
      <c r="S132" s="18"/>
      <c r="T132" s="18">
        <v>118.21</v>
      </c>
    </row>
    <row r="133" spans="1:20" x14ac:dyDescent="0.3">
      <c r="A133" s="18">
        <v>50132</v>
      </c>
      <c r="B133" s="18">
        <v>1</v>
      </c>
      <c r="C133" s="18">
        <v>2</v>
      </c>
      <c r="D133" s="18" t="s">
        <v>36</v>
      </c>
      <c r="E133" s="18">
        <v>3</v>
      </c>
      <c r="F133" s="18"/>
      <c r="G133" s="18" t="s">
        <v>39</v>
      </c>
      <c r="H133" s="18" t="s">
        <v>33</v>
      </c>
      <c r="I133" s="18">
        <v>3.7</v>
      </c>
      <c r="J133" s="18">
        <v>5</v>
      </c>
      <c r="K133" s="18" t="s">
        <v>44</v>
      </c>
      <c r="L133" s="18">
        <v>5</v>
      </c>
      <c r="M133" s="18" t="s">
        <v>41</v>
      </c>
      <c r="N133" s="18">
        <v>1</v>
      </c>
      <c r="O133" s="18">
        <v>0</v>
      </c>
      <c r="P133" s="18">
        <v>22.8</v>
      </c>
      <c r="Q133" s="18">
        <v>1</v>
      </c>
      <c r="R133" s="18">
        <v>5</v>
      </c>
      <c r="S133" s="18">
        <v>4</v>
      </c>
      <c r="T133" s="18">
        <v>97.21</v>
      </c>
    </row>
    <row r="134" spans="1:20" x14ac:dyDescent="0.3">
      <c r="A134" s="18">
        <v>50133</v>
      </c>
      <c r="B134" s="18">
        <v>0</v>
      </c>
      <c r="C134" s="18">
        <v>1</v>
      </c>
      <c r="D134" s="18" t="s">
        <v>31</v>
      </c>
      <c r="E134" s="18">
        <v>2</v>
      </c>
      <c r="F134" s="18">
        <v>15</v>
      </c>
      <c r="G134" s="18" t="s">
        <v>39</v>
      </c>
      <c r="H134" s="18" t="s">
        <v>38</v>
      </c>
      <c r="I134" s="18">
        <v>4</v>
      </c>
      <c r="J134" s="18">
        <v>2</v>
      </c>
      <c r="K134" s="18" t="s">
        <v>40</v>
      </c>
      <c r="L134" s="18">
        <v>5</v>
      </c>
      <c r="M134" s="18" t="s">
        <v>35</v>
      </c>
      <c r="N134" s="18">
        <v>12</v>
      </c>
      <c r="O134" s="18">
        <v>0</v>
      </c>
      <c r="P134" s="18">
        <v>18.8</v>
      </c>
      <c r="Q134" s="18">
        <v>2</v>
      </c>
      <c r="R134" s="18">
        <v>1</v>
      </c>
      <c r="S134" s="18">
        <v>7</v>
      </c>
      <c r="T134" s="18">
        <v>195.34</v>
      </c>
    </row>
    <row r="135" spans="1:20" x14ac:dyDescent="0.3">
      <c r="A135" s="18">
        <v>50134</v>
      </c>
      <c r="B135" s="18">
        <v>1</v>
      </c>
      <c r="C135" s="18">
        <v>18</v>
      </c>
      <c r="D135" s="18" t="s">
        <v>36</v>
      </c>
      <c r="E135" s="18">
        <v>3</v>
      </c>
      <c r="F135" s="18">
        <v>11</v>
      </c>
      <c r="G135" s="18" t="s">
        <v>47</v>
      </c>
      <c r="H135" s="18" t="s">
        <v>33</v>
      </c>
      <c r="I135" s="18">
        <v>4</v>
      </c>
      <c r="J135" s="18">
        <v>5</v>
      </c>
      <c r="K135" s="18" t="s">
        <v>44</v>
      </c>
      <c r="L135" s="18">
        <v>2</v>
      </c>
      <c r="M135" s="18" t="s">
        <v>35</v>
      </c>
      <c r="N135" s="18">
        <v>4</v>
      </c>
      <c r="O135" s="18">
        <v>0</v>
      </c>
      <c r="P135" s="18">
        <v>14.9</v>
      </c>
      <c r="Q135" s="18">
        <v>3</v>
      </c>
      <c r="R135" s="18">
        <v>4</v>
      </c>
      <c r="S135" s="18">
        <v>1</v>
      </c>
      <c r="T135" s="18">
        <v>164.26</v>
      </c>
    </row>
    <row r="136" spans="1:20" x14ac:dyDescent="0.3">
      <c r="A136" s="18">
        <v>50135</v>
      </c>
      <c r="B136" s="18">
        <v>0</v>
      </c>
      <c r="C136" s="18">
        <v>41</v>
      </c>
      <c r="D136" s="18" t="s">
        <v>36</v>
      </c>
      <c r="E136" s="18">
        <v>3</v>
      </c>
      <c r="F136" s="18">
        <v>14</v>
      </c>
      <c r="G136" s="18" t="s">
        <v>39</v>
      </c>
      <c r="H136" s="18" t="s">
        <v>33</v>
      </c>
      <c r="I136" s="18">
        <v>3.4</v>
      </c>
      <c r="J136" s="18">
        <v>3</v>
      </c>
      <c r="K136" s="18" t="s">
        <v>44</v>
      </c>
      <c r="L136" s="18">
        <v>3</v>
      </c>
      <c r="M136" s="18" t="s">
        <v>35</v>
      </c>
      <c r="N136" s="18">
        <v>8</v>
      </c>
      <c r="O136" s="18">
        <v>0</v>
      </c>
      <c r="P136" s="18">
        <v>15.8</v>
      </c>
      <c r="Q136" s="18">
        <v>2</v>
      </c>
      <c r="R136" s="18">
        <v>5</v>
      </c>
      <c r="S136" s="18">
        <v>0</v>
      </c>
      <c r="T136" s="18">
        <v>325</v>
      </c>
    </row>
    <row r="137" spans="1:20" x14ac:dyDescent="0.3">
      <c r="A137" s="18">
        <v>50136</v>
      </c>
      <c r="B137" s="18">
        <v>0</v>
      </c>
      <c r="C137" s="18">
        <v>7</v>
      </c>
      <c r="D137" s="18" t="s">
        <v>36</v>
      </c>
      <c r="E137" s="18">
        <v>1</v>
      </c>
      <c r="F137" s="18">
        <v>14</v>
      </c>
      <c r="G137" s="18" t="s">
        <v>37</v>
      </c>
      <c r="H137" s="18" t="s">
        <v>33</v>
      </c>
      <c r="I137" s="18">
        <v>2.7</v>
      </c>
      <c r="J137" s="18">
        <v>3</v>
      </c>
      <c r="K137" s="18" t="s">
        <v>36</v>
      </c>
      <c r="L137" s="18">
        <v>3</v>
      </c>
      <c r="M137" s="18" t="s">
        <v>41</v>
      </c>
      <c r="N137" s="18">
        <v>1</v>
      </c>
      <c r="O137" s="18">
        <v>0</v>
      </c>
      <c r="P137" s="18">
        <v>13.1</v>
      </c>
      <c r="Q137" s="18">
        <v>5</v>
      </c>
      <c r="R137" s="18">
        <v>3</v>
      </c>
      <c r="S137" s="18">
        <v>3</v>
      </c>
      <c r="T137" s="18">
        <v>205.22</v>
      </c>
    </row>
    <row r="138" spans="1:20" x14ac:dyDescent="0.3">
      <c r="A138" s="18">
        <v>50137</v>
      </c>
      <c r="B138" s="18">
        <v>0</v>
      </c>
      <c r="C138" s="18">
        <v>1</v>
      </c>
      <c r="D138" s="18" t="s">
        <v>42</v>
      </c>
      <c r="E138" s="18">
        <v>3</v>
      </c>
      <c r="F138" s="18">
        <v>5</v>
      </c>
      <c r="G138" s="18" t="s">
        <v>39</v>
      </c>
      <c r="H138" s="18" t="s">
        <v>33</v>
      </c>
      <c r="I138" s="18">
        <v>0.6</v>
      </c>
      <c r="J138" s="18">
        <v>3</v>
      </c>
      <c r="K138" s="18" t="s">
        <v>36</v>
      </c>
      <c r="L138" s="18">
        <v>5</v>
      </c>
      <c r="M138" s="18" t="s">
        <v>35</v>
      </c>
      <c r="N138" s="18">
        <v>4</v>
      </c>
      <c r="O138" s="18">
        <v>1</v>
      </c>
      <c r="P138" s="18">
        <v>19.100000000000001</v>
      </c>
      <c r="Q138" s="18">
        <v>0</v>
      </c>
      <c r="R138" s="18">
        <v>2</v>
      </c>
      <c r="S138" s="18">
        <v>0</v>
      </c>
      <c r="T138" s="18">
        <v>183.2</v>
      </c>
    </row>
    <row r="139" spans="1:20" x14ac:dyDescent="0.3">
      <c r="A139" s="18">
        <v>50138</v>
      </c>
      <c r="B139" s="18">
        <v>1</v>
      </c>
      <c r="C139" s="18">
        <v>3</v>
      </c>
      <c r="D139" s="18" t="s">
        <v>36</v>
      </c>
      <c r="E139" s="18">
        <v>1</v>
      </c>
      <c r="F139" s="18">
        <v>26</v>
      </c>
      <c r="G139" s="18" t="s">
        <v>32</v>
      </c>
      <c r="H139" s="18" t="s">
        <v>33</v>
      </c>
      <c r="I139" s="18">
        <v>3.1</v>
      </c>
      <c r="J139" s="18">
        <v>2</v>
      </c>
      <c r="K139" s="18" t="s">
        <v>36</v>
      </c>
      <c r="L139" s="18">
        <v>4</v>
      </c>
      <c r="M139" s="18" t="s">
        <v>41</v>
      </c>
      <c r="N139" s="18">
        <v>4</v>
      </c>
      <c r="O139" s="18">
        <v>0</v>
      </c>
      <c r="P139" s="18">
        <v>18</v>
      </c>
      <c r="Q139" s="18">
        <v>1</v>
      </c>
      <c r="R139" s="18">
        <v>3</v>
      </c>
      <c r="S139" s="18">
        <v>5</v>
      </c>
      <c r="T139" s="18">
        <v>170.49</v>
      </c>
    </row>
    <row r="140" spans="1:20" x14ac:dyDescent="0.3">
      <c r="A140" s="18">
        <v>50139</v>
      </c>
      <c r="B140" s="18">
        <v>0</v>
      </c>
      <c r="C140" s="18">
        <v>0</v>
      </c>
      <c r="D140" s="18" t="s">
        <v>42</v>
      </c>
      <c r="E140" s="18">
        <v>1</v>
      </c>
      <c r="F140" s="18"/>
      <c r="G140" s="18" t="s">
        <v>43</v>
      </c>
      <c r="H140" s="18" t="s">
        <v>38</v>
      </c>
      <c r="I140" s="18">
        <v>2.9</v>
      </c>
      <c r="J140" s="18">
        <v>4</v>
      </c>
      <c r="K140" s="18" t="s">
        <v>40</v>
      </c>
      <c r="L140" s="18">
        <v>3</v>
      </c>
      <c r="M140" s="18" t="s">
        <v>45</v>
      </c>
      <c r="N140" s="18">
        <v>1</v>
      </c>
      <c r="O140" s="18">
        <v>0</v>
      </c>
      <c r="P140" s="18">
        <v>14.2</v>
      </c>
      <c r="Q140" s="18">
        <v>2</v>
      </c>
      <c r="R140" s="18">
        <v>5</v>
      </c>
      <c r="S140" s="18">
        <v>4</v>
      </c>
      <c r="T140" s="18">
        <v>113.01</v>
      </c>
    </row>
    <row r="141" spans="1:20" x14ac:dyDescent="0.3">
      <c r="A141" s="18">
        <v>50140</v>
      </c>
      <c r="B141" s="18">
        <v>0</v>
      </c>
      <c r="C141" s="18">
        <v>24</v>
      </c>
      <c r="D141" s="18" t="s">
        <v>36</v>
      </c>
      <c r="E141" s="18">
        <v>1</v>
      </c>
      <c r="F141" s="18">
        <v>18</v>
      </c>
      <c r="G141" s="18" t="s">
        <v>37</v>
      </c>
      <c r="H141" s="18" t="s">
        <v>33</v>
      </c>
      <c r="I141" s="18">
        <v>3</v>
      </c>
      <c r="J141" s="18">
        <v>2</v>
      </c>
      <c r="K141" s="18" t="s">
        <v>44</v>
      </c>
      <c r="L141" s="18">
        <v>1</v>
      </c>
      <c r="M141" s="18" t="s">
        <v>45</v>
      </c>
      <c r="N141" s="18">
        <v>2</v>
      </c>
      <c r="O141" s="18">
        <v>0</v>
      </c>
      <c r="P141" s="18">
        <v>12.4</v>
      </c>
      <c r="Q141" s="18">
        <v>4</v>
      </c>
      <c r="R141" s="18">
        <v>4</v>
      </c>
      <c r="S141" s="18">
        <v>6</v>
      </c>
      <c r="T141" s="18">
        <v>211.01</v>
      </c>
    </row>
    <row r="142" spans="1:20" x14ac:dyDescent="0.3">
      <c r="A142" s="18">
        <v>50141</v>
      </c>
      <c r="B142" s="18">
        <v>0</v>
      </c>
      <c r="C142" s="18">
        <v>1</v>
      </c>
      <c r="D142" s="18" t="s">
        <v>31</v>
      </c>
      <c r="E142" s="18">
        <v>2</v>
      </c>
      <c r="F142" s="18">
        <v>22</v>
      </c>
      <c r="G142" s="18" t="s">
        <v>37</v>
      </c>
      <c r="H142" s="18" t="s">
        <v>38</v>
      </c>
      <c r="I142" s="18">
        <v>2.9</v>
      </c>
      <c r="J142" s="18">
        <v>2</v>
      </c>
      <c r="K142" s="18" t="s">
        <v>44</v>
      </c>
      <c r="L142" s="18">
        <v>4</v>
      </c>
      <c r="M142" s="18" t="s">
        <v>35</v>
      </c>
      <c r="N142" s="18">
        <v>3</v>
      </c>
      <c r="O142" s="18">
        <v>0</v>
      </c>
      <c r="P142" s="18">
        <v>11.4</v>
      </c>
      <c r="Q142" s="18">
        <v>3</v>
      </c>
      <c r="R142" s="18">
        <v>3</v>
      </c>
      <c r="S142" s="18">
        <v>0</v>
      </c>
      <c r="T142" s="18">
        <v>175.65</v>
      </c>
    </row>
    <row r="143" spans="1:20" x14ac:dyDescent="0.3">
      <c r="A143" s="18">
        <v>50142</v>
      </c>
      <c r="B143" s="18">
        <v>0</v>
      </c>
      <c r="C143" s="18">
        <v>8</v>
      </c>
      <c r="D143" s="18" t="s">
        <v>31</v>
      </c>
      <c r="E143" s="18">
        <v>1</v>
      </c>
      <c r="F143" s="18">
        <v>6</v>
      </c>
      <c r="G143" s="18" t="s">
        <v>39</v>
      </c>
      <c r="H143" s="18" t="s">
        <v>33</v>
      </c>
      <c r="I143" s="18">
        <v>2</v>
      </c>
      <c r="J143" s="18">
        <v>4</v>
      </c>
      <c r="K143" s="18" t="s">
        <v>44</v>
      </c>
      <c r="L143" s="18">
        <v>1</v>
      </c>
      <c r="M143" s="18" t="s">
        <v>35</v>
      </c>
      <c r="N143" s="18">
        <v>2</v>
      </c>
      <c r="O143" s="18">
        <v>0</v>
      </c>
      <c r="P143" s="18">
        <v>19.5</v>
      </c>
      <c r="Q143" s="18">
        <v>3</v>
      </c>
      <c r="R143" s="18">
        <v>3</v>
      </c>
      <c r="S143" s="18">
        <v>16</v>
      </c>
      <c r="T143" s="18">
        <v>175.69</v>
      </c>
    </row>
    <row r="144" spans="1:20" x14ac:dyDescent="0.3">
      <c r="A144" s="18">
        <v>50143</v>
      </c>
      <c r="B144" s="18">
        <v>0</v>
      </c>
      <c r="C144" s="18">
        <v>3</v>
      </c>
      <c r="D144" s="18" t="s">
        <v>42</v>
      </c>
      <c r="E144" s="18">
        <v>2</v>
      </c>
      <c r="F144" s="18">
        <v>18</v>
      </c>
      <c r="G144" s="18" t="s">
        <v>39</v>
      </c>
      <c r="H144" s="18" t="s">
        <v>33</v>
      </c>
      <c r="I144" s="18">
        <v>3.3</v>
      </c>
      <c r="J144" s="18">
        <v>1</v>
      </c>
      <c r="K144" s="18" t="s">
        <v>40</v>
      </c>
      <c r="L144" s="18">
        <v>5</v>
      </c>
      <c r="M144" s="18" t="s">
        <v>35</v>
      </c>
      <c r="N144" s="18">
        <v>6</v>
      </c>
      <c r="O144" s="18">
        <v>1</v>
      </c>
      <c r="P144" s="18">
        <v>16.399999999999999</v>
      </c>
      <c r="Q144" s="18">
        <v>1</v>
      </c>
      <c r="R144" s="18">
        <v>4</v>
      </c>
      <c r="S144" s="18">
        <v>0</v>
      </c>
      <c r="T144" s="18">
        <v>185.19</v>
      </c>
    </row>
    <row r="145" spans="1:20" x14ac:dyDescent="0.3">
      <c r="A145" s="18">
        <v>50144</v>
      </c>
      <c r="B145" s="18">
        <v>0</v>
      </c>
      <c r="C145" s="18">
        <v>8</v>
      </c>
      <c r="D145" s="18" t="s">
        <v>36</v>
      </c>
      <c r="E145" s="18">
        <v>2</v>
      </c>
      <c r="F145" s="18">
        <v>12</v>
      </c>
      <c r="G145" s="18" t="s">
        <v>39</v>
      </c>
      <c r="H145" s="18" t="s">
        <v>33</v>
      </c>
      <c r="I145" s="18">
        <v>3.3</v>
      </c>
      <c r="J145" s="18">
        <v>2</v>
      </c>
      <c r="K145" s="18" t="s">
        <v>36</v>
      </c>
      <c r="L145" s="18">
        <v>4</v>
      </c>
      <c r="M145" s="18" t="s">
        <v>35</v>
      </c>
      <c r="N145" s="18">
        <v>6</v>
      </c>
      <c r="O145" s="18">
        <v>0</v>
      </c>
      <c r="P145" s="18">
        <v>16.8</v>
      </c>
      <c r="Q145" s="18">
        <v>2</v>
      </c>
      <c r="R145" s="18">
        <v>3</v>
      </c>
      <c r="S145" s="18">
        <v>1</v>
      </c>
      <c r="T145" s="18">
        <v>192.17</v>
      </c>
    </row>
    <row r="146" spans="1:20" x14ac:dyDescent="0.3">
      <c r="A146" s="18">
        <v>50145</v>
      </c>
      <c r="B146" s="18">
        <v>1</v>
      </c>
      <c r="C146" s="18">
        <v>10</v>
      </c>
      <c r="D146" s="18" t="s">
        <v>31</v>
      </c>
      <c r="E146" s="18">
        <v>3</v>
      </c>
      <c r="F146" s="18">
        <v>21</v>
      </c>
      <c r="G146" s="18" t="s">
        <v>47</v>
      </c>
      <c r="H146" s="18" t="s">
        <v>38</v>
      </c>
      <c r="I146" s="18">
        <v>3.4</v>
      </c>
      <c r="J146" s="18">
        <v>3</v>
      </c>
      <c r="K146" s="18" t="s">
        <v>36</v>
      </c>
      <c r="L146" s="18">
        <v>3</v>
      </c>
      <c r="M146" s="18" t="s">
        <v>35</v>
      </c>
      <c r="N146" s="18">
        <v>6</v>
      </c>
      <c r="O146" s="18">
        <v>1</v>
      </c>
      <c r="P146" s="18">
        <v>13.1</v>
      </c>
      <c r="Q146" s="18">
        <v>3</v>
      </c>
      <c r="R146" s="18">
        <v>4</v>
      </c>
      <c r="S146" s="18">
        <v>5</v>
      </c>
      <c r="T146" s="18">
        <v>84.34</v>
      </c>
    </row>
    <row r="147" spans="1:20" x14ac:dyDescent="0.3">
      <c r="A147" s="18">
        <v>50146</v>
      </c>
      <c r="B147" s="18">
        <v>0</v>
      </c>
      <c r="C147" s="18">
        <v>17</v>
      </c>
      <c r="D147" s="18" t="s">
        <v>31</v>
      </c>
      <c r="E147" s="18">
        <v>3</v>
      </c>
      <c r="F147" s="18">
        <v>5</v>
      </c>
      <c r="G147" s="18" t="s">
        <v>37</v>
      </c>
      <c r="H147" s="18" t="s">
        <v>33</v>
      </c>
      <c r="I147" s="18">
        <v>3.6</v>
      </c>
      <c r="J147" s="18">
        <v>3</v>
      </c>
      <c r="K147" s="18" t="s">
        <v>40</v>
      </c>
      <c r="L147" s="18">
        <v>3</v>
      </c>
      <c r="M147" s="18" t="s">
        <v>45</v>
      </c>
      <c r="N147" s="18">
        <v>5</v>
      </c>
      <c r="O147" s="18">
        <v>0</v>
      </c>
      <c r="P147" s="18">
        <v>11</v>
      </c>
      <c r="Q147" s="18">
        <v>1</v>
      </c>
      <c r="R147" s="18">
        <v>2</v>
      </c>
      <c r="S147" s="18">
        <v>0</v>
      </c>
      <c r="T147" s="18">
        <v>226.04</v>
      </c>
    </row>
    <row r="148" spans="1:20" x14ac:dyDescent="0.3">
      <c r="A148" s="18">
        <v>50147</v>
      </c>
      <c r="B148" s="18">
        <v>0</v>
      </c>
      <c r="C148" s="18">
        <v>2</v>
      </c>
      <c r="D148" s="18" t="s">
        <v>36</v>
      </c>
      <c r="E148" s="18">
        <v>1</v>
      </c>
      <c r="F148" s="18">
        <v>14</v>
      </c>
      <c r="G148" s="18" t="s">
        <v>43</v>
      </c>
      <c r="H148" s="18" t="s">
        <v>33</v>
      </c>
      <c r="I148" s="18">
        <v>3.3</v>
      </c>
      <c r="J148" s="18">
        <v>4</v>
      </c>
      <c r="K148" s="18" t="s">
        <v>36</v>
      </c>
      <c r="L148" s="18">
        <v>5</v>
      </c>
      <c r="M148" s="18" t="s">
        <v>35</v>
      </c>
      <c r="N148" s="18">
        <v>2</v>
      </c>
      <c r="O148" s="18">
        <v>0</v>
      </c>
      <c r="P148" s="18">
        <v>19.399999999999999</v>
      </c>
      <c r="Q148" s="18">
        <v>2</v>
      </c>
      <c r="R148" s="18">
        <v>6</v>
      </c>
      <c r="S148" s="18">
        <v>0</v>
      </c>
      <c r="T148" s="18">
        <v>133.44999999999999</v>
      </c>
    </row>
    <row r="149" spans="1:20" x14ac:dyDescent="0.3">
      <c r="A149" s="18">
        <v>50148</v>
      </c>
      <c r="B149" s="18">
        <v>0</v>
      </c>
      <c r="C149" s="18">
        <v>0</v>
      </c>
      <c r="D149" s="18" t="s">
        <v>36</v>
      </c>
      <c r="E149" s="18">
        <v>1</v>
      </c>
      <c r="F149" s="18">
        <v>10</v>
      </c>
      <c r="G149" s="18" t="s">
        <v>37</v>
      </c>
      <c r="H149" s="18" t="s">
        <v>38</v>
      </c>
      <c r="I149" s="18">
        <v>2.6</v>
      </c>
      <c r="J149" s="18">
        <v>3</v>
      </c>
      <c r="K149" s="18" t="s">
        <v>36</v>
      </c>
      <c r="L149" s="18">
        <v>3</v>
      </c>
      <c r="M149" s="18" t="s">
        <v>35</v>
      </c>
      <c r="N149" s="18">
        <v>1</v>
      </c>
      <c r="O149" s="18">
        <v>0</v>
      </c>
      <c r="P149" s="18">
        <v>16.100000000000001</v>
      </c>
      <c r="Q149" s="18">
        <v>2</v>
      </c>
      <c r="R149" s="18">
        <v>2</v>
      </c>
      <c r="S149" s="18">
        <v>0</v>
      </c>
      <c r="T149" s="18">
        <v>172.41</v>
      </c>
    </row>
    <row r="150" spans="1:20" x14ac:dyDescent="0.3">
      <c r="A150" s="18">
        <v>50149</v>
      </c>
      <c r="B150" s="18">
        <v>0</v>
      </c>
      <c r="C150" s="18">
        <v>1</v>
      </c>
      <c r="D150" s="18" t="s">
        <v>36</v>
      </c>
      <c r="E150" s="18">
        <v>1</v>
      </c>
      <c r="F150" s="18">
        <v>18</v>
      </c>
      <c r="G150" s="18" t="s">
        <v>47</v>
      </c>
      <c r="H150" s="18" t="s">
        <v>33</v>
      </c>
      <c r="I150" s="18">
        <v>2.9</v>
      </c>
      <c r="J150" s="18">
        <v>6</v>
      </c>
      <c r="K150" s="18" t="s">
        <v>36</v>
      </c>
      <c r="L150" s="18">
        <v>2</v>
      </c>
      <c r="M150" s="18" t="s">
        <v>35</v>
      </c>
      <c r="N150" s="18">
        <v>6</v>
      </c>
      <c r="O150" s="18">
        <v>0</v>
      </c>
      <c r="P150" s="18">
        <v>19.2</v>
      </c>
      <c r="Q150" s="18">
        <v>1</v>
      </c>
      <c r="R150" s="18">
        <v>4</v>
      </c>
      <c r="S150" s="18">
        <v>4</v>
      </c>
      <c r="T150" s="18">
        <v>250.72</v>
      </c>
    </row>
    <row r="151" spans="1:20" x14ac:dyDescent="0.3">
      <c r="A151" s="18">
        <v>50150</v>
      </c>
      <c r="B151" s="18">
        <v>0</v>
      </c>
      <c r="C151" s="18">
        <v>23</v>
      </c>
      <c r="D151" s="18" t="s">
        <v>36</v>
      </c>
      <c r="E151" s="18">
        <v>1</v>
      </c>
      <c r="F151" s="18">
        <v>18</v>
      </c>
      <c r="G151" s="18" t="s">
        <v>37</v>
      </c>
      <c r="H151" s="18" t="s">
        <v>38</v>
      </c>
      <c r="I151" s="18">
        <v>3</v>
      </c>
      <c r="J151" s="18">
        <v>3</v>
      </c>
      <c r="K151" s="18" t="s">
        <v>40</v>
      </c>
      <c r="L151" s="18">
        <v>5</v>
      </c>
      <c r="M151" s="18" t="s">
        <v>35</v>
      </c>
      <c r="N151" s="18">
        <v>2</v>
      </c>
      <c r="O151" s="18">
        <v>0</v>
      </c>
      <c r="P151" s="18">
        <v>14.6</v>
      </c>
      <c r="Q151" s="18"/>
      <c r="R151" s="18">
        <v>4</v>
      </c>
      <c r="S151" s="18">
        <v>11</v>
      </c>
      <c r="T151" s="18">
        <v>277.87</v>
      </c>
    </row>
    <row r="152" spans="1:20" x14ac:dyDescent="0.3">
      <c r="A152" s="18">
        <v>50151</v>
      </c>
      <c r="B152" s="18">
        <v>0</v>
      </c>
      <c r="C152" s="18">
        <v>20</v>
      </c>
      <c r="D152" s="18" t="s">
        <v>42</v>
      </c>
      <c r="E152" s="18">
        <v>1</v>
      </c>
      <c r="F152" s="18">
        <v>9</v>
      </c>
      <c r="G152" s="18" t="s">
        <v>37</v>
      </c>
      <c r="H152" s="18" t="s">
        <v>33</v>
      </c>
      <c r="I152" s="18"/>
      <c r="J152" s="18">
        <v>3</v>
      </c>
      <c r="K152" s="18" t="s">
        <v>40</v>
      </c>
      <c r="L152" s="18">
        <v>4</v>
      </c>
      <c r="M152" s="18" t="s">
        <v>35</v>
      </c>
      <c r="N152" s="18">
        <v>1</v>
      </c>
      <c r="O152" s="18">
        <v>1</v>
      </c>
      <c r="P152" s="18">
        <v>15.2</v>
      </c>
      <c r="Q152" s="18">
        <v>4</v>
      </c>
      <c r="R152" s="18">
        <v>3</v>
      </c>
      <c r="S152" s="18">
        <v>4</v>
      </c>
      <c r="T152" s="18">
        <v>86.47</v>
      </c>
    </row>
    <row r="153" spans="1:20" x14ac:dyDescent="0.3">
      <c r="A153" s="18">
        <v>50152</v>
      </c>
      <c r="B153" s="18">
        <v>0</v>
      </c>
      <c r="C153" s="18">
        <v>9</v>
      </c>
      <c r="D153" s="18" t="s">
        <v>36</v>
      </c>
      <c r="E153" s="18">
        <v>1</v>
      </c>
      <c r="F153" s="18">
        <v>9</v>
      </c>
      <c r="G153" s="18" t="s">
        <v>39</v>
      </c>
      <c r="H153" s="18" t="s">
        <v>38</v>
      </c>
      <c r="I153" s="18">
        <v>3.6</v>
      </c>
      <c r="J153" s="18">
        <v>2</v>
      </c>
      <c r="K153" s="18" t="s">
        <v>44</v>
      </c>
      <c r="L153" s="18">
        <v>4</v>
      </c>
      <c r="M153" s="18" t="s">
        <v>41</v>
      </c>
      <c r="N153" s="18">
        <v>2</v>
      </c>
      <c r="O153" s="18">
        <v>0</v>
      </c>
      <c r="P153" s="18">
        <v>18.5</v>
      </c>
      <c r="Q153" s="18">
        <v>3</v>
      </c>
      <c r="R153" s="18">
        <v>3</v>
      </c>
      <c r="S153" s="18">
        <v>4</v>
      </c>
      <c r="T153" s="18">
        <v>181.66</v>
      </c>
    </row>
    <row r="154" spans="1:20" x14ac:dyDescent="0.3">
      <c r="A154" s="18">
        <v>50153</v>
      </c>
      <c r="B154" s="18">
        <v>0</v>
      </c>
      <c r="C154" s="18">
        <v>9</v>
      </c>
      <c r="D154" s="18" t="s">
        <v>36</v>
      </c>
      <c r="E154" s="18">
        <v>1</v>
      </c>
      <c r="F154" s="18">
        <v>14</v>
      </c>
      <c r="G154" s="18" t="s">
        <v>37</v>
      </c>
      <c r="H154" s="18" t="s">
        <v>38</v>
      </c>
      <c r="I154" s="18">
        <v>3.4</v>
      </c>
      <c r="J154" s="18">
        <v>3</v>
      </c>
      <c r="K154" s="18" t="s">
        <v>44</v>
      </c>
      <c r="L154" s="18">
        <v>2</v>
      </c>
      <c r="M154" s="18" t="s">
        <v>41</v>
      </c>
      <c r="N154" s="18">
        <v>1</v>
      </c>
      <c r="O154" s="18">
        <v>0</v>
      </c>
      <c r="P154" s="18">
        <v>18.600000000000001</v>
      </c>
      <c r="Q154" s="18">
        <v>2</v>
      </c>
      <c r="R154" s="18">
        <v>4</v>
      </c>
      <c r="S154" s="18">
        <v>2</v>
      </c>
      <c r="T154" s="18">
        <v>195.01</v>
      </c>
    </row>
    <row r="155" spans="1:20" x14ac:dyDescent="0.3">
      <c r="A155" s="18">
        <v>50154</v>
      </c>
      <c r="B155" s="18">
        <v>1</v>
      </c>
      <c r="C155" s="18">
        <v>10</v>
      </c>
      <c r="D155" s="18" t="s">
        <v>31</v>
      </c>
      <c r="E155" s="18">
        <v>3</v>
      </c>
      <c r="F155" s="18">
        <v>7</v>
      </c>
      <c r="G155" s="18" t="s">
        <v>37</v>
      </c>
      <c r="H155" s="18" t="s">
        <v>38</v>
      </c>
      <c r="I155" s="18">
        <v>4.4000000000000004</v>
      </c>
      <c r="J155" s="18">
        <v>4</v>
      </c>
      <c r="K155" s="18" t="s">
        <v>44</v>
      </c>
      <c r="L155" s="18">
        <v>2</v>
      </c>
      <c r="M155" s="18" t="s">
        <v>41</v>
      </c>
      <c r="N155" s="18">
        <v>4</v>
      </c>
      <c r="O155" s="18">
        <v>1</v>
      </c>
      <c r="P155" s="18">
        <v>18.8</v>
      </c>
      <c r="Q155" s="18">
        <v>1</v>
      </c>
      <c r="R155" s="18">
        <v>5</v>
      </c>
      <c r="S155" s="18">
        <v>0</v>
      </c>
      <c r="T155" s="18">
        <v>97.09</v>
      </c>
    </row>
    <row r="156" spans="1:20" x14ac:dyDescent="0.3">
      <c r="A156" s="18">
        <v>50155</v>
      </c>
      <c r="B156" s="18">
        <v>0</v>
      </c>
      <c r="C156" s="18">
        <v>1</v>
      </c>
      <c r="D156" s="18" t="s">
        <v>36</v>
      </c>
      <c r="E156" s="18">
        <v>2</v>
      </c>
      <c r="F156" s="18">
        <v>21</v>
      </c>
      <c r="G156" s="18" t="s">
        <v>47</v>
      </c>
      <c r="H156" s="18" t="s">
        <v>33</v>
      </c>
      <c r="I156" s="18">
        <v>4.4000000000000004</v>
      </c>
      <c r="J156" s="18">
        <v>4</v>
      </c>
      <c r="K156" s="18" t="s">
        <v>40</v>
      </c>
      <c r="L156" s="18">
        <v>1</v>
      </c>
      <c r="M156" s="18" t="s">
        <v>35</v>
      </c>
      <c r="N156" s="18">
        <v>1</v>
      </c>
      <c r="O156" s="18">
        <v>0</v>
      </c>
      <c r="P156" s="18">
        <v>15</v>
      </c>
      <c r="Q156" s="18">
        <v>2</v>
      </c>
      <c r="R156" s="18">
        <v>4</v>
      </c>
      <c r="S156" s="18">
        <v>0</v>
      </c>
      <c r="T156" s="18">
        <v>224.14</v>
      </c>
    </row>
    <row r="157" spans="1:20" x14ac:dyDescent="0.3">
      <c r="A157" s="18">
        <v>50156</v>
      </c>
      <c r="B157" s="18">
        <v>0</v>
      </c>
      <c r="C157" s="18">
        <v>24</v>
      </c>
      <c r="D157" s="18" t="s">
        <v>36</v>
      </c>
      <c r="E157" s="18">
        <v>1</v>
      </c>
      <c r="F157" s="18">
        <v>12</v>
      </c>
      <c r="G157" s="18" t="s">
        <v>43</v>
      </c>
      <c r="H157" s="18" t="s">
        <v>33</v>
      </c>
      <c r="I157" s="18">
        <v>3</v>
      </c>
      <c r="J157" s="18">
        <v>2</v>
      </c>
      <c r="K157" s="18" t="s">
        <v>46</v>
      </c>
      <c r="L157" s="18">
        <v>2</v>
      </c>
      <c r="M157" s="18" t="s">
        <v>35</v>
      </c>
      <c r="N157" s="18">
        <v>1</v>
      </c>
      <c r="O157" s="18">
        <v>0</v>
      </c>
      <c r="P157" s="18">
        <v>18.2</v>
      </c>
      <c r="Q157" s="18">
        <v>3</v>
      </c>
      <c r="R157" s="18">
        <v>1</v>
      </c>
      <c r="S157" s="18"/>
      <c r="T157" s="18">
        <v>186.39</v>
      </c>
    </row>
    <row r="158" spans="1:20" x14ac:dyDescent="0.3">
      <c r="A158" s="18">
        <v>50157</v>
      </c>
      <c r="B158" s="18">
        <v>0</v>
      </c>
      <c r="C158" s="18">
        <v>5</v>
      </c>
      <c r="D158" s="18" t="s">
        <v>36</v>
      </c>
      <c r="E158" s="18">
        <v>2</v>
      </c>
      <c r="F158" s="18">
        <v>5</v>
      </c>
      <c r="G158" s="18" t="s">
        <v>39</v>
      </c>
      <c r="H158" s="18" t="s">
        <v>38</v>
      </c>
      <c r="I158" s="18">
        <v>0.2</v>
      </c>
      <c r="J158" s="18">
        <v>3</v>
      </c>
      <c r="K158" s="18" t="s">
        <v>36</v>
      </c>
      <c r="L158" s="18">
        <v>4</v>
      </c>
      <c r="M158" s="18" t="s">
        <v>45</v>
      </c>
      <c r="N158" s="18">
        <v>10</v>
      </c>
      <c r="O158" s="18">
        <v>0</v>
      </c>
      <c r="P158" s="18">
        <v>19.899999999999999</v>
      </c>
      <c r="Q158" s="18">
        <v>2</v>
      </c>
      <c r="R158" s="18">
        <v>3</v>
      </c>
      <c r="S158" s="18">
        <v>0</v>
      </c>
      <c r="T158" s="18">
        <v>190.68</v>
      </c>
    </row>
    <row r="159" spans="1:20" x14ac:dyDescent="0.3">
      <c r="A159" s="18">
        <v>50158</v>
      </c>
      <c r="B159" s="18">
        <v>0</v>
      </c>
      <c r="C159" s="18">
        <v>4</v>
      </c>
      <c r="D159" s="18" t="s">
        <v>42</v>
      </c>
      <c r="E159" s="18">
        <v>1</v>
      </c>
      <c r="F159" s="18">
        <v>12</v>
      </c>
      <c r="G159" s="18" t="s">
        <v>39</v>
      </c>
      <c r="H159" s="18" t="s">
        <v>33</v>
      </c>
      <c r="I159" s="18">
        <v>3.8</v>
      </c>
      <c r="J159" s="18">
        <v>4</v>
      </c>
      <c r="K159" s="18" t="s">
        <v>44</v>
      </c>
      <c r="L159" s="18">
        <v>2</v>
      </c>
      <c r="M159" s="18" t="s">
        <v>35</v>
      </c>
      <c r="N159" s="18">
        <v>5</v>
      </c>
      <c r="O159" s="18">
        <v>0</v>
      </c>
      <c r="P159" s="18">
        <v>15.6</v>
      </c>
      <c r="Q159" s="18">
        <v>2</v>
      </c>
      <c r="R159" s="18">
        <v>2</v>
      </c>
      <c r="S159" s="18">
        <v>42</v>
      </c>
      <c r="T159" s="18">
        <v>129.53</v>
      </c>
    </row>
    <row r="160" spans="1:20" x14ac:dyDescent="0.3">
      <c r="A160" s="18">
        <v>50159</v>
      </c>
      <c r="B160" s="18">
        <v>0</v>
      </c>
      <c r="C160" s="18">
        <v>7</v>
      </c>
      <c r="D160" s="18" t="s">
        <v>42</v>
      </c>
      <c r="E160" s="18">
        <v>1</v>
      </c>
      <c r="F160" s="18">
        <v>6</v>
      </c>
      <c r="G160" s="18" t="s">
        <v>37</v>
      </c>
      <c r="H160" s="18" t="s">
        <v>33</v>
      </c>
      <c r="I160" s="18">
        <v>2.5</v>
      </c>
      <c r="J160" s="18">
        <v>4</v>
      </c>
      <c r="K160" s="18" t="s">
        <v>40</v>
      </c>
      <c r="L160" s="18">
        <v>4</v>
      </c>
      <c r="M160" s="18" t="s">
        <v>35</v>
      </c>
      <c r="N160" s="18">
        <v>5</v>
      </c>
      <c r="O160" s="18">
        <v>0</v>
      </c>
      <c r="P160" s="18">
        <v>14.2</v>
      </c>
      <c r="Q160" s="18">
        <v>4</v>
      </c>
      <c r="R160" s="18">
        <v>2</v>
      </c>
      <c r="S160" s="18">
        <v>0</v>
      </c>
      <c r="T160" s="18">
        <v>202.71</v>
      </c>
    </row>
    <row r="161" spans="1:20" x14ac:dyDescent="0.3">
      <c r="A161" s="18">
        <v>50160</v>
      </c>
      <c r="B161" s="18">
        <v>1</v>
      </c>
      <c r="C161" s="18">
        <v>0</v>
      </c>
      <c r="D161" s="18" t="s">
        <v>42</v>
      </c>
      <c r="E161" s="18">
        <v>2</v>
      </c>
      <c r="F161" s="18">
        <v>5</v>
      </c>
      <c r="G161" s="18" t="s">
        <v>37</v>
      </c>
      <c r="H161" s="18" t="s">
        <v>38</v>
      </c>
      <c r="I161" s="18">
        <v>2.2999999999999998</v>
      </c>
      <c r="J161" s="18">
        <v>3</v>
      </c>
      <c r="K161" s="18" t="s">
        <v>46</v>
      </c>
      <c r="L161" s="18">
        <v>3</v>
      </c>
      <c r="M161" s="18" t="s">
        <v>41</v>
      </c>
      <c r="N161" s="18">
        <v>3</v>
      </c>
      <c r="O161" s="18">
        <v>0</v>
      </c>
      <c r="P161" s="18">
        <v>20.7</v>
      </c>
      <c r="Q161" s="18">
        <v>0</v>
      </c>
      <c r="R161" s="18">
        <v>4</v>
      </c>
      <c r="S161" s="18">
        <v>5</v>
      </c>
      <c r="T161" s="18">
        <v>226.1</v>
      </c>
    </row>
    <row r="162" spans="1:20" x14ac:dyDescent="0.3">
      <c r="A162" s="18">
        <v>50161</v>
      </c>
      <c r="B162" s="18">
        <v>0</v>
      </c>
      <c r="C162" s="18">
        <v>1</v>
      </c>
      <c r="D162" s="18" t="s">
        <v>36</v>
      </c>
      <c r="E162" s="18">
        <v>1</v>
      </c>
      <c r="F162" s="18">
        <v>5</v>
      </c>
      <c r="G162" s="18" t="s">
        <v>39</v>
      </c>
      <c r="H162" s="18" t="s">
        <v>33</v>
      </c>
      <c r="I162" s="18">
        <v>2.6</v>
      </c>
      <c r="J162" s="18">
        <v>4</v>
      </c>
      <c r="K162" s="18" t="s">
        <v>46</v>
      </c>
      <c r="L162" s="18">
        <v>3</v>
      </c>
      <c r="M162" s="18" t="s">
        <v>35</v>
      </c>
      <c r="N162" s="18">
        <v>6</v>
      </c>
      <c r="O162" s="18">
        <v>0</v>
      </c>
      <c r="P162" s="18">
        <v>13.7</v>
      </c>
      <c r="Q162" s="18">
        <v>1</v>
      </c>
      <c r="R162" s="18">
        <v>3</v>
      </c>
      <c r="S162" s="18">
        <v>14</v>
      </c>
      <c r="T162" s="18">
        <v>187</v>
      </c>
    </row>
    <row r="163" spans="1:20" x14ac:dyDescent="0.3">
      <c r="A163" s="18">
        <v>50162</v>
      </c>
      <c r="B163" s="18">
        <v>0</v>
      </c>
      <c r="C163" s="18">
        <v>13</v>
      </c>
      <c r="D163" s="18" t="s">
        <v>31</v>
      </c>
      <c r="E163" s="18">
        <v>1</v>
      </c>
      <c r="F163" s="18">
        <v>15</v>
      </c>
      <c r="G163" s="18" t="s">
        <v>32</v>
      </c>
      <c r="H163" s="18" t="s">
        <v>33</v>
      </c>
      <c r="I163" s="18">
        <v>2.6</v>
      </c>
      <c r="J163" s="18">
        <v>2</v>
      </c>
      <c r="K163" s="18" t="s">
        <v>40</v>
      </c>
      <c r="L163" s="18">
        <v>5</v>
      </c>
      <c r="M163" s="18" t="s">
        <v>35</v>
      </c>
      <c r="N163" s="18">
        <v>4</v>
      </c>
      <c r="O163" s="18">
        <v>0</v>
      </c>
      <c r="P163" s="18">
        <v>18.2</v>
      </c>
      <c r="Q163" s="18">
        <v>2</v>
      </c>
      <c r="R163" s="18">
        <v>3</v>
      </c>
      <c r="S163" s="18">
        <v>2</v>
      </c>
      <c r="T163" s="18">
        <v>151.72999999999999</v>
      </c>
    </row>
    <row r="164" spans="1:20" x14ac:dyDescent="0.3">
      <c r="A164" s="18">
        <v>50163</v>
      </c>
      <c r="B164" s="18">
        <v>0</v>
      </c>
      <c r="C164" s="18">
        <v>0</v>
      </c>
      <c r="D164" s="18" t="s">
        <v>36</v>
      </c>
      <c r="E164" s="18">
        <v>3</v>
      </c>
      <c r="F164" s="18">
        <v>25</v>
      </c>
      <c r="G164" s="18" t="s">
        <v>43</v>
      </c>
      <c r="H164" s="18" t="s">
        <v>33</v>
      </c>
      <c r="I164" s="18">
        <v>3.3</v>
      </c>
      <c r="J164" s="18">
        <v>5</v>
      </c>
      <c r="K164" s="18" t="s">
        <v>46</v>
      </c>
      <c r="L164" s="18">
        <v>2</v>
      </c>
      <c r="M164" s="18" t="s">
        <v>35</v>
      </c>
      <c r="N164" s="18">
        <v>3</v>
      </c>
      <c r="O164" s="18">
        <v>0</v>
      </c>
      <c r="P164" s="18">
        <v>15.8</v>
      </c>
      <c r="Q164" s="18">
        <v>3</v>
      </c>
      <c r="R164" s="18">
        <v>4</v>
      </c>
      <c r="S164" s="18">
        <v>6</v>
      </c>
      <c r="T164" s="18">
        <v>156.02000000000001</v>
      </c>
    </row>
    <row r="165" spans="1:20" x14ac:dyDescent="0.3">
      <c r="A165" s="18">
        <v>50164</v>
      </c>
      <c r="B165" s="18">
        <v>0</v>
      </c>
      <c r="C165" s="18">
        <v>9</v>
      </c>
      <c r="D165" s="18" t="s">
        <v>36</v>
      </c>
      <c r="E165" s="18">
        <v>3</v>
      </c>
      <c r="F165" s="18">
        <v>17</v>
      </c>
      <c r="G165" s="18" t="s">
        <v>43</v>
      </c>
      <c r="H165" s="18" t="s">
        <v>33</v>
      </c>
      <c r="I165" s="18">
        <v>1.8</v>
      </c>
      <c r="J165" s="18">
        <v>4</v>
      </c>
      <c r="K165" s="18" t="s">
        <v>44</v>
      </c>
      <c r="L165" s="18">
        <v>3</v>
      </c>
      <c r="M165" s="18" t="s">
        <v>41</v>
      </c>
      <c r="N165" s="18">
        <v>11</v>
      </c>
      <c r="O165" s="18">
        <v>0</v>
      </c>
      <c r="P165" s="18">
        <v>11</v>
      </c>
      <c r="Q165" s="18">
        <v>1</v>
      </c>
      <c r="R165" s="18">
        <v>3</v>
      </c>
      <c r="S165" s="18">
        <v>2</v>
      </c>
      <c r="T165" s="18">
        <v>192.12</v>
      </c>
    </row>
    <row r="166" spans="1:20" x14ac:dyDescent="0.3">
      <c r="A166" s="18">
        <v>50165</v>
      </c>
      <c r="B166" s="18">
        <v>0</v>
      </c>
      <c r="C166" s="18">
        <v>2</v>
      </c>
      <c r="D166" s="18" t="s">
        <v>36</v>
      </c>
      <c r="E166" s="18">
        <v>2</v>
      </c>
      <c r="F166" s="18">
        <v>10</v>
      </c>
      <c r="G166" s="18" t="s">
        <v>39</v>
      </c>
      <c r="H166" s="18" t="s">
        <v>33</v>
      </c>
      <c r="I166" s="18">
        <v>2.1</v>
      </c>
      <c r="J166" s="18">
        <v>2</v>
      </c>
      <c r="K166" s="18" t="s">
        <v>44</v>
      </c>
      <c r="L166" s="18">
        <v>3</v>
      </c>
      <c r="M166" s="18" t="s">
        <v>35</v>
      </c>
      <c r="N166" s="18">
        <v>1</v>
      </c>
      <c r="O166" s="18">
        <v>0</v>
      </c>
      <c r="P166" s="18">
        <v>20</v>
      </c>
      <c r="Q166" s="18">
        <v>1</v>
      </c>
      <c r="R166" s="18">
        <v>4</v>
      </c>
      <c r="S166" s="18">
        <v>1</v>
      </c>
      <c r="T166" s="18">
        <v>182.68</v>
      </c>
    </row>
    <row r="167" spans="1:20" x14ac:dyDescent="0.3">
      <c r="A167" s="18">
        <v>50166</v>
      </c>
      <c r="B167" s="18">
        <v>1</v>
      </c>
      <c r="C167" s="18">
        <v>4</v>
      </c>
      <c r="D167" s="18" t="s">
        <v>31</v>
      </c>
      <c r="E167" s="18">
        <v>2</v>
      </c>
      <c r="F167" s="18">
        <v>18</v>
      </c>
      <c r="G167" s="18" t="s">
        <v>32</v>
      </c>
      <c r="H167" s="18" t="s">
        <v>38</v>
      </c>
      <c r="I167" s="18">
        <v>3.1</v>
      </c>
      <c r="J167" s="18">
        <v>2</v>
      </c>
      <c r="K167" s="18" t="s">
        <v>44</v>
      </c>
      <c r="L167" s="18">
        <v>2</v>
      </c>
      <c r="M167" s="18" t="s">
        <v>35</v>
      </c>
      <c r="N167" s="18">
        <v>10</v>
      </c>
      <c r="O167" s="18">
        <v>1</v>
      </c>
      <c r="P167" s="18">
        <v>11</v>
      </c>
      <c r="Q167" s="18">
        <v>1</v>
      </c>
      <c r="R167" s="18">
        <v>4</v>
      </c>
      <c r="S167" s="18">
        <v>1</v>
      </c>
      <c r="T167" s="18">
        <v>229.77</v>
      </c>
    </row>
    <row r="168" spans="1:20" x14ac:dyDescent="0.3">
      <c r="A168" s="18">
        <v>50167</v>
      </c>
      <c r="B168" s="18">
        <v>0</v>
      </c>
      <c r="C168" s="18">
        <v>3</v>
      </c>
      <c r="D168" s="18" t="s">
        <v>36</v>
      </c>
      <c r="E168" s="18">
        <v>2</v>
      </c>
      <c r="F168" s="18">
        <v>11</v>
      </c>
      <c r="G168" s="18" t="s">
        <v>47</v>
      </c>
      <c r="H168" s="18" t="s">
        <v>33</v>
      </c>
      <c r="I168" s="18">
        <v>3.3</v>
      </c>
      <c r="J168" s="18">
        <v>2</v>
      </c>
      <c r="K168" s="18" t="s">
        <v>40</v>
      </c>
      <c r="L168" s="18">
        <v>3</v>
      </c>
      <c r="M168" s="18" t="s">
        <v>35</v>
      </c>
      <c r="N168" s="18">
        <v>1</v>
      </c>
      <c r="O168" s="18">
        <v>0</v>
      </c>
      <c r="P168" s="18">
        <v>11</v>
      </c>
      <c r="Q168" s="18">
        <v>2</v>
      </c>
      <c r="R168" s="18">
        <v>3</v>
      </c>
      <c r="S168" s="18">
        <v>8</v>
      </c>
      <c r="T168" s="18">
        <v>153.59</v>
      </c>
    </row>
    <row r="169" spans="1:20" x14ac:dyDescent="0.3">
      <c r="A169" s="18">
        <v>50168</v>
      </c>
      <c r="B169" s="18">
        <v>0</v>
      </c>
      <c r="C169" s="18">
        <v>4</v>
      </c>
      <c r="D169" s="18" t="s">
        <v>36</v>
      </c>
      <c r="E169" s="18">
        <v>1</v>
      </c>
      <c r="F169" s="18">
        <v>9</v>
      </c>
      <c r="G169" s="18" t="s">
        <v>37</v>
      </c>
      <c r="H169" s="18" t="s">
        <v>38</v>
      </c>
      <c r="I169" s="18">
        <v>3.3</v>
      </c>
      <c r="J169" s="18">
        <v>4</v>
      </c>
      <c r="K169" s="18" t="s">
        <v>44</v>
      </c>
      <c r="L169" s="18">
        <v>3</v>
      </c>
      <c r="M169" s="18" t="s">
        <v>45</v>
      </c>
      <c r="N169" s="18">
        <v>2</v>
      </c>
      <c r="O169" s="18">
        <v>1</v>
      </c>
      <c r="P169" s="18">
        <v>17.8</v>
      </c>
      <c r="Q169" s="18">
        <v>3</v>
      </c>
      <c r="R169" s="18">
        <v>5</v>
      </c>
      <c r="S169" s="18">
        <v>1</v>
      </c>
      <c r="T169" s="18">
        <v>112.99</v>
      </c>
    </row>
    <row r="170" spans="1:20" x14ac:dyDescent="0.3">
      <c r="A170" s="18">
        <v>50169</v>
      </c>
      <c r="B170" s="18">
        <v>0</v>
      </c>
      <c r="C170" s="18">
        <v>12</v>
      </c>
      <c r="D170" s="18" t="s">
        <v>36</v>
      </c>
      <c r="E170" s="18">
        <v>1</v>
      </c>
      <c r="F170" s="18">
        <v>5</v>
      </c>
      <c r="G170" s="18" t="s">
        <v>37</v>
      </c>
      <c r="H170" s="18" t="s">
        <v>38</v>
      </c>
      <c r="I170" s="18">
        <v>2.2999999999999998</v>
      </c>
      <c r="J170" s="18">
        <v>2</v>
      </c>
      <c r="K170" s="18" t="s">
        <v>36</v>
      </c>
      <c r="L170" s="18">
        <v>4</v>
      </c>
      <c r="M170" s="18" t="s">
        <v>45</v>
      </c>
      <c r="N170" s="18">
        <v>1</v>
      </c>
      <c r="O170" s="18">
        <v>0</v>
      </c>
      <c r="P170" s="18">
        <v>17.8</v>
      </c>
      <c r="Q170" s="18">
        <v>1</v>
      </c>
      <c r="R170" s="18">
        <v>3</v>
      </c>
      <c r="S170" s="18">
        <v>1</v>
      </c>
      <c r="T170" s="18">
        <v>199.77</v>
      </c>
    </row>
    <row r="171" spans="1:20" x14ac:dyDescent="0.3">
      <c r="A171" s="18">
        <v>50170</v>
      </c>
      <c r="B171" s="18">
        <v>0</v>
      </c>
      <c r="C171" s="18">
        <v>3</v>
      </c>
      <c r="D171" s="18" t="s">
        <v>36</v>
      </c>
      <c r="E171" s="18">
        <v>1</v>
      </c>
      <c r="F171" s="18">
        <v>5</v>
      </c>
      <c r="G171" s="18" t="s">
        <v>32</v>
      </c>
      <c r="H171" s="18" t="s">
        <v>38</v>
      </c>
      <c r="I171" s="18">
        <v>2.2000000000000002</v>
      </c>
      <c r="J171" s="18">
        <v>3</v>
      </c>
      <c r="K171" s="18" t="s">
        <v>36</v>
      </c>
      <c r="L171" s="18">
        <v>4</v>
      </c>
      <c r="M171" s="18" t="s">
        <v>45</v>
      </c>
      <c r="N171" s="18">
        <v>2</v>
      </c>
      <c r="O171" s="18">
        <v>0</v>
      </c>
      <c r="P171" s="18">
        <v>13.8</v>
      </c>
      <c r="Q171" s="18">
        <v>0</v>
      </c>
      <c r="R171" s="18">
        <v>4</v>
      </c>
      <c r="S171" s="18">
        <v>34</v>
      </c>
      <c r="T171" s="18">
        <v>153.74</v>
      </c>
    </row>
    <row r="172" spans="1:20" x14ac:dyDescent="0.3">
      <c r="A172" s="18">
        <v>50171</v>
      </c>
      <c r="B172" s="18">
        <v>0</v>
      </c>
      <c r="C172" s="18">
        <v>8</v>
      </c>
      <c r="D172" s="18" t="s">
        <v>31</v>
      </c>
      <c r="E172" s="18">
        <v>1</v>
      </c>
      <c r="F172" s="18">
        <v>11</v>
      </c>
      <c r="G172" s="18" t="s">
        <v>37</v>
      </c>
      <c r="H172" s="18" t="s">
        <v>33</v>
      </c>
      <c r="I172" s="18">
        <v>2.5</v>
      </c>
      <c r="J172" s="18">
        <v>4</v>
      </c>
      <c r="K172" s="18" t="s">
        <v>44</v>
      </c>
      <c r="L172" s="18">
        <v>3</v>
      </c>
      <c r="M172" s="18" t="s">
        <v>35</v>
      </c>
      <c r="N172" s="18">
        <v>3</v>
      </c>
      <c r="O172" s="18">
        <v>0</v>
      </c>
      <c r="P172" s="18">
        <v>16.5</v>
      </c>
      <c r="Q172" s="18">
        <v>1</v>
      </c>
      <c r="R172" s="18">
        <v>3</v>
      </c>
      <c r="S172" s="18">
        <v>1</v>
      </c>
      <c r="T172" s="18">
        <v>223.1</v>
      </c>
    </row>
    <row r="173" spans="1:20" x14ac:dyDescent="0.3">
      <c r="A173" s="18">
        <v>50172</v>
      </c>
      <c r="B173" s="18">
        <v>0</v>
      </c>
      <c r="C173" s="18">
        <v>6</v>
      </c>
      <c r="D173" s="18" t="s">
        <v>36</v>
      </c>
      <c r="E173" s="18">
        <v>2</v>
      </c>
      <c r="F173" s="18">
        <v>16</v>
      </c>
      <c r="G173" s="18" t="s">
        <v>37</v>
      </c>
      <c r="H173" s="18" t="s">
        <v>38</v>
      </c>
      <c r="I173" s="18">
        <v>3.1</v>
      </c>
      <c r="J173" s="18">
        <v>3</v>
      </c>
      <c r="K173" s="18" t="s">
        <v>46</v>
      </c>
      <c r="L173" s="18">
        <v>1</v>
      </c>
      <c r="M173" s="18" t="s">
        <v>45</v>
      </c>
      <c r="N173" s="18">
        <v>21</v>
      </c>
      <c r="O173" s="18">
        <v>1</v>
      </c>
      <c r="P173" s="18">
        <v>11</v>
      </c>
      <c r="Q173" s="18">
        <v>1</v>
      </c>
      <c r="R173" s="18">
        <v>3</v>
      </c>
      <c r="S173" s="18">
        <v>2</v>
      </c>
      <c r="T173" s="18">
        <v>180.41</v>
      </c>
    </row>
    <row r="174" spans="1:20" x14ac:dyDescent="0.3">
      <c r="A174" s="18">
        <v>50173</v>
      </c>
      <c r="B174" s="18">
        <v>0</v>
      </c>
      <c r="C174" s="18">
        <v>10</v>
      </c>
      <c r="D174" s="18" t="s">
        <v>31</v>
      </c>
      <c r="E174" s="18">
        <v>1</v>
      </c>
      <c r="F174" s="18">
        <v>14</v>
      </c>
      <c r="G174" s="18" t="s">
        <v>37</v>
      </c>
      <c r="H174" s="18" t="s">
        <v>33</v>
      </c>
      <c r="I174" s="18">
        <v>3.9</v>
      </c>
      <c r="J174" s="18">
        <v>3</v>
      </c>
      <c r="K174" s="18" t="s">
        <v>44</v>
      </c>
      <c r="L174" s="18">
        <v>4</v>
      </c>
      <c r="M174" s="18" t="s">
        <v>35</v>
      </c>
      <c r="N174" s="18">
        <v>12</v>
      </c>
      <c r="O174" s="18">
        <v>0</v>
      </c>
      <c r="P174" s="18">
        <v>18.5</v>
      </c>
      <c r="Q174" s="18">
        <v>1</v>
      </c>
      <c r="R174" s="18">
        <v>3</v>
      </c>
      <c r="S174" s="18">
        <v>23</v>
      </c>
      <c r="T174" s="18">
        <v>216.01</v>
      </c>
    </row>
    <row r="175" spans="1:20" x14ac:dyDescent="0.3">
      <c r="A175" s="18">
        <v>50174</v>
      </c>
      <c r="B175" s="18">
        <v>0</v>
      </c>
      <c r="C175" s="18">
        <v>27</v>
      </c>
      <c r="D175" s="18" t="s">
        <v>36</v>
      </c>
      <c r="E175" s="18">
        <v>3</v>
      </c>
      <c r="F175" s="18"/>
      <c r="G175" s="18" t="s">
        <v>37</v>
      </c>
      <c r="H175" s="18" t="s">
        <v>33</v>
      </c>
      <c r="I175" s="18">
        <v>1.5</v>
      </c>
      <c r="J175" s="18">
        <v>2</v>
      </c>
      <c r="K175" s="18" t="s">
        <v>36</v>
      </c>
      <c r="L175" s="18">
        <v>1</v>
      </c>
      <c r="M175" s="18" t="s">
        <v>41</v>
      </c>
      <c r="N175" s="18">
        <v>11</v>
      </c>
      <c r="O175" s="18">
        <v>1</v>
      </c>
      <c r="P175" s="18">
        <v>16.899999999999999</v>
      </c>
      <c r="Q175" s="18">
        <v>2</v>
      </c>
      <c r="R175" s="18">
        <v>4</v>
      </c>
      <c r="S175" s="18">
        <v>2</v>
      </c>
      <c r="T175" s="18">
        <v>124.21</v>
      </c>
    </row>
    <row r="176" spans="1:20" x14ac:dyDescent="0.3">
      <c r="A176" s="18">
        <v>50175</v>
      </c>
      <c r="B176" s="18">
        <v>0</v>
      </c>
      <c r="C176" s="18">
        <v>13</v>
      </c>
      <c r="D176" s="18" t="s">
        <v>42</v>
      </c>
      <c r="E176" s="18">
        <v>3</v>
      </c>
      <c r="F176" s="18">
        <v>7</v>
      </c>
      <c r="G176" s="18" t="s">
        <v>39</v>
      </c>
      <c r="H176" s="18" t="s">
        <v>38</v>
      </c>
      <c r="I176" s="18">
        <v>2.7</v>
      </c>
      <c r="J176" s="18">
        <v>4</v>
      </c>
      <c r="K176" s="18" t="s">
        <v>40</v>
      </c>
      <c r="L176" s="18">
        <v>4</v>
      </c>
      <c r="M176" s="18" t="s">
        <v>35</v>
      </c>
      <c r="N176" s="18">
        <v>1</v>
      </c>
      <c r="O176" s="18">
        <v>1</v>
      </c>
      <c r="P176" s="18"/>
      <c r="Q176" s="18">
        <v>1</v>
      </c>
      <c r="R176" s="18">
        <v>4</v>
      </c>
      <c r="S176" s="18">
        <v>2</v>
      </c>
      <c r="T176" s="18">
        <v>187.89</v>
      </c>
    </row>
    <row r="177" spans="1:20" x14ac:dyDescent="0.3">
      <c r="A177" s="18">
        <v>50176</v>
      </c>
      <c r="B177" s="18">
        <v>0</v>
      </c>
      <c r="C177" s="18">
        <v>2</v>
      </c>
      <c r="D177" s="18" t="s">
        <v>31</v>
      </c>
      <c r="E177" s="18">
        <v>3</v>
      </c>
      <c r="F177" s="18">
        <v>19</v>
      </c>
      <c r="G177" s="18" t="s">
        <v>43</v>
      </c>
      <c r="H177" s="18" t="s">
        <v>33</v>
      </c>
      <c r="I177" s="18">
        <v>2</v>
      </c>
      <c r="J177" s="18">
        <v>3</v>
      </c>
      <c r="K177" s="18" t="s">
        <v>44</v>
      </c>
      <c r="L177" s="18">
        <v>4</v>
      </c>
      <c r="M177" s="18" t="s">
        <v>41</v>
      </c>
      <c r="N177" s="18">
        <v>16</v>
      </c>
      <c r="O177" s="18">
        <v>0</v>
      </c>
      <c r="P177" s="18">
        <v>16.100000000000001</v>
      </c>
      <c r="Q177" s="18"/>
      <c r="R177" s="18">
        <v>4</v>
      </c>
      <c r="S177" s="18">
        <v>8</v>
      </c>
      <c r="T177" s="18">
        <v>141.54</v>
      </c>
    </row>
    <row r="178" spans="1:20" x14ac:dyDescent="0.3">
      <c r="A178" s="18">
        <v>50177</v>
      </c>
      <c r="B178" s="18">
        <v>0</v>
      </c>
      <c r="C178" s="18">
        <v>0</v>
      </c>
      <c r="D178" s="18" t="s">
        <v>36</v>
      </c>
      <c r="E178" s="18">
        <v>2</v>
      </c>
      <c r="F178" s="18">
        <v>5</v>
      </c>
      <c r="G178" s="18" t="s">
        <v>47</v>
      </c>
      <c r="H178" s="18" t="s">
        <v>38</v>
      </c>
      <c r="I178" s="18">
        <v>1.7</v>
      </c>
      <c r="J178" s="18">
        <v>3</v>
      </c>
      <c r="K178" s="18" t="s">
        <v>40</v>
      </c>
      <c r="L178" s="18">
        <v>2</v>
      </c>
      <c r="M178" s="18" t="s">
        <v>41</v>
      </c>
      <c r="N178" s="18">
        <v>2</v>
      </c>
      <c r="O178" s="18">
        <v>0</v>
      </c>
      <c r="P178" s="18">
        <v>17.7</v>
      </c>
      <c r="Q178" s="18">
        <v>0</v>
      </c>
      <c r="R178" s="18">
        <v>3</v>
      </c>
      <c r="S178" s="18">
        <v>1</v>
      </c>
      <c r="T178" s="18">
        <v>112.88</v>
      </c>
    </row>
    <row r="179" spans="1:20" x14ac:dyDescent="0.3">
      <c r="A179" s="18">
        <v>50178</v>
      </c>
      <c r="B179" s="18">
        <v>0</v>
      </c>
      <c r="C179" s="18">
        <v>3</v>
      </c>
      <c r="D179" s="18" t="s">
        <v>36</v>
      </c>
      <c r="E179" s="18">
        <v>3</v>
      </c>
      <c r="F179" s="18">
        <v>21</v>
      </c>
      <c r="G179" s="18" t="s">
        <v>47</v>
      </c>
      <c r="H179" s="18" t="s">
        <v>33</v>
      </c>
      <c r="I179" s="18">
        <v>3.6</v>
      </c>
      <c r="J179" s="18">
        <v>3</v>
      </c>
      <c r="K179" s="18" t="s">
        <v>46</v>
      </c>
      <c r="L179" s="18">
        <v>4</v>
      </c>
      <c r="M179" s="18" t="s">
        <v>41</v>
      </c>
      <c r="N179" s="18">
        <v>6</v>
      </c>
      <c r="O179" s="18">
        <v>0</v>
      </c>
      <c r="P179" s="18">
        <v>15.9</v>
      </c>
      <c r="Q179" s="18"/>
      <c r="R179" s="18">
        <v>4</v>
      </c>
      <c r="S179" s="18">
        <v>1</v>
      </c>
      <c r="T179" s="18">
        <v>132.63999999999999</v>
      </c>
    </row>
    <row r="180" spans="1:20" x14ac:dyDescent="0.3">
      <c r="A180" s="18">
        <v>50179</v>
      </c>
      <c r="B180" s="18">
        <v>0</v>
      </c>
      <c r="C180" s="18">
        <v>9</v>
      </c>
      <c r="D180" s="18" t="s">
        <v>31</v>
      </c>
      <c r="E180" s="18">
        <v>1</v>
      </c>
      <c r="F180" s="18">
        <v>6</v>
      </c>
      <c r="G180" s="18" t="s">
        <v>39</v>
      </c>
      <c r="H180" s="18" t="s">
        <v>38</v>
      </c>
      <c r="I180" s="18">
        <v>3.3</v>
      </c>
      <c r="J180" s="18">
        <v>3</v>
      </c>
      <c r="K180" s="18" t="s">
        <v>34</v>
      </c>
      <c r="L180" s="18">
        <v>5</v>
      </c>
      <c r="M180" s="18" t="s">
        <v>41</v>
      </c>
      <c r="N180" s="18">
        <v>1</v>
      </c>
      <c r="O180" s="18">
        <v>0</v>
      </c>
      <c r="P180" s="18">
        <v>11</v>
      </c>
      <c r="Q180" s="18">
        <v>1</v>
      </c>
      <c r="R180" s="18">
        <v>2</v>
      </c>
      <c r="S180" s="18">
        <v>2</v>
      </c>
      <c r="T180" s="18">
        <v>150.05000000000001</v>
      </c>
    </row>
    <row r="181" spans="1:20" x14ac:dyDescent="0.3">
      <c r="A181" s="18">
        <v>50180</v>
      </c>
      <c r="B181" s="18">
        <v>0</v>
      </c>
      <c r="C181" s="18">
        <v>0</v>
      </c>
      <c r="D181" s="18" t="s">
        <v>42</v>
      </c>
      <c r="E181" s="18">
        <v>3</v>
      </c>
      <c r="F181" s="18">
        <v>8</v>
      </c>
      <c r="G181" s="18" t="s">
        <v>47</v>
      </c>
      <c r="H181" s="18" t="s">
        <v>33</v>
      </c>
      <c r="I181" s="18">
        <v>3.2</v>
      </c>
      <c r="J181" s="18">
        <v>3</v>
      </c>
      <c r="K181" s="18" t="s">
        <v>46</v>
      </c>
      <c r="L181" s="18">
        <v>4</v>
      </c>
      <c r="M181" s="18" t="s">
        <v>35</v>
      </c>
      <c r="N181" s="18">
        <v>2</v>
      </c>
      <c r="O181" s="18">
        <v>0</v>
      </c>
      <c r="P181" s="18">
        <v>23.7</v>
      </c>
      <c r="Q181" s="18">
        <v>2</v>
      </c>
      <c r="R181" s="18">
        <v>5</v>
      </c>
      <c r="S181" s="18">
        <v>6</v>
      </c>
      <c r="T181" s="18">
        <v>248.46</v>
      </c>
    </row>
    <row r="182" spans="1:20" x14ac:dyDescent="0.3">
      <c r="A182" s="18">
        <v>50181</v>
      </c>
      <c r="B182" s="18">
        <v>0</v>
      </c>
      <c r="C182" s="18">
        <v>6</v>
      </c>
      <c r="D182" s="18" t="s">
        <v>36</v>
      </c>
      <c r="E182" s="18">
        <v>1</v>
      </c>
      <c r="F182" s="18">
        <v>5</v>
      </c>
      <c r="G182" s="18" t="s">
        <v>39</v>
      </c>
      <c r="H182" s="18" t="s">
        <v>38</v>
      </c>
      <c r="I182" s="18">
        <v>3.5</v>
      </c>
      <c r="J182" s="18">
        <v>2</v>
      </c>
      <c r="K182" s="18" t="s">
        <v>44</v>
      </c>
      <c r="L182" s="18">
        <v>3</v>
      </c>
      <c r="M182" s="18" t="s">
        <v>35</v>
      </c>
      <c r="N182" s="18">
        <v>11</v>
      </c>
      <c r="O182" s="18">
        <v>1</v>
      </c>
      <c r="P182" s="18">
        <v>20.2</v>
      </c>
      <c r="Q182" s="18">
        <v>1</v>
      </c>
      <c r="R182" s="18">
        <v>5</v>
      </c>
      <c r="S182" s="18">
        <v>0</v>
      </c>
      <c r="T182" s="18">
        <v>148.6</v>
      </c>
    </row>
    <row r="183" spans="1:20" x14ac:dyDescent="0.3">
      <c r="A183" s="18">
        <v>50182</v>
      </c>
      <c r="B183" s="18">
        <v>0</v>
      </c>
      <c r="C183" s="18">
        <v>9</v>
      </c>
      <c r="D183" s="18" t="s">
        <v>36</v>
      </c>
      <c r="E183" s="18">
        <v>3</v>
      </c>
      <c r="F183" s="18">
        <v>10</v>
      </c>
      <c r="G183" s="18" t="s">
        <v>39</v>
      </c>
      <c r="H183" s="18" t="s">
        <v>33</v>
      </c>
      <c r="I183" s="18">
        <v>2.6</v>
      </c>
      <c r="J183" s="18">
        <v>3</v>
      </c>
      <c r="K183" s="18" t="s">
        <v>36</v>
      </c>
      <c r="L183" s="18">
        <v>4</v>
      </c>
      <c r="M183" s="18" t="s">
        <v>41</v>
      </c>
      <c r="N183" s="18">
        <v>10</v>
      </c>
      <c r="O183" s="18">
        <v>0</v>
      </c>
      <c r="P183" s="18">
        <v>11.5</v>
      </c>
      <c r="Q183" s="18">
        <v>2</v>
      </c>
      <c r="R183" s="18">
        <v>3</v>
      </c>
      <c r="S183" s="18">
        <v>2</v>
      </c>
      <c r="T183" s="18">
        <v>110.07</v>
      </c>
    </row>
    <row r="184" spans="1:20" x14ac:dyDescent="0.3">
      <c r="A184" s="18">
        <v>50183</v>
      </c>
      <c r="B184" s="18">
        <v>0</v>
      </c>
      <c r="C184" s="18">
        <v>4</v>
      </c>
      <c r="D184" s="18" t="s">
        <v>42</v>
      </c>
      <c r="E184" s="18">
        <v>1</v>
      </c>
      <c r="F184" s="18">
        <v>22</v>
      </c>
      <c r="G184" s="18" t="s">
        <v>37</v>
      </c>
      <c r="H184" s="18" t="s">
        <v>33</v>
      </c>
      <c r="I184" s="18">
        <v>2.6</v>
      </c>
      <c r="J184" s="18">
        <v>3</v>
      </c>
      <c r="K184" s="18" t="s">
        <v>44</v>
      </c>
      <c r="L184" s="18">
        <v>5</v>
      </c>
      <c r="M184" s="18" t="s">
        <v>35</v>
      </c>
      <c r="N184" s="18">
        <v>4</v>
      </c>
      <c r="O184" s="18">
        <v>0</v>
      </c>
      <c r="P184" s="18">
        <v>14.8</v>
      </c>
      <c r="Q184" s="18">
        <v>1</v>
      </c>
      <c r="R184" s="18">
        <v>2</v>
      </c>
      <c r="S184" s="18">
        <v>2</v>
      </c>
      <c r="T184" s="18">
        <v>187.23</v>
      </c>
    </row>
    <row r="185" spans="1:20" x14ac:dyDescent="0.3">
      <c r="A185" s="18">
        <v>50184</v>
      </c>
      <c r="B185" s="18">
        <v>0</v>
      </c>
      <c r="C185" s="18">
        <v>14</v>
      </c>
      <c r="D185" s="18" t="s">
        <v>31</v>
      </c>
      <c r="E185" s="18">
        <v>3</v>
      </c>
      <c r="F185" s="18">
        <v>19</v>
      </c>
      <c r="G185" s="18" t="s">
        <v>37</v>
      </c>
      <c r="H185" s="18" t="s">
        <v>33</v>
      </c>
      <c r="I185" s="18">
        <v>4.4000000000000004</v>
      </c>
      <c r="J185" s="18">
        <v>2</v>
      </c>
      <c r="K185" s="18" t="s">
        <v>44</v>
      </c>
      <c r="L185" s="18">
        <v>3</v>
      </c>
      <c r="M185" s="18" t="s">
        <v>35</v>
      </c>
      <c r="N185" s="18">
        <v>5</v>
      </c>
      <c r="O185" s="18">
        <v>0</v>
      </c>
      <c r="P185" s="18">
        <v>15.2</v>
      </c>
      <c r="Q185" s="18">
        <v>2</v>
      </c>
      <c r="R185" s="18">
        <v>4</v>
      </c>
      <c r="S185" s="18">
        <v>1</v>
      </c>
      <c r="T185" s="18">
        <v>181.6</v>
      </c>
    </row>
    <row r="186" spans="1:20" x14ac:dyDescent="0.3">
      <c r="A186" s="18">
        <v>50185</v>
      </c>
      <c r="B186" s="18">
        <v>1</v>
      </c>
      <c r="C186" s="18">
        <v>1</v>
      </c>
      <c r="D186" s="18" t="s">
        <v>36</v>
      </c>
      <c r="E186" s="18">
        <v>3</v>
      </c>
      <c r="F186" s="18">
        <v>22</v>
      </c>
      <c r="G186" s="18" t="s">
        <v>37</v>
      </c>
      <c r="H186" s="18" t="s">
        <v>33</v>
      </c>
      <c r="I186" s="18">
        <v>2.7</v>
      </c>
      <c r="J186" s="18">
        <v>3</v>
      </c>
      <c r="K186" s="18" t="s">
        <v>44</v>
      </c>
      <c r="L186" s="18">
        <v>4</v>
      </c>
      <c r="M186" s="18" t="s">
        <v>45</v>
      </c>
      <c r="N186" s="18">
        <v>1</v>
      </c>
      <c r="O186" s="18">
        <v>1</v>
      </c>
      <c r="P186" s="18">
        <v>19.8</v>
      </c>
      <c r="Q186" s="18">
        <v>0</v>
      </c>
      <c r="R186" s="18">
        <v>4</v>
      </c>
      <c r="S186" s="18">
        <v>5</v>
      </c>
      <c r="T186" s="18">
        <v>152.94</v>
      </c>
    </row>
    <row r="187" spans="1:20" x14ac:dyDescent="0.3">
      <c r="A187" s="18">
        <v>50186</v>
      </c>
      <c r="B187" s="18">
        <v>0</v>
      </c>
      <c r="C187" s="18">
        <v>0</v>
      </c>
      <c r="D187" s="18" t="s">
        <v>36</v>
      </c>
      <c r="E187" s="18">
        <v>1</v>
      </c>
      <c r="F187" s="18">
        <v>19</v>
      </c>
      <c r="G187" s="18" t="s">
        <v>39</v>
      </c>
      <c r="H187" s="18" t="s">
        <v>33</v>
      </c>
      <c r="I187" s="18">
        <v>3.4</v>
      </c>
      <c r="J187" s="18">
        <v>4</v>
      </c>
      <c r="K187" s="18" t="s">
        <v>44</v>
      </c>
      <c r="L187" s="18">
        <v>1</v>
      </c>
      <c r="M187" s="18" t="s">
        <v>35</v>
      </c>
      <c r="N187" s="18">
        <v>4</v>
      </c>
      <c r="O187" s="18">
        <v>0</v>
      </c>
      <c r="P187" s="18">
        <v>11</v>
      </c>
      <c r="Q187" s="18">
        <v>1</v>
      </c>
      <c r="R187" s="18">
        <v>3</v>
      </c>
      <c r="S187" s="18">
        <v>1</v>
      </c>
      <c r="T187" s="18">
        <v>171.13</v>
      </c>
    </row>
    <row r="188" spans="1:20" x14ac:dyDescent="0.3">
      <c r="A188" s="18">
        <v>50187</v>
      </c>
      <c r="B188" s="18">
        <v>0</v>
      </c>
      <c r="C188" s="18">
        <v>13</v>
      </c>
      <c r="D188" s="18" t="s">
        <v>36</v>
      </c>
      <c r="E188" s="18">
        <v>1</v>
      </c>
      <c r="F188" s="18">
        <v>6</v>
      </c>
      <c r="G188" s="18" t="s">
        <v>37</v>
      </c>
      <c r="H188" s="18" t="s">
        <v>33</v>
      </c>
      <c r="I188" s="18"/>
      <c r="J188" s="18">
        <v>2</v>
      </c>
      <c r="K188" s="18" t="s">
        <v>46</v>
      </c>
      <c r="L188" s="18">
        <v>1</v>
      </c>
      <c r="M188" s="18" t="s">
        <v>35</v>
      </c>
      <c r="N188" s="18">
        <v>3</v>
      </c>
      <c r="O188" s="18">
        <v>1</v>
      </c>
      <c r="P188" s="18">
        <v>14.3</v>
      </c>
      <c r="Q188" s="18">
        <v>2</v>
      </c>
      <c r="R188" s="18">
        <v>5</v>
      </c>
      <c r="S188" s="18">
        <v>4</v>
      </c>
      <c r="T188" s="18">
        <v>233.69</v>
      </c>
    </row>
    <row r="189" spans="1:20" x14ac:dyDescent="0.3">
      <c r="A189" s="18">
        <v>50188</v>
      </c>
      <c r="B189" s="18">
        <v>1</v>
      </c>
      <c r="C189" s="18">
        <v>6</v>
      </c>
      <c r="D189" s="18" t="s">
        <v>31</v>
      </c>
      <c r="E189" s="18">
        <v>3</v>
      </c>
      <c r="F189" s="18">
        <v>12</v>
      </c>
      <c r="G189" s="18" t="s">
        <v>39</v>
      </c>
      <c r="H189" s="18" t="s">
        <v>33</v>
      </c>
      <c r="I189" s="18">
        <v>1.6</v>
      </c>
      <c r="J189" s="18">
        <v>4</v>
      </c>
      <c r="K189" s="18" t="s">
        <v>36</v>
      </c>
      <c r="L189" s="18">
        <v>4</v>
      </c>
      <c r="M189" s="18" t="s">
        <v>41</v>
      </c>
      <c r="N189" s="18">
        <v>1</v>
      </c>
      <c r="O189" s="18">
        <v>1</v>
      </c>
      <c r="P189" s="18">
        <v>11</v>
      </c>
      <c r="Q189" s="18">
        <v>2</v>
      </c>
      <c r="R189" s="18">
        <v>5</v>
      </c>
      <c r="S189" s="18">
        <v>3</v>
      </c>
      <c r="T189" s="18">
        <v>216.89</v>
      </c>
    </row>
    <row r="190" spans="1:20" x14ac:dyDescent="0.3">
      <c r="A190" s="18">
        <v>50189</v>
      </c>
      <c r="B190" s="18">
        <v>0</v>
      </c>
      <c r="C190" s="18">
        <v>11</v>
      </c>
      <c r="D190" s="18" t="s">
        <v>36</v>
      </c>
      <c r="E190" s="18">
        <v>1</v>
      </c>
      <c r="F190" s="18"/>
      <c r="G190" s="18" t="s">
        <v>43</v>
      </c>
      <c r="H190" s="18" t="s">
        <v>33</v>
      </c>
      <c r="I190" s="18">
        <v>1.5</v>
      </c>
      <c r="J190" s="18">
        <v>4</v>
      </c>
      <c r="K190" s="18" t="s">
        <v>36</v>
      </c>
      <c r="L190" s="18">
        <v>4</v>
      </c>
      <c r="M190" s="18" t="s">
        <v>41</v>
      </c>
      <c r="N190" s="18">
        <v>1</v>
      </c>
      <c r="O190" s="18">
        <v>0</v>
      </c>
      <c r="P190" s="18">
        <v>15</v>
      </c>
      <c r="Q190" s="18">
        <v>3</v>
      </c>
      <c r="R190" s="18">
        <v>3</v>
      </c>
      <c r="S190" s="18">
        <v>1</v>
      </c>
      <c r="T190" s="18">
        <v>212.13</v>
      </c>
    </row>
    <row r="191" spans="1:20" x14ac:dyDescent="0.3">
      <c r="A191" s="18">
        <v>50190</v>
      </c>
      <c r="B191" s="18">
        <v>0</v>
      </c>
      <c r="C191" s="18">
        <v>5</v>
      </c>
      <c r="D191" s="18" t="s">
        <v>42</v>
      </c>
      <c r="E191" s="18">
        <v>3</v>
      </c>
      <c r="F191" s="18">
        <v>25</v>
      </c>
      <c r="G191" s="18" t="s">
        <v>37</v>
      </c>
      <c r="H191" s="18" t="s">
        <v>33</v>
      </c>
      <c r="I191" s="18">
        <v>2.5</v>
      </c>
      <c r="J191" s="18">
        <v>2</v>
      </c>
      <c r="K191" s="18" t="s">
        <v>36</v>
      </c>
      <c r="L191" s="18">
        <v>4</v>
      </c>
      <c r="M191" s="18" t="s">
        <v>41</v>
      </c>
      <c r="N191" s="18">
        <v>1</v>
      </c>
      <c r="O191" s="18">
        <v>0</v>
      </c>
      <c r="P191" s="18">
        <v>14.3</v>
      </c>
      <c r="Q191" s="18">
        <v>0</v>
      </c>
      <c r="R191" s="18">
        <v>5</v>
      </c>
      <c r="S191" s="18">
        <v>1</v>
      </c>
      <c r="T191" s="18">
        <v>114.9</v>
      </c>
    </row>
    <row r="192" spans="1:20" x14ac:dyDescent="0.3">
      <c r="A192" s="18">
        <v>50191</v>
      </c>
      <c r="B192" s="18">
        <v>0</v>
      </c>
      <c r="C192" s="18">
        <v>2</v>
      </c>
      <c r="D192" s="18" t="s">
        <v>36</v>
      </c>
      <c r="E192" s="18">
        <v>2</v>
      </c>
      <c r="F192" s="18">
        <v>5</v>
      </c>
      <c r="G192" s="18" t="s">
        <v>47</v>
      </c>
      <c r="H192" s="18" t="s">
        <v>38</v>
      </c>
      <c r="I192" s="18">
        <v>3.6</v>
      </c>
      <c r="J192" s="18">
        <v>5</v>
      </c>
      <c r="K192" s="18" t="s">
        <v>36</v>
      </c>
      <c r="L192" s="18">
        <v>5</v>
      </c>
      <c r="M192" s="18" t="s">
        <v>35</v>
      </c>
      <c r="N192" s="18">
        <v>4</v>
      </c>
      <c r="O192" s="18">
        <v>0</v>
      </c>
      <c r="P192" s="18">
        <v>16.3</v>
      </c>
      <c r="Q192" s="18">
        <v>3</v>
      </c>
      <c r="R192" s="18">
        <v>4</v>
      </c>
      <c r="S192" s="18">
        <v>0</v>
      </c>
      <c r="T192" s="18">
        <v>325</v>
      </c>
    </row>
    <row r="193" spans="1:20" x14ac:dyDescent="0.3">
      <c r="A193" s="18">
        <v>50192</v>
      </c>
      <c r="B193" s="18">
        <v>0</v>
      </c>
      <c r="C193" s="18">
        <v>17</v>
      </c>
      <c r="D193" s="18" t="s">
        <v>36</v>
      </c>
      <c r="E193" s="18">
        <v>1</v>
      </c>
      <c r="F193" s="18">
        <v>22</v>
      </c>
      <c r="G193" s="18" t="s">
        <v>39</v>
      </c>
      <c r="H193" s="18" t="s">
        <v>38</v>
      </c>
      <c r="I193" s="18">
        <v>3.5</v>
      </c>
      <c r="J193" s="18">
        <v>3</v>
      </c>
      <c r="K193" s="18" t="s">
        <v>34</v>
      </c>
      <c r="L193" s="18">
        <v>2</v>
      </c>
      <c r="M193" s="18" t="s">
        <v>45</v>
      </c>
      <c r="N193" s="18">
        <v>1</v>
      </c>
      <c r="O193" s="18">
        <v>0</v>
      </c>
      <c r="P193" s="18">
        <v>13.9</v>
      </c>
      <c r="Q193" s="18">
        <v>1</v>
      </c>
      <c r="R193" s="18">
        <v>2</v>
      </c>
      <c r="S193" s="18">
        <v>0</v>
      </c>
      <c r="T193" s="18">
        <v>237.82</v>
      </c>
    </row>
    <row r="194" spans="1:20" x14ac:dyDescent="0.3">
      <c r="A194" s="18">
        <v>50193</v>
      </c>
      <c r="B194" s="18">
        <v>0</v>
      </c>
      <c r="C194" s="18">
        <v>16</v>
      </c>
      <c r="D194" s="18" t="s">
        <v>31</v>
      </c>
      <c r="E194" s="18">
        <v>1</v>
      </c>
      <c r="F194" s="18">
        <v>22</v>
      </c>
      <c r="G194" s="18" t="s">
        <v>39</v>
      </c>
      <c r="H194" s="18" t="s">
        <v>38</v>
      </c>
      <c r="I194" s="18">
        <v>3.5</v>
      </c>
      <c r="J194" s="18">
        <v>4</v>
      </c>
      <c r="K194" s="18" t="s">
        <v>44</v>
      </c>
      <c r="L194" s="18">
        <v>2</v>
      </c>
      <c r="M194" s="18" t="s">
        <v>41</v>
      </c>
      <c r="N194" s="18">
        <v>2</v>
      </c>
      <c r="O194" s="18">
        <v>0</v>
      </c>
      <c r="P194" s="18">
        <v>13.4</v>
      </c>
      <c r="Q194" s="18">
        <v>2</v>
      </c>
      <c r="R194" s="18">
        <v>5</v>
      </c>
      <c r="S194" s="18">
        <v>4</v>
      </c>
      <c r="T194" s="18">
        <v>208.44</v>
      </c>
    </row>
    <row r="195" spans="1:20" x14ac:dyDescent="0.3">
      <c r="A195" s="18">
        <v>50194</v>
      </c>
      <c r="B195" s="18">
        <v>0</v>
      </c>
      <c r="C195" s="18">
        <v>11</v>
      </c>
      <c r="D195" s="18" t="s">
        <v>42</v>
      </c>
      <c r="E195" s="18">
        <v>1</v>
      </c>
      <c r="F195" s="18">
        <v>29</v>
      </c>
      <c r="G195" s="18" t="s">
        <v>43</v>
      </c>
      <c r="H195" s="18" t="s">
        <v>38</v>
      </c>
      <c r="I195" s="18">
        <v>2.2000000000000002</v>
      </c>
      <c r="J195" s="18">
        <v>3</v>
      </c>
      <c r="K195" s="18" t="s">
        <v>40</v>
      </c>
      <c r="L195" s="18">
        <v>5</v>
      </c>
      <c r="M195" s="18" t="s">
        <v>41</v>
      </c>
      <c r="N195" s="18">
        <v>1</v>
      </c>
      <c r="O195" s="18">
        <v>0</v>
      </c>
      <c r="P195" s="18">
        <v>18.2</v>
      </c>
      <c r="Q195" s="18">
        <v>1</v>
      </c>
      <c r="R195" s="18">
        <v>1</v>
      </c>
      <c r="S195" s="18">
        <v>5</v>
      </c>
      <c r="T195" s="18">
        <v>115.96</v>
      </c>
    </row>
    <row r="196" spans="1:20" x14ac:dyDescent="0.3">
      <c r="A196" s="18">
        <v>50195</v>
      </c>
      <c r="B196" s="18">
        <v>0</v>
      </c>
      <c r="C196" s="18">
        <v>3</v>
      </c>
      <c r="D196" s="18" t="s">
        <v>42</v>
      </c>
      <c r="E196" s="18">
        <v>3</v>
      </c>
      <c r="F196" s="18">
        <v>11</v>
      </c>
      <c r="G196" s="18" t="s">
        <v>39</v>
      </c>
      <c r="H196" s="18" t="s">
        <v>33</v>
      </c>
      <c r="I196" s="18">
        <v>4</v>
      </c>
      <c r="J196" s="18">
        <v>4</v>
      </c>
      <c r="K196" s="18" t="s">
        <v>36</v>
      </c>
      <c r="L196" s="18">
        <v>2</v>
      </c>
      <c r="M196" s="18" t="s">
        <v>41</v>
      </c>
      <c r="N196" s="18">
        <v>2</v>
      </c>
      <c r="O196" s="18">
        <v>0</v>
      </c>
      <c r="P196" s="18">
        <v>17.600000000000001</v>
      </c>
      <c r="Q196" s="18">
        <v>2</v>
      </c>
      <c r="R196" s="18">
        <v>6</v>
      </c>
      <c r="S196" s="18">
        <v>0</v>
      </c>
      <c r="T196" s="18">
        <v>232.13</v>
      </c>
    </row>
    <row r="197" spans="1:20" x14ac:dyDescent="0.3">
      <c r="A197" s="18">
        <v>50196</v>
      </c>
      <c r="B197" s="18">
        <v>0</v>
      </c>
      <c r="C197" s="18">
        <v>8</v>
      </c>
      <c r="D197" s="18" t="s">
        <v>36</v>
      </c>
      <c r="E197" s="18">
        <v>1</v>
      </c>
      <c r="F197" s="18">
        <v>20</v>
      </c>
      <c r="G197" s="18" t="s">
        <v>37</v>
      </c>
      <c r="H197" s="18" t="s">
        <v>33</v>
      </c>
      <c r="I197" s="18">
        <v>2.2000000000000002</v>
      </c>
      <c r="J197" s="18">
        <v>4</v>
      </c>
      <c r="K197" s="18" t="s">
        <v>44</v>
      </c>
      <c r="L197" s="18">
        <v>4</v>
      </c>
      <c r="M197" s="18" t="s">
        <v>35</v>
      </c>
      <c r="N197" s="18">
        <v>4</v>
      </c>
      <c r="O197" s="18">
        <v>0</v>
      </c>
      <c r="P197" s="18">
        <v>17.899999999999999</v>
      </c>
      <c r="Q197" s="18">
        <v>2</v>
      </c>
      <c r="R197" s="18">
        <v>2</v>
      </c>
      <c r="S197" s="18">
        <v>4</v>
      </c>
      <c r="T197" s="18">
        <v>152.44</v>
      </c>
    </row>
    <row r="198" spans="1:20" x14ac:dyDescent="0.3">
      <c r="A198" s="18">
        <v>50197</v>
      </c>
      <c r="B198" s="18">
        <v>1</v>
      </c>
      <c r="C198" s="18">
        <v>4</v>
      </c>
      <c r="D198" s="18" t="s">
        <v>31</v>
      </c>
      <c r="E198" s="18">
        <v>2</v>
      </c>
      <c r="F198" s="18">
        <v>33</v>
      </c>
      <c r="G198" s="18" t="s">
        <v>47</v>
      </c>
      <c r="H198" s="18" t="s">
        <v>33</v>
      </c>
      <c r="I198" s="18">
        <v>3</v>
      </c>
      <c r="J198" s="18">
        <v>2</v>
      </c>
      <c r="K198" s="18" t="s">
        <v>36</v>
      </c>
      <c r="L198" s="18">
        <v>3</v>
      </c>
      <c r="M198" s="18" t="s">
        <v>41</v>
      </c>
      <c r="N198" s="18">
        <v>4</v>
      </c>
      <c r="O198" s="18">
        <v>0</v>
      </c>
      <c r="P198" s="18">
        <v>15.4</v>
      </c>
      <c r="Q198" s="18"/>
      <c r="R198" s="18">
        <v>5</v>
      </c>
      <c r="S198" s="18">
        <v>20</v>
      </c>
      <c r="T198" s="18">
        <v>169.32</v>
      </c>
    </row>
    <row r="199" spans="1:20" x14ac:dyDescent="0.3">
      <c r="A199" s="18">
        <v>50198</v>
      </c>
      <c r="B199" s="18">
        <v>1</v>
      </c>
      <c r="C199" s="18">
        <v>0</v>
      </c>
      <c r="D199" s="18" t="s">
        <v>31</v>
      </c>
      <c r="E199" s="18">
        <v>1</v>
      </c>
      <c r="F199" s="18">
        <v>10</v>
      </c>
      <c r="G199" s="18" t="s">
        <v>39</v>
      </c>
      <c r="H199" s="18" t="s">
        <v>38</v>
      </c>
      <c r="I199" s="18">
        <v>2.9</v>
      </c>
      <c r="J199" s="18">
        <v>2</v>
      </c>
      <c r="K199" s="18" t="s">
        <v>46</v>
      </c>
      <c r="L199" s="18">
        <v>1</v>
      </c>
      <c r="M199" s="18" t="s">
        <v>35</v>
      </c>
      <c r="N199" s="18">
        <v>2</v>
      </c>
      <c r="O199" s="18">
        <v>0</v>
      </c>
      <c r="P199" s="18">
        <v>14</v>
      </c>
      <c r="Q199" s="18">
        <v>2</v>
      </c>
      <c r="R199" s="18">
        <v>3</v>
      </c>
      <c r="S199" s="18">
        <v>0</v>
      </c>
      <c r="T199" s="18">
        <v>87.56</v>
      </c>
    </row>
    <row r="200" spans="1:20" x14ac:dyDescent="0.3">
      <c r="A200" s="18">
        <v>50199</v>
      </c>
      <c r="B200" s="18">
        <v>0</v>
      </c>
      <c r="C200" s="18">
        <v>24</v>
      </c>
      <c r="D200" s="18" t="s">
        <v>36</v>
      </c>
      <c r="E200" s="18">
        <v>2</v>
      </c>
      <c r="F200" s="18">
        <v>5</v>
      </c>
      <c r="G200" s="18" t="s">
        <v>32</v>
      </c>
      <c r="H200" s="18" t="s">
        <v>38</v>
      </c>
      <c r="I200" s="18">
        <v>2.8</v>
      </c>
      <c r="J200" s="18">
        <v>2</v>
      </c>
      <c r="K200" s="18" t="s">
        <v>44</v>
      </c>
      <c r="L200" s="18">
        <v>3</v>
      </c>
      <c r="M200" s="18" t="s">
        <v>41</v>
      </c>
      <c r="N200" s="18">
        <v>2</v>
      </c>
      <c r="O200" s="18">
        <v>0</v>
      </c>
      <c r="P200" s="18">
        <v>15.6</v>
      </c>
      <c r="Q200" s="18">
        <v>4</v>
      </c>
      <c r="R200" s="18">
        <v>2</v>
      </c>
      <c r="S200" s="18">
        <v>3</v>
      </c>
      <c r="T200" s="18">
        <v>111.72</v>
      </c>
    </row>
    <row r="201" spans="1:20" x14ac:dyDescent="0.3">
      <c r="A201" s="18">
        <v>50200</v>
      </c>
      <c r="B201" s="18">
        <v>1</v>
      </c>
      <c r="C201" s="18">
        <v>1</v>
      </c>
      <c r="D201" s="18" t="s">
        <v>36</v>
      </c>
      <c r="E201" s="18">
        <v>3</v>
      </c>
      <c r="F201" s="18">
        <v>5</v>
      </c>
      <c r="G201" s="18" t="s">
        <v>37</v>
      </c>
      <c r="H201" s="18" t="s">
        <v>33</v>
      </c>
      <c r="I201" s="18">
        <v>3.8</v>
      </c>
      <c r="J201" s="18">
        <v>3</v>
      </c>
      <c r="K201" s="18" t="s">
        <v>44</v>
      </c>
      <c r="L201" s="18">
        <v>3</v>
      </c>
      <c r="M201" s="18" t="s">
        <v>35</v>
      </c>
      <c r="N201" s="18">
        <v>1</v>
      </c>
      <c r="O201" s="18">
        <v>1</v>
      </c>
      <c r="P201" s="18">
        <v>17.8</v>
      </c>
      <c r="Q201" s="18">
        <v>1</v>
      </c>
      <c r="R201" s="18">
        <v>6</v>
      </c>
      <c r="S201" s="18">
        <v>6</v>
      </c>
      <c r="T201" s="18">
        <v>204.12</v>
      </c>
    </row>
    <row r="202" spans="1:20" x14ac:dyDescent="0.3">
      <c r="A202" s="18">
        <v>50201</v>
      </c>
      <c r="B202" s="18">
        <v>0</v>
      </c>
      <c r="C202" s="18">
        <v>30</v>
      </c>
      <c r="D202" s="18" t="s">
        <v>36</v>
      </c>
      <c r="E202" s="18">
        <v>3</v>
      </c>
      <c r="F202" s="18">
        <v>20</v>
      </c>
      <c r="G202" s="18" t="s">
        <v>39</v>
      </c>
      <c r="H202" s="18" t="s">
        <v>33</v>
      </c>
      <c r="I202" s="18">
        <v>2.4</v>
      </c>
      <c r="J202" s="18">
        <v>4</v>
      </c>
      <c r="K202" s="18" t="s">
        <v>44</v>
      </c>
      <c r="L202" s="18">
        <v>5</v>
      </c>
      <c r="M202" s="18" t="s">
        <v>41</v>
      </c>
      <c r="N202" s="18">
        <v>6</v>
      </c>
      <c r="O202" s="18">
        <v>0</v>
      </c>
      <c r="P202" s="18">
        <v>11</v>
      </c>
      <c r="Q202" s="18">
        <v>2</v>
      </c>
      <c r="R202" s="18">
        <v>4</v>
      </c>
      <c r="S202" s="18">
        <v>0</v>
      </c>
      <c r="T202" s="18">
        <v>235.34</v>
      </c>
    </row>
    <row r="203" spans="1:20" x14ac:dyDescent="0.3">
      <c r="A203" s="18">
        <v>50202</v>
      </c>
      <c r="B203" s="18">
        <v>0</v>
      </c>
      <c r="C203" s="18">
        <v>5</v>
      </c>
      <c r="D203" s="18" t="s">
        <v>36</v>
      </c>
      <c r="E203" s="18">
        <v>1</v>
      </c>
      <c r="F203" s="18">
        <v>5</v>
      </c>
      <c r="G203" s="18" t="s">
        <v>39</v>
      </c>
      <c r="H203" s="18" t="s">
        <v>33</v>
      </c>
      <c r="I203" s="18">
        <v>2</v>
      </c>
      <c r="J203" s="18">
        <v>4</v>
      </c>
      <c r="K203" s="18" t="s">
        <v>40</v>
      </c>
      <c r="L203" s="18">
        <v>4</v>
      </c>
      <c r="M203" s="18" t="s">
        <v>35</v>
      </c>
      <c r="N203" s="18">
        <v>1</v>
      </c>
      <c r="O203" s="18">
        <v>0</v>
      </c>
      <c r="P203" s="18">
        <v>17.399999999999999</v>
      </c>
      <c r="Q203" s="18">
        <v>2</v>
      </c>
      <c r="R203" s="18">
        <v>3</v>
      </c>
      <c r="S203" s="18">
        <v>7</v>
      </c>
      <c r="T203" s="18">
        <v>217.67</v>
      </c>
    </row>
    <row r="204" spans="1:20" x14ac:dyDescent="0.3">
      <c r="A204" s="18">
        <v>50203</v>
      </c>
      <c r="B204" s="18">
        <v>0</v>
      </c>
      <c r="C204" s="18">
        <v>2</v>
      </c>
      <c r="D204" s="18" t="s">
        <v>42</v>
      </c>
      <c r="E204" s="18">
        <v>3</v>
      </c>
      <c r="F204" s="18">
        <v>12</v>
      </c>
      <c r="G204" s="18" t="s">
        <v>39</v>
      </c>
      <c r="H204" s="18" t="s">
        <v>33</v>
      </c>
      <c r="I204" s="18"/>
      <c r="J204" s="18">
        <v>3</v>
      </c>
      <c r="K204" s="18" t="s">
        <v>40</v>
      </c>
      <c r="L204" s="18">
        <v>4</v>
      </c>
      <c r="M204" s="18" t="s">
        <v>41</v>
      </c>
      <c r="N204" s="18">
        <v>1</v>
      </c>
      <c r="O204" s="18">
        <v>1</v>
      </c>
      <c r="P204" s="18">
        <v>17.100000000000001</v>
      </c>
      <c r="Q204" s="18">
        <v>1</v>
      </c>
      <c r="R204" s="18">
        <v>3</v>
      </c>
      <c r="S204" s="18">
        <v>19</v>
      </c>
      <c r="T204" s="18">
        <v>215.8</v>
      </c>
    </row>
    <row r="205" spans="1:20" x14ac:dyDescent="0.3">
      <c r="A205" s="18">
        <v>50204</v>
      </c>
      <c r="B205" s="18">
        <v>0</v>
      </c>
      <c r="C205" s="18">
        <v>7</v>
      </c>
      <c r="D205" s="18" t="s">
        <v>36</v>
      </c>
      <c r="E205" s="18">
        <v>3</v>
      </c>
      <c r="F205" s="18">
        <v>18</v>
      </c>
      <c r="G205" s="18" t="s">
        <v>32</v>
      </c>
      <c r="H205" s="18" t="s">
        <v>33</v>
      </c>
      <c r="I205" s="18">
        <v>2.6</v>
      </c>
      <c r="J205" s="18">
        <v>2</v>
      </c>
      <c r="K205" s="18" t="s">
        <v>36</v>
      </c>
      <c r="L205" s="18">
        <v>3</v>
      </c>
      <c r="M205" s="18" t="s">
        <v>35</v>
      </c>
      <c r="N205" s="18">
        <v>4</v>
      </c>
      <c r="O205" s="18">
        <v>1</v>
      </c>
      <c r="P205" s="18">
        <v>16.2</v>
      </c>
      <c r="Q205" s="18">
        <v>1</v>
      </c>
      <c r="R205" s="18">
        <v>8</v>
      </c>
      <c r="S205" s="18">
        <v>0</v>
      </c>
      <c r="T205" s="18">
        <v>176.44</v>
      </c>
    </row>
    <row r="206" spans="1:20" x14ac:dyDescent="0.3">
      <c r="A206" s="18">
        <v>50205</v>
      </c>
      <c r="B206" s="18">
        <v>0</v>
      </c>
      <c r="C206" s="18">
        <v>20</v>
      </c>
      <c r="D206" s="18" t="s">
        <v>42</v>
      </c>
      <c r="E206" s="18">
        <v>2</v>
      </c>
      <c r="F206" s="18">
        <v>16</v>
      </c>
      <c r="G206" s="18" t="s">
        <v>47</v>
      </c>
      <c r="H206" s="18" t="s">
        <v>33</v>
      </c>
      <c r="I206" s="18"/>
      <c r="J206" s="18">
        <v>3</v>
      </c>
      <c r="K206" s="18" t="s">
        <v>36</v>
      </c>
      <c r="L206" s="18">
        <v>3</v>
      </c>
      <c r="M206" s="18" t="s">
        <v>35</v>
      </c>
      <c r="N206" s="18">
        <v>1</v>
      </c>
      <c r="O206" s="18">
        <v>0</v>
      </c>
      <c r="P206" s="18">
        <v>15.5</v>
      </c>
      <c r="Q206" s="18">
        <v>1</v>
      </c>
      <c r="R206" s="18">
        <v>5</v>
      </c>
      <c r="S206" s="18">
        <v>8</v>
      </c>
      <c r="T206" s="18">
        <v>157.63</v>
      </c>
    </row>
    <row r="207" spans="1:20" x14ac:dyDescent="0.3">
      <c r="A207" s="18">
        <v>50206</v>
      </c>
      <c r="B207" s="18">
        <v>0</v>
      </c>
      <c r="C207" s="18">
        <v>13</v>
      </c>
      <c r="D207" s="18" t="s">
        <v>36</v>
      </c>
      <c r="E207" s="18">
        <v>3</v>
      </c>
      <c r="F207" s="18">
        <v>18</v>
      </c>
      <c r="G207" s="18" t="s">
        <v>39</v>
      </c>
      <c r="H207" s="18" t="s">
        <v>38</v>
      </c>
      <c r="I207" s="18">
        <v>3.4</v>
      </c>
      <c r="J207" s="18">
        <v>4</v>
      </c>
      <c r="K207" s="18" t="s">
        <v>46</v>
      </c>
      <c r="L207" s="18">
        <v>2</v>
      </c>
      <c r="M207" s="18" t="s">
        <v>35</v>
      </c>
      <c r="N207" s="18">
        <v>6</v>
      </c>
      <c r="O207" s="18">
        <v>0</v>
      </c>
      <c r="P207" s="18">
        <v>11</v>
      </c>
      <c r="Q207" s="18">
        <v>3</v>
      </c>
      <c r="R207" s="18">
        <v>3</v>
      </c>
      <c r="S207" s="18">
        <v>2</v>
      </c>
      <c r="T207" s="18">
        <v>195.89</v>
      </c>
    </row>
    <row r="208" spans="1:20" x14ac:dyDescent="0.3">
      <c r="A208" s="18">
        <v>50207</v>
      </c>
      <c r="B208" s="18">
        <v>0</v>
      </c>
      <c r="C208" s="18">
        <v>16</v>
      </c>
      <c r="D208" s="18" t="s">
        <v>31</v>
      </c>
      <c r="E208" s="18">
        <v>1</v>
      </c>
      <c r="F208" s="18">
        <v>16</v>
      </c>
      <c r="G208" s="18" t="s">
        <v>39</v>
      </c>
      <c r="H208" s="18" t="s">
        <v>33</v>
      </c>
      <c r="I208" s="18">
        <v>2.6</v>
      </c>
      <c r="J208" s="18">
        <v>3</v>
      </c>
      <c r="K208" s="18" t="s">
        <v>40</v>
      </c>
      <c r="L208" s="18">
        <v>3</v>
      </c>
      <c r="M208" s="18" t="s">
        <v>35</v>
      </c>
      <c r="N208" s="18">
        <v>1</v>
      </c>
      <c r="O208" s="18">
        <v>0</v>
      </c>
      <c r="P208" s="18">
        <v>14.5</v>
      </c>
      <c r="Q208" s="18">
        <v>1</v>
      </c>
      <c r="R208" s="18">
        <v>1</v>
      </c>
      <c r="S208" s="18">
        <v>0</v>
      </c>
      <c r="T208" s="18">
        <v>225.18</v>
      </c>
    </row>
    <row r="209" spans="1:20" x14ac:dyDescent="0.3">
      <c r="A209" s="18">
        <v>50208</v>
      </c>
      <c r="B209" s="18">
        <v>0</v>
      </c>
      <c r="C209" s="18">
        <v>10</v>
      </c>
      <c r="D209" s="18" t="s">
        <v>36</v>
      </c>
      <c r="E209" s="18">
        <v>1</v>
      </c>
      <c r="F209" s="18">
        <v>25</v>
      </c>
      <c r="G209" s="18" t="s">
        <v>47</v>
      </c>
      <c r="H209" s="18" t="s">
        <v>38</v>
      </c>
      <c r="I209" s="18">
        <v>2.2000000000000002</v>
      </c>
      <c r="J209" s="18">
        <v>3</v>
      </c>
      <c r="K209" s="18" t="s">
        <v>46</v>
      </c>
      <c r="L209" s="18">
        <v>1</v>
      </c>
      <c r="M209" s="18" t="s">
        <v>41</v>
      </c>
      <c r="N209" s="18">
        <v>4</v>
      </c>
      <c r="O209" s="18">
        <v>0</v>
      </c>
      <c r="P209" s="18">
        <v>22.3</v>
      </c>
      <c r="Q209" s="18">
        <v>3</v>
      </c>
      <c r="R209" s="18">
        <v>3</v>
      </c>
      <c r="S209" s="18"/>
      <c r="T209" s="18">
        <v>180.27</v>
      </c>
    </row>
    <row r="210" spans="1:20" x14ac:dyDescent="0.3">
      <c r="A210" s="18">
        <v>50209</v>
      </c>
      <c r="B210" s="18">
        <v>0</v>
      </c>
      <c r="C210" s="18">
        <v>11</v>
      </c>
      <c r="D210" s="18" t="s">
        <v>36</v>
      </c>
      <c r="E210" s="18">
        <v>3</v>
      </c>
      <c r="F210" s="18">
        <v>7</v>
      </c>
      <c r="G210" s="18" t="s">
        <v>37</v>
      </c>
      <c r="H210" s="18" t="s">
        <v>38</v>
      </c>
      <c r="I210" s="18">
        <v>1.6</v>
      </c>
      <c r="J210" s="18">
        <v>2</v>
      </c>
      <c r="K210" s="18" t="s">
        <v>46</v>
      </c>
      <c r="L210" s="18">
        <v>2</v>
      </c>
      <c r="M210" s="18" t="s">
        <v>41</v>
      </c>
      <c r="N210" s="18">
        <v>1</v>
      </c>
      <c r="O210" s="18">
        <v>1</v>
      </c>
      <c r="P210" s="18">
        <v>16</v>
      </c>
      <c r="Q210" s="18">
        <v>0</v>
      </c>
      <c r="R210" s="18">
        <v>2</v>
      </c>
      <c r="S210" s="18">
        <v>0</v>
      </c>
      <c r="T210" s="18">
        <v>246.56</v>
      </c>
    </row>
    <row r="211" spans="1:20" x14ac:dyDescent="0.3">
      <c r="A211" s="18">
        <v>50210</v>
      </c>
      <c r="B211" s="18">
        <v>0</v>
      </c>
      <c r="C211" s="18">
        <v>18</v>
      </c>
      <c r="D211" s="18" t="s">
        <v>36</v>
      </c>
      <c r="E211" s="18">
        <v>1</v>
      </c>
      <c r="F211" s="18">
        <v>9</v>
      </c>
      <c r="G211" s="18" t="s">
        <v>37</v>
      </c>
      <c r="H211" s="18" t="s">
        <v>38</v>
      </c>
      <c r="I211" s="18">
        <v>2.2000000000000002</v>
      </c>
      <c r="J211" s="18">
        <v>4</v>
      </c>
      <c r="K211" s="18" t="s">
        <v>40</v>
      </c>
      <c r="L211" s="18">
        <v>3</v>
      </c>
      <c r="M211" s="18" t="s">
        <v>35</v>
      </c>
      <c r="N211" s="18">
        <v>1</v>
      </c>
      <c r="O211" s="18">
        <v>0</v>
      </c>
      <c r="P211" s="18">
        <v>14.9</v>
      </c>
      <c r="Q211" s="18">
        <v>1</v>
      </c>
      <c r="R211" s="18">
        <v>3</v>
      </c>
      <c r="S211" s="18">
        <v>3</v>
      </c>
      <c r="T211" s="18">
        <v>168.17</v>
      </c>
    </row>
    <row r="212" spans="1:20" x14ac:dyDescent="0.3">
      <c r="A212" s="18">
        <v>50211</v>
      </c>
      <c r="B212" s="18">
        <v>1</v>
      </c>
      <c r="C212" s="18">
        <v>2</v>
      </c>
      <c r="D212" s="18" t="s">
        <v>36</v>
      </c>
      <c r="E212" s="18">
        <v>3</v>
      </c>
      <c r="F212" s="18">
        <v>8</v>
      </c>
      <c r="G212" s="18" t="s">
        <v>37</v>
      </c>
      <c r="H212" s="18" t="s">
        <v>38</v>
      </c>
      <c r="I212" s="18">
        <v>3</v>
      </c>
      <c r="J212" s="18">
        <v>3</v>
      </c>
      <c r="K212" s="18" t="s">
        <v>36</v>
      </c>
      <c r="L212" s="18">
        <v>3</v>
      </c>
      <c r="M212" s="18" t="s">
        <v>35</v>
      </c>
      <c r="N212" s="18">
        <v>1</v>
      </c>
      <c r="O212" s="18">
        <v>1</v>
      </c>
      <c r="P212" s="18">
        <v>16.100000000000001</v>
      </c>
      <c r="Q212" s="18">
        <v>1</v>
      </c>
      <c r="R212" s="18">
        <v>4</v>
      </c>
      <c r="S212" s="18">
        <v>0</v>
      </c>
      <c r="T212" s="18">
        <v>126.08</v>
      </c>
    </row>
    <row r="213" spans="1:20" x14ac:dyDescent="0.3">
      <c r="A213" s="18">
        <v>50212</v>
      </c>
      <c r="B213" s="18">
        <v>0</v>
      </c>
      <c r="C213" s="18">
        <v>6</v>
      </c>
      <c r="D213" s="18" t="s">
        <v>31</v>
      </c>
      <c r="E213" s="18">
        <v>3</v>
      </c>
      <c r="F213" s="18">
        <v>21</v>
      </c>
      <c r="G213" s="18" t="s">
        <v>39</v>
      </c>
      <c r="H213" s="18" t="s">
        <v>38</v>
      </c>
      <c r="I213" s="18">
        <v>3.9</v>
      </c>
      <c r="J213" s="18">
        <v>4</v>
      </c>
      <c r="K213" s="18" t="s">
        <v>46</v>
      </c>
      <c r="L213" s="18">
        <v>1</v>
      </c>
      <c r="M213" s="18" t="s">
        <v>35</v>
      </c>
      <c r="N213" s="18">
        <v>5</v>
      </c>
      <c r="O213" s="18">
        <v>0</v>
      </c>
      <c r="P213" s="18">
        <v>17.2</v>
      </c>
      <c r="Q213" s="18">
        <v>0</v>
      </c>
      <c r="R213" s="18">
        <v>4</v>
      </c>
      <c r="S213" s="18">
        <v>6</v>
      </c>
      <c r="T213" s="18">
        <v>179.43</v>
      </c>
    </row>
    <row r="214" spans="1:20" x14ac:dyDescent="0.3">
      <c r="A214" s="18">
        <v>50213</v>
      </c>
      <c r="B214" s="18">
        <v>1</v>
      </c>
      <c r="C214" s="18">
        <v>2</v>
      </c>
      <c r="D214" s="18" t="s">
        <v>36</v>
      </c>
      <c r="E214" s="18">
        <v>1</v>
      </c>
      <c r="F214" s="18">
        <v>22</v>
      </c>
      <c r="G214" s="18" t="s">
        <v>47</v>
      </c>
      <c r="H214" s="18" t="s">
        <v>38</v>
      </c>
      <c r="I214" s="18">
        <v>3.7</v>
      </c>
      <c r="J214" s="18">
        <v>4</v>
      </c>
      <c r="K214" s="18" t="s">
        <v>34</v>
      </c>
      <c r="L214" s="18">
        <v>4</v>
      </c>
      <c r="M214" s="18" t="s">
        <v>35</v>
      </c>
      <c r="N214" s="18">
        <v>11</v>
      </c>
      <c r="O214" s="18">
        <v>0</v>
      </c>
      <c r="P214" s="18">
        <v>18.3</v>
      </c>
      <c r="Q214" s="18">
        <v>3</v>
      </c>
      <c r="R214" s="18">
        <v>4</v>
      </c>
      <c r="S214" s="18">
        <v>3</v>
      </c>
      <c r="T214" s="18">
        <v>185.83</v>
      </c>
    </row>
    <row r="215" spans="1:20" x14ac:dyDescent="0.3">
      <c r="A215" s="18">
        <v>50214</v>
      </c>
      <c r="B215" s="18">
        <v>0</v>
      </c>
      <c r="C215" s="18">
        <v>43</v>
      </c>
      <c r="D215" s="18" t="s">
        <v>31</v>
      </c>
      <c r="E215" s="18">
        <v>3</v>
      </c>
      <c r="F215" s="18">
        <v>18</v>
      </c>
      <c r="G215" s="18" t="s">
        <v>43</v>
      </c>
      <c r="H215" s="18" t="s">
        <v>38</v>
      </c>
      <c r="I215" s="18">
        <v>3.1</v>
      </c>
      <c r="J215" s="18">
        <v>3</v>
      </c>
      <c r="K215" s="18" t="s">
        <v>44</v>
      </c>
      <c r="L215" s="18">
        <v>3</v>
      </c>
      <c r="M215" s="18" t="s">
        <v>35</v>
      </c>
      <c r="N215" s="18">
        <v>2</v>
      </c>
      <c r="O215" s="18">
        <v>0</v>
      </c>
      <c r="P215" s="18">
        <v>15.2</v>
      </c>
      <c r="Q215" s="18">
        <v>3</v>
      </c>
      <c r="R215" s="18">
        <v>5</v>
      </c>
      <c r="S215" s="18">
        <v>3</v>
      </c>
      <c r="T215" s="18">
        <v>175.49</v>
      </c>
    </row>
    <row r="216" spans="1:20" x14ac:dyDescent="0.3">
      <c r="A216" s="18">
        <v>50215</v>
      </c>
      <c r="B216" s="18">
        <v>0</v>
      </c>
      <c r="C216" s="18">
        <v>28</v>
      </c>
      <c r="D216" s="18" t="s">
        <v>36</v>
      </c>
      <c r="E216" s="18">
        <v>1</v>
      </c>
      <c r="F216" s="18">
        <v>24</v>
      </c>
      <c r="G216" s="18" t="s">
        <v>39</v>
      </c>
      <c r="H216" s="18" t="s">
        <v>33</v>
      </c>
      <c r="I216" s="18">
        <v>2.7</v>
      </c>
      <c r="J216" s="18">
        <v>3</v>
      </c>
      <c r="K216" s="18" t="s">
        <v>44</v>
      </c>
      <c r="L216" s="18">
        <v>1</v>
      </c>
      <c r="M216" s="18" t="s">
        <v>35</v>
      </c>
      <c r="N216" s="18">
        <v>6</v>
      </c>
      <c r="O216" s="18">
        <v>0</v>
      </c>
      <c r="P216" s="18">
        <v>17.5</v>
      </c>
      <c r="Q216" s="18">
        <v>1</v>
      </c>
      <c r="R216" s="18">
        <v>2</v>
      </c>
      <c r="S216" s="18">
        <v>1</v>
      </c>
      <c r="T216" s="18">
        <v>250.44</v>
      </c>
    </row>
    <row r="217" spans="1:20" x14ac:dyDescent="0.3">
      <c r="A217" s="18">
        <v>50216</v>
      </c>
      <c r="B217" s="18">
        <v>0</v>
      </c>
      <c r="C217" s="18">
        <v>0</v>
      </c>
      <c r="D217" s="18" t="s">
        <v>36</v>
      </c>
      <c r="E217" s="18">
        <v>2</v>
      </c>
      <c r="F217" s="18">
        <v>5</v>
      </c>
      <c r="G217" s="18" t="s">
        <v>37</v>
      </c>
      <c r="H217" s="18" t="s">
        <v>38</v>
      </c>
      <c r="I217" s="18">
        <v>3.1</v>
      </c>
      <c r="J217" s="18">
        <v>3</v>
      </c>
      <c r="K217" s="18" t="s">
        <v>34</v>
      </c>
      <c r="L217" s="18">
        <v>5</v>
      </c>
      <c r="M217" s="18" t="s">
        <v>41</v>
      </c>
      <c r="N217" s="18">
        <v>4</v>
      </c>
      <c r="O217" s="18">
        <v>0</v>
      </c>
      <c r="P217" s="18">
        <v>21.9</v>
      </c>
      <c r="Q217" s="18">
        <v>1</v>
      </c>
      <c r="R217" s="18">
        <v>5</v>
      </c>
      <c r="S217" s="18">
        <v>2</v>
      </c>
      <c r="T217" s="18">
        <v>224.29</v>
      </c>
    </row>
    <row r="218" spans="1:20" x14ac:dyDescent="0.3">
      <c r="A218" s="18">
        <v>50217</v>
      </c>
      <c r="B218" s="18">
        <v>0</v>
      </c>
      <c r="C218" s="18">
        <v>12</v>
      </c>
      <c r="D218" s="18" t="s">
        <v>36</v>
      </c>
      <c r="E218" s="18">
        <v>2</v>
      </c>
      <c r="F218" s="18">
        <v>28</v>
      </c>
      <c r="G218" s="18" t="s">
        <v>37</v>
      </c>
      <c r="H218" s="18" t="s">
        <v>38</v>
      </c>
      <c r="I218" s="18">
        <v>2.5</v>
      </c>
      <c r="J218" s="18">
        <v>2</v>
      </c>
      <c r="K218" s="18" t="s">
        <v>44</v>
      </c>
      <c r="L218" s="18">
        <v>1</v>
      </c>
      <c r="M218" s="18" t="s">
        <v>35</v>
      </c>
      <c r="N218" s="18">
        <v>11</v>
      </c>
      <c r="O218" s="18">
        <v>0</v>
      </c>
      <c r="P218" s="18">
        <v>19.5</v>
      </c>
      <c r="Q218" s="18">
        <v>0</v>
      </c>
      <c r="R218" s="18">
        <v>5</v>
      </c>
      <c r="S218" s="18">
        <v>1</v>
      </c>
      <c r="T218" s="18">
        <v>101.3</v>
      </c>
    </row>
    <row r="219" spans="1:20" x14ac:dyDescent="0.3">
      <c r="A219" s="18">
        <v>50218</v>
      </c>
      <c r="B219" s="18">
        <v>0</v>
      </c>
      <c r="C219" s="18">
        <v>25</v>
      </c>
      <c r="D219" s="18" t="s">
        <v>42</v>
      </c>
      <c r="E219" s="18">
        <v>3</v>
      </c>
      <c r="F219" s="18">
        <v>27</v>
      </c>
      <c r="G219" s="18" t="s">
        <v>37</v>
      </c>
      <c r="H219" s="18" t="s">
        <v>38</v>
      </c>
      <c r="I219" s="18">
        <v>4.0999999999999996</v>
      </c>
      <c r="J219" s="18">
        <v>2</v>
      </c>
      <c r="K219" s="18" t="s">
        <v>46</v>
      </c>
      <c r="L219" s="18">
        <v>5</v>
      </c>
      <c r="M219" s="18" t="s">
        <v>41</v>
      </c>
      <c r="N219" s="18">
        <v>5</v>
      </c>
      <c r="O219" s="18">
        <v>0</v>
      </c>
      <c r="P219" s="18">
        <v>24.2</v>
      </c>
      <c r="Q219" s="18"/>
      <c r="R219" s="18">
        <v>3</v>
      </c>
      <c r="S219" s="18">
        <v>6</v>
      </c>
      <c r="T219" s="18">
        <v>264.39</v>
      </c>
    </row>
    <row r="220" spans="1:20" x14ac:dyDescent="0.3">
      <c r="A220" s="18">
        <v>50219</v>
      </c>
      <c r="B220" s="18">
        <v>1</v>
      </c>
      <c r="C220" s="18">
        <v>1</v>
      </c>
      <c r="D220" s="18" t="s">
        <v>31</v>
      </c>
      <c r="E220" s="18">
        <v>1</v>
      </c>
      <c r="F220" s="18">
        <v>20</v>
      </c>
      <c r="G220" s="18" t="s">
        <v>39</v>
      </c>
      <c r="H220" s="18" t="s">
        <v>38</v>
      </c>
      <c r="I220" s="18">
        <v>2.8</v>
      </c>
      <c r="J220" s="18">
        <v>3</v>
      </c>
      <c r="K220" s="18" t="s">
        <v>36</v>
      </c>
      <c r="L220" s="18">
        <v>1</v>
      </c>
      <c r="M220" s="18" t="s">
        <v>35</v>
      </c>
      <c r="N220" s="18">
        <v>1</v>
      </c>
      <c r="O220" s="18">
        <v>1</v>
      </c>
      <c r="P220" s="18">
        <v>13.7</v>
      </c>
      <c r="Q220" s="18">
        <v>0</v>
      </c>
      <c r="R220" s="18">
        <v>5</v>
      </c>
      <c r="S220" s="18">
        <v>1</v>
      </c>
      <c r="T220" s="18">
        <v>29.22</v>
      </c>
    </row>
    <row r="221" spans="1:20" x14ac:dyDescent="0.3">
      <c r="A221" s="18">
        <v>50220</v>
      </c>
      <c r="B221" s="18">
        <v>0</v>
      </c>
      <c r="C221" s="18">
        <v>8</v>
      </c>
      <c r="D221" s="18" t="s">
        <v>36</v>
      </c>
      <c r="E221" s="18">
        <v>1</v>
      </c>
      <c r="F221" s="18">
        <v>29</v>
      </c>
      <c r="G221" s="18" t="s">
        <v>32</v>
      </c>
      <c r="H221" s="18" t="s">
        <v>33</v>
      </c>
      <c r="I221" s="18">
        <v>2.8</v>
      </c>
      <c r="J221" s="18">
        <v>4</v>
      </c>
      <c r="K221" s="18" t="s">
        <v>44</v>
      </c>
      <c r="L221" s="18">
        <v>5</v>
      </c>
      <c r="M221" s="18" t="s">
        <v>41</v>
      </c>
      <c r="N221" s="18">
        <v>4</v>
      </c>
      <c r="O221" s="18">
        <v>0</v>
      </c>
      <c r="P221" s="18">
        <v>21.9</v>
      </c>
      <c r="Q221" s="18">
        <v>0</v>
      </c>
      <c r="R221" s="18">
        <v>7</v>
      </c>
      <c r="S221" s="18">
        <v>4</v>
      </c>
      <c r="T221" s="18">
        <v>298.31</v>
      </c>
    </row>
    <row r="222" spans="1:20" x14ac:dyDescent="0.3">
      <c r="A222" s="18">
        <v>50221</v>
      </c>
      <c r="B222" s="18">
        <v>0</v>
      </c>
      <c r="C222" s="18">
        <v>24</v>
      </c>
      <c r="D222" s="18" t="s">
        <v>36</v>
      </c>
      <c r="E222" s="18">
        <v>2</v>
      </c>
      <c r="F222" s="18">
        <v>5</v>
      </c>
      <c r="G222" s="18" t="s">
        <v>37</v>
      </c>
      <c r="H222" s="18" t="s">
        <v>33</v>
      </c>
      <c r="I222" s="18">
        <v>1.3</v>
      </c>
      <c r="J222" s="18">
        <v>3</v>
      </c>
      <c r="K222" s="18" t="s">
        <v>44</v>
      </c>
      <c r="L222" s="18">
        <v>1</v>
      </c>
      <c r="M222" s="18" t="s">
        <v>41</v>
      </c>
      <c r="N222" s="18">
        <v>2</v>
      </c>
      <c r="O222" s="18">
        <v>1</v>
      </c>
      <c r="P222" s="18">
        <v>13.2</v>
      </c>
      <c r="Q222" s="18">
        <v>2</v>
      </c>
      <c r="R222" s="18">
        <v>7</v>
      </c>
      <c r="S222" s="18">
        <v>1</v>
      </c>
      <c r="T222" s="18">
        <v>164.2</v>
      </c>
    </row>
    <row r="223" spans="1:20" x14ac:dyDescent="0.3">
      <c r="A223" s="18">
        <v>50222</v>
      </c>
      <c r="B223" s="18">
        <v>0</v>
      </c>
      <c r="C223" s="18">
        <v>0</v>
      </c>
      <c r="D223" s="18" t="s">
        <v>36</v>
      </c>
      <c r="E223" s="18">
        <v>3</v>
      </c>
      <c r="F223" s="18">
        <v>10</v>
      </c>
      <c r="G223" s="18" t="s">
        <v>37</v>
      </c>
      <c r="H223" s="18" t="s">
        <v>33</v>
      </c>
      <c r="I223" s="18">
        <v>2.8</v>
      </c>
      <c r="J223" s="18">
        <v>3</v>
      </c>
      <c r="K223" s="18" t="s">
        <v>44</v>
      </c>
      <c r="L223" s="18">
        <v>4</v>
      </c>
      <c r="M223" s="18" t="s">
        <v>35</v>
      </c>
      <c r="N223" s="18">
        <v>1</v>
      </c>
      <c r="O223" s="18">
        <v>0</v>
      </c>
      <c r="P223" s="18">
        <v>17.2</v>
      </c>
      <c r="Q223" s="18">
        <v>1</v>
      </c>
      <c r="R223" s="18">
        <v>3</v>
      </c>
      <c r="S223" s="18">
        <v>5</v>
      </c>
      <c r="T223" s="18">
        <v>169.57</v>
      </c>
    </row>
    <row r="224" spans="1:20" x14ac:dyDescent="0.3">
      <c r="A224" s="18">
        <v>50223</v>
      </c>
      <c r="B224" s="18">
        <v>1</v>
      </c>
      <c r="C224" s="18">
        <v>11</v>
      </c>
      <c r="D224" s="18" t="s">
        <v>42</v>
      </c>
      <c r="E224" s="18">
        <v>2</v>
      </c>
      <c r="F224" s="18">
        <v>9</v>
      </c>
      <c r="G224" s="18" t="s">
        <v>39</v>
      </c>
      <c r="H224" s="18" t="s">
        <v>33</v>
      </c>
      <c r="I224" s="18">
        <v>3.5</v>
      </c>
      <c r="J224" s="18">
        <v>4</v>
      </c>
      <c r="K224" s="18" t="s">
        <v>44</v>
      </c>
      <c r="L224" s="18">
        <v>3</v>
      </c>
      <c r="M224" s="18" t="s">
        <v>35</v>
      </c>
      <c r="N224" s="18">
        <v>1</v>
      </c>
      <c r="O224" s="18">
        <v>1</v>
      </c>
      <c r="P224" s="18">
        <v>18.600000000000001</v>
      </c>
      <c r="Q224" s="18">
        <v>4</v>
      </c>
      <c r="R224" s="18">
        <v>3</v>
      </c>
      <c r="S224" s="18">
        <v>3</v>
      </c>
      <c r="T224" s="18">
        <v>176.7</v>
      </c>
    </row>
    <row r="225" spans="1:20" x14ac:dyDescent="0.3">
      <c r="A225" s="18">
        <v>50224</v>
      </c>
      <c r="B225" s="18">
        <v>0</v>
      </c>
      <c r="C225" s="18">
        <v>3</v>
      </c>
      <c r="D225" s="18" t="s">
        <v>31</v>
      </c>
      <c r="E225" s="18">
        <v>1</v>
      </c>
      <c r="F225" s="18">
        <v>20</v>
      </c>
      <c r="G225" s="18" t="s">
        <v>39</v>
      </c>
      <c r="H225" s="18" t="s">
        <v>38</v>
      </c>
      <c r="I225" s="18">
        <v>2.2000000000000002</v>
      </c>
      <c r="J225" s="18">
        <v>3</v>
      </c>
      <c r="K225" s="18" t="s">
        <v>36</v>
      </c>
      <c r="L225" s="18">
        <v>4</v>
      </c>
      <c r="M225" s="18" t="s">
        <v>41</v>
      </c>
      <c r="N225" s="18">
        <v>8</v>
      </c>
      <c r="O225" s="18">
        <v>1</v>
      </c>
      <c r="P225" s="18">
        <v>14.2</v>
      </c>
      <c r="Q225" s="18">
        <v>1</v>
      </c>
      <c r="R225" s="18">
        <v>1</v>
      </c>
      <c r="S225" s="18">
        <v>2</v>
      </c>
      <c r="T225" s="18">
        <v>201.19</v>
      </c>
    </row>
    <row r="226" spans="1:20" x14ac:dyDescent="0.3">
      <c r="A226" s="18">
        <v>50225</v>
      </c>
      <c r="B226" s="18">
        <v>0</v>
      </c>
      <c r="C226" s="18">
        <v>25</v>
      </c>
      <c r="D226" s="18" t="s">
        <v>36</v>
      </c>
      <c r="E226" s="18">
        <v>1</v>
      </c>
      <c r="F226" s="18">
        <v>6</v>
      </c>
      <c r="G226" s="18" t="s">
        <v>39</v>
      </c>
      <c r="H226" s="18" t="s">
        <v>33</v>
      </c>
      <c r="I226" s="18">
        <v>2.4</v>
      </c>
      <c r="J226" s="18">
        <v>4</v>
      </c>
      <c r="K226" s="18" t="s">
        <v>40</v>
      </c>
      <c r="L226" s="18">
        <v>3</v>
      </c>
      <c r="M226" s="18" t="s">
        <v>41</v>
      </c>
      <c r="N226" s="18">
        <v>9</v>
      </c>
      <c r="O226" s="18">
        <v>0</v>
      </c>
      <c r="P226" s="18">
        <v>16.3</v>
      </c>
      <c r="Q226" s="18">
        <v>2</v>
      </c>
      <c r="R226" s="18">
        <v>4</v>
      </c>
      <c r="S226" s="18">
        <v>5</v>
      </c>
      <c r="T226" s="18">
        <v>179.99</v>
      </c>
    </row>
    <row r="227" spans="1:20" x14ac:dyDescent="0.3">
      <c r="A227" s="18">
        <v>50226</v>
      </c>
      <c r="B227" s="18">
        <v>1</v>
      </c>
      <c r="C227" s="18">
        <v>35</v>
      </c>
      <c r="D227" s="18" t="s">
        <v>31</v>
      </c>
      <c r="E227" s="18">
        <v>1</v>
      </c>
      <c r="F227" s="18">
        <v>21</v>
      </c>
      <c r="G227" s="18" t="s">
        <v>47</v>
      </c>
      <c r="H227" s="18" t="s">
        <v>33</v>
      </c>
      <c r="I227" s="18">
        <v>3.5</v>
      </c>
      <c r="J227" s="18">
        <v>1</v>
      </c>
      <c r="K227" s="18" t="s">
        <v>34</v>
      </c>
      <c r="L227" s="18">
        <v>1</v>
      </c>
      <c r="M227" s="18" t="s">
        <v>35</v>
      </c>
      <c r="N227" s="18">
        <v>5</v>
      </c>
      <c r="O227" s="18">
        <v>1</v>
      </c>
      <c r="P227" s="18"/>
      <c r="Q227" s="18">
        <v>1</v>
      </c>
      <c r="R227" s="18">
        <v>2</v>
      </c>
      <c r="S227" s="18">
        <v>2</v>
      </c>
      <c r="T227" s="18">
        <v>172.66</v>
      </c>
    </row>
    <row r="228" spans="1:20" x14ac:dyDescent="0.3">
      <c r="A228" s="18">
        <v>50227</v>
      </c>
      <c r="B228" s="18">
        <v>0</v>
      </c>
      <c r="C228" s="18">
        <v>28</v>
      </c>
      <c r="D228" s="18" t="s">
        <v>36</v>
      </c>
      <c r="E228" s="18">
        <v>3</v>
      </c>
      <c r="F228" s="18">
        <v>25</v>
      </c>
      <c r="G228" s="18" t="s">
        <v>39</v>
      </c>
      <c r="H228" s="18" t="s">
        <v>33</v>
      </c>
      <c r="I228" s="18">
        <v>1.9</v>
      </c>
      <c r="J228" s="18">
        <v>1</v>
      </c>
      <c r="K228" s="18" t="s">
        <v>36</v>
      </c>
      <c r="L228" s="18">
        <v>4</v>
      </c>
      <c r="M228" s="18" t="s">
        <v>45</v>
      </c>
      <c r="N228" s="18">
        <v>14</v>
      </c>
      <c r="O228" s="18">
        <v>0</v>
      </c>
      <c r="P228" s="18">
        <v>13.5</v>
      </c>
      <c r="Q228" s="18">
        <v>1</v>
      </c>
      <c r="R228" s="18">
        <v>6</v>
      </c>
      <c r="S228" s="18">
        <v>8</v>
      </c>
      <c r="T228" s="18">
        <v>251.99</v>
      </c>
    </row>
    <row r="229" spans="1:20" x14ac:dyDescent="0.3">
      <c r="A229" s="18">
        <v>50228</v>
      </c>
      <c r="B229" s="18">
        <v>0</v>
      </c>
      <c r="C229" s="18">
        <v>6</v>
      </c>
      <c r="D229" s="18" t="s">
        <v>42</v>
      </c>
      <c r="E229" s="18">
        <v>1</v>
      </c>
      <c r="F229" s="18">
        <v>20</v>
      </c>
      <c r="G229" s="18" t="s">
        <v>47</v>
      </c>
      <c r="H229" s="18" t="s">
        <v>33</v>
      </c>
      <c r="I229" s="18">
        <v>3.6</v>
      </c>
      <c r="J229" s="18">
        <v>3</v>
      </c>
      <c r="K229" s="18" t="s">
        <v>36</v>
      </c>
      <c r="L229" s="18">
        <v>1</v>
      </c>
      <c r="M229" s="18" t="s">
        <v>35</v>
      </c>
      <c r="N229" s="18">
        <v>5</v>
      </c>
      <c r="O229" s="18">
        <v>1</v>
      </c>
      <c r="P229" s="18">
        <v>21.8</v>
      </c>
      <c r="Q229" s="18">
        <v>1</v>
      </c>
      <c r="R229" s="18">
        <v>6</v>
      </c>
      <c r="S229" s="18">
        <v>6</v>
      </c>
      <c r="T229" s="18">
        <v>211.11</v>
      </c>
    </row>
    <row r="230" spans="1:20" x14ac:dyDescent="0.3">
      <c r="A230" s="18">
        <v>50229</v>
      </c>
      <c r="B230" s="18">
        <v>0</v>
      </c>
      <c r="C230" s="18">
        <v>19</v>
      </c>
      <c r="D230" s="18" t="s">
        <v>36</v>
      </c>
      <c r="E230" s="18">
        <v>1</v>
      </c>
      <c r="F230" s="18">
        <v>17</v>
      </c>
      <c r="G230" s="18" t="s">
        <v>37</v>
      </c>
      <c r="H230" s="18" t="s">
        <v>38</v>
      </c>
      <c r="I230" s="18">
        <v>2.5</v>
      </c>
      <c r="J230" s="18">
        <v>2</v>
      </c>
      <c r="K230" s="18" t="s">
        <v>36</v>
      </c>
      <c r="L230" s="18">
        <v>5</v>
      </c>
      <c r="M230" s="18" t="s">
        <v>45</v>
      </c>
      <c r="N230" s="18">
        <v>1</v>
      </c>
      <c r="O230" s="18">
        <v>0</v>
      </c>
      <c r="P230" s="18">
        <v>11.2</v>
      </c>
      <c r="Q230" s="18">
        <v>1</v>
      </c>
      <c r="R230" s="18">
        <v>4</v>
      </c>
      <c r="S230" s="18">
        <v>3</v>
      </c>
      <c r="T230" s="18">
        <v>127.27</v>
      </c>
    </row>
    <row r="231" spans="1:20" x14ac:dyDescent="0.3">
      <c r="A231" s="18">
        <v>50230</v>
      </c>
      <c r="B231" s="18">
        <v>0</v>
      </c>
      <c r="C231" s="18">
        <v>18</v>
      </c>
      <c r="D231" s="18" t="s">
        <v>31</v>
      </c>
      <c r="E231" s="18">
        <v>3</v>
      </c>
      <c r="F231" s="18">
        <v>7</v>
      </c>
      <c r="G231" s="18" t="s">
        <v>37</v>
      </c>
      <c r="H231" s="18" t="s">
        <v>38</v>
      </c>
      <c r="I231" s="18">
        <v>2.6</v>
      </c>
      <c r="J231" s="18">
        <v>3</v>
      </c>
      <c r="K231" s="18" t="s">
        <v>36</v>
      </c>
      <c r="L231" s="18">
        <v>1</v>
      </c>
      <c r="M231" s="18" t="s">
        <v>41</v>
      </c>
      <c r="N231" s="18">
        <v>1</v>
      </c>
      <c r="O231" s="18">
        <v>0</v>
      </c>
      <c r="P231" s="18">
        <v>22.8</v>
      </c>
      <c r="Q231" s="18">
        <v>1</v>
      </c>
      <c r="R231" s="18">
        <v>3</v>
      </c>
      <c r="S231" s="18">
        <v>10</v>
      </c>
      <c r="T231" s="18">
        <v>220.74</v>
      </c>
    </row>
    <row r="232" spans="1:20" x14ac:dyDescent="0.3">
      <c r="A232" s="18">
        <v>50231</v>
      </c>
      <c r="B232" s="18">
        <v>0</v>
      </c>
      <c r="C232" s="18">
        <v>3</v>
      </c>
      <c r="D232" s="18" t="s">
        <v>36</v>
      </c>
      <c r="E232" s="18">
        <v>1</v>
      </c>
      <c r="F232" s="18">
        <v>8</v>
      </c>
      <c r="G232" s="18" t="s">
        <v>37</v>
      </c>
      <c r="H232" s="18" t="s">
        <v>33</v>
      </c>
      <c r="I232" s="18">
        <v>2.1</v>
      </c>
      <c r="J232" s="18">
        <v>3</v>
      </c>
      <c r="K232" s="18" t="s">
        <v>36</v>
      </c>
      <c r="L232" s="18">
        <v>3</v>
      </c>
      <c r="M232" s="18" t="s">
        <v>35</v>
      </c>
      <c r="N232" s="18">
        <v>1</v>
      </c>
      <c r="O232" s="18">
        <v>0</v>
      </c>
      <c r="P232" s="18">
        <v>19.5</v>
      </c>
      <c r="Q232" s="18">
        <v>1</v>
      </c>
      <c r="R232" s="18">
        <v>4</v>
      </c>
      <c r="S232" s="18">
        <v>8</v>
      </c>
      <c r="T232" s="18">
        <v>208.83</v>
      </c>
    </row>
    <row r="233" spans="1:20" x14ac:dyDescent="0.3">
      <c r="A233" s="18">
        <v>50232</v>
      </c>
      <c r="B233" s="18">
        <v>0</v>
      </c>
      <c r="C233" s="18">
        <v>17</v>
      </c>
      <c r="D233" s="18" t="s">
        <v>31</v>
      </c>
      <c r="E233" s="18">
        <v>3</v>
      </c>
      <c r="F233" s="18">
        <v>24</v>
      </c>
      <c r="G233" s="18" t="s">
        <v>37</v>
      </c>
      <c r="H233" s="18" t="s">
        <v>33</v>
      </c>
      <c r="I233" s="18">
        <v>3.2</v>
      </c>
      <c r="J233" s="18">
        <v>5</v>
      </c>
      <c r="K233" s="18" t="s">
        <v>44</v>
      </c>
      <c r="L233" s="18">
        <v>4</v>
      </c>
      <c r="M233" s="18" t="s">
        <v>35</v>
      </c>
      <c r="N233" s="18">
        <v>1</v>
      </c>
      <c r="O233" s="18">
        <v>0</v>
      </c>
      <c r="P233" s="18">
        <v>15.7</v>
      </c>
      <c r="Q233" s="18">
        <v>0</v>
      </c>
      <c r="R233" s="18">
        <v>5</v>
      </c>
      <c r="S233" s="18">
        <v>3</v>
      </c>
      <c r="T233" s="18">
        <v>150.01</v>
      </c>
    </row>
    <row r="234" spans="1:20" x14ac:dyDescent="0.3">
      <c r="A234" s="18">
        <v>50233</v>
      </c>
      <c r="B234" s="18">
        <v>0</v>
      </c>
      <c r="C234" s="18">
        <v>0</v>
      </c>
      <c r="D234" s="18" t="s">
        <v>31</v>
      </c>
      <c r="E234" s="18">
        <v>2</v>
      </c>
      <c r="F234" s="18">
        <v>21</v>
      </c>
      <c r="G234" s="18" t="s">
        <v>39</v>
      </c>
      <c r="H234" s="18" t="s">
        <v>33</v>
      </c>
      <c r="I234" s="18">
        <v>4.5999999999999996</v>
      </c>
      <c r="J234" s="18">
        <v>4</v>
      </c>
      <c r="K234" s="18" t="s">
        <v>44</v>
      </c>
      <c r="L234" s="18">
        <v>3</v>
      </c>
      <c r="M234" s="18" t="s">
        <v>35</v>
      </c>
      <c r="N234" s="18">
        <v>1</v>
      </c>
      <c r="O234" s="18">
        <v>0</v>
      </c>
      <c r="P234" s="18">
        <v>14.6</v>
      </c>
      <c r="Q234" s="18">
        <v>2</v>
      </c>
      <c r="R234" s="18">
        <v>3</v>
      </c>
      <c r="S234" s="18"/>
      <c r="T234" s="18">
        <v>223.57</v>
      </c>
    </row>
    <row r="235" spans="1:20" x14ac:dyDescent="0.3">
      <c r="A235" s="18">
        <v>50234</v>
      </c>
      <c r="B235" s="18">
        <v>0</v>
      </c>
      <c r="C235" s="18">
        <v>9</v>
      </c>
      <c r="D235" s="18" t="s">
        <v>31</v>
      </c>
      <c r="E235" s="18">
        <v>3</v>
      </c>
      <c r="F235" s="18">
        <v>14</v>
      </c>
      <c r="G235" s="18" t="s">
        <v>39</v>
      </c>
      <c r="H235" s="18" t="s">
        <v>33</v>
      </c>
      <c r="I235" s="18">
        <v>3.4</v>
      </c>
      <c r="J235" s="18">
        <v>3</v>
      </c>
      <c r="K235" s="18" t="s">
        <v>44</v>
      </c>
      <c r="L235" s="18">
        <v>2</v>
      </c>
      <c r="M235" s="18" t="s">
        <v>41</v>
      </c>
      <c r="N235" s="18">
        <v>2</v>
      </c>
      <c r="O235" s="18">
        <v>1</v>
      </c>
      <c r="P235" s="18">
        <v>14.2</v>
      </c>
      <c r="Q235" s="18">
        <v>0</v>
      </c>
      <c r="R235" s="18">
        <v>4</v>
      </c>
      <c r="S235" s="18">
        <v>4</v>
      </c>
      <c r="T235" s="18">
        <v>171.33</v>
      </c>
    </row>
    <row r="236" spans="1:20" x14ac:dyDescent="0.3">
      <c r="A236" s="18">
        <v>50235</v>
      </c>
      <c r="B236" s="18">
        <v>0</v>
      </c>
      <c r="C236" s="18">
        <v>2</v>
      </c>
      <c r="D236" s="18" t="s">
        <v>31</v>
      </c>
      <c r="E236" s="18">
        <v>1</v>
      </c>
      <c r="F236" s="18">
        <v>11</v>
      </c>
      <c r="G236" s="18" t="s">
        <v>47</v>
      </c>
      <c r="H236" s="18" t="s">
        <v>33</v>
      </c>
      <c r="I236" s="18">
        <v>2.2999999999999998</v>
      </c>
      <c r="J236" s="18">
        <v>4</v>
      </c>
      <c r="K236" s="18" t="s">
        <v>44</v>
      </c>
      <c r="L236" s="18">
        <v>4</v>
      </c>
      <c r="M236" s="18" t="s">
        <v>35</v>
      </c>
      <c r="N236" s="18">
        <v>6</v>
      </c>
      <c r="O236" s="18">
        <v>1</v>
      </c>
      <c r="P236" s="18">
        <v>15.5</v>
      </c>
      <c r="Q236" s="18">
        <v>3</v>
      </c>
      <c r="R236" s="18">
        <v>3</v>
      </c>
      <c r="S236" s="18"/>
      <c r="T236" s="18">
        <v>167.81</v>
      </c>
    </row>
    <row r="237" spans="1:20" x14ac:dyDescent="0.3">
      <c r="A237" s="18">
        <v>50236</v>
      </c>
      <c r="B237" s="18">
        <v>0</v>
      </c>
      <c r="C237" s="18">
        <v>1</v>
      </c>
      <c r="D237" s="18" t="s">
        <v>42</v>
      </c>
      <c r="E237" s="18">
        <v>1</v>
      </c>
      <c r="F237" s="18">
        <v>5</v>
      </c>
      <c r="G237" s="18" t="s">
        <v>47</v>
      </c>
      <c r="H237" s="18" t="s">
        <v>38</v>
      </c>
      <c r="I237" s="18">
        <v>3.7</v>
      </c>
      <c r="J237" s="18">
        <v>4</v>
      </c>
      <c r="K237" s="18" t="s">
        <v>40</v>
      </c>
      <c r="L237" s="18">
        <v>4</v>
      </c>
      <c r="M237" s="18" t="s">
        <v>35</v>
      </c>
      <c r="N237" s="18">
        <v>6</v>
      </c>
      <c r="O237" s="18">
        <v>0</v>
      </c>
      <c r="P237" s="18">
        <v>15.8</v>
      </c>
      <c r="Q237" s="18">
        <v>1</v>
      </c>
      <c r="R237" s="18">
        <v>3</v>
      </c>
      <c r="S237" s="18">
        <v>3</v>
      </c>
      <c r="T237" s="18">
        <v>166.31</v>
      </c>
    </row>
    <row r="238" spans="1:20" x14ac:dyDescent="0.3">
      <c r="A238" s="18">
        <v>50237</v>
      </c>
      <c r="B238" s="18">
        <v>0</v>
      </c>
      <c r="C238" s="18">
        <v>0</v>
      </c>
      <c r="D238" s="18" t="s">
        <v>36</v>
      </c>
      <c r="E238" s="18">
        <v>3</v>
      </c>
      <c r="F238" s="18">
        <v>6</v>
      </c>
      <c r="G238" s="18" t="s">
        <v>39</v>
      </c>
      <c r="H238" s="18" t="s">
        <v>33</v>
      </c>
      <c r="I238" s="18">
        <v>2.7</v>
      </c>
      <c r="J238" s="18">
        <v>3</v>
      </c>
      <c r="K238" s="18" t="s">
        <v>44</v>
      </c>
      <c r="L238" s="18">
        <v>5</v>
      </c>
      <c r="M238" s="18" t="s">
        <v>35</v>
      </c>
      <c r="N238" s="18">
        <v>3</v>
      </c>
      <c r="O238" s="18">
        <v>1</v>
      </c>
      <c r="P238" s="18">
        <v>20.399999999999999</v>
      </c>
      <c r="Q238" s="18">
        <v>3</v>
      </c>
      <c r="R238" s="18">
        <v>2</v>
      </c>
      <c r="S238" s="18">
        <v>5</v>
      </c>
      <c r="T238" s="18">
        <v>46.45</v>
      </c>
    </row>
    <row r="239" spans="1:20" x14ac:dyDescent="0.3">
      <c r="A239" s="18">
        <v>50238</v>
      </c>
      <c r="B239" s="18">
        <v>0</v>
      </c>
      <c r="C239" s="18">
        <v>11</v>
      </c>
      <c r="D239" s="18" t="s">
        <v>36</v>
      </c>
      <c r="E239" s="18">
        <v>3</v>
      </c>
      <c r="F239" s="18">
        <v>30</v>
      </c>
      <c r="G239" s="18" t="s">
        <v>37</v>
      </c>
      <c r="H239" s="18" t="s">
        <v>33</v>
      </c>
      <c r="I239" s="18">
        <v>3.9</v>
      </c>
      <c r="J239" s="18">
        <v>4</v>
      </c>
      <c r="K239" s="18" t="s">
        <v>46</v>
      </c>
      <c r="L239" s="18">
        <v>3</v>
      </c>
      <c r="M239" s="18" t="s">
        <v>35</v>
      </c>
      <c r="N239" s="18">
        <v>9</v>
      </c>
      <c r="O239" s="18">
        <v>1</v>
      </c>
      <c r="P239" s="18">
        <v>22.9</v>
      </c>
      <c r="Q239" s="18">
        <v>2</v>
      </c>
      <c r="R239" s="18">
        <v>2</v>
      </c>
      <c r="S239" s="18">
        <v>5</v>
      </c>
      <c r="T239" s="18">
        <v>151.03</v>
      </c>
    </row>
    <row r="240" spans="1:20" x14ac:dyDescent="0.3">
      <c r="A240" s="18">
        <v>50239</v>
      </c>
      <c r="B240" s="18">
        <v>0</v>
      </c>
      <c r="C240" s="18">
        <v>4</v>
      </c>
      <c r="D240" s="18" t="s">
        <v>36</v>
      </c>
      <c r="E240" s="18">
        <v>3</v>
      </c>
      <c r="F240" s="18">
        <v>5</v>
      </c>
      <c r="G240" s="18" t="s">
        <v>39</v>
      </c>
      <c r="H240" s="18" t="s">
        <v>33</v>
      </c>
      <c r="I240" s="18">
        <v>3.5</v>
      </c>
      <c r="J240" s="18">
        <v>2</v>
      </c>
      <c r="K240" s="18" t="s">
        <v>34</v>
      </c>
      <c r="L240" s="18">
        <v>3</v>
      </c>
      <c r="M240" s="18" t="s">
        <v>35</v>
      </c>
      <c r="N240" s="18">
        <v>2</v>
      </c>
      <c r="O240" s="18">
        <v>0</v>
      </c>
      <c r="P240" s="18">
        <v>16.7</v>
      </c>
      <c r="Q240" s="18">
        <v>2</v>
      </c>
      <c r="R240" s="18">
        <v>6</v>
      </c>
      <c r="S240" s="18"/>
      <c r="T240" s="18">
        <v>219.22</v>
      </c>
    </row>
    <row r="241" spans="1:20" x14ac:dyDescent="0.3">
      <c r="A241" s="18">
        <v>50240</v>
      </c>
      <c r="B241" s="18">
        <v>0</v>
      </c>
      <c r="C241" s="18">
        <v>12</v>
      </c>
      <c r="D241" s="18" t="s">
        <v>42</v>
      </c>
      <c r="E241" s="18">
        <v>1</v>
      </c>
      <c r="F241" s="18">
        <v>16</v>
      </c>
      <c r="G241" s="18" t="s">
        <v>39</v>
      </c>
      <c r="H241" s="18" t="s">
        <v>38</v>
      </c>
      <c r="I241" s="18">
        <v>0.8</v>
      </c>
      <c r="J241" s="18">
        <v>4</v>
      </c>
      <c r="K241" s="18" t="s">
        <v>34</v>
      </c>
      <c r="L241" s="18">
        <v>3</v>
      </c>
      <c r="M241" s="18" t="s">
        <v>35</v>
      </c>
      <c r="N241" s="18">
        <v>7</v>
      </c>
      <c r="O241" s="18">
        <v>0</v>
      </c>
      <c r="P241" s="18">
        <v>13</v>
      </c>
      <c r="Q241" s="18">
        <v>3</v>
      </c>
      <c r="R241" s="18">
        <v>3</v>
      </c>
      <c r="S241" s="18">
        <v>5</v>
      </c>
      <c r="T241" s="18">
        <v>178.77</v>
      </c>
    </row>
    <row r="242" spans="1:20" x14ac:dyDescent="0.3">
      <c r="A242" s="18">
        <v>50241</v>
      </c>
      <c r="B242" s="18">
        <v>0</v>
      </c>
      <c r="C242" s="18">
        <v>0</v>
      </c>
      <c r="D242" s="18" t="s">
        <v>36</v>
      </c>
      <c r="E242" s="18">
        <v>3</v>
      </c>
      <c r="F242" s="18">
        <v>23</v>
      </c>
      <c r="G242" s="18" t="s">
        <v>39</v>
      </c>
      <c r="H242" s="18" t="s">
        <v>38</v>
      </c>
      <c r="I242" s="18">
        <v>2.2000000000000002</v>
      </c>
      <c r="J242" s="18">
        <v>2</v>
      </c>
      <c r="K242" s="18" t="s">
        <v>34</v>
      </c>
      <c r="L242" s="18">
        <v>3</v>
      </c>
      <c r="M242" s="18" t="s">
        <v>41</v>
      </c>
      <c r="N242" s="18">
        <v>2</v>
      </c>
      <c r="O242" s="18">
        <v>0</v>
      </c>
      <c r="P242" s="18">
        <v>14.1</v>
      </c>
      <c r="Q242" s="18">
        <v>1</v>
      </c>
      <c r="R242" s="18">
        <v>6</v>
      </c>
      <c r="S242" s="18">
        <v>0</v>
      </c>
      <c r="T242" s="18">
        <v>109.31</v>
      </c>
    </row>
    <row r="243" spans="1:20" x14ac:dyDescent="0.3">
      <c r="A243" s="18">
        <v>50242</v>
      </c>
      <c r="B243" s="18">
        <v>0</v>
      </c>
      <c r="C243" s="18">
        <v>3</v>
      </c>
      <c r="D243" s="18" t="s">
        <v>31</v>
      </c>
      <c r="E243" s="18">
        <v>3</v>
      </c>
      <c r="F243" s="18">
        <v>5</v>
      </c>
      <c r="G243" s="18" t="s">
        <v>32</v>
      </c>
      <c r="H243" s="18" t="s">
        <v>38</v>
      </c>
      <c r="I243" s="18">
        <v>3.6</v>
      </c>
      <c r="J243" s="18">
        <v>3</v>
      </c>
      <c r="K243" s="18" t="s">
        <v>44</v>
      </c>
      <c r="L243" s="18">
        <v>4</v>
      </c>
      <c r="M243" s="18" t="s">
        <v>35</v>
      </c>
      <c r="N243" s="18">
        <v>1</v>
      </c>
      <c r="O243" s="18">
        <v>1</v>
      </c>
      <c r="P243" s="18">
        <v>15.4</v>
      </c>
      <c r="Q243" s="18">
        <v>2</v>
      </c>
      <c r="R243" s="18">
        <v>3</v>
      </c>
      <c r="S243" s="18">
        <v>1</v>
      </c>
      <c r="T243" s="18">
        <v>233.05</v>
      </c>
    </row>
    <row r="244" spans="1:20" x14ac:dyDescent="0.3">
      <c r="A244" s="18">
        <v>50243</v>
      </c>
      <c r="B244" s="18">
        <v>0</v>
      </c>
      <c r="C244" s="18">
        <v>7</v>
      </c>
      <c r="D244" s="18" t="s">
        <v>31</v>
      </c>
      <c r="E244" s="18">
        <v>2</v>
      </c>
      <c r="F244" s="18">
        <v>16</v>
      </c>
      <c r="G244" s="18" t="s">
        <v>39</v>
      </c>
      <c r="H244" s="18" t="s">
        <v>33</v>
      </c>
      <c r="I244" s="18"/>
      <c r="J244" s="18">
        <v>3</v>
      </c>
      <c r="K244" s="18" t="s">
        <v>36</v>
      </c>
      <c r="L244" s="18">
        <v>3</v>
      </c>
      <c r="M244" s="18" t="s">
        <v>35</v>
      </c>
      <c r="N244" s="18">
        <v>8</v>
      </c>
      <c r="O244" s="18">
        <v>1</v>
      </c>
      <c r="P244" s="18">
        <v>12.4</v>
      </c>
      <c r="Q244" s="18">
        <v>2</v>
      </c>
      <c r="R244" s="18">
        <v>2</v>
      </c>
      <c r="S244" s="18">
        <v>4</v>
      </c>
      <c r="T244" s="18">
        <v>163.58000000000001</v>
      </c>
    </row>
    <row r="245" spans="1:20" x14ac:dyDescent="0.3">
      <c r="A245" s="18">
        <v>50244</v>
      </c>
      <c r="B245" s="18">
        <v>1</v>
      </c>
      <c r="C245" s="18">
        <v>15</v>
      </c>
      <c r="D245" s="18" t="s">
        <v>36</v>
      </c>
      <c r="E245" s="18">
        <v>3</v>
      </c>
      <c r="F245" s="18">
        <v>22</v>
      </c>
      <c r="G245" s="18" t="s">
        <v>39</v>
      </c>
      <c r="H245" s="18" t="s">
        <v>38</v>
      </c>
      <c r="I245" s="18">
        <v>2.2000000000000002</v>
      </c>
      <c r="J245" s="18">
        <v>5</v>
      </c>
      <c r="K245" s="18" t="s">
        <v>44</v>
      </c>
      <c r="L245" s="18">
        <v>3</v>
      </c>
      <c r="M245" s="18" t="s">
        <v>45</v>
      </c>
      <c r="N245" s="18">
        <v>1</v>
      </c>
      <c r="O245" s="18">
        <v>0</v>
      </c>
      <c r="P245" s="18">
        <v>11.9</v>
      </c>
      <c r="Q245" s="18">
        <v>1</v>
      </c>
      <c r="R245" s="18">
        <v>6</v>
      </c>
      <c r="S245" s="18">
        <v>2</v>
      </c>
      <c r="T245" s="18">
        <v>112.81</v>
      </c>
    </row>
    <row r="246" spans="1:20" x14ac:dyDescent="0.3">
      <c r="A246" s="18">
        <v>50245</v>
      </c>
      <c r="B246" s="18">
        <v>0</v>
      </c>
      <c r="C246" s="18">
        <v>3</v>
      </c>
      <c r="D246" s="18" t="s">
        <v>36</v>
      </c>
      <c r="E246" s="18">
        <v>3</v>
      </c>
      <c r="F246" s="18">
        <v>15</v>
      </c>
      <c r="G246" s="18" t="s">
        <v>39</v>
      </c>
      <c r="H246" s="18" t="s">
        <v>33</v>
      </c>
      <c r="I246" s="18">
        <v>2.5</v>
      </c>
      <c r="J246" s="18">
        <v>2</v>
      </c>
      <c r="K246" s="18" t="s">
        <v>46</v>
      </c>
      <c r="L246" s="18">
        <v>3</v>
      </c>
      <c r="M246" s="18" t="s">
        <v>41</v>
      </c>
      <c r="N246" s="18">
        <v>2</v>
      </c>
      <c r="O246" s="18">
        <v>0</v>
      </c>
      <c r="P246" s="18">
        <v>23.3</v>
      </c>
      <c r="Q246" s="18">
        <v>3</v>
      </c>
      <c r="R246" s="18">
        <v>5</v>
      </c>
      <c r="S246" s="18">
        <v>7</v>
      </c>
      <c r="T246" s="18">
        <v>301.33</v>
      </c>
    </row>
    <row r="247" spans="1:20" x14ac:dyDescent="0.3">
      <c r="A247" s="18">
        <v>50246</v>
      </c>
      <c r="B247" s="18">
        <v>0</v>
      </c>
      <c r="C247" s="18">
        <v>9</v>
      </c>
      <c r="D247" s="18" t="s">
        <v>36</v>
      </c>
      <c r="E247" s="18">
        <v>2</v>
      </c>
      <c r="F247" s="18">
        <v>37</v>
      </c>
      <c r="G247" s="18" t="s">
        <v>39</v>
      </c>
      <c r="H247" s="18" t="s">
        <v>33</v>
      </c>
      <c r="I247" s="18">
        <v>1.6</v>
      </c>
      <c r="J247" s="18">
        <v>3</v>
      </c>
      <c r="K247" s="18" t="s">
        <v>46</v>
      </c>
      <c r="L247" s="18">
        <v>4</v>
      </c>
      <c r="M247" s="18" t="s">
        <v>35</v>
      </c>
      <c r="N247" s="18">
        <v>1</v>
      </c>
      <c r="O247" s="18">
        <v>1</v>
      </c>
      <c r="P247" s="18">
        <v>17.100000000000001</v>
      </c>
      <c r="Q247" s="18">
        <v>3</v>
      </c>
      <c r="R247" s="18">
        <v>4</v>
      </c>
      <c r="S247" s="18">
        <v>0</v>
      </c>
      <c r="T247" s="18">
        <v>122.08</v>
      </c>
    </row>
    <row r="248" spans="1:20" x14ac:dyDescent="0.3">
      <c r="A248" s="18">
        <v>50247</v>
      </c>
      <c r="B248" s="18">
        <v>0</v>
      </c>
      <c r="C248" s="18">
        <v>21</v>
      </c>
      <c r="D248" s="18" t="s">
        <v>36</v>
      </c>
      <c r="E248" s="18">
        <v>1</v>
      </c>
      <c r="F248" s="18">
        <v>5</v>
      </c>
      <c r="G248" s="18" t="s">
        <v>47</v>
      </c>
      <c r="H248" s="18" t="s">
        <v>33</v>
      </c>
      <c r="I248" s="18">
        <v>2.8</v>
      </c>
      <c r="J248" s="18">
        <v>4</v>
      </c>
      <c r="K248" s="18" t="s">
        <v>46</v>
      </c>
      <c r="L248" s="18">
        <v>5</v>
      </c>
      <c r="M248" s="18" t="s">
        <v>41</v>
      </c>
      <c r="N248" s="18">
        <v>3</v>
      </c>
      <c r="O248" s="18">
        <v>1</v>
      </c>
      <c r="P248" s="18">
        <v>13.1</v>
      </c>
      <c r="Q248" s="18">
        <v>2</v>
      </c>
      <c r="R248" s="18">
        <v>2</v>
      </c>
      <c r="S248" s="18">
        <v>1</v>
      </c>
      <c r="T248" s="18">
        <v>228.37</v>
      </c>
    </row>
    <row r="249" spans="1:20" x14ac:dyDescent="0.3">
      <c r="A249" s="18">
        <v>50248</v>
      </c>
      <c r="B249" s="18">
        <v>1</v>
      </c>
      <c r="C249" s="18">
        <v>9</v>
      </c>
      <c r="D249" s="18" t="s">
        <v>36</v>
      </c>
      <c r="E249" s="18">
        <v>1</v>
      </c>
      <c r="F249" s="18">
        <v>23</v>
      </c>
      <c r="G249" s="18" t="s">
        <v>39</v>
      </c>
      <c r="H249" s="18" t="s">
        <v>33</v>
      </c>
      <c r="I249" s="18"/>
      <c r="J249" s="18">
        <v>4</v>
      </c>
      <c r="K249" s="18" t="s">
        <v>36</v>
      </c>
      <c r="L249" s="18">
        <v>4</v>
      </c>
      <c r="M249" s="18" t="s">
        <v>41</v>
      </c>
      <c r="N249" s="18">
        <v>18</v>
      </c>
      <c r="O249" s="18">
        <v>1</v>
      </c>
      <c r="P249" s="18">
        <v>18.899999999999999</v>
      </c>
      <c r="Q249" s="18">
        <v>4</v>
      </c>
      <c r="R249" s="18">
        <v>7</v>
      </c>
      <c r="S249" s="18">
        <v>4</v>
      </c>
      <c r="T249" s="18">
        <v>137.69</v>
      </c>
    </row>
    <row r="250" spans="1:20" x14ac:dyDescent="0.3">
      <c r="A250" s="18">
        <v>50249</v>
      </c>
      <c r="B250" s="18">
        <v>0</v>
      </c>
      <c r="C250" s="18">
        <v>2</v>
      </c>
      <c r="D250" s="18" t="s">
        <v>36</v>
      </c>
      <c r="E250" s="18">
        <v>1</v>
      </c>
      <c r="F250" s="18">
        <v>13</v>
      </c>
      <c r="G250" s="18" t="s">
        <v>39</v>
      </c>
      <c r="H250" s="18" t="s">
        <v>38</v>
      </c>
      <c r="I250" s="18">
        <v>3.5</v>
      </c>
      <c r="J250" s="18">
        <v>3</v>
      </c>
      <c r="K250" s="18" t="s">
        <v>40</v>
      </c>
      <c r="L250" s="18">
        <v>3</v>
      </c>
      <c r="M250" s="18" t="s">
        <v>35</v>
      </c>
      <c r="N250" s="18">
        <v>1</v>
      </c>
      <c r="O250" s="18">
        <v>0</v>
      </c>
      <c r="P250" s="18">
        <v>11.9</v>
      </c>
      <c r="Q250" s="18">
        <v>1</v>
      </c>
      <c r="R250" s="18">
        <v>3</v>
      </c>
      <c r="S250" s="18">
        <v>3</v>
      </c>
      <c r="T250" s="18">
        <v>187.47</v>
      </c>
    </row>
    <row r="251" spans="1:20" x14ac:dyDescent="0.3">
      <c r="A251" s="18">
        <v>50250</v>
      </c>
      <c r="B251" s="18">
        <v>0</v>
      </c>
      <c r="C251" s="18">
        <v>0</v>
      </c>
      <c r="D251" s="18" t="s">
        <v>42</v>
      </c>
      <c r="E251" s="18">
        <v>1</v>
      </c>
      <c r="F251" s="18">
        <v>21</v>
      </c>
      <c r="G251" s="18" t="s">
        <v>47</v>
      </c>
      <c r="H251" s="18" t="s">
        <v>38</v>
      </c>
      <c r="I251" s="18">
        <v>4.4000000000000004</v>
      </c>
      <c r="J251" s="18">
        <v>2</v>
      </c>
      <c r="K251" s="18" t="s">
        <v>44</v>
      </c>
      <c r="L251" s="18">
        <v>4</v>
      </c>
      <c r="M251" s="18" t="s">
        <v>35</v>
      </c>
      <c r="N251" s="18">
        <v>8</v>
      </c>
      <c r="O251" s="18">
        <v>0</v>
      </c>
      <c r="P251" s="18">
        <v>12.2</v>
      </c>
      <c r="Q251" s="18">
        <v>1</v>
      </c>
      <c r="R251" s="18">
        <v>4</v>
      </c>
      <c r="S251" s="18">
        <v>1</v>
      </c>
      <c r="T251" s="18">
        <v>130.38</v>
      </c>
    </row>
    <row r="252" spans="1:20" x14ac:dyDescent="0.3">
      <c r="A252" s="18">
        <v>50251</v>
      </c>
      <c r="B252" s="18">
        <v>0</v>
      </c>
      <c r="C252" s="18">
        <v>20</v>
      </c>
      <c r="D252" s="18" t="s">
        <v>42</v>
      </c>
      <c r="E252" s="18">
        <v>1</v>
      </c>
      <c r="F252" s="18">
        <v>18</v>
      </c>
      <c r="G252" s="18" t="s">
        <v>39</v>
      </c>
      <c r="H252" s="18" t="s">
        <v>33</v>
      </c>
      <c r="I252" s="18">
        <v>3.5</v>
      </c>
      <c r="J252" s="18">
        <v>3</v>
      </c>
      <c r="K252" s="18" t="s">
        <v>44</v>
      </c>
      <c r="L252" s="18">
        <v>4</v>
      </c>
      <c r="M252" s="18" t="s">
        <v>41</v>
      </c>
      <c r="N252" s="18">
        <v>1</v>
      </c>
      <c r="O252" s="18">
        <v>0</v>
      </c>
      <c r="P252" s="18">
        <v>13.2</v>
      </c>
      <c r="Q252" s="18">
        <v>4</v>
      </c>
      <c r="R252" s="18">
        <v>1</v>
      </c>
      <c r="S252" s="18">
        <v>2</v>
      </c>
      <c r="T252" s="18">
        <v>111.84</v>
      </c>
    </row>
    <row r="253" spans="1:20" x14ac:dyDescent="0.3">
      <c r="A253" s="18">
        <v>50252</v>
      </c>
      <c r="B253" s="18">
        <v>0</v>
      </c>
      <c r="C253" s="18">
        <v>0</v>
      </c>
      <c r="D253" s="18" t="s">
        <v>36</v>
      </c>
      <c r="E253" s="18">
        <v>1</v>
      </c>
      <c r="F253" s="18">
        <v>9</v>
      </c>
      <c r="G253" s="18" t="s">
        <v>47</v>
      </c>
      <c r="H253" s="18" t="s">
        <v>38</v>
      </c>
      <c r="I253" s="18">
        <v>3.6</v>
      </c>
      <c r="J253" s="18">
        <v>4</v>
      </c>
      <c r="K253" s="18" t="s">
        <v>40</v>
      </c>
      <c r="L253" s="18">
        <v>1</v>
      </c>
      <c r="M253" s="18" t="s">
        <v>35</v>
      </c>
      <c r="N253" s="18">
        <v>1</v>
      </c>
      <c r="O253" s="18">
        <v>0</v>
      </c>
      <c r="P253" s="18">
        <v>21.8</v>
      </c>
      <c r="Q253" s="18">
        <v>1</v>
      </c>
      <c r="R253" s="18">
        <v>4</v>
      </c>
      <c r="S253" s="18">
        <v>0</v>
      </c>
      <c r="T253" s="18">
        <v>208.72</v>
      </c>
    </row>
    <row r="254" spans="1:20" x14ac:dyDescent="0.3">
      <c r="A254" s="18">
        <v>50253</v>
      </c>
      <c r="B254" s="18">
        <v>0</v>
      </c>
      <c r="C254" s="18">
        <v>20</v>
      </c>
      <c r="D254" s="18" t="s">
        <v>36</v>
      </c>
      <c r="E254" s="18">
        <v>1</v>
      </c>
      <c r="F254" s="18">
        <v>16</v>
      </c>
      <c r="G254" s="18" t="s">
        <v>37</v>
      </c>
      <c r="H254" s="18" t="s">
        <v>38</v>
      </c>
      <c r="I254" s="18">
        <v>4.3</v>
      </c>
      <c r="J254" s="18">
        <v>3</v>
      </c>
      <c r="K254" s="18" t="s">
        <v>36</v>
      </c>
      <c r="L254" s="18">
        <v>1</v>
      </c>
      <c r="M254" s="18" t="s">
        <v>35</v>
      </c>
      <c r="N254" s="18">
        <v>1</v>
      </c>
      <c r="O254" s="18">
        <v>1</v>
      </c>
      <c r="P254" s="18">
        <v>15.1</v>
      </c>
      <c r="Q254" s="18">
        <v>0</v>
      </c>
      <c r="R254" s="18">
        <v>5</v>
      </c>
      <c r="S254" s="18"/>
      <c r="T254" s="18">
        <v>202.29</v>
      </c>
    </row>
    <row r="255" spans="1:20" x14ac:dyDescent="0.3">
      <c r="A255" s="18">
        <v>50254</v>
      </c>
      <c r="B255" s="18">
        <v>0</v>
      </c>
      <c r="C255" s="18">
        <v>7</v>
      </c>
      <c r="D255" s="18" t="s">
        <v>36</v>
      </c>
      <c r="E255" s="18">
        <v>1</v>
      </c>
      <c r="F255" s="18">
        <v>5</v>
      </c>
      <c r="G255" s="18" t="s">
        <v>39</v>
      </c>
      <c r="H255" s="18" t="s">
        <v>38</v>
      </c>
      <c r="I255" s="18">
        <v>3.2</v>
      </c>
      <c r="J255" s="18">
        <v>4</v>
      </c>
      <c r="K255" s="18" t="s">
        <v>34</v>
      </c>
      <c r="L255" s="18">
        <v>1</v>
      </c>
      <c r="M255" s="18" t="s">
        <v>45</v>
      </c>
      <c r="N255" s="18">
        <v>4</v>
      </c>
      <c r="O255" s="18">
        <v>0</v>
      </c>
      <c r="P255" s="18">
        <v>11</v>
      </c>
      <c r="Q255" s="18">
        <v>2</v>
      </c>
      <c r="R255" s="18">
        <v>5</v>
      </c>
      <c r="S255" s="18">
        <v>0</v>
      </c>
      <c r="T255" s="18">
        <v>242.96</v>
      </c>
    </row>
    <row r="256" spans="1:20" x14ac:dyDescent="0.3">
      <c r="A256" s="18">
        <v>50255</v>
      </c>
      <c r="B256" s="18">
        <v>0</v>
      </c>
      <c r="C256" s="18">
        <v>27</v>
      </c>
      <c r="D256" s="18" t="s">
        <v>31</v>
      </c>
      <c r="E256" s="18">
        <v>3</v>
      </c>
      <c r="F256" s="18">
        <v>19</v>
      </c>
      <c r="G256" s="18" t="s">
        <v>47</v>
      </c>
      <c r="H256" s="18" t="s">
        <v>33</v>
      </c>
      <c r="I256" s="18"/>
      <c r="J256" s="18">
        <v>3</v>
      </c>
      <c r="K256" s="18" t="s">
        <v>44</v>
      </c>
      <c r="L256" s="18">
        <v>3</v>
      </c>
      <c r="M256" s="18" t="s">
        <v>41</v>
      </c>
      <c r="N256" s="18">
        <v>1</v>
      </c>
      <c r="O256" s="18">
        <v>1</v>
      </c>
      <c r="P256" s="18">
        <v>20.2</v>
      </c>
      <c r="Q256" s="18">
        <v>0</v>
      </c>
      <c r="R256" s="18">
        <v>5</v>
      </c>
      <c r="S256" s="18">
        <v>4</v>
      </c>
      <c r="T256" s="18">
        <v>178.11</v>
      </c>
    </row>
    <row r="257" spans="1:20" x14ac:dyDescent="0.3">
      <c r="A257" s="18">
        <v>50256</v>
      </c>
      <c r="B257" s="18">
        <v>0</v>
      </c>
      <c r="C257" s="18">
        <v>16</v>
      </c>
      <c r="D257" s="18" t="s">
        <v>42</v>
      </c>
      <c r="E257" s="18">
        <v>3</v>
      </c>
      <c r="F257" s="18">
        <v>17</v>
      </c>
      <c r="G257" s="18" t="s">
        <v>39</v>
      </c>
      <c r="H257" s="18" t="s">
        <v>33</v>
      </c>
      <c r="I257" s="18">
        <v>3.6</v>
      </c>
      <c r="J257" s="18">
        <v>2</v>
      </c>
      <c r="K257" s="18" t="s">
        <v>46</v>
      </c>
      <c r="L257" s="18">
        <v>4</v>
      </c>
      <c r="M257" s="18" t="s">
        <v>35</v>
      </c>
      <c r="N257" s="18">
        <v>2</v>
      </c>
      <c r="O257" s="18">
        <v>0</v>
      </c>
      <c r="P257" s="18">
        <v>14.9</v>
      </c>
      <c r="Q257" s="18">
        <v>0</v>
      </c>
      <c r="R257" s="18">
        <v>1</v>
      </c>
      <c r="S257" s="18">
        <v>9</v>
      </c>
      <c r="T257" s="18">
        <v>302.12</v>
      </c>
    </row>
    <row r="258" spans="1:20" x14ac:dyDescent="0.3">
      <c r="A258" s="18">
        <v>50257</v>
      </c>
      <c r="B258" s="18">
        <v>0</v>
      </c>
      <c r="C258" s="18">
        <v>60</v>
      </c>
      <c r="D258" s="18" t="s">
        <v>36</v>
      </c>
      <c r="E258" s="18">
        <v>1</v>
      </c>
      <c r="F258" s="18">
        <v>20</v>
      </c>
      <c r="G258" s="18" t="s">
        <v>37</v>
      </c>
      <c r="H258" s="18" t="s">
        <v>33</v>
      </c>
      <c r="I258" s="18">
        <v>3.9</v>
      </c>
      <c r="J258" s="18">
        <v>4</v>
      </c>
      <c r="K258" s="18" t="s">
        <v>36</v>
      </c>
      <c r="L258" s="18">
        <v>3</v>
      </c>
      <c r="M258" s="18" t="s">
        <v>35</v>
      </c>
      <c r="N258" s="18">
        <v>1</v>
      </c>
      <c r="O258" s="18">
        <v>1</v>
      </c>
      <c r="P258" s="18">
        <v>11</v>
      </c>
      <c r="Q258" s="18">
        <v>1</v>
      </c>
      <c r="R258" s="18">
        <v>5</v>
      </c>
      <c r="S258" s="18">
        <v>1</v>
      </c>
      <c r="T258" s="18">
        <v>194.76</v>
      </c>
    </row>
    <row r="259" spans="1:20" x14ac:dyDescent="0.3">
      <c r="A259" s="18">
        <v>50258</v>
      </c>
      <c r="B259" s="18">
        <v>0</v>
      </c>
      <c r="C259" s="18">
        <v>4</v>
      </c>
      <c r="D259" s="18" t="s">
        <v>36</v>
      </c>
      <c r="E259" s="18">
        <v>3</v>
      </c>
      <c r="F259" s="18">
        <v>23</v>
      </c>
      <c r="G259" s="18" t="s">
        <v>37</v>
      </c>
      <c r="H259" s="18" t="s">
        <v>38</v>
      </c>
      <c r="I259" s="18">
        <v>2.6</v>
      </c>
      <c r="J259" s="18">
        <v>4</v>
      </c>
      <c r="K259" s="18" t="s">
        <v>46</v>
      </c>
      <c r="L259" s="18">
        <v>3</v>
      </c>
      <c r="M259" s="18" t="s">
        <v>41</v>
      </c>
      <c r="N259" s="18">
        <v>1</v>
      </c>
      <c r="O259" s="18">
        <v>0</v>
      </c>
      <c r="P259" s="18">
        <v>14.9</v>
      </c>
      <c r="Q259" s="18">
        <v>1</v>
      </c>
      <c r="R259" s="18">
        <v>6</v>
      </c>
      <c r="S259" s="18">
        <v>0</v>
      </c>
      <c r="T259" s="18">
        <v>211.17</v>
      </c>
    </row>
    <row r="260" spans="1:20" x14ac:dyDescent="0.3">
      <c r="A260" s="18">
        <v>50259</v>
      </c>
      <c r="B260" s="18">
        <v>0</v>
      </c>
      <c r="C260" s="18">
        <v>14</v>
      </c>
      <c r="D260" s="18" t="s">
        <v>31</v>
      </c>
      <c r="E260" s="18">
        <v>2</v>
      </c>
      <c r="F260" s="18">
        <v>17</v>
      </c>
      <c r="G260" s="18" t="s">
        <v>39</v>
      </c>
      <c r="H260" s="18" t="s">
        <v>33</v>
      </c>
      <c r="I260" s="18">
        <v>2.4</v>
      </c>
      <c r="J260" s="18">
        <v>6</v>
      </c>
      <c r="K260" s="18" t="s">
        <v>46</v>
      </c>
      <c r="L260" s="18">
        <v>5</v>
      </c>
      <c r="M260" s="18" t="s">
        <v>35</v>
      </c>
      <c r="N260" s="18">
        <v>5</v>
      </c>
      <c r="O260" s="18">
        <v>0</v>
      </c>
      <c r="P260" s="18">
        <v>17.8</v>
      </c>
      <c r="Q260" s="18">
        <v>2</v>
      </c>
      <c r="R260" s="18">
        <v>4</v>
      </c>
      <c r="S260" s="18">
        <v>6</v>
      </c>
      <c r="T260" s="18">
        <v>105.29</v>
      </c>
    </row>
    <row r="261" spans="1:20" x14ac:dyDescent="0.3">
      <c r="A261" s="18">
        <v>50260</v>
      </c>
      <c r="B261" s="18">
        <v>1</v>
      </c>
      <c r="C261" s="18">
        <v>5</v>
      </c>
      <c r="D261" s="18" t="s">
        <v>31</v>
      </c>
      <c r="E261" s="18">
        <v>1</v>
      </c>
      <c r="F261" s="18">
        <v>16</v>
      </c>
      <c r="G261" s="18" t="s">
        <v>47</v>
      </c>
      <c r="H261" s="18" t="s">
        <v>33</v>
      </c>
      <c r="I261" s="18">
        <v>3</v>
      </c>
      <c r="J261" s="18">
        <v>2</v>
      </c>
      <c r="K261" s="18" t="s">
        <v>34</v>
      </c>
      <c r="L261" s="18">
        <v>5</v>
      </c>
      <c r="M261" s="18" t="s">
        <v>35</v>
      </c>
      <c r="N261" s="18">
        <v>1</v>
      </c>
      <c r="O261" s="18">
        <v>0</v>
      </c>
      <c r="P261" s="18">
        <v>17.399999999999999</v>
      </c>
      <c r="Q261" s="18">
        <v>0</v>
      </c>
      <c r="R261" s="18">
        <v>3</v>
      </c>
      <c r="S261" s="18">
        <v>9</v>
      </c>
      <c r="T261" s="18">
        <v>146.22999999999999</v>
      </c>
    </row>
    <row r="262" spans="1:20" x14ac:dyDescent="0.3">
      <c r="A262" s="18">
        <v>50261</v>
      </c>
      <c r="B262" s="18">
        <v>0</v>
      </c>
      <c r="C262" s="18">
        <v>6</v>
      </c>
      <c r="D262" s="18" t="s">
        <v>36</v>
      </c>
      <c r="E262" s="18">
        <v>1</v>
      </c>
      <c r="F262" s="18">
        <v>7</v>
      </c>
      <c r="G262" s="18" t="s">
        <v>32</v>
      </c>
      <c r="H262" s="18" t="s">
        <v>33</v>
      </c>
      <c r="I262" s="18">
        <v>3.5</v>
      </c>
      <c r="J262" s="18">
        <v>4</v>
      </c>
      <c r="K262" s="18" t="s">
        <v>44</v>
      </c>
      <c r="L262" s="18">
        <v>4</v>
      </c>
      <c r="M262" s="18" t="s">
        <v>41</v>
      </c>
      <c r="N262" s="18">
        <v>1</v>
      </c>
      <c r="O262" s="18">
        <v>0</v>
      </c>
      <c r="P262" s="18">
        <v>22.3</v>
      </c>
      <c r="Q262" s="18">
        <v>5</v>
      </c>
      <c r="R262" s="18">
        <v>4</v>
      </c>
      <c r="S262" s="18">
        <v>0</v>
      </c>
      <c r="T262" s="18">
        <v>208.58</v>
      </c>
    </row>
    <row r="263" spans="1:20" x14ac:dyDescent="0.3">
      <c r="A263" s="18">
        <v>50262</v>
      </c>
      <c r="B263" s="18">
        <v>0</v>
      </c>
      <c r="C263" s="18">
        <v>9</v>
      </c>
      <c r="D263" s="18" t="s">
        <v>31</v>
      </c>
      <c r="E263" s="18">
        <v>2</v>
      </c>
      <c r="F263" s="18">
        <v>9</v>
      </c>
      <c r="G263" s="18" t="s">
        <v>43</v>
      </c>
      <c r="H263" s="18" t="s">
        <v>33</v>
      </c>
      <c r="I263" s="18">
        <v>3.5</v>
      </c>
      <c r="J263" s="18">
        <v>2</v>
      </c>
      <c r="K263" s="18" t="s">
        <v>34</v>
      </c>
      <c r="L263" s="18">
        <v>3</v>
      </c>
      <c r="M263" s="18" t="s">
        <v>45</v>
      </c>
      <c r="N263" s="18">
        <v>1</v>
      </c>
      <c r="O263" s="18">
        <v>1</v>
      </c>
      <c r="P263" s="18">
        <v>13</v>
      </c>
      <c r="Q263" s="18">
        <v>1</v>
      </c>
      <c r="R263" s="18">
        <v>6</v>
      </c>
      <c r="S263" s="18">
        <v>2</v>
      </c>
      <c r="T263" s="18">
        <v>175.37</v>
      </c>
    </row>
    <row r="264" spans="1:20" x14ac:dyDescent="0.3">
      <c r="A264" s="18">
        <v>50263</v>
      </c>
      <c r="B264" s="18">
        <v>0</v>
      </c>
      <c r="C264" s="18">
        <v>20</v>
      </c>
      <c r="D264" s="18" t="s">
        <v>36</v>
      </c>
      <c r="E264" s="18">
        <v>3</v>
      </c>
      <c r="F264" s="18">
        <v>24</v>
      </c>
      <c r="G264" s="18" t="s">
        <v>47</v>
      </c>
      <c r="H264" s="18" t="s">
        <v>38</v>
      </c>
      <c r="I264" s="18"/>
      <c r="J264" s="18">
        <v>3</v>
      </c>
      <c r="K264" s="18" t="s">
        <v>44</v>
      </c>
      <c r="L264" s="18">
        <v>2</v>
      </c>
      <c r="M264" s="18" t="s">
        <v>35</v>
      </c>
      <c r="N264" s="18">
        <v>3</v>
      </c>
      <c r="O264" s="18">
        <v>0</v>
      </c>
      <c r="P264" s="18">
        <v>16.2</v>
      </c>
      <c r="Q264" s="18">
        <v>5</v>
      </c>
      <c r="R264" s="18">
        <v>1</v>
      </c>
      <c r="S264" s="18">
        <v>0</v>
      </c>
      <c r="T264" s="18">
        <v>190.32</v>
      </c>
    </row>
    <row r="265" spans="1:20" x14ac:dyDescent="0.3">
      <c r="A265" s="18">
        <v>50264</v>
      </c>
      <c r="B265" s="18">
        <v>0</v>
      </c>
      <c r="C265" s="18">
        <v>41</v>
      </c>
      <c r="D265" s="18" t="s">
        <v>36</v>
      </c>
      <c r="E265" s="18">
        <v>3</v>
      </c>
      <c r="F265" s="18">
        <v>26</v>
      </c>
      <c r="G265" s="18" t="s">
        <v>37</v>
      </c>
      <c r="H265" s="18" t="s">
        <v>38</v>
      </c>
      <c r="I265" s="18">
        <v>4.2</v>
      </c>
      <c r="J265" s="18">
        <v>4</v>
      </c>
      <c r="K265" s="18" t="s">
        <v>44</v>
      </c>
      <c r="L265" s="18">
        <v>1</v>
      </c>
      <c r="M265" s="18" t="s">
        <v>35</v>
      </c>
      <c r="N265" s="18">
        <v>3</v>
      </c>
      <c r="O265" s="18">
        <v>0</v>
      </c>
      <c r="P265" s="18">
        <v>13.6</v>
      </c>
      <c r="Q265" s="18">
        <v>2</v>
      </c>
      <c r="R265" s="18">
        <v>5</v>
      </c>
      <c r="S265" s="18">
        <v>0</v>
      </c>
      <c r="T265" s="18">
        <v>135.09</v>
      </c>
    </row>
    <row r="266" spans="1:20" x14ac:dyDescent="0.3">
      <c r="A266" s="18">
        <v>50265</v>
      </c>
      <c r="B266" s="18">
        <v>0</v>
      </c>
      <c r="C266" s="18">
        <v>14</v>
      </c>
      <c r="D266" s="18" t="s">
        <v>31</v>
      </c>
      <c r="E266" s="18">
        <v>1</v>
      </c>
      <c r="F266" s="18">
        <v>13</v>
      </c>
      <c r="G266" s="18" t="s">
        <v>39</v>
      </c>
      <c r="H266" s="18" t="s">
        <v>38</v>
      </c>
      <c r="I266" s="18">
        <v>2.5</v>
      </c>
      <c r="J266" s="18">
        <v>1</v>
      </c>
      <c r="K266" s="18" t="s">
        <v>36</v>
      </c>
      <c r="L266" s="18">
        <v>2</v>
      </c>
      <c r="M266" s="18" t="s">
        <v>35</v>
      </c>
      <c r="N266" s="18">
        <v>1</v>
      </c>
      <c r="O266" s="18">
        <v>1</v>
      </c>
      <c r="P266" s="18">
        <v>11</v>
      </c>
      <c r="Q266" s="18">
        <v>5</v>
      </c>
      <c r="R266" s="18">
        <v>2</v>
      </c>
      <c r="S266" s="18">
        <v>5</v>
      </c>
      <c r="T266" s="18">
        <v>186.71</v>
      </c>
    </row>
    <row r="267" spans="1:20" x14ac:dyDescent="0.3">
      <c r="A267" s="18">
        <v>50266</v>
      </c>
      <c r="B267" s="18">
        <v>0</v>
      </c>
      <c r="C267" s="18">
        <v>5</v>
      </c>
      <c r="D267" s="18" t="s">
        <v>42</v>
      </c>
      <c r="E267" s="18">
        <v>1</v>
      </c>
      <c r="F267" s="18">
        <v>15</v>
      </c>
      <c r="G267" s="18" t="s">
        <v>39</v>
      </c>
      <c r="H267" s="18" t="s">
        <v>38</v>
      </c>
      <c r="I267" s="18">
        <v>2.7</v>
      </c>
      <c r="J267" s="18">
        <v>3</v>
      </c>
      <c r="K267" s="18" t="s">
        <v>46</v>
      </c>
      <c r="L267" s="18">
        <v>3</v>
      </c>
      <c r="M267" s="18" t="s">
        <v>41</v>
      </c>
      <c r="N267" s="18">
        <v>1</v>
      </c>
      <c r="O267" s="18">
        <v>1</v>
      </c>
      <c r="P267" s="18">
        <v>19.100000000000001</v>
      </c>
      <c r="Q267" s="18">
        <v>2</v>
      </c>
      <c r="R267" s="18">
        <v>7</v>
      </c>
      <c r="S267" s="18">
        <v>17</v>
      </c>
      <c r="T267" s="18">
        <v>186.52</v>
      </c>
    </row>
    <row r="268" spans="1:20" x14ac:dyDescent="0.3">
      <c r="A268" s="18">
        <v>50267</v>
      </c>
      <c r="B268" s="18">
        <v>0</v>
      </c>
      <c r="C268" s="18">
        <v>5</v>
      </c>
      <c r="D268" s="18" t="s">
        <v>36</v>
      </c>
      <c r="E268" s="18">
        <v>1</v>
      </c>
      <c r="F268" s="18">
        <v>7</v>
      </c>
      <c r="G268" s="18" t="s">
        <v>37</v>
      </c>
      <c r="H268" s="18" t="s">
        <v>33</v>
      </c>
      <c r="I268" s="18">
        <v>2.2999999999999998</v>
      </c>
      <c r="J268" s="18">
        <v>3</v>
      </c>
      <c r="K268" s="18" t="s">
        <v>36</v>
      </c>
      <c r="L268" s="18">
        <v>4</v>
      </c>
      <c r="M268" s="18" t="s">
        <v>35</v>
      </c>
      <c r="N268" s="18">
        <v>1</v>
      </c>
      <c r="O268" s="18">
        <v>0</v>
      </c>
      <c r="P268" s="18">
        <v>17.600000000000001</v>
      </c>
      <c r="Q268" s="18">
        <v>2</v>
      </c>
      <c r="R268" s="18">
        <v>4</v>
      </c>
      <c r="S268" s="18">
        <v>5</v>
      </c>
      <c r="T268" s="18">
        <v>115.08</v>
      </c>
    </row>
    <row r="269" spans="1:20" x14ac:dyDescent="0.3">
      <c r="A269" s="18">
        <v>50268</v>
      </c>
      <c r="B269" s="18">
        <v>0</v>
      </c>
      <c r="C269" s="18">
        <v>13</v>
      </c>
      <c r="D269" s="18" t="s">
        <v>42</v>
      </c>
      <c r="E269" s="18">
        <v>1</v>
      </c>
      <c r="F269" s="18">
        <v>24</v>
      </c>
      <c r="G269" s="18" t="s">
        <v>37</v>
      </c>
      <c r="H269" s="18" t="s">
        <v>33</v>
      </c>
      <c r="I269" s="18">
        <v>4.8</v>
      </c>
      <c r="J269" s="18">
        <v>2</v>
      </c>
      <c r="K269" s="18" t="s">
        <v>46</v>
      </c>
      <c r="L269" s="18">
        <v>1</v>
      </c>
      <c r="M269" s="18" t="s">
        <v>41</v>
      </c>
      <c r="N269" s="18">
        <v>1</v>
      </c>
      <c r="O269" s="18">
        <v>1</v>
      </c>
      <c r="P269" s="18">
        <v>17</v>
      </c>
      <c r="Q269" s="18">
        <v>4</v>
      </c>
      <c r="R269" s="18">
        <v>5</v>
      </c>
      <c r="S269" s="18">
        <v>20</v>
      </c>
      <c r="T269" s="18">
        <v>215.34</v>
      </c>
    </row>
    <row r="270" spans="1:20" x14ac:dyDescent="0.3">
      <c r="A270" s="18">
        <v>50269</v>
      </c>
      <c r="B270" s="18">
        <v>1</v>
      </c>
      <c r="C270" s="18">
        <v>2</v>
      </c>
      <c r="D270" s="18" t="s">
        <v>36</v>
      </c>
      <c r="E270" s="18">
        <v>1</v>
      </c>
      <c r="F270" s="18">
        <v>20</v>
      </c>
      <c r="G270" s="18" t="s">
        <v>43</v>
      </c>
      <c r="H270" s="18" t="s">
        <v>33</v>
      </c>
      <c r="I270" s="18">
        <v>3.1</v>
      </c>
      <c r="J270" s="18">
        <v>4</v>
      </c>
      <c r="K270" s="18" t="s">
        <v>40</v>
      </c>
      <c r="L270" s="18">
        <v>2</v>
      </c>
      <c r="M270" s="18" t="s">
        <v>45</v>
      </c>
      <c r="N270" s="18">
        <v>7</v>
      </c>
      <c r="O270" s="18">
        <v>0</v>
      </c>
      <c r="P270" s="18">
        <v>17.5</v>
      </c>
      <c r="Q270" s="18">
        <v>1</v>
      </c>
      <c r="R270" s="18">
        <v>2</v>
      </c>
      <c r="S270" s="18">
        <v>2</v>
      </c>
      <c r="T270" s="18">
        <v>86.5</v>
      </c>
    </row>
    <row r="271" spans="1:20" x14ac:dyDescent="0.3">
      <c r="A271" s="18">
        <v>50270</v>
      </c>
      <c r="B271" s="18">
        <v>0</v>
      </c>
      <c r="C271" s="18">
        <v>1</v>
      </c>
      <c r="D271" s="18" t="s">
        <v>31</v>
      </c>
      <c r="E271" s="18">
        <v>1</v>
      </c>
      <c r="F271" s="18">
        <v>30</v>
      </c>
      <c r="G271" s="18" t="s">
        <v>37</v>
      </c>
      <c r="H271" s="18" t="s">
        <v>33</v>
      </c>
      <c r="I271" s="18">
        <v>2.2999999999999998</v>
      </c>
      <c r="J271" s="18">
        <v>4</v>
      </c>
      <c r="K271" s="18" t="s">
        <v>44</v>
      </c>
      <c r="L271" s="18">
        <v>2</v>
      </c>
      <c r="M271" s="18" t="s">
        <v>41</v>
      </c>
      <c r="N271" s="18">
        <v>5</v>
      </c>
      <c r="O271" s="18">
        <v>0</v>
      </c>
      <c r="P271" s="18">
        <v>13.6</v>
      </c>
      <c r="Q271" s="18">
        <v>3</v>
      </c>
      <c r="R271" s="18">
        <v>5</v>
      </c>
      <c r="S271" s="18">
        <v>11</v>
      </c>
      <c r="T271" s="18">
        <v>190.13</v>
      </c>
    </row>
    <row r="272" spans="1:20" x14ac:dyDescent="0.3">
      <c r="A272" s="18">
        <v>50271</v>
      </c>
      <c r="B272" s="18">
        <v>1</v>
      </c>
      <c r="C272" s="18">
        <v>4</v>
      </c>
      <c r="D272" s="18" t="s">
        <v>36</v>
      </c>
      <c r="E272" s="18">
        <v>3</v>
      </c>
      <c r="F272" s="18">
        <v>7</v>
      </c>
      <c r="G272" s="18" t="s">
        <v>37</v>
      </c>
      <c r="H272" s="18" t="s">
        <v>33</v>
      </c>
      <c r="I272" s="18">
        <v>3.5</v>
      </c>
      <c r="J272" s="18">
        <v>3</v>
      </c>
      <c r="K272" s="18" t="s">
        <v>34</v>
      </c>
      <c r="L272" s="18">
        <v>4</v>
      </c>
      <c r="M272" s="18" t="s">
        <v>41</v>
      </c>
      <c r="N272" s="18">
        <v>3</v>
      </c>
      <c r="O272" s="18">
        <v>0</v>
      </c>
      <c r="P272" s="18">
        <v>12.5</v>
      </c>
      <c r="Q272" s="18">
        <v>0</v>
      </c>
      <c r="R272" s="18">
        <v>7</v>
      </c>
      <c r="S272" s="18">
        <v>1</v>
      </c>
      <c r="T272" s="18">
        <v>277.11</v>
      </c>
    </row>
    <row r="273" spans="1:20" x14ac:dyDescent="0.3">
      <c r="A273" s="18">
        <v>50272</v>
      </c>
      <c r="B273" s="18">
        <v>0</v>
      </c>
      <c r="C273" s="18">
        <v>3</v>
      </c>
      <c r="D273" s="18" t="s">
        <v>42</v>
      </c>
      <c r="E273" s="18">
        <v>3</v>
      </c>
      <c r="F273" s="18">
        <v>11</v>
      </c>
      <c r="G273" s="18" t="s">
        <v>37</v>
      </c>
      <c r="H273" s="18" t="s">
        <v>38</v>
      </c>
      <c r="I273" s="18">
        <v>3.4</v>
      </c>
      <c r="J273" s="18">
        <v>3</v>
      </c>
      <c r="K273" s="18" t="s">
        <v>44</v>
      </c>
      <c r="L273" s="18">
        <v>4</v>
      </c>
      <c r="M273" s="18" t="s">
        <v>35</v>
      </c>
      <c r="N273" s="18">
        <v>1</v>
      </c>
      <c r="O273" s="18">
        <v>0</v>
      </c>
      <c r="P273" s="18">
        <v>16.100000000000001</v>
      </c>
      <c r="Q273" s="18">
        <v>2</v>
      </c>
      <c r="R273" s="18">
        <v>3</v>
      </c>
      <c r="S273" s="18">
        <v>0</v>
      </c>
      <c r="T273" s="18">
        <v>217.43</v>
      </c>
    </row>
    <row r="274" spans="1:20" x14ac:dyDescent="0.3">
      <c r="A274" s="18">
        <v>50273</v>
      </c>
      <c r="B274" s="18">
        <v>0</v>
      </c>
      <c r="C274" s="18">
        <v>3</v>
      </c>
      <c r="D274" s="18" t="s">
        <v>42</v>
      </c>
      <c r="E274" s="18">
        <v>1</v>
      </c>
      <c r="F274" s="18"/>
      <c r="G274" s="18" t="s">
        <v>32</v>
      </c>
      <c r="H274" s="18" t="s">
        <v>33</v>
      </c>
      <c r="I274" s="18">
        <v>2.8</v>
      </c>
      <c r="J274" s="18">
        <v>3</v>
      </c>
      <c r="K274" s="18" t="s">
        <v>46</v>
      </c>
      <c r="L274" s="18">
        <v>4</v>
      </c>
      <c r="M274" s="18" t="s">
        <v>41</v>
      </c>
      <c r="N274" s="18">
        <v>4</v>
      </c>
      <c r="O274" s="18">
        <v>0</v>
      </c>
      <c r="P274" s="18">
        <v>20.100000000000001</v>
      </c>
      <c r="Q274" s="18">
        <v>4</v>
      </c>
      <c r="R274" s="18">
        <v>7</v>
      </c>
      <c r="S274" s="18">
        <v>6</v>
      </c>
      <c r="T274" s="18">
        <v>217.09</v>
      </c>
    </row>
    <row r="275" spans="1:20" x14ac:dyDescent="0.3">
      <c r="A275" s="18">
        <v>50274</v>
      </c>
      <c r="B275" s="18">
        <v>0</v>
      </c>
      <c r="C275" s="18">
        <v>2</v>
      </c>
      <c r="D275" s="18" t="s">
        <v>36</v>
      </c>
      <c r="E275" s="18">
        <v>3</v>
      </c>
      <c r="F275" s="18">
        <v>20</v>
      </c>
      <c r="G275" s="18" t="s">
        <v>47</v>
      </c>
      <c r="H275" s="18" t="s">
        <v>38</v>
      </c>
      <c r="I275" s="18">
        <v>3.5</v>
      </c>
      <c r="J275" s="18">
        <v>3</v>
      </c>
      <c r="K275" s="18" t="s">
        <v>44</v>
      </c>
      <c r="L275" s="18">
        <v>3</v>
      </c>
      <c r="M275" s="18" t="s">
        <v>35</v>
      </c>
      <c r="N275" s="18">
        <v>6</v>
      </c>
      <c r="O275" s="18">
        <v>0</v>
      </c>
      <c r="P275" s="18">
        <v>21.6</v>
      </c>
      <c r="Q275" s="18">
        <v>1</v>
      </c>
      <c r="R275" s="18">
        <v>5</v>
      </c>
      <c r="S275" s="18">
        <v>2</v>
      </c>
      <c r="T275" s="18">
        <v>130.63999999999999</v>
      </c>
    </row>
    <row r="276" spans="1:20" x14ac:dyDescent="0.3">
      <c r="A276" s="18">
        <v>50275</v>
      </c>
      <c r="B276" s="18">
        <v>0</v>
      </c>
      <c r="C276" s="18">
        <v>0</v>
      </c>
      <c r="D276" s="18" t="s">
        <v>42</v>
      </c>
      <c r="E276" s="18">
        <v>1</v>
      </c>
      <c r="F276" s="18">
        <v>13</v>
      </c>
      <c r="G276" s="18" t="s">
        <v>47</v>
      </c>
      <c r="H276" s="18" t="s">
        <v>33</v>
      </c>
      <c r="I276" s="18">
        <v>2.2999999999999998</v>
      </c>
      <c r="J276" s="18">
        <v>2</v>
      </c>
      <c r="K276" s="18" t="s">
        <v>36</v>
      </c>
      <c r="L276" s="18">
        <v>3</v>
      </c>
      <c r="M276" s="18" t="s">
        <v>35</v>
      </c>
      <c r="N276" s="18">
        <v>3</v>
      </c>
      <c r="O276" s="18">
        <v>0</v>
      </c>
      <c r="P276" s="18">
        <v>18.8</v>
      </c>
      <c r="Q276" s="18">
        <v>4</v>
      </c>
      <c r="R276" s="18">
        <v>5</v>
      </c>
      <c r="S276" s="18">
        <v>1</v>
      </c>
      <c r="T276" s="18">
        <v>277.3</v>
      </c>
    </row>
    <row r="277" spans="1:20" x14ac:dyDescent="0.3">
      <c r="A277" s="18">
        <v>50276</v>
      </c>
      <c r="B277" s="18">
        <v>1</v>
      </c>
      <c r="C277" s="18">
        <v>0</v>
      </c>
      <c r="D277" s="18" t="s">
        <v>42</v>
      </c>
      <c r="E277" s="18">
        <v>1</v>
      </c>
      <c r="F277" s="18">
        <v>8</v>
      </c>
      <c r="G277" s="18" t="s">
        <v>39</v>
      </c>
      <c r="H277" s="18" t="s">
        <v>33</v>
      </c>
      <c r="I277" s="18">
        <v>2.6</v>
      </c>
      <c r="J277" s="18">
        <v>4</v>
      </c>
      <c r="K277" s="18" t="s">
        <v>36</v>
      </c>
      <c r="L277" s="18">
        <v>1</v>
      </c>
      <c r="M277" s="18" t="s">
        <v>35</v>
      </c>
      <c r="N277" s="18">
        <v>5</v>
      </c>
      <c r="O277" s="18">
        <v>1</v>
      </c>
      <c r="P277" s="18">
        <v>16.100000000000001</v>
      </c>
      <c r="Q277" s="18">
        <v>3</v>
      </c>
      <c r="R277" s="18">
        <v>4</v>
      </c>
      <c r="S277" s="18">
        <v>5</v>
      </c>
      <c r="T277" s="18">
        <v>255.72</v>
      </c>
    </row>
    <row r="278" spans="1:20" x14ac:dyDescent="0.3">
      <c r="A278" s="18">
        <v>50277</v>
      </c>
      <c r="B278" s="18">
        <v>0</v>
      </c>
      <c r="C278" s="18">
        <v>43</v>
      </c>
      <c r="D278" s="18" t="s">
        <v>31</v>
      </c>
      <c r="E278" s="18">
        <v>1</v>
      </c>
      <c r="F278" s="18">
        <v>22</v>
      </c>
      <c r="G278" s="18" t="s">
        <v>32</v>
      </c>
      <c r="H278" s="18" t="s">
        <v>33</v>
      </c>
      <c r="I278" s="18">
        <v>1.5</v>
      </c>
      <c r="J278" s="18">
        <v>3</v>
      </c>
      <c r="K278" s="18" t="s">
        <v>44</v>
      </c>
      <c r="L278" s="18">
        <v>2</v>
      </c>
      <c r="M278" s="18" t="s">
        <v>35</v>
      </c>
      <c r="N278" s="18">
        <v>4</v>
      </c>
      <c r="O278" s="18">
        <v>0</v>
      </c>
      <c r="P278" s="18">
        <v>16.899999999999999</v>
      </c>
      <c r="Q278" s="18">
        <v>5</v>
      </c>
      <c r="R278" s="18">
        <v>4</v>
      </c>
      <c r="S278" s="18">
        <v>2</v>
      </c>
      <c r="T278" s="18">
        <v>133.6</v>
      </c>
    </row>
    <row r="279" spans="1:20" x14ac:dyDescent="0.3">
      <c r="A279" s="18">
        <v>50278</v>
      </c>
      <c r="B279" s="18">
        <v>0</v>
      </c>
      <c r="C279" s="18">
        <v>5</v>
      </c>
      <c r="D279" s="18" t="s">
        <v>36</v>
      </c>
      <c r="E279" s="18">
        <v>2</v>
      </c>
      <c r="F279" s="18">
        <v>20</v>
      </c>
      <c r="G279" s="18" t="s">
        <v>39</v>
      </c>
      <c r="H279" s="18" t="s">
        <v>33</v>
      </c>
      <c r="I279" s="18">
        <v>2</v>
      </c>
      <c r="J279" s="18">
        <v>4</v>
      </c>
      <c r="K279" s="18" t="s">
        <v>36</v>
      </c>
      <c r="L279" s="18">
        <v>5</v>
      </c>
      <c r="M279" s="18" t="s">
        <v>41</v>
      </c>
      <c r="N279" s="18">
        <v>2</v>
      </c>
      <c r="O279" s="18">
        <v>1</v>
      </c>
      <c r="P279" s="18">
        <v>16</v>
      </c>
      <c r="Q279" s="18">
        <v>1</v>
      </c>
      <c r="R279" s="18">
        <v>3</v>
      </c>
      <c r="S279" s="18">
        <v>4</v>
      </c>
      <c r="T279" s="18">
        <v>153.88999999999999</v>
      </c>
    </row>
    <row r="280" spans="1:20" x14ac:dyDescent="0.3">
      <c r="A280" s="18">
        <v>50279</v>
      </c>
      <c r="B280" s="18">
        <v>0</v>
      </c>
      <c r="C280" s="18">
        <v>4</v>
      </c>
      <c r="D280" s="18" t="s">
        <v>42</v>
      </c>
      <c r="E280" s="18">
        <v>3</v>
      </c>
      <c r="F280" s="18">
        <v>7</v>
      </c>
      <c r="G280" s="18" t="s">
        <v>32</v>
      </c>
      <c r="H280" s="18" t="s">
        <v>33</v>
      </c>
      <c r="I280" s="18">
        <v>4.2</v>
      </c>
      <c r="J280" s="18">
        <v>2</v>
      </c>
      <c r="K280" s="18" t="s">
        <v>44</v>
      </c>
      <c r="L280" s="18">
        <v>5</v>
      </c>
      <c r="M280" s="18" t="s">
        <v>41</v>
      </c>
      <c r="N280" s="18">
        <v>1</v>
      </c>
      <c r="O280" s="18">
        <v>1</v>
      </c>
      <c r="P280" s="18">
        <v>12.4</v>
      </c>
      <c r="Q280" s="18">
        <v>2</v>
      </c>
      <c r="R280" s="18">
        <v>4</v>
      </c>
      <c r="S280" s="18">
        <v>1</v>
      </c>
      <c r="T280" s="18">
        <v>249.01</v>
      </c>
    </row>
    <row r="281" spans="1:20" x14ac:dyDescent="0.3">
      <c r="A281" s="18">
        <v>50280</v>
      </c>
      <c r="B281" s="18">
        <v>0</v>
      </c>
      <c r="C281" s="18">
        <v>11</v>
      </c>
      <c r="D281" s="18" t="s">
        <v>42</v>
      </c>
      <c r="E281" s="18">
        <v>2</v>
      </c>
      <c r="F281" s="18">
        <v>25</v>
      </c>
      <c r="G281" s="18" t="s">
        <v>37</v>
      </c>
      <c r="H281" s="18" t="s">
        <v>33</v>
      </c>
      <c r="I281" s="18">
        <v>4</v>
      </c>
      <c r="J281" s="18">
        <v>3</v>
      </c>
      <c r="K281" s="18" t="s">
        <v>44</v>
      </c>
      <c r="L281" s="18">
        <v>4</v>
      </c>
      <c r="M281" s="18" t="s">
        <v>35</v>
      </c>
      <c r="N281" s="18">
        <v>4</v>
      </c>
      <c r="O281" s="18">
        <v>0</v>
      </c>
      <c r="P281" s="18">
        <v>16.100000000000001</v>
      </c>
      <c r="Q281" s="18">
        <v>0</v>
      </c>
      <c r="R281" s="18">
        <v>4</v>
      </c>
      <c r="S281" s="18">
        <v>7</v>
      </c>
      <c r="T281" s="18">
        <v>278.79000000000002</v>
      </c>
    </row>
    <row r="282" spans="1:20" x14ac:dyDescent="0.3">
      <c r="A282" s="18">
        <v>50281</v>
      </c>
      <c r="B282" s="18">
        <v>0</v>
      </c>
      <c r="C282" s="18">
        <v>2</v>
      </c>
      <c r="D282" s="18" t="s">
        <v>36</v>
      </c>
      <c r="E282" s="18">
        <v>1</v>
      </c>
      <c r="F282" s="18">
        <v>24</v>
      </c>
      <c r="G282" s="18" t="s">
        <v>37</v>
      </c>
      <c r="H282" s="18" t="s">
        <v>33</v>
      </c>
      <c r="I282" s="18">
        <v>2.9</v>
      </c>
      <c r="J282" s="18">
        <v>3</v>
      </c>
      <c r="K282" s="18" t="s">
        <v>44</v>
      </c>
      <c r="L282" s="18">
        <v>5</v>
      </c>
      <c r="M282" s="18" t="s">
        <v>35</v>
      </c>
      <c r="N282" s="18">
        <v>1</v>
      </c>
      <c r="O282" s="18">
        <v>0</v>
      </c>
      <c r="P282" s="18">
        <v>11.3</v>
      </c>
      <c r="Q282" s="18"/>
      <c r="R282" s="18">
        <v>4</v>
      </c>
      <c r="S282" s="18">
        <v>1</v>
      </c>
      <c r="T282" s="18">
        <v>110.44</v>
      </c>
    </row>
    <row r="283" spans="1:20" x14ac:dyDescent="0.3">
      <c r="A283" s="18">
        <v>50282</v>
      </c>
      <c r="B283" s="18">
        <v>0</v>
      </c>
      <c r="C283" s="18">
        <v>29</v>
      </c>
      <c r="D283" s="18" t="s">
        <v>42</v>
      </c>
      <c r="E283" s="18">
        <v>2</v>
      </c>
      <c r="F283" s="18">
        <v>16</v>
      </c>
      <c r="G283" s="18" t="s">
        <v>37</v>
      </c>
      <c r="H283" s="18" t="s">
        <v>33</v>
      </c>
      <c r="I283" s="18">
        <v>4.0999999999999996</v>
      </c>
      <c r="J283" s="18">
        <v>2</v>
      </c>
      <c r="K283" s="18" t="s">
        <v>36</v>
      </c>
      <c r="L283" s="18">
        <v>4</v>
      </c>
      <c r="M283" s="18" t="s">
        <v>35</v>
      </c>
      <c r="N283" s="18">
        <v>5</v>
      </c>
      <c r="O283" s="18">
        <v>0</v>
      </c>
      <c r="P283" s="18">
        <v>15.6</v>
      </c>
      <c r="Q283" s="18">
        <v>1</v>
      </c>
      <c r="R283" s="18">
        <v>3</v>
      </c>
      <c r="S283" s="18">
        <v>3</v>
      </c>
      <c r="T283" s="18">
        <v>124.8</v>
      </c>
    </row>
    <row r="284" spans="1:20" x14ac:dyDescent="0.3">
      <c r="A284" s="18">
        <v>50283</v>
      </c>
      <c r="B284" s="18">
        <v>0</v>
      </c>
      <c r="C284" s="18">
        <v>15</v>
      </c>
      <c r="D284" s="18" t="s">
        <v>36</v>
      </c>
      <c r="E284" s="18">
        <v>1</v>
      </c>
      <c r="F284" s="18">
        <v>15</v>
      </c>
      <c r="G284" s="18" t="s">
        <v>47</v>
      </c>
      <c r="H284" s="18" t="s">
        <v>33</v>
      </c>
      <c r="I284" s="18">
        <v>2.8</v>
      </c>
      <c r="J284" s="18">
        <v>2</v>
      </c>
      <c r="K284" s="18" t="s">
        <v>46</v>
      </c>
      <c r="L284" s="18">
        <v>1</v>
      </c>
      <c r="M284" s="18" t="s">
        <v>41</v>
      </c>
      <c r="N284" s="18">
        <v>5</v>
      </c>
      <c r="O284" s="18">
        <v>1</v>
      </c>
      <c r="P284" s="18">
        <v>21.7</v>
      </c>
      <c r="Q284" s="18">
        <v>3</v>
      </c>
      <c r="R284" s="18">
        <v>3</v>
      </c>
      <c r="S284" s="18">
        <v>0</v>
      </c>
      <c r="T284" s="18">
        <v>172.09</v>
      </c>
    </row>
    <row r="285" spans="1:20" x14ac:dyDescent="0.3">
      <c r="A285" s="18">
        <v>50284</v>
      </c>
      <c r="B285" s="18">
        <v>0</v>
      </c>
      <c r="C285" s="18">
        <v>0</v>
      </c>
      <c r="D285" s="18" t="s">
        <v>36</v>
      </c>
      <c r="E285" s="18">
        <v>3</v>
      </c>
      <c r="F285" s="18">
        <v>19</v>
      </c>
      <c r="G285" s="18" t="s">
        <v>39</v>
      </c>
      <c r="H285" s="18" t="s">
        <v>38</v>
      </c>
      <c r="I285" s="18">
        <v>2.7</v>
      </c>
      <c r="J285" s="18">
        <v>3</v>
      </c>
      <c r="K285" s="18" t="s">
        <v>36</v>
      </c>
      <c r="L285" s="18">
        <v>5</v>
      </c>
      <c r="M285" s="18" t="s">
        <v>41</v>
      </c>
      <c r="N285" s="18">
        <v>6</v>
      </c>
      <c r="O285" s="18">
        <v>0</v>
      </c>
      <c r="P285" s="18">
        <v>18.899999999999999</v>
      </c>
      <c r="Q285" s="18">
        <v>3</v>
      </c>
      <c r="R285" s="18">
        <v>6</v>
      </c>
      <c r="S285" s="18">
        <v>7</v>
      </c>
      <c r="T285" s="18">
        <v>60.59</v>
      </c>
    </row>
    <row r="286" spans="1:20" x14ac:dyDescent="0.3">
      <c r="A286" s="18">
        <v>50285</v>
      </c>
      <c r="B286" s="18">
        <v>0</v>
      </c>
      <c r="C286" s="18">
        <v>5</v>
      </c>
      <c r="D286" s="18" t="s">
        <v>36</v>
      </c>
      <c r="E286" s="18">
        <v>2</v>
      </c>
      <c r="F286" s="18">
        <v>8</v>
      </c>
      <c r="G286" s="18" t="s">
        <v>32</v>
      </c>
      <c r="H286" s="18" t="s">
        <v>38</v>
      </c>
      <c r="I286" s="18">
        <v>2.9</v>
      </c>
      <c r="J286" s="18">
        <v>4</v>
      </c>
      <c r="K286" s="18" t="s">
        <v>46</v>
      </c>
      <c r="L286" s="18">
        <v>1</v>
      </c>
      <c r="M286" s="18" t="s">
        <v>41</v>
      </c>
      <c r="N286" s="18">
        <v>2</v>
      </c>
      <c r="O286" s="18">
        <v>0</v>
      </c>
      <c r="P286" s="18">
        <v>12.8</v>
      </c>
      <c r="Q286" s="18">
        <v>1</v>
      </c>
      <c r="R286" s="18">
        <v>2</v>
      </c>
      <c r="S286" s="18">
        <v>4</v>
      </c>
      <c r="T286" s="18">
        <v>181.05</v>
      </c>
    </row>
    <row r="287" spans="1:20" x14ac:dyDescent="0.3">
      <c r="A287" s="18">
        <v>50286</v>
      </c>
      <c r="B287" s="18">
        <v>0</v>
      </c>
      <c r="C287" s="18">
        <v>21</v>
      </c>
      <c r="D287" s="18" t="s">
        <v>31</v>
      </c>
      <c r="E287" s="18">
        <v>1</v>
      </c>
      <c r="F287" s="18">
        <v>15</v>
      </c>
      <c r="G287" s="18" t="s">
        <v>37</v>
      </c>
      <c r="H287" s="18" t="s">
        <v>33</v>
      </c>
      <c r="I287" s="18">
        <v>2.8</v>
      </c>
      <c r="J287" s="18">
        <v>3</v>
      </c>
      <c r="K287" s="18" t="s">
        <v>40</v>
      </c>
      <c r="L287" s="18">
        <v>4</v>
      </c>
      <c r="M287" s="18" t="s">
        <v>41</v>
      </c>
      <c r="N287" s="18">
        <v>1</v>
      </c>
      <c r="O287" s="18">
        <v>1</v>
      </c>
      <c r="P287" s="18">
        <v>15.7</v>
      </c>
      <c r="Q287" s="18">
        <v>2</v>
      </c>
      <c r="R287" s="18">
        <v>3</v>
      </c>
      <c r="S287" s="18">
        <v>1</v>
      </c>
      <c r="T287" s="18">
        <v>245.22</v>
      </c>
    </row>
    <row r="288" spans="1:20" x14ac:dyDescent="0.3">
      <c r="A288" s="18">
        <v>50287</v>
      </c>
      <c r="B288" s="18">
        <v>0</v>
      </c>
      <c r="C288" s="18">
        <v>28</v>
      </c>
      <c r="D288" s="18" t="s">
        <v>31</v>
      </c>
      <c r="E288" s="18">
        <v>2</v>
      </c>
      <c r="F288" s="18">
        <v>5</v>
      </c>
      <c r="G288" s="18" t="s">
        <v>39</v>
      </c>
      <c r="H288" s="18" t="s">
        <v>38</v>
      </c>
      <c r="I288" s="18">
        <v>2.7</v>
      </c>
      <c r="J288" s="18">
        <v>2</v>
      </c>
      <c r="K288" s="18" t="s">
        <v>40</v>
      </c>
      <c r="L288" s="18">
        <v>3</v>
      </c>
      <c r="M288" s="18" t="s">
        <v>41</v>
      </c>
      <c r="N288" s="18">
        <v>1</v>
      </c>
      <c r="O288" s="18">
        <v>0</v>
      </c>
      <c r="P288" s="18">
        <v>13.1</v>
      </c>
      <c r="Q288" s="18">
        <v>3</v>
      </c>
      <c r="R288" s="18">
        <v>7</v>
      </c>
      <c r="S288" s="18">
        <v>1</v>
      </c>
      <c r="T288" s="18">
        <v>100.87</v>
      </c>
    </row>
    <row r="289" spans="1:20" x14ac:dyDescent="0.3">
      <c r="A289" s="18">
        <v>50288</v>
      </c>
      <c r="B289" s="18">
        <v>0</v>
      </c>
      <c r="C289" s="18">
        <v>6</v>
      </c>
      <c r="D289" s="18" t="s">
        <v>36</v>
      </c>
      <c r="E289" s="18">
        <v>2</v>
      </c>
      <c r="F289" s="18">
        <v>22</v>
      </c>
      <c r="G289" s="18" t="s">
        <v>39</v>
      </c>
      <c r="H289" s="18" t="s">
        <v>38</v>
      </c>
      <c r="I289" s="18">
        <v>3.7</v>
      </c>
      <c r="J289" s="18">
        <v>2</v>
      </c>
      <c r="K289" s="18" t="s">
        <v>40</v>
      </c>
      <c r="L289" s="18">
        <v>3</v>
      </c>
      <c r="M289" s="18" t="s">
        <v>35</v>
      </c>
      <c r="N289" s="18">
        <v>4</v>
      </c>
      <c r="O289" s="18">
        <v>0</v>
      </c>
      <c r="P289" s="18">
        <v>15.8</v>
      </c>
      <c r="Q289" s="18">
        <v>5</v>
      </c>
      <c r="R289" s="18">
        <v>5</v>
      </c>
      <c r="S289" s="18">
        <v>1</v>
      </c>
      <c r="T289" s="18">
        <v>186.99</v>
      </c>
    </row>
    <row r="290" spans="1:20" x14ac:dyDescent="0.3">
      <c r="A290" s="18">
        <v>50289</v>
      </c>
      <c r="B290" s="18">
        <v>1</v>
      </c>
      <c r="C290" s="18">
        <v>9</v>
      </c>
      <c r="D290" s="18" t="s">
        <v>42</v>
      </c>
      <c r="E290" s="18">
        <v>1</v>
      </c>
      <c r="F290" s="18">
        <v>5</v>
      </c>
      <c r="G290" s="18" t="s">
        <v>37</v>
      </c>
      <c r="H290" s="18" t="s">
        <v>38</v>
      </c>
      <c r="I290" s="18">
        <v>3</v>
      </c>
      <c r="J290" s="18">
        <v>3</v>
      </c>
      <c r="K290" s="18" t="s">
        <v>36</v>
      </c>
      <c r="L290" s="18">
        <v>4</v>
      </c>
      <c r="M290" s="18" t="s">
        <v>41</v>
      </c>
      <c r="N290" s="18">
        <v>7</v>
      </c>
      <c r="O290" s="18">
        <v>0</v>
      </c>
      <c r="P290" s="18">
        <v>19.600000000000001</v>
      </c>
      <c r="Q290" s="18">
        <v>0</v>
      </c>
      <c r="R290" s="18">
        <v>2</v>
      </c>
      <c r="S290" s="18">
        <v>4</v>
      </c>
      <c r="T290" s="18">
        <v>148</v>
      </c>
    </row>
    <row r="291" spans="1:20" x14ac:dyDescent="0.3">
      <c r="A291" s="18">
        <v>50290</v>
      </c>
      <c r="B291" s="18">
        <v>0</v>
      </c>
      <c r="C291" s="18">
        <v>1</v>
      </c>
      <c r="D291" s="18" t="s">
        <v>36</v>
      </c>
      <c r="E291" s="18">
        <v>2</v>
      </c>
      <c r="F291" s="18">
        <v>27</v>
      </c>
      <c r="G291" s="18" t="s">
        <v>37</v>
      </c>
      <c r="H291" s="18" t="s">
        <v>33</v>
      </c>
      <c r="I291" s="18">
        <v>3.4</v>
      </c>
      <c r="J291" s="18">
        <v>3</v>
      </c>
      <c r="K291" s="18" t="s">
        <v>40</v>
      </c>
      <c r="L291" s="18">
        <v>3</v>
      </c>
      <c r="M291" s="18" t="s">
        <v>35</v>
      </c>
      <c r="N291" s="18">
        <v>3</v>
      </c>
      <c r="O291" s="18">
        <v>1</v>
      </c>
      <c r="P291" s="18">
        <v>18.3</v>
      </c>
      <c r="Q291" s="18">
        <v>1</v>
      </c>
      <c r="R291" s="18">
        <v>4</v>
      </c>
      <c r="S291" s="18">
        <v>3</v>
      </c>
      <c r="T291" s="18">
        <v>270.2</v>
      </c>
    </row>
    <row r="292" spans="1:20" x14ac:dyDescent="0.3">
      <c r="A292" s="18">
        <v>50291</v>
      </c>
      <c r="B292" s="18">
        <v>0</v>
      </c>
      <c r="C292" s="18">
        <v>47</v>
      </c>
      <c r="D292" s="18" t="s">
        <v>36</v>
      </c>
      <c r="E292" s="18">
        <v>1</v>
      </c>
      <c r="F292" s="18">
        <v>12</v>
      </c>
      <c r="G292" s="18" t="s">
        <v>37</v>
      </c>
      <c r="H292" s="18" t="s">
        <v>33</v>
      </c>
      <c r="I292" s="18">
        <v>3.6</v>
      </c>
      <c r="J292" s="18">
        <v>5</v>
      </c>
      <c r="K292" s="18" t="s">
        <v>44</v>
      </c>
      <c r="L292" s="18">
        <v>3</v>
      </c>
      <c r="M292" s="18" t="s">
        <v>35</v>
      </c>
      <c r="N292" s="18">
        <v>1</v>
      </c>
      <c r="O292" s="18">
        <v>1</v>
      </c>
      <c r="P292" s="18">
        <v>24.7</v>
      </c>
      <c r="Q292" s="18">
        <v>2</v>
      </c>
      <c r="R292" s="18">
        <v>4</v>
      </c>
      <c r="S292" s="18">
        <v>1</v>
      </c>
      <c r="T292" s="18">
        <v>148.66</v>
      </c>
    </row>
    <row r="293" spans="1:20" x14ac:dyDescent="0.3">
      <c r="A293" s="18">
        <v>50292</v>
      </c>
      <c r="B293" s="18">
        <v>0</v>
      </c>
      <c r="C293" s="18">
        <v>2</v>
      </c>
      <c r="D293" s="18" t="s">
        <v>36</v>
      </c>
      <c r="E293" s="18">
        <v>3</v>
      </c>
      <c r="F293" s="18">
        <v>13</v>
      </c>
      <c r="G293" s="18" t="s">
        <v>47</v>
      </c>
      <c r="H293" s="18" t="s">
        <v>38</v>
      </c>
      <c r="I293" s="18">
        <v>3.2</v>
      </c>
      <c r="J293" s="18">
        <v>4</v>
      </c>
      <c r="K293" s="18" t="s">
        <v>46</v>
      </c>
      <c r="L293" s="18">
        <v>3</v>
      </c>
      <c r="M293" s="18" t="s">
        <v>41</v>
      </c>
      <c r="N293" s="18">
        <v>9</v>
      </c>
      <c r="O293" s="18">
        <v>0</v>
      </c>
      <c r="P293" s="18">
        <v>20.2</v>
      </c>
      <c r="Q293" s="18">
        <v>4</v>
      </c>
      <c r="R293" s="18">
        <v>3</v>
      </c>
      <c r="S293" s="18">
        <v>5</v>
      </c>
      <c r="T293" s="18">
        <v>263.54000000000002</v>
      </c>
    </row>
    <row r="294" spans="1:20" x14ac:dyDescent="0.3">
      <c r="A294" s="18">
        <v>50293</v>
      </c>
      <c r="B294" s="18">
        <v>0</v>
      </c>
      <c r="C294" s="18">
        <v>28</v>
      </c>
      <c r="D294" s="18" t="s">
        <v>31</v>
      </c>
      <c r="E294" s="18">
        <v>3</v>
      </c>
      <c r="F294" s="18">
        <v>9</v>
      </c>
      <c r="G294" s="18" t="s">
        <v>37</v>
      </c>
      <c r="H294" s="18" t="s">
        <v>33</v>
      </c>
      <c r="I294" s="18">
        <v>2.2000000000000002</v>
      </c>
      <c r="J294" s="18">
        <v>4</v>
      </c>
      <c r="K294" s="18" t="s">
        <v>40</v>
      </c>
      <c r="L294" s="18">
        <v>3</v>
      </c>
      <c r="M294" s="18" t="s">
        <v>35</v>
      </c>
      <c r="N294" s="18">
        <v>15</v>
      </c>
      <c r="O294" s="18">
        <v>0</v>
      </c>
      <c r="P294" s="18">
        <v>16.7</v>
      </c>
      <c r="Q294" s="18">
        <v>0</v>
      </c>
      <c r="R294" s="18">
        <v>2</v>
      </c>
      <c r="S294" s="18">
        <v>10</v>
      </c>
      <c r="T294" s="18">
        <v>147.13999999999999</v>
      </c>
    </row>
    <row r="295" spans="1:20" x14ac:dyDescent="0.3">
      <c r="A295" s="18">
        <v>50294</v>
      </c>
      <c r="B295" s="18">
        <v>0</v>
      </c>
      <c r="C295" s="18">
        <v>10</v>
      </c>
      <c r="D295" s="18" t="s">
        <v>42</v>
      </c>
      <c r="E295" s="18">
        <v>3</v>
      </c>
      <c r="F295" s="18">
        <v>12</v>
      </c>
      <c r="G295" s="18" t="s">
        <v>43</v>
      </c>
      <c r="H295" s="18" t="s">
        <v>38</v>
      </c>
      <c r="I295" s="18">
        <v>2</v>
      </c>
      <c r="J295" s="18">
        <v>4</v>
      </c>
      <c r="K295" s="18" t="s">
        <v>44</v>
      </c>
      <c r="L295" s="18">
        <v>5</v>
      </c>
      <c r="M295" s="18" t="s">
        <v>35</v>
      </c>
      <c r="N295" s="18">
        <v>1</v>
      </c>
      <c r="O295" s="18">
        <v>1</v>
      </c>
      <c r="P295" s="18">
        <v>18.399999999999999</v>
      </c>
      <c r="Q295" s="18">
        <v>1</v>
      </c>
      <c r="R295" s="18">
        <v>5</v>
      </c>
      <c r="S295" s="18">
        <v>0</v>
      </c>
      <c r="T295" s="18">
        <v>222.41</v>
      </c>
    </row>
    <row r="296" spans="1:20" x14ac:dyDescent="0.3">
      <c r="A296" s="18">
        <v>50295</v>
      </c>
      <c r="B296" s="18">
        <v>0</v>
      </c>
      <c r="C296" s="18">
        <v>9</v>
      </c>
      <c r="D296" s="18" t="s">
        <v>31</v>
      </c>
      <c r="E296" s="18">
        <v>2</v>
      </c>
      <c r="F296" s="18">
        <v>26</v>
      </c>
      <c r="G296" s="18" t="s">
        <v>37</v>
      </c>
      <c r="H296" s="18" t="s">
        <v>38</v>
      </c>
      <c r="I296" s="18">
        <v>3</v>
      </c>
      <c r="J296" s="18">
        <v>2</v>
      </c>
      <c r="K296" s="18" t="s">
        <v>40</v>
      </c>
      <c r="L296" s="18">
        <v>4</v>
      </c>
      <c r="M296" s="18" t="s">
        <v>35</v>
      </c>
      <c r="N296" s="18">
        <v>3</v>
      </c>
      <c r="O296" s="18">
        <v>1</v>
      </c>
      <c r="P296" s="18">
        <v>15.3</v>
      </c>
      <c r="Q296" s="18">
        <v>0</v>
      </c>
      <c r="R296" s="18">
        <v>6</v>
      </c>
      <c r="S296" s="18">
        <v>2</v>
      </c>
      <c r="T296" s="18">
        <v>193.86</v>
      </c>
    </row>
    <row r="297" spans="1:20" x14ac:dyDescent="0.3">
      <c r="A297" s="18">
        <v>50296</v>
      </c>
      <c r="B297" s="18">
        <v>1</v>
      </c>
      <c r="C297" s="18">
        <v>7</v>
      </c>
      <c r="D297" s="18" t="s">
        <v>42</v>
      </c>
      <c r="E297" s="18">
        <v>2</v>
      </c>
      <c r="F297" s="18">
        <v>5</v>
      </c>
      <c r="G297" s="18" t="s">
        <v>32</v>
      </c>
      <c r="H297" s="18" t="s">
        <v>33</v>
      </c>
      <c r="I297" s="18">
        <v>2.8</v>
      </c>
      <c r="J297" s="18">
        <v>2</v>
      </c>
      <c r="K297" s="18" t="s">
        <v>44</v>
      </c>
      <c r="L297" s="18">
        <v>3</v>
      </c>
      <c r="M297" s="18" t="s">
        <v>35</v>
      </c>
      <c r="N297" s="18">
        <v>5</v>
      </c>
      <c r="O297" s="18">
        <v>1</v>
      </c>
      <c r="P297" s="18">
        <v>12.1</v>
      </c>
      <c r="Q297" s="18">
        <v>1</v>
      </c>
      <c r="R297" s="18">
        <v>3</v>
      </c>
      <c r="S297" s="18">
        <v>4</v>
      </c>
      <c r="T297" s="18">
        <v>172.4</v>
      </c>
    </row>
    <row r="298" spans="1:20" x14ac:dyDescent="0.3">
      <c r="A298" s="18">
        <v>50297</v>
      </c>
      <c r="B298" s="18">
        <v>0</v>
      </c>
      <c r="C298" s="18">
        <v>2</v>
      </c>
      <c r="D298" s="18" t="s">
        <v>36</v>
      </c>
      <c r="E298" s="18">
        <v>1</v>
      </c>
      <c r="F298" s="18">
        <v>25</v>
      </c>
      <c r="G298" s="18" t="s">
        <v>39</v>
      </c>
      <c r="H298" s="18" t="s">
        <v>33</v>
      </c>
      <c r="I298" s="18">
        <v>3</v>
      </c>
      <c r="J298" s="18">
        <v>2</v>
      </c>
      <c r="K298" s="18" t="s">
        <v>44</v>
      </c>
      <c r="L298" s="18">
        <v>2</v>
      </c>
      <c r="M298" s="18" t="s">
        <v>41</v>
      </c>
      <c r="N298" s="18">
        <v>4</v>
      </c>
      <c r="O298" s="18">
        <v>0</v>
      </c>
      <c r="P298" s="18">
        <v>20.6</v>
      </c>
      <c r="Q298" s="18">
        <v>2</v>
      </c>
      <c r="R298" s="18">
        <v>2</v>
      </c>
      <c r="S298" s="18">
        <v>4</v>
      </c>
      <c r="T298" s="18">
        <v>136.52000000000001</v>
      </c>
    </row>
    <row r="299" spans="1:20" x14ac:dyDescent="0.3">
      <c r="A299" s="18">
        <v>50298</v>
      </c>
      <c r="B299" s="18">
        <v>0</v>
      </c>
      <c r="C299" s="18">
        <v>1</v>
      </c>
      <c r="D299" s="18" t="s">
        <v>36</v>
      </c>
      <c r="E299" s="18">
        <v>3</v>
      </c>
      <c r="F299" s="18">
        <v>17</v>
      </c>
      <c r="G299" s="18" t="s">
        <v>37</v>
      </c>
      <c r="H299" s="18" t="s">
        <v>33</v>
      </c>
      <c r="I299" s="18">
        <v>2.9</v>
      </c>
      <c r="J299" s="18">
        <v>5</v>
      </c>
      <c r="K299" s="18" t="s">
        <v>44</v>
      </c>
      <c r="L299" s="18">
        <v>4</v>
      </c>
      <c r="M299" s="18" t="s">
        <v>45</v>
      </c>
      <c r="N299" s="18">
        <v>12</v>
      </c>
      <c r="O299" s="18">
        <v>1</v>
      </c>
      <c r="P299" s="18">
        <v>19.5</v>
      </c>
      <c r="Q299" s="18">
        <v>0</v>
      </c>
      <c r="R299" s="18">
        <v>5</v>
      </c>
      <c r="S299" s="18">
        <v>0</v>
      </c>
      <c r="T299" s="18">
        <v>197.77</v>
      </c>
    </row>
    <row r="300" spans="1:20" x14ac:dyDescent="0.3">
      <c r="A300" s="18">
        <v>50299</v>
      </c>
      <c r="B300" s="18">
        <v>0</v>
      </c>
      <c r="C300" s="18">
        <v>2</v>
      </c>
      <c r="D300" s="18" t="s">
        <v>36</v>
      </c>
      <c r="E300" s="18">
        <v>1</v>
      </c>
      <c r="F300" s="18">
        <v>5</v>
      </c>
      <c r="G300" s="18" t="s">
        <v>39</v>
      </c>
      <c r="H300" s="18" t="s">
        <v>33</v>
      </c>
      <c r="I300" s="18">
        <v>4.7</v>
      </c>
      <c r="J300" s="18">
        <v>3</v>
      </c>
      <c r="K300" s="18" t="s">
        <v>46</v>
      </c>
      <c r="L300" s="18">
        <v>2</v>
      </c>
      <c r="M300" s="18" t="s">
        <v>35</v>
      </c>
      <c r="N300" s="18">
        <v>1</v>
      </c>
      <c r="O300" s="18">
        <v>0</v>
      </c>
      <c r="P300" s="18">
        <v>15.2</v>
      </c>
      <c r="Q300" s="18">
        <v>1</v>
      </c>
      <c r="R300" s="18">
        <v>4</v>
      </c>
      <c r="S300" s="18">
        <v>1</v>
      </c>
      <c r="T300" s="18">
        <v>155.77000000000001</v>
      </c>
    </row>
    <row r="301" spans="1:20" x14ac:dyDescent="0.3">
      <c r="A301" s="18">
        <v>50300</v>
      </c>
      <c r="B301" s="18">
        <v>0</v>
      </c>
      <c r="C301" s="18">
        <v>2</v>
      </c>
      <c r="D301" s="18" t="s">
        <v>36</v>
      </c>
      <c r="E301" s="18">
        <v>1</v>
      </c>
      <c r="F301" s="18">
        <v>6</v>
      </c>
      <c r="G301" s="18" t="s">
        <v>37</v>
      </c>
      <c r="H301" s="18" t="s">
        <v>33</v>
      </c>
      <c r="I301" s="18">
        <v>2</v>
      </c>
      <c r="J301" s="18">
        <v>2</v>
      </c>
      <c r="K301" s="18" t="s">
        <v>40</v>
      </c>
      <c r="L301" s="18">
        <v>2</v>
      </c>
      <c r="M301" s="18" t="s">
        <v>35</v>
      </c>
      <c r="N301" s="18">
        <v>3</v>
      </c>
      <c r="O301" s="18">
        <v>0</v>
      </c>
      <c r="P301" s="18">
        <v>17</v>
      </c>
      <c r="Q301" s="18">
        <v>0</v>
      </c>
      <c r="R301" s="18">
        <v>6</v>
      </c>
      <c r="S301" s="18">
        <v>0</v>
      </c>
      <c r="T301" s="18">
        <v>142.06</v>
      </c>
    </row>
    <row r="302" spans="1:20" x14ac:dyDescent="0.3">
      <c r="A302" s="18">
        <v>50301</v>
      </c>
      <c r="B302" s="18">
        <v>0</v>
      </c>
      <c r="C302" s="18">
        <v>15</v>
      </c>
      <c r="D302" s="18" t="s">
        <v>36</v>
      </c>
      <c r="E302" s="18">
        <v>1</v>
      </c>
      <c r="F302" s="18">
        <v>28</v>
      </c>
      <c r="G302" s="18" t="s">
        <v>32</v>
      </c>
      <c r="H302" s="18" t="s">
        <v>33</v>
      </c>
      <c r="I302" s="18">
        <v>1.5</v>
      </c>
      <c r="J302" s="18">
        <v>3</v>
      </c>
      <c r="K302" s="18" t="s">
        <v>46</v>
      </c>
      <c r="L302" s="18">
        <v>3</v>
      </c>
      <c r="M302" s="18" t="s">
        <v>35</v>
      </c>
      <c r="N302" s="18">
        <v>4</v>
      </c>
      <c r="O302" s="18">
        <v>0</v>
      </c>
      <c r="P302" s="18">
        <v>20.3</v>
      </c>
      <c r="Q302" s="18">
        <v>2</v>
      </c>
      <c r="R302" s="18">
        <v>3</v>
      </c>
      <c r="S302" s="18">
        <v>4</v>
      </c>
      <c r="T302" s="18">
        <v>261</v>
      </c>
    </row>
    <row r="303" spans="1:20" x14ac:dyDescent="0.3">
      <c r="A303" s="18">
        <v>50302</v>
      </c>
      <c r="B303" s="18">
        <v>0</v>
      </c>
      <c r="C303" s="18">
        <v>4</v>
      </c>
      <c r="D303" s="18" t="s">
        <v>31</v>
      </c>
      <c r="E303" s="18">
        <v>1</v>
      </c>
      <c r="F303" s="18">
        <v>7</v>
      </c>
      <c r="G303" s="18" t="s">
        <v>39</v>
      </c>
      <c r="H303" s="18" t="s">
        <v>33</v>
      </c>
      <c r="I303" s="18">
        <v>3.1</v>
      </c>
      <c r="J303" s="18">
        <v>3</v>
      </c>
      <c r="K303" s="18" t="s">
        <v>44</v>
      </c>
      <c r="L303" s="18">
        <v>5</v>
      </c>
      <c r="M303" s="18" t="s">
        <v>35</v>
      </c>
      <c r="N303" s="18">
        <v>7</v>
      </c>
      <c r="O303" s="18">
        <v>0</v>
      </c>
      <c r="P303" s="18">
        <v>19</v>
      </c>
      <c r="Q303" s="18">
        <v>2</v>
      </c>
      <c r="R303" s="18">
        <v>2</v>
      </c>
      <c r="S303" s="18">
        <v>5</v>
      </c>
      <c r="T303" s="18">
        <v>210.11</v>
      </c>
    </row>
    <row r="304" spans="1:20" x14ac:dyDescent="0.3">
      <c r="A304" s="18">
        <v>50303</v>
      </c>
      <c r="B304" s="18">
        <v>1</v>
      </c>
      <c r="C304" s="18">
        <v>0</v>
      </c>
      <c r="D304" s="18" t="s">
        <v>36</v>
      </c>
      <c r="E304" s="18">
        <v>2</v>
      </c>
      <c r="F304" s="18">
        <v>5</v>
      </c>
      <c r="G304" s="18" t="s">
        <v>39</v>
      </c>
      <c r="H304" s="18" t="s">
        <v>33</v>
      </c>
      <c r="I304" s="18">
        <v>2.6</v>
      </c>
      <c r="J304" s="18">
        <v>3</v>
      </c>
      <c r="K304" s="18" t="s">
        <v>36</v>
      </c>
      <c r="L304" s="18">
        <v>2</v>
      </c>
      <c r="M304" s="18" t="s">
        <v>35</v>
      </c>
      <c r="N304" s="18">
        <v>7</v>
      </c>
      <c r="O304" s="18">
        <v>1</v>
      </c>
      <c r="P304" s="18">
        <v>11</v>
      </c>
      <c r="Q304" s="18">
        <v>2</v>
      </c>
      <c r="R304" s="18">
        <v>3</v>
      </c>
      <c r="S304" s="18">
        <v>0</v>
      </c>
      <c r="T304" s="18">
        <v>215.4</v>
      </c>
    </row>
    <row r="305" spans="1:20" x14ac:dyDescent="0.3">
      <c r="A305" s="18">
        <v>50304</v>
      </c>
      <c r="B305" s="18">
        <v>0</v>
      </c>
      <c r="C305" s="18">
        <v>34</v>
      </c>
      <c r="D305" s="18" t="s">
        <v>31</v>
      </c>
      <c r="E305" s="18">
        <v>1</v>
      </c>
      <c r="F305" s="18">
        <v>24</v>
      </c>
      <c r="G305" s="18" t="s">
        <v>32</v>
      </c>
      <c r="H305" s="18" t="s">
        <v>38</v>
      </c>
      <c r="I305" s="18">
        <v>3.1</v>
      </c>
      <c r="J305" s="18">
        <v>3</v>
      </c>
      <c r="K305" s="18" t="s">
        <v>40</v>
      </c>
      <c r="L305" s="18">
        <v>2</v>
      </c>
      <c r="M305" s="18" t="s">
        <v>35</v>
      </c>
      <c r="N305" s="18">
        <v>13</v>
      </c>
      <c r="O305" s="18">
        <v>0</v>
      </c>
      <c r="P305" s="18">
        <v>16.899999999999999</v>
      </c>
      <c r="Q305" s="18">
        <v>1</v>
      </c>
      <c r="R305" s="18">
        <v>2</v>
      </c>
      <c r="S305" s="18">
        <v>2</v>
      </c>
      <c r="T305" s="18">
        <v>158.46</v>
      </c>
    </row>
    <row r="306" spans="1:20" x14ac:dyDescent="0.3">
      <c r="A306" s="18">
        <v>50305</v>
      </c>
      <c r="B306" s="18">
        <v>0</v>
      </c>
      <c r="C306" s="18">
        <v>21</v>
      </c>
      <c r="D306" s="18" t="s">
        <v>36</v>
      </c>
      <c r="E306" s="18">
        <v>3</v>
      </c>
      <c r="F306" s="18"/>
      <c r="G306" s="18" t="s">
        <v>39</v>
      </c>
      <c r="H306" s="18" t="s">
        <v>33</v>
      </c>
      <c r="I306" s="18">
        <v>3.3</v>
      </c>
      <c r="J306" s="18">
        <v>2</v>
      </c>
      <c r="K306" s="18" t="s">
        <v>44</v>
      </c>
      <c r="L306" s="18">
        <v>3</v>
      </c>
      <c r="M306" s="18" t="s">
        <v>35</v>
      </c>
      <c r="N306" s="18">
        <v>2</v>
      </c>
      <c r="O306" s="18">
        <v>1</v>
      </c>
      <c r="P306" s="18">
        <v>15.4</v>
      </c>
      <c r="Q306" s="18">
        <v>2</v>
      </c>
      <c r="R306" s="18">
        <v>8</v>
      </c>
      <c r="S306" s="18">
        <v>2</v>
      </c>
      <c r="T306" s="18">
        <v>169.77</v>
      </c>
    </row>
    <row r="307" spans="1:20" x14ac:dyDescent="0.3">
      <c r="A307" s="18">
        <v>50306</v>
      </c>
      <c r="B307" s="18">
        <v>0</v>
      </c>
      <c r="C307" s="18">
        <v>26</v>
      </c>
      <c r="D307" s="18" t="s">
        <v>36</v>
      </c>
      <c r="E307" s="18">
        <v>1</v>
      </c>
      <c r="F307" s="18">
        <v>7</v>
      </c>
      <c r="G307" s="18" t="s">
        <v>47</v>
      </c>
      <c r="H307" s="18" t="s">
        <v>38</v>
      </c>
      <c r="I307" s="18">
        <v>3.8</v>
      </c>
      <c r="J307" s="18">
        <v>4</v>
      </c>
      <c r="K307" s="18" t="s">
        <v>40</v>
      </c>
      <c r="L307" s="18">
        <v>3</v>
      </c>
      <c r="M307" s="18" t="s">
        <v>35</v>
      </c>
      <c r="N307" s="18">
        <v>6</v>
      </c>
      <c r="O307" s="18">
        <v>0</v>
      </c>
      <c r="P307" s="18">
        <v>19.899999999999999</v>
      </c>
      <c r="Q307" s="18">
        <v>3</v>
      </c>
      <c r="R307" s="18">
        <v>3</v>
      </c>
      <c r="S307" s="18">
        <v>8</v>
      </c>
      <c r="T307" s="18">
        <v>166.33</v>
      </c>
    </row>
    <row r="308" spans="1:20" x14ac:dyDescent="0.3">
      <c r="A308" s="18">
        <v>50307</v>
      </c>
      <c r="B308" s="18">
        <v>0</v>
      </c>
      <c r="C308" s="18">
        <v>52</v>
      </c>
      <c r="D308" s="18" t="s">
        <v>31</v>
      </c>
      <c r="E308" s="18">
        <v>1</v>
      </c>
      <c r="F308" s="18">
        <v>16</v>
      </c>
      <c r="G308" s="18" t="s">
        <v>37</v>
      </c>
      <c r="H308" s="18" t="s">
        <v>38</v>
      </c>
      <c r="I308" s="18">
        <v>1.8</v>
      </c>
      <c r="J308" s="18">
        <v>3</v>
      </c>
      <c r="K308" s="18" t="s">
        <v>44</v>
      </c>
      <c r="L308" s="18">
        <v>4</v>
      </c>
      <c r="M308" s="18" t="s">
        <v>41</v>
      </c>
      <c r="N308" s="18">
        <v>1</v>
      </c>
      <c r="O308" s="18">
        <v>0</v>
      </c>
      <c r="P308" s="18">
        <v>19.600000000000001</v>
      </c>
      <c r="Q308" s="18">
        <v>4</v>
      </c>
      <c r="R308" s="18">
        <v>7</v>
      </c>
      <c r="S308" s="18">
        <v>1</v>
      </c>
      <c r="T308" s="18">
        <v>198.55</v>
      </c>
    </row>
    <row r="309" spans="1:20" x14ac:dyDescent="0.3">
      <c r="A309" s="18">
        <v>50308</v>
      </c>
      <c r="B309" s="18">
        <v>0</v>
      </c>
      <c r="C309" s="18">
        <v>1</v>
      </c>
      <c r="D309" s="18" t="s">
        <v>36</v>
      </c>
      <c r="E309" s="18">
        <v>2</v>
      </c>
      <c r="F309" s="18">
        <v>6</v>
      </c>
      <c r="G309" s="18" t="s">
        <v>32</v>
      </c>
      <c r="H309" s="18" t="s">
        <v>33</v>
      </c>
      <c r="I309" s="18">
        <v>2.5</v>
      </c>
      <c r="J309" s="18">
        <v>3</v>
      </c>
      <c r="K309" s="18" t="s">
        <v>44</v>
      </c>
      <c r="L309" s="18">
        <v>3</v>
      </c>
      <c r="M309" s="18" t="s">
        <v>41</v>
      </c>
      <c r="N309" s="18">
        <v>1</v>
      </c>
      <c r="O309" s="18">
        <v>0</v>
      </c>
      <c r="P309" s="18">
        <v>20.6</v>
      </c>
      <c r="Q309" s="18">
        <v>1</v>
      </c>
      <c r="R309" s="18">
        <v>4</v>
      </c>
      <c r="S309" s="18">
        <v>3</v>
      </c>
      <c r="T309" s="18">
        <v>215.3</v>
      </c>
    </row>
    <row r="310" spans="1:20" x14ac:dyDescent="0.3">
      <c r="A310" s="18">
        <v>50309</v>
      </c>
      <c r="B310" s="18">
        <v>0</v>
      </c>
      <c r="C310" s="18">
        <v>5</v>
      </c>
      <c r="D310" s="18" t="s">
        <v>42</v>
      </c>
      <c r="E310" s="18">
        <v>1</v>
      </c>
      <c r="F310" s="18">
        <v>23</v>
      </c>
      <c r="G310" s="18" t="s">
        <v>39</v>
      </c>
      <c r="H310" s="18" t="s">
        <v>38</v>
      </c>
      <c r="I310" s="18">
        <v>3.2</v>
      </c>
      <c r="J310" s="18">
        <v>4</v>
      </c>
      <c r="K310" s="18" t="s">
        <v>36</v>
      </c>
      <c r="L310" s="18">
        <v>3</v>
      </c>
      <c r="M310" s="18" t="s">
        <v>35</v>
      </c>
      <c r="N310" s="18">
        <v>1</v>
      </c>
      <c r="O310" s="18">
        <v>0</v>
      </c>
      <c r="P310" s="18">
        <v>12.1</v>
      </c>
      <c r="Q310" s="18">
        <v>0</v>
      </c>
      <c r="R310" s="18">
        <v>2</v>
      </c>
      <c r="S310" s="18">
        <v>7</v>
      </c>
      <c r="T310" s="18">
        <v>178.34</v>
      </c>
    </row>
    <row r="311" spans="1:20" x14ac:dyDescent="0.3">
      <c r="A311" s="18">
        <v>50310</v>
      </c>
      <c r="B311" s="18">
        <v>0</v>
      </c>
      <c r="C311" s="18">
        <v>14</v>
      </c>
      <c r="D311" s="18" t="s">
        <v>31</v>
      </c>
      <c r="E311" s="18">
        <v>1</v>
      </c>
      <c r="F311" s="18">
        <v>23</v>
      </c>
      <c r="G311" s="18" t="s">
        <v>39</v>
      </c>
      <c r="H311" s="18" t="s">
        <v>33</v>
      </c>
      <c r="I311" s="18">
        <v>3.4</v>
      </c>
      <c r="J311" s="18">
        <v>3</v>
      </c>
      <c r="K311" s="18" t="s">
        <v>40</v>
      </c>
      <c r="L311" s="18">
        <v>2</v>
      </c>
      <c r="M311" s="18" t="s">
        <v>41</v>
      </c>
      <c r="N311" s="18">
        <v>5</v>
      </c>
      <c r="O311" s="18">
        <v>0</v>
      </c>
      <c r="P311" s="18">
        <v>13.3</v>
      </c>
      <c r="Q311" s="18">
        <v>2</v>
      </c>
      <c r="R311" s="18">
        <v>5</v>
      </c>
      <c r="S311" s="18">
        <v>8</v>
      </c>
      <c r="T311" s="18">
        <v>136.4</v>
      </c>
    </row>
    <row r="312" spans="1:20" x14ac:dyDescent="0.3">
      <c r="A312" s="18">
        <v>50311</v>
      </c>
      <c r="B312" s="18">
        <v>0</v>
      </c>
      <c r="C312" s="18">
        <v>11</v>
      </c>
      <c r="D312" s="18" t="s">
        <v>36</v>
      </c>
      <c r="E312" s="18">
        <v>3</v>
      </c>
      <c r="F312" s="18">
        <v>19</v>
      </c>
      <c r="G312" s="18" t="s">
        <v>37</v>
      </c>
      <c r="H312" s="18" t="s">
        <v>38</v>
      </c>
      <c r="I312" s="18">
        <v>4.4000000000000004</v>
      </c>
      <c r="J312" s="18">
        <v>3</v>
      </c>
      <c r="K312" s="18" t="s">
        <v>44</v>
      </c>
      <c r="L312" s="18">
        <v>2</v>
      </c>
      <c r="M312" s="18" t="s">
        <v>41</v>
      </c>
      <c r="N312" s="18">
        <v>14</v>
      </c>
      <c r="O312" s="18">
        <v>0</v>
      </c>
      <c r="P312" s="18">
        <v>19.899999999999999</v>
      </c>
      <c r="Q312" s="18">
        <v>2</v>
      </c>
      <c r="R312" s="18">
        <v>8</v>
      </c>
      <c r="S312" s="18">
        <v>5</v>
      </c>
      <c r="T312" s="18">
        <v>221.83</v>
      </c>
    </row>
    <row r="313" spans="1:20" x14ac:dyDescent="0.3">
      <c r="A313" s="18">
        <v>50312</v>
      </c>
      <c r="B313" s="18">
        <v>0</v>
      </c>
      <c r="C313" s="18">
        <v>1</v>
      </c>
      <c r="D313" s="18" t="s">
        <v>42</v>
      </c>
      <c r="E313" s="18">
        <v>1</v>
      </c>
      <c r="F313" s="18">
        <v>17</v>
      </c>
      <c r="G313" s="18" t="s">
        <v>43</v>
      </c>
      <c r="H313" s="18" t="s">
        <v>33</v>
      </c>
      <c r="I313" s="18">
        <v>3.6</v>
      </c>
      <c r="J313" s="18">
        <v>4</v>
      </c>
      <c r="K313" s="18" t="s">
        <v>44</v>
      </c>
      <c r="L313" s="18">
        <v>4</v>
      </c>
      <c r="M313" s="18" t="s">
        <v>35</v>
      </c>
      <c r="N313" s="18">
        <v>1</v>
      </c>
      <c r="O313" s="18">
        <v>0</v>
      </c>
      <c r="P313" s="18">
        <v>13.9</v>
      </c>
      <c r="Q313" s="18">
        <v>1</v>
      </c>
      <c r="R313" s="18">
        <v>1</v>
      </c>
      <c r="S313" s="18">
        <v>1</v>
      </c>
      <c r="T313" s="18">
        <v>181.84</v>
      </c>
    </row>
    <row r="314" spans="1:20" x14ac:dyDescent="0.3">
      <c r="A314" s="18">
        <v>50313</v>
      </c>
      <c r="B314" s="18">
        <v>0</v>
      </c>
      <c r="C314" s="18">
        <v>16</v>
      </c>
      <c r="D314" s="18" t="s">
        <v>36</v>
      </c>
      <c r="E314" s="18">
        <v>3</v>
      </c>
      <c r="F314" s="18">
        <v>29</v>
      </c>
      <c r="G314" s="18" t="s">
        <v>37</v>
      </c>
      <c r="H314" s="18" t="s">
        <v>33</v>
      </c>
      <c r="I314" s="18">
        <v>2.9</v>
      </c>
      <c r="J314" s="18">
        <v>2</v>
      </c>
      <c r="K314" s="18" t="s">
        <v>44</v>
      </c>
      <c r="L314" s="18">
        <v>5</v>
      </c>
      <c r="M314" s="18" t="s">
        <v>41</v>
      </c>
      <c r="N314" s="18">
        <v>1</v>
      </c>
      <c r="O314" s="18">
        <v>0</v>
      </c>
      <c r="P314" s="18">
        <v>11</v>
      </c>
      <c r="Q314" s="18">
        <v>2</v>
      </c>
      <c r="R314" s="18">
        <v>6</v>
      </c>
      <c r="S314" s="18">
        <v>8</v>
      </c>
      <c r="T314" s="18">
        <v>100.75</v>
      </c>
    </row>
    <row r="315" spans="1:20" x14ac:dyDescent="0.3">
      <c r="A315" s="18">
        <v>50314</v>
      </c>
      <c r="B315" s="18">
        <v>0</v>
      </c>
      <c r="C315" s="18">
        <v>2</v>
      </c>
      <c r="D315" s="18" t="s">
        <v>36</v>
      </c>
      <c r="E315" s="18">
        <v>1</v>
      </c>
      <c r="F315" s="18">
        <v>14</v>
      </c>
      <c r="G315" s="18" t="s">
        <v>39</v>
      </c>
      <c r="H315" s="18" t="s">
        <v>33</v>
      </c>
      <c r="I315" s="18">
        <v>2.2999999999999998</v>
      </c>
      <c r="J315" s="18">
        <v>3</v>
      </c>
      <c r="K315" s="18" t="s">
        <v>44</v>
      </c>
      <c r="L315" s="18">
        <v>2</v>
      </c>
      <c r="M315" s="18" t="s">
        <v>41</v>
      </c>
      <c r="N315" s="18">
        <v>5</v>
      </c>
      <c r="O315" s="18">
        <v>1</v>
      </c>
      <c r="P315" s="18">
        <v>17.899999999999999</v>
      </c>
      <c r="Q315" s="18">
        <v>0</v>
      </c>
      <c r="R315" s="18">
        <v>4</v>
      </c>
      <c r="S315" s="18">
        <v>6</v>
      </c>
      <c r="T315" s="18">
        <v>62.56</v>
      </c>
    </row>
    <row r="316" spans="1:20" x14ac:dyDescent="0.3">
      <c r="A316" s="18">
        <v>50315</v>
      </c>
      <c r="B316" s="18">
        <v>1</v>
      </c>
      <c r="C316" s="18">
        <v>2</v>
      </c>
      <c r="D316" s="18" t="s">
        <v>31</v>
      </c>
      <c r="E316" s="18">
        <v>1</v>
      </c>
      <c r="F316" s="18">
        <v>5</v>
      </c>
      <c r="G316" s="18" t="s">
        <v>47</v>
      </c>
      <c r="H316" s="18" t="s">
        <v>33</v>
      </c>
      <c r="I316" s="18">
        <v>2.5</v>
      </c>
      <c r="J316" s="18">
        <v>4</v>
      </c>
      <c r="K316" s="18" t="s">
        <v>44</v>
      </c>
      <c r="L316" s="18">
        <v>2</v>
      </c>
      <c r="M316" s="18" t="s">
        <v>35</v>
      </c>
      <c r="N316" s="18">
        <v>3</v>
      </c>
      <c r="O316" s="18">
        <v>0</v>
      </c>
      <c r="P316" s="18">
        <v>14.1</v>
      </c>
      <c r="Q316" s="18">
        <v>2</v>
      </c>
      <c r="R316" s="18">
        <v>6</v>
      </c>
      <c r="S316" s="18">
        <v>6</v>
      </c>
      <c r="T316" s="18">
        <v>196.38</v>
      </c>
    </row>
    <row r="317" spans="1:20" x14ac:dyDescent="0.3">
      <c r="A317" s="18">
        <v>50316</v>
      </c>
      <c r="B317" s="18">
        <v>0</v>
      </c>
      <c r="C317" s="18">
        <v>7</v>
      </c>
      <c r="D317" s="18" t="s">
        <v>36</v>
      </c>
      <c r="E317" s="18">
        <v>3</v>
      </c>
      <c r="F317" s="18">
        <v>18</v>
      </c>
      <c r="G317" s="18" t="s">
        <v>43</v>
      </c>
      <c r="H317" s="18" t="s">
        <v>33</v>
      </c>
      <c r="I317" s="18">
        <v>2.5</v>
      </c>
      <c r="J317" s="18">
        <v>5</v>
      </c>
      <c r="K317" s="18" t="s">
        <v>36</v>
      </c>
      <c r="L317" s="18">
        <v>1</v>
      </c>
      <c r="M317" s="18" t="s">
        <v>35</v>
      </c>
      <c r="N317" s="18">
        <v>11</v>
      </c>
      <c r="O317" s="18">
        <v>0</v>
      </c>
      <c r="P317" s="18">
        <v>22.3</v>
      </c>
      <c r="Q317" s="18">
        <v>0</v>
      </c>
      <c r="R317" s="18">
        <v>4</v>
      </c>
      <c r="S317" s="18">
        <v>0</v>
      </c>
      <c r="T317" s="18">
        <v>134.38</v>
      </c>
    </row>
    <row r="318" spans="1:20" x14ac:dyDescent="0.3">
      <c r="A318" s="18">
        <v>50317</v>
      </c>
      <c r="B318" s="18">
        <v>0</v>
      </c>
      <c r="C318" s="18">
        <v>8</v>
      </c>
      <c r="D318" s="18" t="s">
        <v>42</v>
      </c>
      <c r="E318" s="18">
        <v>1</v>
      </c>
      <c r="F318" s="18">
        <v>31</v>
      </c>
      <c r="G318" s="18" t="s">
        <v>32</v>
      </c>
      <c r="H318" s="18" t="s">
        <v>33</v>
      </c>
      <c r="I318" s="18">
        <v>3.4</v>
      </c>
      <c r="J318" s="18">
        <v>4</v>
      </c>
      <c r="K318" s="18" t="s">
        <v>40</v>
      </c>
      <c r="L318" s="18">
        <v>4</v>
      </c>
      <c r="M318" s="18" t="s">
        <v>35</v>
      </c>
      <c r="N318" s="18">
        <v>1</v>
      </c>
      <c r="O318" s="18">
        <v>0</v>
      </c>
      <c r="P318" s="18">
        <v>17</v>
      </c>
      <c r="Q318" s="18">
        <v>4</v>
      </c>
      <c r="R318" s="18">
        <v>3</v>
      </c>
      <c r="S318" s="18">
        <v>0</v>
      </c>
      <c r="T318" s="18">
        <v>203.71</v>
      </c>
    </row>
    <row r="319" spans="1:20" x14ac:dyDescent="0.3">
      <c r="A319" s="18">
        <v>50318</v>
      </c>
      <c r="B319" s="18">
        <v>1</v>
      </c>
      <c r="C319" s="18">
        <v>8</v>
      </c>
      <c r="D319" s="18" t="s">
        <v>42</v>
      </c>
      <c r="E319" s="18">
        <v>1</v>
      </c>
      <c r="F319" s="18">
        <v>6</v>
      </c>
      <c r="G319" s="18" t="s">
        <v>43</v>
      </c>
      <c r="H319" s="18" t="s">
        <v>33</v>
      </c>
      <c r="I319" s="18">
        <v>3.1</v>
      </c>
      <c r="J319" s="18">
        <v>4</v>
      </c>
      <c r="K319" s="18" t="s">
        <v>36</v>
      </c>
      <c r="L319" s="18">
        <v>4</v>
      </c>
      <c r="M319" s="18" t="s">
        <v>35</v>
      </c>
      <c r="N319" s="18">
        <v>1</v>
      </c>
      <c r="O319" s="18">
        <v>1</v>
      </c>
      <c r="P319" s="18">
        <v>16.600000000000001</v>
      </c>
      <c r="Q319" s="18">
        <v>1</v>
      </c>
      <c r="R319" s="18">
        <v>4</v>
      </c>
      <c r="S319" s="18">
        <v>5</v>
      </c>
      <c r="T319" s="18">
        <v>137.34</v>
      </c>
    </row>
    <row r="320" spans="1:20" x14ac:dyDescent="0.3">
      <c r="A320" s="18">
        <v>50319</v>
      </c>
      <c r="B320" s="18">
        <v>0</v>
      </c>
      <c r="C320" s="18">
        <v>0</v>
      </c>
      <c r="D320" s="18" t="s">
        <v>42</v>
      </c>
      <c r="E320" s="18">
        <v>1</v>
      </c>
      <c r="F320" s="18">
        <v>12</v>
      </c>
      <c r="G320" s="18" t="s">
        <v>39</v>
      </c>
      <c r="H320" s="18" t="s">
        <v>33</v>
      </c>
      <c r="I320" s="18">
        <v>2</v>
      </c>
      <c r="J320" s="18">
        <v>4</v>
      </c>
      <c r="K320" s="18" t="s">
        <v>40</v>
      </c>
      <c r="L320" s="18">
        <v>3</v>
      </c>
      <c r="M320" s="18" t="s">
        <v>35</v>
      </c>
      <c r="N320" s="18">
        <v>2</v>
      </c>
      <c r="O320" s="18">
        <v>0</v>
      </c>
      <c r="P320" s="18">
        <v>14.7</v>
      </c>
      <c r="Q320" s="18">
        <v>1</v>
      </c>
      <c r="R320" s="18">
        <v>3</v>
      </c>
      <c r="S320" s="18">
        <v>14</v>
      </c>
      <c r="T320" s="18">
        <v>187.33</v>
      </c>
    </row>
    <row r="321" spans="1:20" x14ac:dyDescent="0.3">
      <c r="A321" s="18">
        <v>50320</v>
      </c>
      <c r="B321" s="18">
        <v>1</v>
      </c>
      <c r="C321" s="18">
        <v>20</v>
      </c>
      <c r="D321" s="18" t="s">
        <v>36</v>
      </c>
      <c r="E321" s="18">
        <v>1</v>
      </c>
      <c r="F321" s="18">
        <v>18</v>
      </c>
      <c r="G321" s="18" t="s">
        <v>39</v>
      </c>
      <c r="H321" s="18" t="s">
        <v>33</v>
      </c>
      <c r="I321" s="18">
        <v>2.6</v>
      </c>
      <c r="J321" s="18">
        <v>2</v>
      </c>
      <c r="K321" s="18" t="s">
        <v>40</v>
      </c>
      <c r="L321" s="18">
        <v>4</v>
      </c>
      <c r="M321" s="18" t="s">
        <v>35</v>
      </c>
      <c r="N321" s="18">
        <v>1</v>
      </c>
      <c r="O321" s="18">
        <v>0</v>
      </c>
      <c r="P321" s="18">
        <v>21.6</v>
      </c>
      <c r="Q321" s="18">
        <v>4</v>
      </c>
      <c r="R321" s="18">
        <v>6</v>
      </c>
      <c r="S321" s="18">
        <v>7</v>
      </c>
      <c r="T321" s="18">
        <v>159.19</v>
      </c>
    </row>
    <row r="322" spans="1:20" x14ac:dyDescent="0.3">
      <c r="A322" s="18">
        <v>50321</v>
      </c>
      <c r="B322" s="18">
        <v>0</v>
      </c>
      <c r="C322" s="18">
        <v>3</v>
      </c>
      <c r="D322" s="18" t="s">
        <v>36</v>
      </c>
      <c r="E322" s="18">
        <v>3</v>
      </c>
      <c r="F322" s="18">
        <v>14</v>
      </c>
      <c r="G322" s="18" t="s">
        <v>47</v>
      </c>
      <c r="H322" s="18" t="s">
        <v>33</v>
      </c>
      <c r="I322" s="18">
        <v>3.5</v>
      </c>
      <c r="J322" s="18">
        <v>3</v>
      </c>
      <c r="K322" s="18" t="s">
        <v>44</v>
      </c>
      <c r="L322" s="18">
        <v>4</v>
      </c>
      <c r="M322" s="18" t="s">
        <v>35</v>
      </c>
      <c r="N322" s="18">
        <v>1</v>
      </c>
      <c r="O322" s="18">
        <v>1</v>
      </c>
      <c r="P322" s="18">
        <v>17.3</v>
      </c>
      <c r="Q322" s="18">
        <v>3</v>
      </c>
      <c r="R322" s="18">
        <v>4</v>
      </c>
      <c r="S322" s="18">
        <v>8</v>
      </c>
      <c r="T322" s="18">
        <v>276.36</v>
      </c>
    </row>
    <row r="323" spans="1:20" x14ac:dyDescent="0.3">
      <c r="A323" s="18">
        <v>50322</v>
      </c>
      <c r="B323" s="18">
        <v>0</v>
      </c>
      <c r="C323" s="18">
        <v>1</v>
      </c>
      <c r="D323" s="18" t="s">
        <v>31</v>
      </c>
      <c r="E323" s="18">
        <v>1</v>
      </c>
      <c r="F323" s="18">
        <v>7</v>
      </c>
      <c r="G323" s="18" t="s">
        <v>32</v>
      </c>
      <c r="H323" s="18" t="s">
        <v>33</v>
      </c>
      <c r="I323" s="18">
        <v>3.1</v>
      </c>
      <c r="J323" s="18">
        <v>3</v>
      </c>
      <c r="K323" s="18" t="s">
        <v>44</v>
      </c>
      <c r="L323" s="18">
        <v>5</v>
      </c>
      <c r="M323" s="18" t="s">
        <v>35</v>
      </c>
      <c r="N323" s="18">
        <v>1</v>
      </c>
      <c r="O323" s="18">
        <v>0</v>
      </c>
      <c r="P323" s="18">
        <v>14.6</v>
      </c>
      <c r="Q323" s="18">
        <v>2</v>
      </c>
      <c r="R323" s="18">
        <v>5</v>
      </c>
      <c r="S323" s="18">
        <v>3</v>
      </c>
      <c r="T323" s="18">
        <v>232.27</v>
      </c>
    </row>
    <row r="324" spans="1:20" x14ac:dyDescent="0.3">
      <c r="A324" s="18">
        <v>50323</v>
      </c>
      <c r="B324" s="18">
        <v>0</v>
      </c>
      <c r="C324" s="18">
        <v>21</v>
      </c>
      <c r="D324" s="18" t="s">
        <v>36</v>
      </c>
      <c r="E324" s="18">
        <v>3</v>
      </c>
      <c r="F324" s="18">
        <v>23</v>
      </c>
      <c r="G324" s="18" t="s">
        <v>39</v>
      </c>
      <c r="H324" s="18" t="s">
        <v>33</v>
      </c>
      <c r="I324" s="18">
        <v>3.3</v>
      </c>
      <c r="J324" s="18">
        <v>4</v>
      </c>
      <c r="K324" s="18" t="s">
        <v>46</v>
      </c>
      <c r="L324" s="18">
        <v>1</v>
      </c>
      <c r="M324" s="18" t="s">
        <v>45</v>
      </c>
      <c r="N324" s="18">
        <v>1</v>
      </c>
      <c r="O324" s="18">
        <v>0</v>
      </c>
      <c r="P324" s="18">
        <v>13.2</v>
      </c>
      <c r="Q324" s="18">
        <v>3</v>
      </c>
      <c r="R324" s="18">
        <v>3</v>
      </c>
      <c r="S324" s="18">
        <v>1</v>
      </c>
      <c r="T324" s="18">
        <v>254.1</v>
      </c>
    </row>
    <row r="325" spans="1:20" x14ac:dyDescent="0.3">
      <c r="A325" s="18">
        <v>50324</v>
      </c>
      <c r="B325" s="18">
        <v>0</v>
      </c>
      <c r="C325" s="18">
        <v>31</v>
      </c>
      <c r="D325" s="18" t="s">
        <v>36</v>
      </c>
      <c r="E325" s="18">
        <v>3</v>
      </c>
      <c r="F325" s="18">
        <v>33</v>
      </c>
      <c r="G325" s="18" t="s">
        <v>39</v>
      </c>
      <c r="H325" s="18" t="s">
        <v>38</v>
      </c>
      <c r="I325" s="18">
        <v>3.2</v>
      </c>
      <c r="J325" s="18">
        <v>3</v>
      </c>
      <c r="K325" s="18" t="s">
        <v>44</v>
      </c>
      <c r="L325" s="18">
        <v>2</v>
      </c>
      <c r="M325" s="18" t="s">
        <v>35</v>
      </c>
      <c r="N325" s="18">
        <v>1</v>
      </c>
      <c r="O325" s="18">
        <v>1</v>
      </c>
      <c r="P325" s="18">
        <v>15.7</v>
      </c>
      <c r="Q325" s="18">
        <v>2</v>
      </c>
      <c r="R325" s="18">
        <v>2</v>
      </c>
      <c r="S325" s="18">
        <v>5</v>
      </c>
      <c r="T325" s="18">
        <v>181.32</v>
      </c>
    </row>
    <row r="326" spans="1:20" x14ac:dyDescent="0.3">
      <c r="A326" s="18">
        <v>50325</v>
      </c>
      <c r="B326" s="18">
        <v>0</v>
      </c>
      <c r="C326" s="18">
        <v>19</v>
      </c>
      <c r="D326" s="18" t="s">
        <v>36</v>
      </c>
      <c r="E326" s="18">
        <v>1</v>
      </c>
      <c r="F326" s="18">
        <v>16</v>
      </c>
      <c r="G326" s="18" t="s">
        <v>32</v>
      </c>
      <c r="H326" s="18" t="s">
        <v>33</v>
      </c>
      <c r="I326" s="18">
        <v>4</v>
      </c>
      <c r="J326" s="18">
        <v>4</v>
      </c>
      <c r="K326" s="18" t="s">
        <v>44</v>
      </c>
      <c r="L326" s="18">
        <v>1</v>
      </c>
      <c r="M326" s="18" t="s">
        <v>41</v>
      </c>
      <c r="N326" s="18">
        <v>10</v>
      </c>
      <c r="O326" s="18">
        <v>0</v>
      </c>
      <c r="P326" s="18">
        <v>12.6</v>
      </c>
      <c r="Q326" s="18">
        <v>0</v>
      </c>
      <c r="R326" s="18">
        <v>6</v>
      </c>
      <c r="S326" s="18">
        <v>6</v>
      </c>
      <c r="T326" s="18">
        <v>225.23</v>
      </c>
    </row>
    <row r="327" spans="1:20" x14ac:dyDescent="0.3">
      <c r="A327" s="18">
        <v>50326</v>
      </c>
      <c r="B327" s="18">
        <v>0</v>
      </c>
      <c r="C327" s="18">
        <v>16</v>
      </c>
      <c r="D327" s="18" t="s">
        <v>36</v>
      </c>
      <c r="E327" s="18">
        <v>3</v>
      </c>
      <c r="F327" s="18">
        <v>7</v>
      </c>
      <c r="G327" s="18" t="s">
        <v>39</v>
      </c>
      <c r="H327" s="18" t="s">
        <v>38</v>
      </c>
      <c r="I327" s="18">
        <v>3.1</v>
      </c>
      <c r="J327" s="18">
        <v>3</v>
      </c>
      <c r="K327" s="18" t="s">
        <v>44</v>
      </c>
      <c r="L327" s="18">
        <v>5</v>
      </c>
      <c r="M327" s="18" t="s">
        <v>41</v>
      </c>
      <c r="N327" s="18">
        <v>1</v>
      </c>
      <c r="O327" s="18">
        <v>0</v>
      </c>
      <c r="P327" s="18">
        <v>19.600000000000001</v>
      </c>
      <c r="Q327" s="18"/>
      <c r="R327" s="18">
        <v>5</v>
      </c>
      <c r="S327" s="18">
        <v>5</v>
      </c>
      <c r="T327" s="18">
        <v>185.04</v>
      </c>
    </row>
    <row r="328" spans="1:20" x14ac:dyDescent="0.3">
      <c r="A328" s="18">
        <v>50327</v>
      </c>
      <c r="B328" s="18">
        <v>0</v>
      </c>
      <c r="C328" s="18">
        <v>10</v>
      </c>
      <c r="D328" s="18" t="s">
        <v>36</v>
      </c>
      <c r="E328" s="18">
        <v>1</v>
      </c>
      <c r="F328" s="18">
        <v>5</v>
      </c>
      <c r="G328" s="18" t="s">
        <v>37</v>
      </c>
      <c r="H328" s="18" t="s">
        <v>33</v>
      </c>
      <c r="I328" s="18">
        <v>2.6</v>
      </c>
      <c r="J328" s="18">
        <v>3</v>
      </c>
      <c r="K328" s="18" t="s">
        <v>40</v>
      </c>
      <c r="L328" s="18">
        <v>4</v>
      </c>
      <c r="M328" s="18" t="s">
        <v>35</v>
      </c>
      <c r="N328" s="18">
        <v>2</v>
      </c>
      <c r="O328" s="18">
        <v>0</v>
      </c>
      <c r="P328" s="18">
        <v>11</v>
      </c>
      <c r="Q328" s="18">
        <v>2</v>
      </c>
      <c r="R328" s="18">
        <v>6</v>
      </c>
      <c r="S328" s="18">
        <v>14</v>
      </c>
      <c r="T328" s="18">
        <v>260.83</v>
      </c>
    </row>
    <row r="329" spans="1:20" x14ac:dyDescent="0.3">
      <c r="A329" s="18">
        <v>50328</v>
      </c>
      <c r="B329" s="18">
        <v>0</v>
      </c>
      <c r="C329" s="18">
        <v>8</v>
      </c>
      <c r="D329" s="18" t="s">
        <v>42</v>
      </c>
      <c r="E329" s="18">
        <v>3</v>
      </c>
      <c r="F329" s="18">
        <v>17</v>
      </c>
      <c r="G329" s="18" t="s">
        <v>37</v>
      </c>
      <c r="H329" s="18" t="s">
        <v>38</v>
      </c>
      <c r="I329" s="18">
        <v>2.2999999999999998</v>
      </c>
      <c r="J329" s="18">
        <v>2</v>
      </c>
      <c r="K329" s="18" t="s">
        <v>36</v>
      </c>
      <c r="L329" s="18">
        <v>4</v>
      </c>
      <c r="M329" s="18" t="s">
        <v>41</v>
      </c>
      <c r="N329" s="18">
        <v>8</v>
      </c>
      <c r="O329" s="18">
        <v>1</v>
      </c>
      <c r="P329" s="18">
        <v>15.5</v>
      </c>
      <c r="Q329" s="18">
        <v>1</v>
      </c>
      <c r="R329" s="18">
        <v>6</v>
      </c>
      <c r="S329" s="18">
        <v>2</v>
      </c>
      <c r="T329" s="18">
        <v>176.01</v>
      </c>
    </row>
    <row r="330" spans="1:20" x14ac:dyDescent="0.3">
      <c r="A330" s="18">
        <v>50329</v>
      </c>
      <c r="B330" s="18">
        <v>0</v>
      </c>
      <c r="C330" s="18">
        <v>0</v>
      </c>
      <c r="D330" s="18" t="s">
        <v>42</v>
      </c>
      <c r="E330" s="18">
        <v>1</v>
      </c>
      <c r="F330" s="18">
        <v>23</v>
      </c>
      <c r="G330" s="18" t="s">
        <v>37</v>
      </c>
      <c r="H330" s="18" t="s">
        <v>33</v>
      </c>
      <c r="I330" s="18">
        <v>3.1</v>
      </c>
      <c r="J330" s="18">
        <v>3</v>
      </c>
      <c r="K330" s="18" t="s">
        <v>34</v>
      </c>
      <c r="L330" s="18">
        <v>1</v>
      </c>
      <c r="M330" s="18" t="s">
        <v>35</v>
      </c>
      <c r="N330" s="18">
        <v>3</v>
      </c>
      <c r="O330" s="18">
        <v>0</v>
      </c>
      <c r="P330" s="18">
        <v>18.100000000000001</v>
      </c>
      <c r="Q330" s="18">
        <v>4</v>
      </c>
      <c r="R330" s="18">
        <v>4</v>
      </c>
      <c r="S330" s="18">
        <v>0</v>
      </c>
      <c r="T330" s="18">
        <v>103.14</v>
      </c>
    </row>
    <row r="331" spans="1:20" x14ac:dyDescent="0.3">
      <c r="A331" s="18">
        <v>50330</v>
      </c>
      <c r="B331" s="18">
        <v>0</v>
      </c>
      <c r="C331" s="18">
        <v>5</v>
      </c>
      <c r="D331" s="18" t="s">
        <v>36</v>
      </c>
      <c r="E331" s="18">
        <v>2</v>
      </c>
      <c r="F331" s="18">
        <v>18</v>
      </c>
      <c r="G331" s="18" t="s">
        <v>47</v>
      </c>
      <c r="H331" s="18" t="s">
        <v>33</v>
      </c>
      <c r="I331" s="18">
        <v>1.2</v>
      </c>
      <c r="J331" s="18">
        <v>5</v>
      </c>
      <c r="K331" s="18" t="s">
        <v>46</v>
      </c>
      <c r="L331" s="18">
        <v>3</v>
      </c>
      <c r="M331" s="18" t="s">
        <v>35</v>
      </c>
      <c r="N331" s="18">
        <v>3</v>
      </c>
      <c r="O331" s="18">
        <v>0</v>
      </c>
      <c r="P331" s="18">
        <v>17.2</v>
      </c>
      <c r="Q331" s="18"/>
      <c r="R331" s="18">
        <v>6</v>
      </c>
      <c r="S331" s="18">
        <v>11</v>
      </c>
      <c r="T331" s="18">
        <v>70.08</v>
      </c>
    </row>
    <row r="332" spans="1:20" x14ac:dyDescent="0.3">
      <c r="A332" s="18">
        <v>50331</v>
      </c>
      <c r="B332" s="18">
        <v>0</v>
      </c>
      <c r="C332" s="18">
        <v>4</v>
      </c>
      <c r="D332" s="18" t="s">
        <v>36</v>
      </c>
      <c r="E332" s="18">
        <v>1</v>
      </c>
      <c r="F332" s="18">
        <v>14</v>
      </c>
      <c r="G332" s="18" t="s">
        <v>37</v>
      </c>
      <c r="H332" s="18" t="s">
        <v>33</v>
      </c>
      <c r="I332" s="18">
        <v>2.8</v>
      </c>
      <c r="J332" s="18">
        <v>4</v>
      </c>
      <c r="K332" s="18" t="s">
        <v>36</v>
      </c>
      <c r="L332" s="18">
        <v>3</v>
      </c>
      <c r="M332" s="18" t="s">
        <v>35</v>
      </c>
      <c r="N332" s="18">
        <v>4</v>
      </c>
      <c r="O332" s="18">
        <v>0</v>
      </c>
      <c r="P332" s="18">
        <v>13.5</v>
      </c>
      <c r="Q332" s="18">
        <v>0</v>
      </c>
      <c r="R332" s="18">
        <v>3</v>
      </c>
      <c r="S332" s="18">
        <v>0</v>
      </c>
      <c r="T332" s="18">
        <v>271.76</v>
      </c>
    </row>
    <row r="333" spans="1:20" x14ac:dyDescent="0.3">
      <c r="A333" s="18">
        <v>50332</v>
      </c>
      <c r="B333" s="18">
        <v>1</v>
      </c>
      <c r="C333" s="18">
        <v>3</v>
      </c>
      <c r="D333" s="18" t="s">
        <v>36</v>
      </c>
      <c r="E333" s="18">
        <v>1</v>
      </c>
      <c r="F333" s="18">
        <v>10</v>
      </c>
      <c r="G333" s="18" t="s">
        <v>47</v>
      </c>
      <c r="H333" s="18" t="s">
        <v>33</v>
      </c>
      <c r="I333" s="18">
        <v>2.8</v>
      </c>
      <c r="J333" s="18">
        <v>3</v>
      </c>
      <c r="K333" s="18" t="s">
        <v>36</v>
      </c>
      <c r="L333" s="18">
        <v>4</v>
      </c>
      <c r="M333" s="18" t="s">
        <v>41</v>
      </c>
      <c r="N333" s="18">
        <v>6</v>
      </c>
      <c r="O333" s="18">
        <v>1</v>
      </c>
      <c r="P333" s="18">
        <v>18.3</v>
      </c>
      <c r="Q333" s="18">
        <v>1</v>
      </c>
      <c r="R333" s="18">
        <v>2</v>
      </c>
      <c r="S333" s="18">
        <v>5</v>
      </c>
      <c r="T333" s="18">
        <v>206.32</v>
      </c>
    </row>
    <row r="334" spans="1:20" x14ac:dyDescent="0.3">
      <c r="A334" s="18">
        <v>50333</v>
      </c>
      <c r="B334" s="18">
        <v>0</v>
      </c>
      <c r="C334" s="18">
        <v>12</v>
      </c>
      <c r="D334" s="18" t="s">
        <v>42</v>
      </c>
      <c r="E334" s="18">
        <v>2</v>
      </c>
      <c r="F334" s="18">
        <v>6</v>
      </c>
      <c r="G334" s="18" t="s">
        <v>37</v>
      </c>
      <c r="H334" s="18" t="s">
        <v>33</v>
      </c>
      <c r="I334" s="18">
        <v>1.9</v>
      </c>
      <c r="J334" s="18">
        <v>5</v>
      </c>
      <c r="K334" s="18" t="s">
        <v>44</v>
      </c>
      <c r="L334" s="18">
        <v>3</v>
      </c>
      <c r="M334" s="18" t="s">
        <v>35</v>
      </c>
      <c r="N334" s="18">
        <v>7</v>
      </c>
      <c r="O334" s="18">
        <v>0</v>
      </c>
      <c r="P334" s="18">
        <v>12.9</v>
      </c>
      <c r="Q334" s="18">
        <v>3</v>
      </c>
      <c r="R334" s="18">
        <v>4</v>
      </c>
      <c r="S334" s="18">
        <v>10</v>
      </c>
      <c r="T334" s="18">
        <v>209.93</v>
      </c>
    </row>
    <row r="335" spans="1:20" x14ac:dyDescent="0.3">
      <c r="A335" s="18">
        <v>50334</v>
      </c>
      <c r="B335" s="18">
        <v>1</v>
      </c>
      <c r="C335" s="18">
        <v>6</v>
      </c>
      <c r="D335" s="18" t="s">
        <v>36</v>
      </c>
      <c r="E335" s="18">
        <v>3</v>
      </c>
      <c r="F335" s="18">
        <v>21</v>
      </c>
      <c r="G335" s="18" t="s">
        <v>37</v>
      </c>
      <c r="H335" s="18" t="s">
        <v>33</v>
      </c>
      <c r="I335" s="18">
        <v>2.2999999999999998</v>
      </c>
      <c r="J335" s="18">
        <v>2</v>
      </c>
      <c r="K335" s="18" t="s">
        <v>44</v>
      </c>
      <c r="L335" s="18">
        <v>1</v>
      </c>
      <c r="M335" s="18" t="s">
        <v>41</v>
      </c>
      <c r="N335" s="18">
        <v>3</v>
      </c>
      <c r="O335" s="18">
        <v>0</v>
      </c>
      <c r="P335" s="18">
        <v>15.9</v>
      </c>
      <c r="Q335" s="18">
        <v>4</v>
      </c>
      <c r="R335" s="18">
        <v>7</v>
      </c>
      <c r="S335" s="18">
        <v>1</v>
      </c>
      <c r="T335" s="18">
        <v>261.93</v>
      </c>
    </row>
    <row r="336" spans="1:20" x14ac:dyDescent="0.3">
      <c r="A336" s="18">
        <v>50335</v>
      </c>
      <c r="B336" s="18">
        <v>0</v>
      </c>
      <c r="C336" s="18">
        <v>0</v>
      </c>
      <c r="D336" s="18" t="s">
        <v>31</v>
      </c>
      <c r="E336" s="18">
        <v>1</v>
      </c>
      <c r="F336" s="18">
        <v>22</v>
      </c>
      <c r="G336" s="18" t="s">
        <v>47</v>
      </c>
      <c r="H336" s="18" t="s">
        <v>38</v>
      </c>
      <c r="I336" s="18">
        <v>3.5</v>
      </c>
      <c r="J336" s="18">
        <v>2</v>
      </c>
      <c r="K336" s="18" t="s">
        <v>44</v>
      </c>
      <c r="L336" s="18">
        <v>4</v>
      </c>
      <c r="M336" s="18" t="s">
        <v>35</v>
      </c>
      <c r="N336" s="18">
        <v>7</v>
      </c>
      <c r="O336" s="18">
        <v>0</v>
      </c>
      <c r="P336" s="18">
        <v>18.3</v>
      </c>
      <c r="Q336" s="18">
        <v>0</v>
      </c>
      <c r="R336" s="18">
        <v>5</v>
      </c>
      <c r="S336" s="18">
        <v>8</v>
      </c>
      <c r="T336" s="18">
        <v>89.15</v>
      </c>
    </row>
    <row r="337" spans="1:20" x14ac:dyDescent="0.3">
      <c r="A337" s="18">
        <v>50336</v>
      </c>
      <c r="B337" s="18">
        <v>0</v>
      </c>
      <c r="C337" s="18">
        <v>2</v>
      </c>
      <c r="D337" s="18" t="s">
        <v>36</v>
      </c>
      <c r="E337" s="18">
        <v>1</v>
      </c>
      <c r="F337" s="18">
        <v>5</v>
      </c>
      <c r="G337" s="18" t="s">
        <v>39</v>
      </c>
      <c r="H337" s="18" t="s">
        <v>33</v>
      </c>
      <c r="I337" s="18">
        <v>3.1</v>
      </c>
      <c r="J337" s="18">
        <v>5</v>
      </c>
      <c r="K337" s="18" t="s">
        <v>44</v>
      </c>
      <c r="L337" s="18">
        <v>3</v>
      </c>
      <c r="M337" s="18" t="s">
        <v>35</v>
      </c>
      <c r="N337" s="18">
        <v>2</v>
      </c>
      <c r="O337" s="18">
        <v>0</v>
      </c>
      <c r="P337" s="18">
        <v>17.600000000000001</v>
      </c>
      <c r="Q337" s="18">
        <v>1</v>
      </c>
      <c r="R337" s="18">
        <v>2</v>
      </c>
      <c r="S337" s="18">
        <v>2</v>
      </c>
      <c r="T337" s="18">
        <v>160.28</v>
      </c>
    </row>
    <row r="338" spans="1:20" x14ac:dyDescent="0.3">
      <c r="A338" s="18">
        <v>50337</v>
      </c>
      <c r="B338" s="18">
        <v>1</v>
      </c>
      <c r="C338" s="18">
        <v>11</v>
      </c>
      <c r="D338" s="18" t="s">
        <v>31</v>
      </c>
      <c r="E338" s="18">
        <v>3</v>
      </c>
      <c r="F338" s="18">
        <v>27</v>
      </c>
      <c r="G338" s="18" t="s">
        <v>39</v>
      </c>
      <c r="H338" s="18" t="s">
        <v>33</v>
      </c>
      <c r="I338" s="18">
        <v>3</v>
      </c>
      <c r="J338" s="18">
        <v>3</v>
      </c>
      <c r="K338" s="18" t="s">
        <v>44</v>
      </c>
      <c r="L338" s="18">
        <v>3</v>
      </c>
      <c r="M338" s="18" t="s">
        <v>41</v>
      </c>
      <c r="N338" s="18">
        <v>1</v>
      </c>
      <c r="O338" s="18">
        <v>1</v>
      </c>
      <c r="P338" s="18">
        <v>13.6</v>
      </c>
      <c r="Q338" s="18">
        <v>3</v>
      </c>
      <c r="R338" s="18">
        <v>7</v>
      </c>
      <c r="S338" s="18">
        <v>7</v>
      </c>
      <c r="T338" s="18">
        <v>167.02</v>
      </c>
    </row>
    <row r="339" spans="1:20" x14ac:dyDescent="0.3">
      <c r="A339" s="18">
        <v>50338</v>
      </c>
      <c r="B339" s="18">
        <v>0</v>
      </c>
      <c r="C339" s="18">
        <v>0</v>
      </c>
      <c r="D339" s="18" t="s">
        <v>36</v>
      </c>
      <c r="E339" s="18">
        <v>2</v>
      </c>
      <c r="F339" s="18">
        <v>19</v>
      </c>
      <c r="G339" s="18" t="s">
        <v>39</v>
      </c>
      <c r="H339" s="18" t="s">
        <v>38</v>
      </c>
      <c r="I339" s="18">
        <v>3.1</v>
      </c>
      <c r="J339" s="18">
        <v>3</v>
      </c>
      <c r="K339" s="18" t="s">
        <v>44</v>
      </c>
      <c r="L339" s="18">
        <v>2</v>
      </c>
      <c r="M339" s="18" t="s">
        <v>45</v>
      </c>
      <c r="N339" s="18">
        <v>7</v>
      </c>
      <c r="O339" s="18">
        <v>0</v>
      </c>
      <c r="P339" s="18">
        <v>20.2</v>
      </c>
      <c r="Q339" s="18">
        <v>8</v>
      </c>
      <c r="R339" s="18">
        <v>4</v>
      </c>
      <c r="S339" s="18">
        <v>0</v>
      </c>
      <c r="T339" s="18">
        <v>220.83</v>
      </c>
    </row>
    <row r="340" spans="1:20" x14ac:dyDescent="0.3">
      <c r="A340" s="18">
        <v>50339</v>
      </c>
      <c r="B340" s="18">
        <v>0</v>
      </c>
      <c r="C340" s="18">
        <v>19</v>
      </c>
      <c r="D340" s="18" t="s">
        <v>31</v>
      </c>
      <c r="E340" s="18">
        <v>3</v>
      </c>
      <c r="F340" s="18">
        <v>26</v>
      </c>
      <c r="G340" s="18" t="s">
        <v>39</v>
      </c>
      <c r="H340" s="18" t="s">
        <v>33</v>
      </c>
      <c r="I340" s="18">
        <v>3</v>
      </c>
      <c r="J340" s="18">
        <v>2</v>
      </c>
      <c r="K340" s="18" t="s">
        <v>44</v>
      </c>
      <c r="L340" s="18">
        <v>4</v>
      </c>
      <c r="M340" s="18" t="s">
        <v>41</v>
      </c>
      <c r="N340" s="18">
        <v>2</v>
      </c>
      <c r="O340" s="18">
        <v>1</v>
      </c>
      <c r="P340" s="18">
        <v>16.3</v>
      </c>
      <c r="Q340" s="18">
        <v>1</v>
      </c>
      <c r="R340" s="18">
        <v>3</v>
      </c>
      <c r="S340" s="18">
        <v>5</v>
      </c>
      <c r="T340" s="18">
        <v>141.9</v>
      </c>
    </row>
    <row r="341" spans="1:20" x14ac:dyDescent="0.3">
      <c r="A341" s="18">
        <v>50340</v>
      </c>
      <c r="B341" s="18">
        <v>0</v>
      </c>
      <c r="C341" s="18">
        <v>6</v>
      </c>
      <c r="D341" s="18" t="s">
        <v>36</v>
      </c>
      <c r="E341" s="18">
        <v>3</v>
      </c>
      <c r="F341" s="18">
        <v>5</v>
      </c>
      <c r="G341" s="18" t="s">
        <v>37</v>
      </c>
      <c r="H341" s="18" t="s">
        <v>38</v>
      </c>
      <c r="I341" s="18">
        <v>3.8</v>
      </c>
      <c r="J341" s="18">
        <v>4</v>
      </c>
      <c r="K341" s="18" t="s">
        <v>34</v>
      </c>
      <c r="L341" s="18">
        <v>4</v>
      </c>
      <c r="M341" s="18" t="s">
        <v>45</v>
      </c>
      <c r="N341" s="18">
        <v>8</v>
      </c>
      <c r="O341" s="18">
        <v>0</v>
      </c>
      <c r="P341" s="18">
        <v>18.600000000000001</v>
      </c>
      <c r="Q341" s="18">
        <v>0</v>
      </c>
      <c r="R341" s="18">
        <v>1</v>
      </c>
      <c r="S341" s="18">
        <v>5</v>
      </c>
      <c r="T341" s="18">
        <v>113.92</v>
      </c>
    </row>
    <row r="342" spans="1:20" x14ac:dyDescent="0.3">
      <c r="A342" s="18">
        <v>50341</v>
      </c>
      <c r="B342" s="18">
        <v>0</v>
      </c>
      <c r="C342" s="18">
        <v>6</v>
      </c>
      <c r="D342" s="18" t="s">
        <v>31</v>
      </c>
      <c r="E342" s="18">
        <v>3</v>
      </c>
      <c r="F342" s="18">
        <v>5</v>
      </c>
      <c r="G342" s="18" t="s">
        <v>32</v>
      </c>
      <c r="H342" s="18" t="s">
        <v>33</v>
      </c>
      <c r="I342" s="18">
        <v>3</v>
      </c>
      <c r="J342" s="18">
        <v>4</v>
      </c>
      <c r="K342" s="18" t="s">
        <v>36</v>
      </c>
      <c r="L342" s="18">
        <v>5</v>
      </c>
      <c r="M342" s="18" t="s">
        <v>41</v>
      </c>
      <c r="N342" s="18">
        <v>1</v>
      </c>
      <c r="O342" s="18">
        <v>1</v>
      </c>
      <c r="P342" s="18">
        <v>21.4</v>
      </c>
      <c r="Q342" s="18">
        <v>1</v>
      </c>
      <c r="R342" s="18">
        <v>5</v>
      </c>
      <c r="S342" s="18">
        <v>3</v>
      </c>
      <c r="T342" s="18">
        <v>113.43</v>
      </c>
    </row>
    <row r="343" spans="1:20" x14ac:dyDescent="0.3">
      <c r="A343" s="18">
        <v>50342</v>
      </c>
      <c r="B343" s="18">
        <v>0</v>
      </c>
      <c r="C343" s="18">
        <v>8</v>
      </c>
      <c r="D343" s="18" t="s">
        <v>36</v>
      </c>
      <c r="E343" s="18">
        <v>3</v>
      </c>
      <c r="F343" s="18">
        <v>13</v>
      </c>
      <c r="G343" s="18" t="s">
        <v>47</v>
      </c>
      <c r="H343" s="18" t="s">
        <v>38</v>
      </c>
      <c r="I343" s="18">
        <v>1.9</v>
      </c>
      <c r="J343" s="18">
        <v>2</v>
      </c>
      <c r="K343" s="18" t="s">
        <v>34</v>
      </c>
      <c r="L343" s="18">
        <v>3</v>
      </c>
      <c r="M343" s="18" t="s">
        <v>41</v>
      </c>
      <c r="N343" s="18">
        <v>1</v>
      </c>
      <c r="O343" s="18">
        <v>0</v>
      </c>
      <c r="P343" s="18">
        <v>19.899999999999999</v>
      </c>
      <c r="Q343" s="18">
        <v>2</v>
      </c>
      <c r="R343" s="18">
        <v>2</v>
      </c>
      <c r="S343" s="18">
        <v>5</v>
      </c>
      <c r="T343" s="18">
        <v>243.22</v>
      </c>
    </row>
    <row r="344" spans="1:20" x14ac:dyDescent="0.3">
      <c r="A344" s="18">
        <v>50343</v>
      </c>
      <c r="B344" s="18">
        <v>0</v>
      </c>
      <c r="C344" s="18">
        <v>17</v>
      </c>
      <c r="D344" s="18" t="s">
        <v>31</v>
      </c>
      <c r="E344" s="18">
        <v>1</v>
      </c>
      <c r="F344" s="18">
        <v>19</v>
      </c>
      <c r="G344" s="18" t="s">
        <v>32</v>
      </c>
      <c r="H344" s="18" t="s">
        <v>33</v>
      </c>
      <c r="I344" s="18">
        <v>4</v>
      </c>
      <c r="J344" s="18">
        <v>3</v>
      </c>
      <c r="K344" s="18" t="s">
        <v>36</v>
      </c>
      <c r="L344" s="18">
        <v>5</v>
      </c>
      <c r="M344" s="18" t="s">
        <v>41</v>
      </c>
      <c r="N344" s="18">
        <v>10</v>
      </c>
      <c r="O344" s="18">
        <v>0</v>
      </c>
      <c r="P344" s="18">
        <v>19.899999999999999</v>
      </c>
      <c r="Q344" s="18">
        <v>2</v>
      </c>
      <c r="R344" s="18">
        <v>5</v>
      </c>
      <c r="S344" s="18">
        <v>12</v>
      </c>
      <c r="T344" s="18">
        <v>139.16</v>
      </c>
    </row>
    <row r="345" spans="1:20" x14ac:dyDescent="0.3">
      <c r="A345" s="18">
        <v>50344</v>
      </c>
      <c r="B345" s="18">
        <v>1</v>
      </c>
      <c r="C345" s="18">
        <v>4</v>
      </c>
      <c r="D345" s="18" t="s">
        <v>42</v>
      </c>
      <c r="E345" s="18">
        <v>1</v>
      </c>
      <c r="F345" s="18">
        <v>29</v>
      </c>
      <c r="G345" s="18" t="s">
        <v>37</v>
      </c>
      <c r="H345" s="18" t="s">
        <v>38</v>
      </c>
      <c r="I345" s="18">
        <v>3.2</v>
      </c>
      <c r="J345" s="18">
        <v>3</v>
      </c>
      <c r="K345" s="18" t="s">
        <v>36</v>
      </c>
      <c r="L345" s="18">
        <v>5</v>
      </c>
      <c r="M345" s="18" t="s">
        <v>41</v>
      </c>
      <c r="N345" s="18">
        <v>1</v>
      </c>
      <c r="O345" s="18">
        <v>1</v>
      </c>
      <c r="P345" s="18">
        <v>16.7</v>
      </c>
      <c r="Q345" s="18">
        <v>4</v>
      </c>
      <c r="R345" s="18">
        <v>3</v>
      </c>
      <c r="S345" s="18">
        <v>6</v>
      </c>
      <c r="T345" s="18">
        <v>149.63999999999999</v>
      </c>
    </row>
    <row r="346" spans="1:20" x14ac:dyDescent="0.3">
      <c r="A346" s="18">
        <v>50345</v>
      </c>
      <c r="B346" s="18">
        <v>0</v>
      </c>
      <c r="C346" s="18">
        <v>11</v>
      </c>
      <c r="D346" s="18" t="s">
        <v>36</v>
      </c>
      <c r="E346" s="18">
        <v>3</v>
      </c>
      <c r="F346" s="18">
        <v>20</v>
      </c>
      <c r="G346" s="18" t="s">
        <v>37</v>
      </c>
      <c r="H346" s="18" t="s">
        <v>38</v>
      </c>
      <c r="I346" s="18">
        <v>2.5</v>
      </c>
      <c r="J346" s="18">
        <v>3</v>
      </c>
      <c r="K346" s="18" t="s">
        <v>36</v>
      </c>
      <c r="L346" s="18">
        <v>4</v>
      </c>
      <c r="M346" s="18" t="s">
        <v>35</v>
      </c>
      <c r="N346" s="18">
        <v>9</v>
      </c>
      <c r="O346" s="18">
        <v>1</v>
      </c>
      <c r="P346" s="18">
        <v>18.8</v>
      </c>
      <c r="Q346" s="18">
        <v>3</v>
      </c>
      <c r="R346" s="18">
        <v>7</v>
      </c>
      <c r="S346" s="18">
        <v>16</v>
      </c>
      <c r="T346" s="18">
        <v>214.9</v>
      </c>
    </row>
    <row r="347" spans="1:20" x14ac:dyDescent="0.3">
      <c r="A347" s="18">
        <v>50346</v>
      </c>
      <c r="B347" s="18">
        <v>0</v>
      </c>
      <c r="C347" s="18">
        <v>8</v>
      </c>
      <c r="D347" s="18" t="s">
        <v>42</v>
      </c>
      <c r="E347" s="18">
        <v>2</v>
      </c>
      <c r="F347" s="18">
        <v>13</v>
      </c>
      <c r="G347" s="18" t="s">
        <v>37</v>
      </c>
      <c r="H347" s="18" t="s">
        <v>33</v>
      </c>
      <c r="I347" s="18">
        <v>2</v>
      </c>
      <c r="J347" s="18">
        <v>2</v>
      </c>
      <c r="K347" s="18" t="s">
        <v>44</v>
      </c>
      <c r="L347" s="18">
        <v>5</v>
      </c>
      <c r="M347" s="18" t="s">
        <v>35</v>
      </c>
      <c r="N347" s="18">
        <v>10</v>
      </c>
      <c r="O347" s="18">
        <v>0</v>
      </c>
      <c r="P347" s="18">
        <v>16.7</v>
      </c>
      <c r="Q347" s="18">
        <v>2</v>
      </c>
      <c r="R347" s="18">
        <v>3</v>
      </c>
      <c r="S347" s="18">
        <v>2</v>
      </c>
      <c r="T347" s="18">
        <v>141.56</v>
      </c>
    </row>
    <row r="348" spans="1:20" x14ac:dyDescent="0.3">
      <c r="A348" s="18">
        <v>50347</v>
      </c>
      <c r="B348" s="18">
        <v>0</v>
      </c>
      <c r="C348" s="18">
        <v>3</v>
      </c>
      <c r="D348" s="18" t="s">
        <v>31</v>
      </c>
      <c r="E348" s="18">
        <v>1</v>
      </c>
      <c r="F348" s="18">
        <v>6</v>
      </c>
      <c r="G348" s="18" t="s">
        <v>39</v>
      </c>
      <c r="H348" s="18" t="s">
        <v>33</v>
      </c>
      <c r="I348" s="18">
        <v>3.2</v>
      </c>
      <c r="J348" s="18">
        <v>4</v>
      </c>
      <c r="K348" s="18" t="s">
        <v>44</v>
      </c>
      <c r="L348" s="18">
        <v>3</v>
      </c>
      <c r="M348" s="18" t="s">
        <v>35</v>
      </c>
      <c r="N348" s="18">
        <v>7</v>
      </c>
      <c r="O348" s="18">
        <v>0</v>
      </c>
      <c r="P348" s="18">
        <v>11.8</v>
      </c>
      <c r="Q348" s="18">
        <v>2</v>
      </c>
      <c r="R348" s="18">
        <v>3</v>
      </c>
      <c r="S348" s="18">
        <v>3</v>
      </c>
      <c r="T348" s="18">
        <v>86.23</v>
      </c>
    </row>
    <row r="349" spans="1:20" x14ac:dyDescent="0.3">
      <c r="A349" s="18">
        <v>50348</v>
      </c>
      <c r="B349" s="18">
        <v>1</v>
      </c>
      <c r="C349" s="18">
        <v>21</v>
      </c>
      <c r="D349" s="18" t="s">
        <v>36</v>
      </c>
      <c r="E349" s="18">
        <v>1</v>
      </c>
      <c r="F349" s="18">
        <v>24</v>
      </c>
      <c r="G349" s="18" t="s">
        <v>39</v>
      </c>
      <c r="H349" s="18" t="s">
        <v>33</v>
      </c>
      <c r="I349" s="18">
        <v>2.8</v>
      </c>
      <c r="J349" s="18">
        <v>4</v>
      </c>
      <c r="K349" s="18" t="s">
        <v>34</v>
      </c>
      <c r="L349" s="18">
        <v>3</v>
      </c>
      <c r="M349" s="18" t="s">
        <v>41</v>
      </c>
      <c r="N349" s="18">
        <v>2</v>
      </c>
      <c r="O349" s="18">
        <v>0</v>
      </c>
      <c r="P349" s="18">
        <v>17.100000000000001</v>
      </c>
      <c r="Q349" s="18">
        <v>5</v>
      </c>
      <c r="R349" s="18">
        <v>7</v>
      </c>
      <c r="S349" s="18">
        <v>1</v>
      </c>
      <c r="T349" s="18">
        <v>93.01</v>
      </c>
    </row>
    <row r="350" spans="1:20" x14ac:dyDescent="0.3">
      <c r="A350" s="18">
        <v>50349</v>
      </c>
      <c r="B350" s="18">
        <v>0</v>
      </c>
      <c r="C350" s="18">
        <v>15</v>
      </c>
      <c r="D350" s="18" t="s">
        <v>36</v>
      </c>
      <c r="E350" s="18">
        <v>3</v>
      </c>
      <c r="F350" s="18">
        <v>7</v>
      </c>
      <c r="G350" s="18" t="s">
        <v>37</v>
      </c>
      <c r="H350" s="18" t="s">
        <v>38</v>
      </c>
      <c r="I350" s="18">
        <v>4</v>
      </c>
      <c r="J350" s="18">
        <v>3</v>
      </c>
      <c r="K350" s="18" t="s">
        <v>34</v>
      </c>
      <c r="L350" s="18">
        <v>1</v>
      </c>
      <c r="M350" s="18" t="s">
        <v>35</v>
      </c>
      <c r="N350" s="18">
        <v>3</v>
      </c>
      <c r="O350" s="18">
        <v>1</v>
      </c>
      <c r="P350" s="18">
        <v>16.899999999999999</v>
      </c>
      <c r="Q350" s="18">
        <v>1</v>
      </c>
      <c r="R350" s="18">
        <v>6</v>
      </c>
      <c r="S350" s="18">
        <v>21</v>
      </c>
      <c r="T350" s="18">
        <v>176.88</v>
      </c>
    </row>
    <row r="351" spans="1:20" x14ac:dyDescent="0.3">
      <c r="A351" s="18">
        <v>50350</v>
      </c>
      <c r="B351" s="18">
        <v>0</v>
      </c>
      <c r="C351" s="18">
        <v>10</v>
      </c>
      <c r="D351" s="18" t="s">
        <v>36</v>
      </c>
      <c r="E351" s="18">
        <v>2</v>
      </c>
      <c r="F351" s="18">
        <v>28</v>
      </c>
      <c r="G351" s="18" t="s">
        <v>43</v>
      </c>
      <c r="H351" s="18" t="s">
        <v>33</v>
      </c>
      <c r="I351" s="18">
        <v>2.7</v>
      </c>
      <c r="J351" s="18">
        <v>3</v>
      </c>
      <c r="K351" s="18" t="s">
        <v>44</v>
      </c>
      <c r="L351" s="18">
        <v>4</v>
      </c>
      <c r="M351" s="18" t="s">
        <v>35</v>
      </c>
      <c r="N351" s="18">
        <v>7</v>
      </c>
      <c r="O351" s="18">
        <v>0</v>
      </c>
      <c r="P351" s="18">
        <v>18</v>
      </c>
      <c r="Q351" s="18">
        <v>1</v>
      </c>
      <c r="R351" s="18">
        <v>2</v>
      </c>
      <c r="S351" s="18">
        <v>0</v>
      </c>
      <c r="T351" s="18">
        <v>207.35</v>
      </c>
    </row>
    <row r="352" spans="1:20" x14ac:dyDescent="0.3">
      <c r="A352" s="18">
        <v>50351</v>
      </c>
      <c r="B352" s="18">
        <v>0</v>
      </c>
      <c r="C352" s="18">
        <v>19</v>
      </c>
      <c r="D352" s="18" t="s">
        <v>31</v>
      </c>
      <c r="E352" s="18">
        <v>1</v>
      </c>
      <c r="F352" s="18">
        <v>12</v>
      </c>
      <c r="G352" s="18" t="s">
        <v>39</v>
      </c>
      <c r="H352" s="18" t="s">
        <v>33</v>
      </c>
      <c r="I352" s="18">
        <v>2.2999999999999998</v>
      </c>
      <c r="J352" s="18">
        <v>3</v>
      </c>
      <c r="K352" s="18" t="s">
        <v>44</v>
      </c>
      <c r="L352" s="18">
        <v>4</v>
      </c>
      <c r="M352" s="18" t="s">
        <v>35</v>
      </c>
      <c r="N352" s="18">
        <v>5</v>
      </c>
      <c r="O352" s="18">
        <v>0</v>
      </c>
      <c r="P352" s="18">
        <v>15.6</v>
      </c>
      <c r="Q352" s="18">
        <v>2</v>
      </c>
      <c r="R352" s="18">
        <v>5</v>
      </c>
      <c r="S352" s="18">
        <v>2</v>
      </c>
      <c r="T352" s="18">
        <v>168.88</v>
      </c>
    </row>
    <row r="353" spans="1:20" x14ac:dyDescent="0.3">
      <c r="A353" s="18">
        <v>50352</v>
      </c>
      <c r="B353" s="18">
        <v>0</v>
      </c>
      <c r="C353" s="18">
        <v>20</v>
      </c>
      <c r="D353" s="18" t="s">
        <v>31</v>
      </c>
      <c r="E353" s="18">
        <v>1</v>
      </c>
      <c r="F353" s="18">
        <v>27</v>
      </c>
      <c r="G353" s="18" t="s">
        <v>39</v>
      </c>
      <c r="H353" s="18" t="s">
        <v>33</v>
      </c>
      <c r="I353" s="18">
        <v>3.5</v>
      </c>
      <c r="J353" s="18">
        <v>2</v>
      </c>
      <c r="K353" s="18" t="s">
        <v>36</v>
      </c>
      <c r="L353" s="18">
        <v>4</v>
      </c>
      <c r="M353" s="18" t="s">
        <v>35</v>
      </c>
      <c r="N353" s="18">
        <v>3</v>
      </c>
      <c r="O353" s="18">
        <v>0</v>
      </c>
      <c r="P353" s="18">
        <v>13.3</v>
      </c>
      <c r="Q353" s="18">
        <v>1</v>
      </c>
      <c r="R353" s="18">
        <v>2</v>
      </c>
      <c r="S353" s="18">
        <v>1</v>
      </c>
      <c r="T353" s="18">
        <v>203.67</v>
      </c>
    </row>
    <row r="354" spans="1:20" x14ac:dyDescent="0.3">
      <c r="A354" s="18">
        <v>50353</v>
      </c>
      <c r="B354" s="18">
        <v>0</v>
      </c>
      <c r="C354" s="18">
        <v>12</v>
      </c>
      <c r="D354" s="18" t="s">
        <v>36</v>
      </c>
      <c r="E354" s="18">
        <v>1</v>
      </c>
      <c r="F354" s="18">
        <v>20</v>
      </c>
      <c r="G354" s="18" t="s">
        <v>32</v>
      </c>
      <c r="H354" s="18" t="s">
        <v>33</v>
      </c>
      <c r="I354" s="18">
        <v>3.5</v>
      </c>
      <c r="J354" s="18">
        <v>3</v>
      </c>
      <c r="K354" s="18" t="s">
        <v>44</v>
      </c>
      <c r="L354" s="18">
        <v>2</v>
      </c>
      <c r="M354" s="18" t="s">
        <v>35</v>
      </c>
      <c r="N354" s="18">
        <v>14</v>
      </c>
      <c r="O354" s="18">
        <v>1</v>
      </c>
      <c r="P354" s="18">
        <v>18.3</v>
      </c>
      <c r="Q354" s="18">
        <v>0</v>
      </c>
      <c r="R354" s="18">
        <v>5</v>
      </c>
      <c r="S354" s="18">
        <v>2</v>
      </c>
      <c r="T354" s="18">
        <v>91.29</v>
      </c>
    </row>
    <row r="355" spans="1:20" x14ac:dyDescent="0.3">
      <c r="A355" s="18">
        <v>50354</v>
      </c>
      <c r="B355" s="18">
        <v>0</v>
      </c>
      <c r="C355" s="18">
        <v>18</v>
      </c>
      <c r="D355" s="18" t="s">
        <v>36</v>
      </c>
      <c r="E355" s="18">
        <v>1</v>
      </c>
      <c r="F355" s="18">
        <v>13</v>
      </c>
      <c r="G355" s="18" t="s">
        <v>39</v>
      </c>
      <c r="H355" s="18" t="s">
        <v>33</v>
      </c>
      <c r="I355" s="18">
        <v>3</v>
      </c>
      <c r="J355" s="18">
        <v>3</v>
      </c>
      <c r="K355" s="18" t="s">
        <v>36</v>
      </c>
      <c r="L355" s="18">
        <v>3</v>
      </c>
      <c r="M355" s="18" t="s">
        <v>41</v>
      </c>
      <c r="N355" s="18">
        <v>4</v>
      </c>
      <c r="O355" s="18">
        <v>0</v>
      </c>
      <c r="P355" s="18">
        <v>11.4</v>
      </c>
      <c r="Q355" s="18">
        <v>2</v>
      </c>
      <c r="R355" s="18">
        <v>4</v>
      </c>
      <c r="S355" s="18">
        <v>12</v>
      </c>
      <c r="T355" s="18">
        <v>95.01</v>
      </c>
    </row>
    <row r="356" spans="1:20" x14ac:dyDescent="0.3">
      <c r="A356" s="18">
        <v>50355</v>
      </c>
      <c r="B356" s="18">
        <v>0</v>
      </c>
      <c r="C356" s="18">
        <v>11</v>
      </c>
      <c r="D356" s="18" t="s">
        <v>42</v>
      </c>
      <c r="E356" s="18">
        <v>1</v>
      </c>
      <c r="F356" s="18">
        <v>10</v>
      </c>
      <c r="G356" s="18" t="s">
        <v>32</v>
      </c>
      <c r="H356" s="18" t="s">
        <v>38</v>
      </c>
      <c r="I356" s="18">
        <v>3.4</v>
      </c>
      <c r="J356" s="18">
        <v>5</v>
      </c>
      <c r="K356" s="18" t="s">
        <v>44</v>
      </c>
      <c r="L356" s="18">
        <v>2</v>
      </c>
      <c r="M356" s="18" t="s">
        <v>35</v>
      </c>
      <c r="N356" s="18">
        <v>12</v>
      </c>
      <c r="O356" s="18">
        <v>0</v>
      </c>
      <c r="P356" s="18">
        <v>21.1</v>
      </c>
      <c r="Q356" s="18">
        <v>1</v>
      </c>
      <c r="R356" s="18">
        <v>4</v>
      </c>
      <c r="S356" s="18">
        <v>2</v>
      </c>
      <c r="T356" s="18">
        <v>303.97000000000003</v>
      </c>
    </row>
    <row r="357" spans="1:20" x14ac:dyDescent="0.3">
      <c r="A357" s="18">
        <v>50356</v>
      </c>
      <c r="B357" s="18">
        <v>0</v>
      </c>
      <c r="C357" s="18">
        <v>11</v>
      </c>
      <c r="D357" s="18" t="s">
        <v>42</v>
      </c>
      <c r="E357" s="18">
        <v>1</v>
      </c>
      <c r="F357" s="18">
        <v>12</v>
      </c>
      <c r="G357" s="18" t="s">
        <v>47</v>
      </c>
      <c r="H357" s="18" t="s">
        <v>33</v>
      </c>
      <c r="I357" s="18">
        <v>2.9</v>
      </c>
      <c r="J357" s="18">
        <v>4</v>
      </c>
      <c r="K357" s="18" t="s">
        <v>36</v>
      </c>
      <c r="L357" s="18">
        <v>4</v>
      </c>
      <c r="M357" s="18" t="s">
        <v>35</v>
      </c>
      <c r="N357" s="18">
        <v>1</v>
      </c>
      <c r="O357" s="18">
        <v>0</v>
      </c>
      <c r="P357" s="18"/>
      <c r="Q357" s="18">
        <v>0</v>
      </c>
      <c r="R357" s="18">
        <v>4</v>
      </c>
      <c r="S357" s="18">
        <v>12</v>
      </c>
      <c r="T357" s="18">
        <v>247.8</v>
      </c>
    </row>
    <row r="358" spans="1:20" x14ac:dyDescent="0.3">
      <c r="A358" s="18">
        <v>50357</v>
      </c>
      <c r="B358" s="18">
        <v>1</v>
      </c>
      <c r="C358" s="18">
        <v>9</v>
      </c>
      <c r="D358" s="18" t="s">
        <v>36</v>
      </c>
      <c r="E358" s="18">
        <v>3</v>
      </c>
      <c r="F358" s="18">
        <v>18</v>
      </c>
      <c r="G358" s="18" t="s">
        <v>43</v>
      </c>
      <c r="H358" s="18" t="s">
        <v>38</v>
      </c>
      <c r="I358" s="18">
        <v>3.1</v>
      </c>
      <c r="J358" s="18">
        <v>4</v>
      </c>
      <c r="K358" s="18" t="s">
        <v>44</v>
      </c>
      <c r="L358" s="18">
        <v>2</v>
      </c>
      <c r="M358" s="18" t="s">
        <v>35</v>
      </c>
      <c r="N358" s="18">
        <v>1</v>
      </c>
      <c r="O358" s="18">
        <v>0</v>
      </c>
      <c r="P358" s="18">
        <v>16.899999999999999</v>
      </c>
      <c r="Q358" s="18">
        <v>0</v>
      </c>
      <c r="R358" s="18">
        <v>2</v>
      </c>
      <c r="S358" s="18">
        <v>2</v>
      </c>
      <c r="T358" s="18">
        <v>222.29</v>
      </c>
    </row>
    <row r="359" spans="1:20" x14ac:dyDescent="0.3">
      <c r="A359" s="18">
        <v>50358</v>
      </c>
      <c r="B359" s="18">
        <v>0</v>
      </c>
      <c r="C359" s="18">
        <v>13</v>
      </c>
      <c r="D359" s="18" t="s">
        <v>42</v>
      </c>
      <c r="E359" s="18">
        <v>1</v>
      </c>
      <c r="F359" s="18">
        <v>15</v>
      </c>
      <c r="G359" s="18" t="s">
        <v>37</v>
      </c>
      <c r="H359" s="18" t="s">
        <v>33</v>
      </c>
      <c r="I359" s="18">
        <v>3.7</v>
      </c>
      <c r="J359" s="18">
        <v>4</v>
      </c>
      <c r="K359" s="18" t="s">
        <v>36</v>
      </c>
      <c r="L359" s="18">
        <v>5</v>
      </c>
      <c r="M359" s="18" t="s">
        <v>41</v>
      </c>
      <c r="N359" s="18">
        <v>2</v>
      </c>
      <c r="O359" s="18">
        <v>0</v>
      </c>
      <c r="P359" s="18">
        <v>18</v>
      </c>
      <c r="Q359" s="18">
        <v>0</v>
      </c>
      <c r="R359" s="18">
        <v>4</v>
      </c>
      <c r="S359" s="18">
        <v>9</v>
      </c>
      <c r="T359" s="18">
        <v>143.72</v>
      </c>
    </row>
    <row r="360" spans="1:20" x14ac:dyDescent="0.3">
      <c r="A360" s="18">
        <v>50359</v>
      </c>
      <c r="B360" s="18">
        <v>0</v>
      </c>
      <c r="C360" s="18">
        <v>1</v>
      </c>
      <c r="D360" s="18" t="s">
        <v>36</v>
      </c>
      <c r="E360" s="18">
        <v>3</v>
      </c>
      <c r="F360" s="18">
        <v>10</v>
      </c>
      <c r="G360" s="18" t="s">
        <v>47</v>
      </c>
      <c r="H360" s="18" t="s">
        <v>33</v>
      </c>
      <c r="I360" s="18">
        <v>3.3</v>
      </c>
      <c r="J360" s="18">
        <v>2</v>
      </c>
      <c r="K360" s="18" t="s">
        <v>44</v>
      </c>
      <c r="L360" s="18">
        <v>2</v>
      </c>
      <c r="M360" s="18" t="s">
        <v>41</v>
      </c>
      <c r="N360" s="18">
        <v>1</v>
      </c>
      <c r="O360" s="18">
        <v>1</v>
      </c>
      <c r="P360" s="18">
        <v>18.100000000000001</v>
      </c>
      <c r="Q360" s="18">
        <v>1</v>
      </c>
      <c r="R360" s="18">
        <v>3</v>
      </c>
      <c r="S360" s="18">
        <v>3</v>
      </c>
      <c r="T360" s="18">
        <v>166.91</v>
      </c>
    </row>
    <row r="361" spans="1:20" x14ac:dyDescent="0.3">
      <c r="A361" s="18">
        <v>50360</v>
      </c>
      <c r="B361" s="18">
        <v>0</v>
      </c>
      <c r="C361" s="18">
        <v>21</v>
      </c>
      <c r="D361" s="18" t="s">
        <v>36</v>
      </c>
      <c r="E361" s="18">
        <v>3</v>
      </c>
      <c r="F361" s="18">
        <v>13</v>
      </c>
      <c r="G361" s="18" t="s">
        <v>37</v>
      </c>
      <c r="H361" s="18" t="s">
        <v>33</v>
      </c>
      <c r="I361" s="18">
        <v>2.8</v>
      </c>
      <c r="J361" s="18">
        <v>3</v>
      </c>
      <c r="K361" s="18" t="s">
        <v>36</v>
      </c>
      <c r="L361" s="18">
        <v>3</v>
      </c>
      <c r="M361" s="18" t="s">
        <v>41</v>
      </c>
      <c r="N361" s="18">
        <v>5</v>
      </c>
      <c r="O361" s="18">
        <v>1</v>
      </c>
      <c r="P361" s="18">
        <v>11.1</v>
      </c>
      <c r="Q361" s="18">
        <v>1</v>
      </c>
      <c r="R361" s="18">
        <v>4</v>
      </c>
      <c r="S361" s="18">
        <v>1</v>
      </c>
      <c r="T361" s="18">
        <v>179.91</v>
      </c>
    </row>
    <row r="362" spans="1:20" x14ac:dyDescent="0.3">
      <c r="A362" s="18">
        <v>50361</v>
      </c>
      <c r="B362" s="18">
        <v>0</v>
      </c>
      <c r="C362" s="18">
        <v>20</v>
      </c>
      <c r="D362" s="18" t="s">
        <v>42</v>
      </c>
      <c r="E362" s="18">
        <v>1</v>
      </c>
      <c r="F362" s="18">
        <v>15</v>
      </c>
      <c r="G362" s="18" t="s">
        <v>47</v>
      </c>
      <c r="H362" s="18" t="s">
        <v>33</v>
      </c>
      <c r="I362" s="18">
        <v>3.8</v>
      </c>
      <c r="J362" s="18">
        <v>4</v>
      </c>
      <c r="K362" s="18" t="s">
        <v>34</v>
      </c>
      <c r="L362" s="18">
        <v>5</v>
      </c>
      <c r="M362" s="18" t="s">
        <v>41</v>
      </c>
      <c r="N362" s="18">
        <v>1</v>
      </c>
      <c r="O362" s="18">
        <v>0</v>
      </c>
      <c r="P362" s="18">
        <v>18.899999999999999</v>
      </c>
      <c r="Q362" s="18">
        <v>0</v>
      </c>
      <c r="R362" s="18">
        <v>4</v>
      </c>
      <c r="S362" s="18">
        <v>2</v>
      </c>
      <c r="T362" s="18">
        <v>252.29</v>
      </c>
    </row>
    <row r="363" spans="1:20" x14ac:dyDescent="0.3">
      <c r="A363" s="18">
        <v>50362</v>
      </c>
      <c r="B363" s="18">
        <v>0</v>
      </c>
      <c r="C363" s="18">
        <v>0</v>
      </c>
      <c r="D363" s="18" t="s">
        <v>36</v>
      </c>
      <c r="E363" s="18">
        <v>2</v>
      </c>
      <c r="F363" s="18">
        <v>5</v>
      </c>
      <c r="G363" s="18" t="s">
        <v>37</v>
      </c>
      <c r="H363" s="18" t="s">
        <v>38</v>
      </c>
      <c r="I363" s="18">
        <v>1.2</v>
      </c>
      <c r="J363" s="18">
        <v>2</v>
      </c>
      <c r="K363" s="18" t="s">
        <v>36</v>
      </c>
      <c r="L363" s="18">
        <v>3</v>
      </c>
      <c r="M363" s="18" t="s">
        <v>41</v>
      </c>
      <c r="N363" s="18">
        <v>13</v>
      </c>
      <c r="O363" s="18">
        <v>1</v>
      </c>
      <c r="P363" s="18">
        <v>17.100000000000001</v>
      </c>
      <c r="Q363" s="18">
        <v>2</v>
      </c>
      <c r="R363" s="18">
        <v>2</v>
      </c>
      <c r="S363" s="18">
        <v>2</v>
      </c>
      <c r="T363" s="18">
        <v>202.15</v>
      </c>
    </row>
    <row r="364" spans="1:20" x14ac:dyDescent="0.3">
      <c r="A364" s="18">
        <v>50363</v>
      </c>
      <c r="B364" s="18">
        <v>0</v>
      </c>
      <c r="C364" s="18">
        <v>17</v>
      </c>
      <c r="D364" s="18" t="s">
        <v>36</v>
      </c>
      <c r="E364" s="18">
        <v>1</v>
      </c>
      <c r="F364" s="18">
        <v>18</v>
      </c>
      <c r="G364" s="18" t="s">
        <v>39</v>
      </c>
      <c r="H364" s="18" t="s">
        <v>38</v>
      </c>
      <c r="I364" s="18">
        <v>4.3</v>
      </c>
      <c r="J364" s="18">
        <v>4</v>
      </c>
      <c r="K364" s="18" t="s">
        <v>46</v>
      </c>
      <c r="L364" s="18">
        <v>1</v>
      </c>
      <c r="M364" s="18" t="s">
        <v>35</v>
      </c>
      <c r="N364" s="18">
        <v>1</v>
      </c>
      <c r="O364" s="18">
        <v>0</v>
      </c>
      <c r="P364" s="18">
        <v>13.8</v>
      </c>
      <c r="Q364" s="18">
        <v>0</v>
      </c>
      <c r="R364" s="18">
        <v>4</v>
      </c>
      <c r="S364" s="18">
        <v>1</v>
      </c>
      <c r="T364" s="18">
        <v>208.93</v>
      </c>
    </row>
    <row r="365" spans="1:20" x14ac:dyDescent="0.3">
      <c r="A365" s="18">
        <v>50364</v>
      </c>
      <c r="B365" s="18">
        <v>0</v>
      </c>
      <c r="C365" s="18">
        <v>1</v>
      </c>
      <c r="D365" s="18" t="s">
        <v>36</v>
      </c>
      <c r="E365" s="18">
        <v>3</v>
      </c>
      <c r="F365" s="18">
        <v>7</v>
      </c>
      <c r="G365" s="18" t="s">
        <v>37</v>
      </c>
      <c r="H365" s="18" t="s">
        <v>33</v>
      </c>
      <c r="I365" s="18">
        <v>1.7</v>
      </c>
      <c r="J365" s="18">
        <v>6</v>
      </c>
      <c r="K365" s="18" t="s">
        <v>46</v>
      </c>
      <c r="L365" s="18">
        <v>3</v>
      </c>
      <c r="M365" s="18" t="s">
        <v>35</v>
      </c>
      <c r="N365" s="18">
        <v>1</v>
      </c>
      <c r="O365" s="18">
        <v>0</v>
      </c>
      <c r="P365" s="18">
        <v>13.4</v>
      </c>
      <c r="Q365" s="18">
        <v>2</v>
      </c>
      <c r="R365" s="18">
        <v>5</v>
      </c>
      <c r="S365" s="18">
        <v>1</v>
      </c>
      <c r="T365" s="18">
        <v>170.78</v>
      </c>
    </row>
    <row r="366" spans="1:20" x14ac:dyDescent="0.3">
      <c r="A366" s="18">
        <v>50365</v>
      </c>
      <c r="B366" s="18">
        <v>0</v>
      </c>
      <c r="C366" s="18">
        <v>4</v>
      </c>
      <c r="D366" s="18" t="s">
        <v>42</v>
      </c>
      <c r="E366" s="18">
        <v>1</v>
      </c>
      <c r="F366" s="18">
        <v>5</v>
      </c>
      <c r="G366" s="18" t="s">
        <v>37</v>
      </c>
      <c r="H366" s="18" t="s">
        <v>33</v>
      </c>
      <c r="I366" s="18">
        <v>2.5</v>
      </c>
      <c r="J366" s="18">
        <v>4</v>
      </c>
      <c r="K366" s="18" t="s">
        <v>34</v>
      </c>
      <c r="L366" s="18">
        <v>1</v>
      </c>
      <c r="M366" s="18" t="s">
        <v>35</v>
      </c>
      <c r="N366" s="18">
        <v>1</v>
      </c>
      <c r="O366" s="18">
        <v>1</v>
      </c>
      <c r="P366" s="18"/>
      <c r="Q366" s="18">
        <v>2</v>
      </c>
      <c r="R366" s="18">
        <v>4</v>
      </c>
      <c r="S366" s="18">
        <v>1</v>
      </c>
      <c r="T366" s="18">
        <v>223.6</v>
      </c>
    </row>
    <row r="367" spans="1:20" x14ac:dyDescent="0.3">
      <c r="A367" s="18">
        <v>50366</v>
      </c>
      <c r="B367" s="18">
        <v>0</v>
      </c>
      <c r="C367" s="18">
        <v>13</v>
      </c>
      <c r="D367" s="18" t="s">
        <v>42</v>
      </c>
      <c r="E367" s="18">
        <v>2</v>
      </c>
      <c r="F367" s="18">
        <v>5</v>
      </c>
      <c r="G367" s="18" t="s">
        <v>32</v>
      </c>
      <c r="H367" s="18" t="s">
        <v>33</v>
      </c>
      <c r="I367" s="18">
        <v>2.9</v>
      </c>
      <c r="J367" s="18">
        <v>5</v>
      </c>
      <c r="K367" s="18" t="s">
        <v>46</v>
      </c>
      <c r="L367" s="18">
        <v>5</v>
      </c>
      <c r="M367" s="18" t="s">
        <v>41</v>
      </c>
      <c r="N367" s="18">
        <v>3</v>
      </c>
      <c r="O367" s="18">
        <v>0</v>
      </c>
      <c r="P367" s="18">
        <v>11.5</v>
      </c>
      <c r="Q367" s="18">
        <v>3</v>
      </c>
      <c r="R367" s="18">
        <v>5</v>
      </c>
      <c r="S367" s="18">
        <v>2</v>
      </c>
      <c r="T367" s="18">
        <v>196.63</v>
      </c>
    </row>
    <row r="368" spans="1:20" x14ac:dyDescent="0.3">
      <c r="A368" s="18">
        <v>50367</v>
      </c>
      <c r="B368" s="18">
        <v>0</v>
      </c>
      <c r="C368" s="18">
        <v>1</v>
      </c>
      <c r="D368" s="18" t="s">
        <v>36</v>
      </c>
      <c r="E368" s="18">
        <v>2</v>
      </c>
      <c r="F368" s="18">
        <v>5</v>
      </c>
      <c r="G368" s="18" t="s">
        <v>47</v>
      </c>
      <c r="H368" s="18" t="s">
        <v>38</v>
      </c>
      <c r="I368" s="18">
        <v>2.8</v>
      </c>
      <c r="J368" s="18">
        <v>3</v>
      </c>
      <c r="K368" s="18" t="s">
        <v>40</v>
      </c>
      <c r="L368" s="18">
        <v>4</v>
      </c>
      <c r="M368" s="18" t="s">
        <v>45</v>
      </c>
      <c r="N368" s="18">
        <v>1</v>
      </c>
      <c r="O368" s="18">
        <v>0</v>
      </c>
      <c r="P368" s="18">
        <v>22</v>
      </c>
      <c r="Q368" s="18">
        <v>2</v>
      </c>
      <c r="R368" s="18">
        <v>5</v>
      </c>
      <c r="S368" s="18">
        <v>4</v>
      </c>
      <c r="T368" s="18">
        <v>182.42</v>
      </c>
    </row>
    <row r="369" spans="1:20" x14ac:dyDescent="0.3">
      <c r="A369" s="18">
        <v>50368</v>
      </c>
      <c r="B369" s="18">
        <v>0</v>
      </c>
      <c r="C369" s="18">
        <v>17</v>
      </c>
      <c r="D369" s="18" t="s">
        <v>36</v>
      </c>
      <c r="E369" s="18">
        <v>1</v>
      </c>
      <c r="F369" s="18">
        <v>5</v>
      </c>
      <c r="G369" s="18" t="s">
        <v>47</v>
      </c>
      <c r="H369" s="18" t="s">
        <v>38</v>
      </c>
      <c r="I369" s="18">
        <v>3.6</v>
      </c>
      <c r="J369" s="18">
        <v>4</v>
      </c>
      <c r="K369" s="18" t="s">
        <v>46</v>
      </c>
      <c r="L369" s="18">
        <v>3</v>
      </c>
      <c r="M369" s="18" t="s">
        <v>41</v>
      </c>
      <c r="N369" s="18">
        <v>1</v>
      </c>
      <c r="O369" s="18">
        <v>1</v>
      </c>
      <c r="P369" s="18">
        <v>21.2</v>
      </c>
      <c r="Q369" s="18">
        <v>1</v>
      </c>
      <c r="R369" s="18">
        <v>3</v>
      </c>
      <c r="S369" s="18">
        <v>2</v>
      </c>
      <c r="T369" s="18">
        <v>139.13</v>
      </c>
    </row>
    <row r="370" spans="1:20" x14ac:dyDescent="0.3">
      <c r="A370" s="18">
        <v>50369</v>
      </c>
      <c r="B370" s="18">
        <v>0</v>
      </c>
      <c r="C370" s="18">
        <v>17</v>
      </c>
      <c r="D370" s="18" t="s">
        <v>36</v>
      </c>
      <c r="E370" s="18">
        <v>1</v>
      </c>
      <c r="F370" s="18">
        <v>9</v>
      </c>
      <c r="G370" s="18" t="s">
        <v>39</v>
      </c>
      <c r="H370" s="18" t="s">
        <v>38</v>
      </c>
      <c r="I370" s="18">
        <v>2.2000000000000002</v>
      </c>
      <c r="J370" s="18">
        <v>2</v>
      </c>
      <c r="K370" s="18" t="s">
        <v>44</v>
      </c>
      <c r="L370" s="18">
        <v>4</v>
      </c>
      <c r="M370" s="18" t="s">
        <v>35</v>
      </c>
      <c r="N370" s="18">
        <v>4</v>
      </c>
      <c r="O370" s="18">
        <v>0</v>
      </c>
      <c r="P370" s="18">
        <v>17.600000000000001</v>
      </c>
      <c r="Q370" s="18">
        <v>2</v>
      </c>
      <c r="R370" s="18">
        <v>3</v>
      </c>
      <c r="S370" s="18">
        <v>6</v>
      </c>
      <c r="T370" s="18">
        <v>173.75</v>
      </c>
    </row>
    <row r="371" spans="1:20" x14ac:dyDescent="0.3">
      <c r="A371" s="18">
        <v>50370</v>
      </c>
      <c r="B371" s="18">
        <v>1</v>
      </c>
      <c r="C371" s="18">
        <v>7</v>
      </c>
      <c r="D371" s="18" t="s">
        <v>31</v>
      </c>
      <c r="E371" s="18">
        <v>2</v>
      </c>
      <c r="F371" s="18">
        <v>30</v>
      </c>
      <c r="G371" s="18" t="s">
        <v>47</v>
      </c>
      <c r="H371" s="18" t="s">
        <v>33</v>
      </c>
      <c r="I371" s="18">
        <v>3.1</v>
      </c>
      <c r="J371" s="18">
        <v>4</v>
      </c>
      <c r="K371" s="18" t="s">
        <v>36</v>
      </c>
      <c r="L371" s="18">
        <v>1</v>
      </c>
      <c r="M371" s="18" t="s">
        <v>45</v>
      </c>
      <c r="N371" s="18">
        <v>1</v>
      </c>
      <c r="O371" s="18">
        <v>1</v>
      </c>
      <c r="P371" s="18">
        <v>15.2</v>
      </c>
      <c r="Q371" s="18">
        <v>2</v>
      </c>
      <c r="R371" s="18">
        <v>1</v>
      </c>
      <c r="S371" s="18">
        <v>21</v>
      </c>
      <c r="T371" s="18">
        <v>120.63</v>
      </c>
    </row>
    <row r="372" spans="1:20" x14ac:dyDescent="0.3">
      <c r="A372" s="18">
        <v>50371</v>
      </c>
      <c r="B372" s="18">
        <v>0</v>
      </c>
      <c r="C372" s="18">
        <v>0</v>
      </c>
      <c r="D372" s="18" t="s">
        <v>36</v>
      </c>
      <c r="E372" s="18">
        <v>3</v>
      </c>
      <c r="F372" s="18">
        <v>10</v>
      </c>
      <c r="G372" s="18" t="s">
        <v>37</v>
      </c>
      <c r="H372" s="18" t="s">
        <v>33</v>
      </c>
      <c r="I372" s="18">
        <v>2.5</v>
      </c>
      <c r="J372" s="18">
        <v>4</v>
      </c>
      <c r="K372" s="18" t="s">
        <v>34</v>
      </c>
      <c r="L372" s="18">
        <v>4</v>
      </c>
      <c r="M372" s="18" t="s">
        <v>35</v>
      </c>
      <c r="N372" s="18">
        <v>1</v>
      </c>
      <c r="O372" s="18">
        <v>1</v>
      </c>
      <c r="P372" s="18">
        <v>15.3</v>
      </c>
      <c r="Q372" s="18">
        <v>4</v>
      </c>
      <c r="R372" s="18">
        <v>3</v>
      </c>
      <c r="S372" s="18">
        <v>2</v>
      </c>
      <c r="T372" s="18">
        <v>177.79</v>
      </c>
    </row>
    <row r="373" spans="1:20" x14ac:dyDescent="0.3">
      <c r="A373" s="18">
        <v>50372</v>
      </c>
      <c r="B373" s="18">
        <v>0</v>
      </c>
      <c r="C373" s="18">
        <v>3</v>
      </c>
      <c r="D373" s="18" t="s">
        <v>31</v>
      </c>
      <c r="E373" s="18">
        <v>1</v>
      </c>
      <c r="F373" s="18">
        <v>16</v>
      </c>
      <c r="G373" s="18" t="s">
        <v>32</v>
      </c>
      <c r="H373" s="18" t="s">
        <v>33</v>
      </c>
      <c r="I373" s="18">
        <v>3.1</v>
      </c>
      <c r="J373" s="18">
        <v>3</v>
      </c>
      <c r="K373" s="18" t="s">
        <v>40</v>
      </c>
      <c r="L373" s="18">
        <v>5</v>
      </c>
      <c r="M373" s="18" t="s">
        <v>45</v>
      </c>
      <c r="N373" s="18">
        <v>5</v>
      </c>
      <c r="O373" s="18">
        <v>0</v>
      </c>
      <c r="P373" s="18">
        <v>18.7</v>
      </c>
      <c r="Q373" s="18">
        <v>2</v>
      </c>
      <c r="R373" s="18">
        <v>5</v>
      </c>
      <c r="S373" s="18">
        <v>3</v>
      </c>
      <c r="T373" s="18">
        <v>184.89</v>
      </c>
    </row>
    <row r="374" spans="1:20" x14ac:dyDescent="0.3">
      <c r="A374" s="18">
        <v>50373</v>
      </c>
      <c r="B374" s="18">
        <v>0</v>
      </c>
      <c r="C374" s="18">
        <v>9</v>
      </c>
      <c r="D374" s="18" t="s">
        <v>36</v>
      </c>
      <c r="E374" s="18">
        <v>2</v>
      </c>
      <c r="F374" s="18">
        <v>18</v>
      </c>
      <c r="G374" s="18" t="s">
        <v>43</v>
      </c>
      <c r="H374" s="18" t="s">
        <v>33</v>
      </c>
      <c r="I374" s="18">
        <v>2.9</v>
      </c>
      <c r="J374" s="18">
        <v>5</v>
      </c>
      <c r="K374" s="18" t="s">
        <v>34</v>
      </c>
      <c r="L374" s="18">
        <v>5</v>
      </c>
      <c r="M374" s="18" t="s">
        <v>35</v>
      </c>
      <c r="N374" s="18">
        <v>1</v>
      </c>
      <c r="O374" s="18">
        <v>0</v>
      </c>
      <c r="P374" s="18">
        <v>22.2</v>
      </c>
      <c r="Q374" s="18">
        <v>1</v>
      </c>
      <c r="R374" s="18">
        <v>4</v>
      </c>
      <c r="S374" s="18">
        <v>0</v>
      </c>
      <c r="T374" s="18">
        <v>47.75</v>
      </c>
    </row>
    <row r="375" spans="1:20" x14ac:dyDescent="0.3">
      <c r="A375" s="18">
        <v>50374</v>
      </c>
      <c r="B375" s="18">
        <v>0</v>
      </c>
      <c r="C375" s="18">
        <v>39</v>
      </c>
      <c r="D375" s="18" t="s">
        <v>36</v>
      </c>
      <c r="E375" s="18">
        <v>1</v>
      </c>
      <c r="F375" s="18">
        <v>16</v>
      </c>
      <c r="G375" s="18" t="s">
        <v>39</v>
      </c>
      <c r="H375" s="18" t="s">
        <v>33</v>
      </c>
      <c r="I375" s="18">
        <v>3</v>
      </c>
      <c r="J375" s="18">
        <v>3</v>
      </c>
      <c r="K375" s="18" t="s">
        <v>40</v>
      </c>
      <c r="L375" s="18">
        <v>3</v>
      </c>
      <c r="M375" s="18" t="s">
        <v>41</v>
      </c>
      <c r="N375" s="18">
        <v>2</v>
      </c>
      <c r="O375" s="18">
        <v>0</v>
      </c>
      <c r="P375" s="18">
        <v>14</v>
      </c>
      <c r="Q375" s="18">
        <v>3</v>
      </c>
      <c r="R375" s="18">
        <v>3</v>
      </c>
      <c r="S375" s="18">
        <v>2</v>
      </c>
      <c r="T375" s="18">
        <v>167.33</v>
      </c>
    </row>
    <row r="376" spans="1:20" x14ac:dyDescent="0.3">
      <c r="A376" s="18">
        <v>50375</v>
      </c>
      <c r="B376" s="18">
        <v>1</v>
      </c>
      <c r="C376" s="18">
        <v>9</v>
      </c>
      <c r="D376" s="18" t="s">
        <v>36</v>
      </c>
      <c r="E376" s="18">
        <v>3</v>
      </c>
      <c r="F376" s="18">
        <v>14</v>
      </c>
      <c r="G376" s="18" t="s">
        <v>32</v>
      </c>
      <c r="H376" s="18" t="s">
        <v>33</v>
      </c>
      <c r="I376" s="18">
        <v>2.5</v>
      </c>
      <c r="J376" s="18">
        <v>3</v>
      </c>
      <c r="K376" s="18" t="s">
        <v>46</v>
      </c>
      <c r="L376" s="18">
        <v>3</v>
      </c>
      <c r="M376" s="18" t="s">
        <v>41</v>
      </c>
      <c r="N376" s="18">
        <v>1</v>
      </c>
      <c r="O376" s="18">
        <v>0</v>
      </c>
      <c r="P376" s="18">
        <v>12.1</v>
      </c>
      <c r="Q376" s="18">
        <v>2</v>
      </c>
      <c r="R376" s="18">
        <v>7</v>
      </c>
      <c r="S376" s="18">
        <v>6</v>
      </c>
      <c r="T376" s="18">
        <v>115.33</v>
      </c>
    </row>
    <row r="377" spans="1:20" x14ac:dyDescent="0.3">
      <c r="A377" s="18">
        <v>50376</v>
      </c>
      <c r="B377" s="18">
        <v>0</v>
      </c>
      <c r="C377" s="18">
        <v>3</v>
      </c>
      <c r="D377" s="18" t="s">
        <v>36</v>
      </c>
      <c r="E377" s="18">
        <v>1</v>
      </c>
      <c r="F377" s="18">
        <v>5</v>
      </c>
      <c r="G377" s="18" t="s">
        <v>39</v>
      </c>
      <c r="H377" s="18" t="s">
        <v>33</v>
      </c>
      <c r="I377" s="18">
        <v>2.5</v>
      </c>
      <c r="J377" s="18">
        <v>3</v>
      </c>
      <c r="K377" s="18" t="s">
        <v>40</v>
      </c>
      <c r="L377" s="18">
        <v>1</v>
      </c>
      <c r="M377" s="18" t="s">
        <v>41</v>
      </c>
      <c r="N377" s="18">
        <v>1</v>
      </c>
      <c r="O377" s="18">
        <v>0</v>
      </c>
      <c r="P377" s="18">
        <v>21.4</v>
      </c>
      <c r="Q377" s="18">
        <v>0</v>
      </c>
      <c r="R377" s="18">
        <v>2</v>
      </c>
      <c r="S377" s="18">
        <v>1</v>
      </c>
      <c r="T377" s="18">
        <v>207.43</v>
      </c>
    </row>
    <row r="378" spans="1:20" x14ac:dyDescent="0.3">
      <c r="A378" s="18">
        <v>50377</v>
      </c>
      <c r="B378" s="18">
        <v>0</v>
      </c>
      <c r="C378" s="18">
        <v>10</v>
      </c>
      <c r="D378" s="18" t="s">
        <v>42</v>
      </c>
      <c r="E378" s="18">
        <v>3</v>
      </c>
      <c r="F378" s="18">
        <v>26</v>
      </c>
      <c r="G378" s="18" t="s">
        <v>37</v>
      </c>
      <c r="H378" s="18" t="s">
        <v>38</v>
      </c>
      <c r="I378" s="18">
        <v>3.1</v>
      </c>
      <c r="J378" s="18">
        <v>2</v>
      </c>
      <c r="K378" s="18" t="s">
        <v>40</v>
      </c>
      <c r="L378" s="18">
        <v>4</v>
      </c>
      <c r="M378" s="18" t="s">
        <v>41</v>
      </c>
      <c r="N378" s="18">
        <v>4</v>
      </c>
      <c r="O378" s="18">
        <v>1</v>
      </c>
      <c r="P378" s="18">
        <v>11</v>
      </c>
      <c r="Q378" s="18">
        <v>0</v>
      </c>
      <c r="R378" s="18">
        <v>3</v>
      </c>
      <c r="S378" s="18">
        <v>1</v>
      </c>
      <c r="T378" s="18">
        <v>215.04</v>
      </c>
    </row>
    <row r="379" spans="1:20" x14ac:dyDescent="0.3">
      <c r="A379" s="18">
        <v>50378</v>
      </c>
      <c r="B379" s="18">
        <v>0</v>
      </c>
      <c r="C379" s="18">
        <v>7</v>
      </c>
      <c r="D379" s="18" t="s">
        <v>36</v>
      </c>
      <c r="E379" s="18">
        <v>1</v>
      </c>
      <c r="F379" s="18">
        <v>29</v>
      </c>
      <c r="G379" s="18" t="s">
        <v>37</v>
      </c>
      <c r="H379" s="18" t="s">
        <v>38</v>
      </c>
      <c r="I379" s="18">
        <v>3.6</v>
      </c>
      <c r="J379" s="18">
        <v>3</v>
      </c>
      <c r="K379" s="18" t="s">
        <v>36</v>
      </c>
      <c r="L379" s="18">
        <v>3</v>
      </c>
      <c r="M379" s="18" t="s">
        <v>35</v>
      </c>
      <c r="N379" s="18">
        <v>1</v>
      </c>
      <c r="O379" s="18">
        <v>0</v>
      </c>
      <c r="P379" s="18">
        <v>12.5</v>
      </c>
      <c r="Q379" s="18">
        <v>0</v>
      </c>
      <c r="R379" s="18">
        <v>7</v>
      </c>
      <c r="S379" s="18">
        <v>2</v>
      </c>
      <c r="T379" s="18">
        <v>156.55000000000001</v>
      </c>
    </row>
    <row r="380" spans="1:20" x14ac:dyDescent="0.3">
      <c r="A380" s="18">
        <v>50379</v>
      </c>
      <c r="B380" s="18">
        <v>1</v>
      </c>
      <c r="C380" s="18">
        <v>15</v>
      </c>
      <c r="D380" s="18" t="s">
        <v>36</v>
      </c>
      <c r="E380" s="18">
        <v>1</v>
      </c>
      <c r="F380" s="18"/>
      <c r="G380" s="18" t="s">
        <v>39</v>
      </c>
      <c r="H380" s="18" t="s">
        <v>33</v>
      </c>
      <c r="I380" s="18">
        <v>2.5</v>
      </c>
      <c r="J380" s="18">
        <v>1</v>
      </c>
      <c r="K380" s="18" t="s">
        <v>34</v>
      </c>
      <c r="L380" s="18">
        <v>3</v>
      </c>
      <c r="M380" s="18" t="s">
        <v>41</v>
      </c>
      <c r="N380" s="18">
        <v>7</v>
      </c>
      <c r="O380" s="18">
        <v>0</v>
      </c>
      <c r="P380" s="18">
        <v>15.1</v>
      </c>
      <c r="Q380" s="18">
        <v>1</v>
      </c>
      <c r="R380" s="18">
        <v>2</v>
      </c>
      <c r="S380" s="18">
        <v>8</v>
      </c>
      <c r="T380" s="18">
        <v>210.2</v>
      </c>
    </row>
    <row r="381" spans="1:20" x14ac:dyDescent="0.3">
      <c r="A381" s="18">
        <v>50380</v>
      </c>
      <c r="B381" s="18">
        <v>0</v>
      </c>
      <c r="C381" s="18">
        <v>1</v>
      </c>
      <c r="D381" s="18" t="s">
        <v>36</v>
      </c>
      <c r="E381" s="18">
        <v>1</v>
      </c>
      <c r="F381" s="18">
        <v>6</v>
      </c>
      <c r="G381" s="18" t="s">
        <v>47</v>
      </c>
      <c r="H381" s="18" t="s">
        <v>33</v>
      </c>
      <c r="I381" s="18">
        <v>2.2999999999999998</v>
      </c>
      <c r="J381" s="18">
        <v>4</v>
      </c>
      <c r="K381" s="18" t="s">
        <v>46</v>
      </c>
      <c r="L381" s="18">
        <v>5</v>
      </c>
      <c r="M381" s="18" t="s">
        <v>35</v>
      </c>
      <c r="N381" s="18">
        <v>8</v>
      </c>
      <c r="O381" s="18">
        <v>0</v>
      </c>
      <c r="P381" s="18">
        <v>11</v>
      </c>
      <c r="Q381" s="18">
        <v>2</v>
      </c>
      <c r="R381" s="18">
        <v>3</v>
      </c>
      <c r="S381" s="18">
        <v>4</v>
      </c>
      <c r="T381" s="18">
        <v>212.51</v>
      </c>
    </row>
    <row r="382" spans="1:20" x14ac:dyDescent="0.3">
      <c r="A382" s="18">
        <v>50381</v>
      </c>
      <c r="B382" s="18">
        <v>1</v>
      </c>
      <c r="C382" s="18">
        <v>14</v>
      </c>
      <c r="D382" s="18" t="s">
        <v>36</v>
      </c>
      <c r="E382" s="18">
        <v>1</v>
      </c>
      <c r="F382" s="18">
        <v>12</v>
      </c>
      <c r="G382" s="18" t="s">
        <v>39</v>
      </c>
      <c r="H382" s="18" t="s">
        <v>33</v>
      </c>
      <c r="I382" s="18">
        <v>3.3</v>
      </c>
      <c r="J382" s="18">
        <v>3</v>
      </c>
      <c r="K382" s="18" t="s">
        <v>46</v>
      </c>
      <c r="L382" s="18">
        <v>2</v>
      </c>
      <c r="M382" s="18" t="s">
        <v>41</v>
      </c>
      <c r="N382" s="18">
        <v>1</v>
      </c>
      <c r="O382" s="18">
        <v>0</v>
      </c>
      <c r="P382" s="18">
        <v>19.899999999999999</v>
      </c>
      <c r="Q382" s="18">
        <v>1</v>
      </c>
      <c r="R382" s="18">
        <v>6</v>
      </c>
      <c r="S382" s="18">
        <v>15</v>
      </c>
      <c r="T382" s="18">
        <v>167.37</v>
      </c>
    </row>
    <row r="383" spans="1:20" x14ac:dyDescent="0.3">
      <c r="A383" s="18">
        <v>50382</v>
      </c>
      <c r="B383" s="18">
        <v>0</v>
      </c>
      <c r="C383" s="18">
        <v>7</v>
      </c>
      <c r="D383" s="18" t="s">
        <v>36</v>
      </c>
      <c r="E383" s="18">
        <v>2</v>
      </c>
      <c r="F383" s="18">
        <v>7</v>
      </c>
      <c r="G383" s="18" t="s">
        <v>39</v>
      </c>
      <c r="H383" s="18" t="s">
        <v>38</v>
      </c>
      <c r="I383" s="18">
        <v>2.9</v>
      </c>
      <c r="J383" s="18">
        <v>3</v>
      </c>
      <c r="K383" s="18" t="s">
        <v>40</v>
      </c>
      <c r="L383" s="18">
        <v>1</v>
      </c>
      <c r="M383" s="18" t="s">
        <v>35</v>
      </c>
      <c r="N383" s="18">
        <v>16</v>
      </c>
      <c r="O383" s="18">
        <v>1</v>
      </c>
      <c r="P383" s="18">
        <v>19</v>
      </c>
      <c r="Q383" s="18">
        <v>4</v>
      </c>
      <c r="R383" s="18">
        <v>4</v>
      </c>
      <c r="S383" s="18">
        <v>11</v>
      </c>
      <c r="T383" s="18">
        <v>264.39</v>
      </c>
    </row>
    <row r="384" spans="1:20" x14ac:dyDescent="0.3">
      <c r="A384" s="18">
        <v>50383</v>
      </c>
      <c r="B384" s="18">
        <v>0</v>
      </c>
      <c r="C384" s="18">
        <v>32</v>
      </c>
      <c r="D384" s="18" t="s">
        <v>36</v>
      </c>
      <c r="E384" s="18">
        <v>1</v>
      </c>
      <c r="F384" s="18">
        <v>19</v>
      </c>
      <c r="G384" s="18" t="s">
        <v>37</v>
      </c>
      <c r="H384" s="18" t="s">
        <v>38</v>
      </c>
      <c r="I384" s="18">
        <v>3.5</v>
      </c>
      <c r="J384" s="18">
        <v>2</v>
      </c>
      <c r="K384" s="18" t="s">
        <v>44</v>
      </c>
      <c r="L384" s="18">
        <v>1</v>
      </c>
      <c r="M384" s="18" t="s">
        <v>45</v>
      </c>
      <c r="N384" s="18">
        <v>1</v>
      </c>
      <c r="O384" s="18">
        <v>0</v>
      </c>
      <c r="P384" s="18">
        <v>14</v>
      </c>
      <c r="Q384" s="18">
        <v>0</v>
      </c>
      <c r="R384" s="18">
        <v>8</v>
      </c>
      <c r="S384" s="18">
        <v>0</v>
      </c>
      <c r="T384" s="18">
        <v>140.12</v>
      </c>
    </row>
    <row r="385" spans="1:20" x14ac:dyDescent="0.3">
      <c r="A385" s="18">
        <v>50384</v>
      </c>
      <c r="B385" s="18">
        <v>0</v>
      </c>
      <c r="C385" s="18">
        <v>4</v>
      </c>
      <c r="D385" s="18" t="s">
        <v>36</v>
      </c>
      <c r="E385" s="18">
        <v>3</v>
      </c>
      <c r="F385" s="18">
        <v>9</v>
      </c>
      <c r="G385" s="18" t="s">
        <v>47</v>
      </c>
      <c r="H385" s="18" t="s">
        <v>38</v>
      </c>
      <c r="I385" s="18">
        <v>2.2999999999999998</v>
      </c>
      <c r="J385" s="18">
        <v>3</v>
      </c>
      <c r="K385" s="18" t="s">
        <v>44</v>
      </c>
      <c r="L385" s="18">
        <v>2</v>
      </c>
      <c r="M385" s="18" t="s">
        <v>41</v>
      </c>
      <c r="N385" s="18">
        <v>1</v>
      </c>
      <c r="O385" s="18">
        <v>1</v>
      </c>
      <c r="P385" s="18">
        <v>20.5</v>
      </c>
      <c r="Q385" s="18"/>
      <c r="R385" s="18">
        <v>3</v>
      </c>
      <c r="S385" s="18">
        <v>0</v>
      </c>
      <c r="T385" s="18">
        <v>260.93</v>
      </c>
    </row>
    <row r="386" spans="1:20" x14ac:dyDescent="0.3">
      <c r="A386" s="18">
        <v>50385</v>
      </c>
      <c r="B386" s="18">
        <v>0</v>
      </c>
      <c r="C386" s="18">
        <v>10</v>
      </c>
      <c r="D386" s="18" t="s">
        <v>31</v>
      </c>
      <c r="E386" s="18">
        <v>1</v>
      </c>
      <c r="F386" s="18">
        <v>32</v>
      </c>
      <c r="G386" s="18" t="s">
        <v>43</v>
      </c>
      <c r="H386" s="18" t="s">
        <v>38</v>
      </c>
      <c r="I386" s="18">
        <v>1.7</v>
      </c>
      <c r="J386" s="18">
        <v>4</v>
      </c>
      <c r="K386" s="18" t="s">
        <v>34</v>
      </c>
      <c r="L386" s="18">
        <v>1</v>
      </c>
      <c r="M386" s="18" t="s">
        <v>35</v>
      </c>
      <c r="N386" s="18">
        <v>1</v>
      </c>
      <c r="O386" s="18">
        <v>0</v>
      </c>
      <c r="P386" s="18">
        <v>21.1</v>
      </c>
      <c r="Q386" s="18">
        <v>2</v>
      </c>
      <c r="R386" s="18">
        <v>3</v>
      </c>
      <c r="S386" s="18">
        <v>2</v>
      </c>
      <c r="T386" s="18">
        <v>167.61</v>
      </c>
    </row>
    <row r="387" spans="1:20" x14ac:dyDescent="0.3">
      <c r="A387" s="18">
        <v>50386</v>
      </c>
      <c r="B387" s="18">
        <v>0</v>
      </c>
      <c r="C387" s="18">
        <v>26</v>
      </c>
      <c r="D387" s="18" t="s">
        <v>36</v>
      </c>
      <c r="E387" s="18">
        <v>1</v>
      </c>
      <c r="F387" s="18">
        <v>24</v>
      </c>
      <c r="G387" s="18" t="s">
        <v>47</v>
      </c>
      <c r="H387" s="18" t="s">
        <v>33</v>
      </c>
      <c r="I387" s="18">
        <v>2.5</v>
      </c>
      <c r="J387" s="18">
        <v>4</v>
      </c>
      <c r="K387" s="18" t="s">
        <v>36</v>
      </c>
      <c r="L387" s="18">
        <v>3</v>
      </c>
      <c r="M387" s="18" t="s">
        <v>35</v>
      </c>
      <c r="N387" s="18">
        <v>1</v>
      </c>
      <c r="O387" s="18">
        <v>0</v>
      </c>
      <c r="P387" s="18"/>
      <c r="Q387" s="18">
        <v>1</v>
      </c>
      <c r="R387" s="18">
        <v>2</v>
      </c>
      <c r="S387" s="18">
        <v>3</v>
      </c>
      <c r="T387" s="18">
        <v>133.62</v>
      </c>
    </row>
    <row r="388" spans="1:20" x14ac:dyDescent="0.3">
      <c r="A388" s="18">
        <v>50387</v>
      </c>
      <c r="B388" s="18">
        <v>0</v>
      </c>
      <c r="C388" s="18">
        <v>1</v>
      </c>
      <c r="D388" s="18" t="s">
        <v>36</v>
      </c>
      <c r="E388" s="18">
        <v>1</v>
      </c>
      <c r="F388" s="18">
        <v>16</v>
      </c>
      <c r="G388" s="18" t="s">
        <v>47</v>
      </c>
      <c r="H388" s="18" t="s">
        <v>33</v>
      </c>
      <c r="I388" s="18">
        <v>2.4</v>
      </c>
      <c r="J388" s="18">
        <v>2</v>
      </c>
      <c r="K388" s="18" t="s">
        <v>44</v>
      </c>
      <c r="L388" s="18">
        <v>3</v>
      </c>
      <c r="M388" s="18" t="s">
        <v>41</v>
      </c>
      <c r="N388" s="18">
        <v>3</v>
      </c>
      <c r="O388" s="18">
        <v>0</v>
      </c>
      <c r="P388" s="18">
        <v>14.4</v>
      </c>
      <c r="Q388" s="18">
        <v>5</v>
      </c>
      <c r="R388" s="18">
        <v>1</v>
      </c>
      <c r="S388" s="18">
        <v>3</v>
      </c>
      <c r="T388" s="18">
        <v>160.66</v>
      </c>
    </row>
    <row r="389" spans="1:20" x14ac:dyDescent="0.3">
      <c r="A389" s="18">
        <v>50388</v>
      </c>
      <c r="B389" s="18">
        <v>0</v>
      </c>
      <c r="C389" s="18">
        <v>27</v>
      </c>
      <c r="D389" s="18" t="s">
        <v>42</v>
      </c>
      <c r="E389" s="18">
        <v>1</v>
      </c>
      <c r="F389" s="18">
        <v>23</v>
      </c>
      <c r="G389" s="18" t="s">
        <v>37</v>
      </c>
      <c r="H389" s="18" t="s">
        <v>33</v>
      </c>
      <c r="I389" s="18">
        <v>2.8</v>
      </c>
      <c r="J389" s="18">
        <v>2</v>
      </c>
      <c r="K389" s="18" t="s">
        <v>44</v>
      </c>
      <c r="L389" s="18">
        <v>2</v>
      </c>
      <c r="M389" s="18" t="s">
        <v>35</v>
      </c>
      <c r="N389" s="18">
        <v>1</v>
      </c>
      <c r="O389" s="18">
        <v>0</v>
      </c>
      <c r="P389" s="18">
        <v>23.9</v>
      </c>
      <c r="Q389" s="18">
        <v>4</v>
      </c>
      <c r="R389" s="18">
        <v>3</v>
      </c>
      <c r="S389" s="18">
        <v>0</v>
      </c>
      <c r="T389" s="18">
        <v>119.53</v>
      </c>
    </row>
    <row r="390" spans="1:20" x14ac:dyDescent="0.3">
      <c r="A390" s="18">
        <v>50389</v>
      </c>
      <c r="B390" s="18">
        <v>0</v>
      </c>
      <c r="C390" s="18">
        <v>11</v>
      </c>
      <c r="D390" s="18" t="s">
        <v>36</v>
      </c>
      <c r="E390" s="18">
        <v>1</v>
      </c>
      <c r="F390" s="18">
        <v>23</v>
      </c>
      <c r="G390" s="18" t="s">
        <v>39</v>
      </c>
      <c r="H390" s="18" t="s">
        <v>33</v>
      </c>
      <c r="I390" s="18">
        <v>2.5</v>
      </c>
      <c r="J390" s="18">
        <v>4</v>
      </c>
      <c r="K390" s="18" t="s">
        <v>46</v>
      </c>
      <c r="L390" s="18">
        <v>4</v>
      </c>
      <c r="M390" s="18" t="s">
        <v>41</v>
      </c>
      <c r="N390" s="18">
        <v>6</v>
      </c>
      <c r="O390" s="18">
        <v>0</v>
      </c>
      <c r="P390" s="18">
        <v>18.5</v>
      </c>
      <c r="Q390" s="18">
        <v>0</v>
      </c>
      <c r="R390" s="18">
        <v>3</v>
      </c>
      <c r="S390" s="18">
        <v>0</v>
      </c>
      <c r="T390" s="18">
        <v>223.15</v>
      </c>
    </row>
    <row r="391" spans="1:20" x14ac:dyDescent="0.3">
      <c r="A391" s="18">
        <v>50390</v>
      </c>
      <c r="B391" s="18">
        <v>1</v>
      </c>
      <c r="C391" s="18">
        <v>0</v>
      </c>
      <c r="D391" s="18" t="s">
        <v>36</v>
      </c>
      <c r="E391" s="18">
        <v>1</v>
      </c>
      <c r="F391" s="18">
        <v>10</v>
      </c>
      <c r="G391" s="18" t="s">
        <v>39</v>
      </c>
      <c r="H391" s="18" t="s">
        <v>38</v>
      </c>
      <c r="I391" s="18">
        <v>3.4</v>
      </c>
      <c r="J391" s="18">
        <v>2</v>
      </c>
      <c r="K391" s="18" t="s">
        <v>46</v>
      </c>
      <c r="L391" s="18">
        <v>2</v>
      </c>
      <c r="M391" s="18" t="s">
        <v>35</v>
      </c>
      <c r="N391" s="18">
        <v>4</v>
      </c>
      <c r="O391" s="18">
        <v>0</v>
      </c>
      <c r="P391" s="18">
        <v>16.899999999999999</v>
      </c>
      <c r="Q391" s="18">
        <v>0</v>
      </c>
      <c r="R391" s="18">
        <v>5</v>
      </c>
      <c r="S391" s="18">
        <v>0</v>
      </c>
      <c r="T391" s="18">
        <v>91.85</v>
      </c>
    </row>
    <row r="392" spans="1:20" x14ac:dyDescent="0.3">
      <c r="A392" s="18">
        <v>50391</v>
      </c>
      <c r="B392" s="18">
        <v>0</v>
      </c>
      <c r="C392" s="18">
        <v>3</v>
      </c>
      <c r="D392" s="18" t="s">
        <v>36</v>
      </c>
      <c r="E392" s="18">
        <v>1</v>
      </c>
      <c r="F392" s="18">
        <v>8</v>
      </c>
      <c r="G392" s="18" t="s">
        <v>37</v>
      </c>
      <c r="H392" s="18" t="s">
        <v>33</v>
      </c>
      <c r="I392" s="18">
        <v>2.7</v>
      </c>
      <c r="J392" s="18">
        <v>3</v>
      </c>
      <c r="K392" s="18" t="s">
        <v>46</v>
      </c>
      <c r="L392" s="18">
        <v>4</v>
      </c>
      <c r="M392" s="18" t="s">
        <v>35</v>
      </c>
      <c r="N392" s="18">
        <v>1</v>
      </c>
      <c r="O392" s="18">
        <v>1</v>
      </c>
      <c r="P392" s="18">
        <v>20.8</v>
      </c>
      <c r="Q392" s="18">
        <v>4</v>
      </c>
      <c r="R392" s="18">
        <v>2</v>
      </c>
      <c r="S392" s="18">
        <v>9</v>
      </c>
      <c r="T392" s="18">
        <v>256.43</v>
      </c>
    </row>
    <row r="393" spans="1:20" x14ac:dyDescent="0.3">
      <c r="A393" s="18">
        <v>50392</v>
      </c>
      <c r="B393" s="18">
        <v>0</v>
      </c>
      <c r="C393" s="18">
        <v>12</v>
      </c>
      <c r="D393" s="18" t="s">
        <v>36</v>
      </c>
      <c r="E393" s="18">
        <v>1</v>
      </c>
      <c r="F393" s="18">
        <v>15</v>
      </c>
      <c r="G393" s="18" t="s">
        <v>47</v>
      </c>
      <c r="H393" s="18" t="s">
        <v>33</v>
      </c>
      <c r="I393" s="18">
        <v>3</v>
      </c>
      <c r="J393" s="18">
        <v>3</v>
      </c>
      <c r="K393" s="18" t="s">
        <v>40</v>
      </c>
      <c r="L393" s="18">
        <v>3</v>
      </c>
      <c r="M393" s="18" t="s">
        <v>35</v>
      </c>
      <c r="N393" s="18">
        <v>4</v>
      </c>
      <c r="O393" s="18">
        <v>0</v>
      </c>
      <c r="P393" s="18">
        <v>17.100000000000001</v>
      </c>
      <c r="Q393" s="18">
        <v>0</v>
      </c>
      <c r="R393" s="18">
        <v>7</v>
      </c>
      <c r="S393" s="18">
        <v>14</v>
      </c>
      <c r="T393" s="18">
        <v>128.53</v>
      </c>
    </row>
    <row r="394" spans="1:20" x14ac:dyDescent="0.3">
      <c r="A394" s="18">
        <v>50393</v>
      </c>
      <c r="B394" s="18">
        <v>0</v>
      </c>
      <c r="C394" s="18">
        <v>0</v>
      </c>
      <c r="D394" s="18" t="s">
        <v>31</v>
      </c>
      <c r="E394" s="18">
        <v>2</v>
      </c>
      <c r="F394" s="18">
        <v>21</v>
      </c>
      <c r="G394" s="18" t="s">
        <v>37</v>
      </c>
      <c r="H394" s="18" t="s">
        <v>33</v>
      </c>
      <c r="I394" s="18">
        <v>3</v>
      </c>
      <c r="J394" s="18">
        <v>4</v>
      </c>
      <c r="K394" s="18" t="s">
        <v>36</v>
      </c>
      <c r="L394" s="18">
        <v>3</v>
      </c>
      <c r="M394" s="18" t="s">
        <v>35</v>
      </c>
      <c r="N394" s="18">
        <v>9</v>
      </c>
      <c r="O394" s="18">
        <v>1</v>
      </c>
      <c r="P394" s="18">
        <v>14.2</v>
      </c>
      <c r="Q394" s="18">
        <v>1</v>
      </c>
      <c r="R394" s="18">
        <v>4</v>
      </c>
      <c r="S394" s="18">
        <v>0</v>
      </c>
      <c r="T394" s="18">
        <v>226.02</v>
      </c>
    </row>
    <row r="395" spans="1:20" x14ac:dyDescent="0.3">
      <c r="A395" s="18">
        <v>50394</v>
      </c>
      <c r="B395" s="18">
        <v>0</v>
      </c>
      <c r="C395" s="18">
        <v>8</v>
      </c>
      <c r="D395" s="18" t="s">
        <v>36</v>
      </c>
      <c r="E395" s="18">
        <v>2</v>
      </c>
      <c r="F395" s="18">
        <v>16</v>
      </c>
      <c r="G395" s="18" t="s">
        <v>47</v>
      </c>
      <c r="H395" s="18" t="s">
        <v>38</v>
      </c>
      <c r="I395" s="18">
        <v>3</v>
      </c>
      <c r="J395" s="18">
        <v>4</v>
      </c>
      <c r="K395" s="18" t="s">
        <v>44</v>
      </c>
      <c r="L395" s="18">
        <v>5</v>
      </c>
      <c r="M395" s="18" t="s">
        <v>41</v>
      </c>
      <c r="N395" s="18">
        <v>1</v>
      </c>
      <c r="O395" s="18">
        <v>0</v>
      </c>
      <c r="P395" s="18">
        <v>16.3</v>
      </c>
      <c r="Q395" s="18">
        <v>1</v>
      </c>
      <c r="R395" s="18">
        <v>7</v>
      </c>
      <c r="S395" s="18">
        <v>1</v>
      </c>
      <c r="T395" s="18">
        <v>181.33</v>
      </c>
    </row>
    <row r="396" spans="1:20" x14ac:dyDescent="0.3">
      <c r="A396" s="18">
        <v>50395</v>
      </c>
      <c r="B396" s="18">
        <v>0</v>
      </c>
      <c r="C396" s="18">
        <v>4</v>
      </c>
      <c r="D396" s="18" t="s">
        <v>31</v>
      </c>
      <c r="E396" s="18">
        <v>1</v>
      </c>
      <c r="F396" s="18">
        <v>5</v>
      </c>
      <c r="G396" s="18" t="s">
        <v>37</v>
      </c>
      <c r="H396" s="18" t="s">
        <v>33</v>
      </c>
      <c r="I396" s="18">
        <v>2.9</v>
      </c>
      <c r="J396" s="18">
        <v>2</v>
      </c>
      <c r="K396" s="18" t="s">
        <v>44</v>
      </c>
      <c r="L396" s="18">
        <v>1</v>
      </c>
      <c r="M396" s="18" t="s">
        <v>35</v>
      </c>
      <c r="N396" s="18">
        <v>1</v>
      </c>
      <c r="O396" s="18">
        <v>0</v>
      </c>
      <c r="P396" s="18">
        <v>19.600000000000001</v>
      </c>
      <c r="Q396" s="18">
        <v>3</v>
      </c>
      <c r="R396" s="18">
        <v>6</v>
      </c>
      <c r="S396" s="18">
        <v>0</v>
      </c>
      <c r="T396" s="18">
        <v>194.89</v>
      </c>
    </row>
    <row r="397" spans="1:20" x14ac:dyDescent="0.3">
      <c r="A397" s="18">
        <v>50396</v>
      </c>
      <c r="B397" s="18">
        <v>0</v>
      </c>
      <c r="C397" s="18">
        <v>9</v>
      </c>
      <c r="D397" s="18" t="s">
        <v>36</v>
      </c>
      <c r="E397" s="18">
        <v>1</v>
      </c>
      <c r="F397" s="18">
        <v>8</v>
      </c>
      <c r="G397" s="18" t="s">
        <v>39</v>
      </c>
      <c r="H397" s="18" t="s">
        <v>38</v>
      </c>
      <c r="I397" s="18">
        <v>3.3</v>
      </c>
      <c r="J397" s="18">
        <v>1</v>
      </c>
      <c r="K397" s="18" t="s">
        <v>46</v>
      </c>
      <c r="L397" s="18">
        <v>3</v>
      </c>
      <c r="M397" s="18" t="s">
        <v>35</v>
      </c>
      <c r="N397" s="18">
        <v>2</v>
      </c>
      <c r="O397" s="18">
        <v>0</v>
      </c>
      <c r="P397" s="18">
        <v>11</v>
      </c>
      <c r="Q397" s="18">
        <v>2</v>
      </c>
      <c r="R397" s="18">
        <v>2</v>
      </c>
      <c r="S397" s="18">
        <v>10</v>
      </c>
      <c r="T397" s="18">
        <v>147.55000000000001</v>
      </c>
    </row>
    <row r="398" spans="1:20" x14ac:dyDescent="0.3">
      <c r="A398" s="18">
        <v>50397</v>
      </c>
      <c r="B398" s="18">
        <v>0</v>
      </c>
      <c r="C398" s="18">
        <v>0</v>
      </c>
      <c r="D398" s="18" t="s">
        <v>36</v>
      </c>
      <c r="E398" s="18">
        <v>3</v>
      </c>
      <c r="F398" s="18">
        <v>14</v>
      </c>
      <c r="G398" s="18" t="s">
        <v>39</v>
      </c>
      <c r="H398" s="18" t="s">
        <v>33</v>
      </c>
      <c r="I398" s="18">
        <v>2.2999999999999998</v>
      </c>
      <c r="J398" s="18">
        <v>3</v>
      </c>
      <c r="K398" s="18" t="s">
        <v>44</v>
      </c>
      <c r="L398" s="18">
        <v>5</v>
      </c>
      <c r="M398" s="18" t="s">
        <v>35</v>
      </c>
      <c r="N398" s="18">
        <v>2</v>
      </c>
      <c r="O398" s="18">
        <v>0</v>
      </c>
      <c r="P398" s="18">
        <v>15</v>
      </c>
      <c r="Q398" s="18">
        <v>3</v>
      </c>
      <c r="R398" s="18">
        <v>4</v>
      </c>
      <c r="S398" s="18">
        <v>15</v>
      </c>
      <c r="T398" s="18">
        <v>199.4</v>
      </c>
    </row>
    <row r="399" spans="1:20" x14ac:dyDescent="0.3">
      <c r="A399" s="18">
        <v>50398</v>
      </c>
      <c r="B399" s="18">
        <v>0</v>
      </c>
      <c r="C399" s="18">
        <v>20</v>
      </c>
      <c r="D399" s="18" t="s">
        <v>31</v>
      </c>
      <c r="E399" s="18">
        <v>2</v>
      </c>
      <c r="F399" s="18">
        <v>14</v>
      </c>
      <c r="G399" s="18" t="s">
        <v>32</v>
      </c>
      <c r="H399" s="18" t="s">
        <v>33</v>
      </c>
      <c r="I399" s="18">
        <v>3.9</v>
      </c>
      <c r="J399" s="18">
        <v>5</v>
      </c>
      <c r="K399" s="18" t="s">
        <v>40</v>
      </c>
      <c r="L399" s="18">
        <v>4</v>
      </c>
      <c r="M399" s="18" t="s">
        <v>35</v>
      </c>
      <c r="N399" s="18">
        <v>2</v>
      </c>
      <c r="O399" s="18">
        <v>1</v>
      </c>
      <c r="P399" s="18">
        <v>20.8</v>
      </c>
      <c r="Q399" s="18">
        <v>0</v>
      </c>
      <c r="R399" s="18">
        <v>6</v>
      </c>
      <c r="S399" s="18">
        <v>1</v>
      </c>
      <c r="T399" s="18">
        <v>187.42</v>
      </c>
    </row>
    <row r="400" spans="1:20" x14ac:dyDescent="0.3">
      <c r="A400" s="18">
        <v>50399</v>
      </c>
      <c r="B400" s="18">
        <v>0</v>
      </c>
      <c r="C400" s="18">
        <v>36</v>
      </c>
      <c r="D400" s="18" t="s">
        <v>36</v>
      </c>
      <c r="E400" s="18">
        <v>2</v>
      </c>
      <c r="F400" s="18">
        <v>30</v>
      </c>
      <c r="G400" s="18" t="s">
        <v>47</v>
      </c>
      <c r="H400" s="18" t="s">
        <v>33</v>
      </c>
      <c r="I400" s="18">
        <v>2.7</v>
      </c>
      <c r="J400" s="18">
        <v>5</v>
      </c>
      <c r="K400" s="18" t="s">
        <v>36</v>
      </c>
      <c r="L400" s="18">
        <v>3</v>
      </c>
      <c r="M400" s="18" t="s">
        <v>35</v>
      </c>
      <c r="N400" s="18">
        <v>1</v>
      </c>
      <c r="O400" s="18">
        <v>0</v>
      </c>
      <c r="P400" s="18">
        <v>14.2</v>
      </c>
      <c r="Q400" s="18">
        <v>2</v>
      </c>
      <c r="R400" s="18">
        <v>2</v>
      </c>
      <c r="S400" s="18">
        <v>1</v>
      </c>
      <c r="T400" s="18">
        <v>99.81</v>
      </c>
    </row>
    <row r="401" spans="1:20" x14ac:dyDescent="0.3">
      <c r="A401" s="18">
        <v>50400</v>
      </c>
      <c r="B401" s="18">
        <v>0</v>
      </c>
      <c r="C401" s="18">
        <v>34</v>
      </c>
      <c r="D401" s="18" t="s">
        <v>31</v>
      </c>
      <c r="E401" s="18">
        <v>1</v>
      </c>
      <c r="F401" s="18">
        <v>5</v>
      </c>
      <c r="G401" s="18" t="s">
        <v>32</v>
      </c>
      <c r="H401" s="18" t="s">
        <v>38</v>
      </c>
      <c r="I401" s="18">
        <v>2</v>
      </c>
      <c r="J401" s="18">
        <v>5</v>
      </c>
      <c r="K401" s="18" t="s">
        <v>36</v>
      </c>
      <c r="L401" s="18">
        <v>3</v>
      </c>
      <c r="M401" s="18" t="s">
        <v>45</v>
      </c>
      <c r="N401" s="18">
        <v>3</v>
      </c>
      <c r="O401" s="18">
        <v>0</v>
      </c>
      <c r="P401" s="18">
        <v>21.4</v>
      </c>
      <c r="Q401" s="18">
        <v>1</v>
      </c>
      <c r="R401" s="18">
        <v>5</v>
      </c>
      <c r="S401" s="18">
        <v>2</v>
      </c>
      <c r="T401" s="18">
        <v>127.06</v>
      </c>
    </row>
    <row r="402" spans="1:20" x14ac:dyDescent="0.3">
      <c r="A402" s="18">
        <v>50401</v>
      </c>
      <c r="B402" s="18">
        <v>0</v>
      </c>
      <c r="C402" s="18">
        <v>13</v>
      </c>
      <c r="D402" s="18" t="s">
        <v>36</v>
      </c>
      <c r="E402" s="18">
        <v>3</v>
      </c>
      <c r="F402" s="18">
        <v>19</v>
      </c>
      <c r="G402" s="18" t="s">
        <v>39</v>
      </c>
      <c r="H402" s="18" t="s">
        <v>33</v>
      </c>
      <c r="I402" s="18"/>
      <c r="J402" s="18">
        <v>3</v>
      </c>
      <c r="K402" s="18" t="s">
        <v>34</v>
      </c>
      <c r="L402" s="18">
        <v>4</v>
      </c>
      <c r="M402" s="18" t="s">
        <v>41</v>
      </c>
      <c r="N402" s="18">
        <v>3</v>
      </c>
      <c r="O402" s="18">
        <v>0</v>
      </c>
      <c r="P402" s="18">
        <v>21</v>
      </c>
      <c r="Q402" s="18">
        <v>1</v>
      </c>
      <c r="R402" s="18">
        <v>4</v>
      </c>
      <c r="S402" s="18">
        <v>3</v>
      </c>
      <c r="T402" s="18">
        <v>150.25</v>
      </c>
    </row>
    <row r="403" spans="1:20" x14ac:dyDescent="0.3">
      <c r="A403" s="18">
        <v>50402</v>
      </c>
      <c r="B403" s="18">
        <v>0</v>
      </c>
      <c r="C403" s="18">
        <v>1</v>
      </c>
      <c r="D403" s="18" t="s">
        <v>31</v>
      </c>
      <c r="E403" s="18">
        <v>3</v>
      </c>
      <c r="F403" s="18">
        <v>26</v>
      </c>
      <c r="G403" s="18" t="s">
        <v>43</v>
      </c>
      <c r="H403" s="18" t="s">
        <v>38</v>
      </c>
      <c r="I403" s="18">
        <v>2.2999999999999998</v>
      </c>
      <c r="J403" s="18">
        <v>1</v>
      </c>
      <c r="K403" s="18" t="s">
        <v>44</v>
      </c>
      <c r="L403" s="18">
        <v>5</v>
      </c>
      <c r="M403" s="18" t="s">
        <v>35</v>
      </c>
      <c r="N403" s="18">
        <v>3</v>
      </c>
      <c r="O403" s="18">
        <v>0</v>
      </c>
      <c r="P403" s="18">
        <v>15.8</v>
      </c>
      <c r="Q403" s="18">
        <v>4</v>
      </c>
      <c r="R403" s="18">
        <v>2</v>
      </c>
      <c r="S403" s="18">
        <v>5</v>
      </c>
      <c r="T403" s="18">
        <v>138.47999999999999</v>
      </c>
    </row>
    <row r="404" spans="1:20" x14ac:dyDescent="0.3">
      <c r="A404" s="18">
        <v>50403</v>
      </c>
      <c r="B404" s="18">
        <v>1</v>
      </c>
      <c r="C404" s="18">
        <v>14</v>
      </c>
      <c r="D404" s="18" t="s">
        <v>36</v>
      </c>
      <c r="E404" s="18">
        <v>2</v>
      </c>
      <c r="F404" s="18">
        <v>33</v>
      </c>
      <c r="G404" s="18" t="s">
        <v>39</v>
      </c>
      <c r="H404" s="18" t="s">
        <v>33</v>
      </c>
      <c r="I404" s="18">
        <v>3.4</v>
      </c>
      <c r="J404" s="18">
        <v>1</v>
      </c>
      <c r="K404" s="18" t="s">
        <v>40</v>
      </c>
      <c r="L404" s="18">
        <v>1</v>
      </c>
      <c r="M404" s="18" t="s">
        <v>41</v>
      </c>
      <c r="N404" s="18">
        <v>1</v>
      </c>
      <c r="O404" s="18">
        <v>1</v>
      </c>
      <c r="P404" s="18">
        <v>14</v>
      </c>
      <c r="Q404" s="18">
        <v>2</v>
      </c>
      <c r="R404" s="18">
        <v>3</v>
      </c>
      <c r="S404" s="18">
        <v>3</v>
      </c>
      <c r="T404" s="18">
        <v>248.9</v>
      </c>
    </row>
    <row r="405" spans="1:20" x14ac:dyDescent="0.3">
      <c r="A405" s="18">
        <v>50404</v>
      </c>
      <c r="B405" s="18">
        <v>0</v>
      </c>
      <c r="C405" s="18">
        <v>0</v>
      </c>
      <c r="D405" s="18" t="s">
        <v>42</v>
      </c>
      <c r="E405" s="18">
        <v>3</v>
      </c>
      <c r="F405" s="18">
        <v>11</v>
      </c>
      <c r="G405" s="18" t="s">
        <v>39</v>
      </c>
      <c r="H405" s="18" t="s">
        <v>33</v>
      </c>
      <c r="I405" s="18">
        <v>4.4000000000000004</v>
      </c>
      <c r="J405" s="18">
        <v>3</v>
      </c>
      <c r="K405" s="18" t="s">
        <v>44</v>
      </c>
      <c r="L405" s="18">
        <v>1</v>
      </c>
      <c r="M405" s="18" t="s">
        <v>45</v>
      </c>
      <c r="N405" s="18">
        <v>2</v>
      </c>
      <c r="O405" s="18">
        <v>0</v>
      </c>
      <c r="P405" s="18">
        <v>15</v>
      </c>
      <c r="Q405" s="18">
        <v>3</v>
      </c>
      <c r="R405" s="18">
        <v>4</v>
      </c>
      <c r="S405" s="18">
        <v>15</v>
      </c>
      <c r="T405" s="18">
        <v>180.39</v>
      </c>
    </row>
    <row r="406" spans="1:20" x14ac:dyDescent="0.3">
      <c r="A406" s="18">
        <v>50405</v>
      </c>
      <c r="B406" s="18">
        <v>0</v>
      </c>
      <c r="C406" s="18">
        <v>0</v>
      </c>
      <c r="D406" s="18" t="s">
        <v>36</v>
      </c>
      <c r="E406" s="18">
        <v>1</v>
      </c>
      <c r="F406" s="18">
        <v>18</v>
      </c>
      <c r="G406" s="18" t="s">
        <v>43</v>
      </c>
      <c r="H406" s="18" t="s">
        <v>38</v>
      </c>
      <c r="I406" s="18">
        <v>2.2999999999999998</v>
      </c>
      <c r="J406" s="18">
        <v>3</v>
      </c>
      <c r="K406" s="18" t="s">
        <v>44</v>
      </c>
      <c r="L406" s="18">
        <v>3</v>
      </c>
      <c r="M406" s="18" t="s">
        <v>35</v>
      </c>
      <c r="N406" s="18">
        <v>1</v>
      </c>
      <c r="O406" s="18">
        <v>1</v>
      </c>
      <c r="P406" s="18">
        <v>25.3</v>
      </c>
      <c r="Q406" s="18">
        <v>0</v>
      </c>
      <c r="R406" s="18">
        <v>3</v>
      </c>
      <c r="S406" s="18">
        <v>0</v>
      </c>
      <c r="T406" s="18">
        <v>137.16999999999999</v>
      </c>
    </row>
    <row r="407" spans="1:20" x14ac:dyDescent="0.3">
      <c r="A407" s="18">
        <v>50406</v>
      </c>
      <c r="B407" s="18">
        <v>0</v>
      </c>
      <c r="C407" s="18">
        <v>3</v>
      </c>
      <c r="D407" s="18" t="s">
        <v>42</v>
      </c>
      <c r="E407" s="18">
        <v>1</v>
      </c>
      <c r="F407" s="18">
        <v>19</v>
      </c>
      <c r="G407" s="18" t="s">
        <v>39</v>
      </c>
      <c r="H407" s="18" t="s">
        <v>33</v>
      </c>
      <c r="I407" s="18">
        <v>3.1</v>
      </c>
      <c r="J407" s="18">
        <v>5</v>
      </c>
      <c r="K407" s="18" t="s">
        <v>36</v>
      </c>
      <c r="L407" s="18">
        <v>2</v>
      </c>
      <c r="M407" s="18" t="s">
        <v>35</v>
      </c>
      <c r="N407" s="18">
        <v>2</v>
      </c>
      <c r="O407" s="18">
        <v>0</v>
      </c>
      <c r="P407" s="18">
        <v>22.6</v>
      </c>
      <c r="Q407" s="18">
        <v>1</v>
      </c>
      <c r="R407" s="18">
        <v>4</v>
      </c>
      <c r="S407" s="18">
        <v>8</v>
      </c>
      <c r="T407" s="18">
        <v>153.01</v>
      </c>
    </row>
    <row r="408" spans="1:20" x14ac:dyDescent="0.3">
      <c r="A408" s="18">
        <v>50407</v>
      </c>
      <c r="B408" s="18">
        <v>1</v>
      </c>
      <c r="C408" s="18">
        <v>6</v>
      </c>
      <c r="D408" s="18" t="s">
        <v>36</v>
      </c>
      <c r="E408" s="18">
        <v>3</v>
      </c>
      <c r="F408" s="18">
        <v>16</v>
      </c>
      <c r="G408" s="18" t="s">
        <v>47</v>
      </c>
      <c r="H408" s="18" t="s">
        <v>33</v>
      </c>
      <c r="I408" s="18">
        <v>1.7</v>
      </c>
      <c r="J408" s="18">
        <v>4</v>
      </c>
      <c r="K408" s="18" t="s">
        <v>44</v>
      </c>
      <c r="L408" s="18">
        <v>3</v>
      </c>
      <c r="M408" s="18" t="s">
        <v>41</v>
      </c>
      <c r="N408" s="18">
        <v>8</v>
      </c>
      <c r="O408" s="18">
        <v>1</v>
      </c>
      <c r="P408" s="18"/>
      <c r="Q408" s="18">
        <v>3</v>
      </c>
      <c r="R408" s="18">
        <v>4</v>
      </c>
      <c r="S408" s="18">
        <v>2</v>
      </c>
      <c r="T408" s="18">
        <v>152.25</v>
      </c>
    </row>
    <row r="409" spans="1:20" x14ac:dyDescent="0.3">
      <c r="A409" s="18">
        <v>50408</v>
      </c>
      <c r="B409" s="18">
        <v>0</v>
      </c>
      <c r="C409" s="18">
        <v>14</v>
      </c>
      <c r="D409" s="18" t="s">
        <v>31</v>
      </c>
      <c r="E409" s="18">
        <v>3</v>
      </c>
      <c r="F409" s="18">
        <v>14</v>
      </c>
      <c r="G409" s="18" t="s">
        <v>39</v>
      </c>
      <c r="H409" s="18" t="s">
        <v>38</v>
      </c>
      <c r="I409" s="18">
        <v>3.2</v>
      </c>
      <c r="J409" s="18">
        <v>3</v>
      </c>
      <c r="K409" s="18" t="s">
        <v>46</v>
      </c>
      <c r="L409" s="18">
        <v>2</v>
      </c>
      <c r="M409" s="18" t="s">
        <v>35</v>
      </c>
      <c r="N409" s="18">
        <v>2</v>
      </c>
      <c r="O409" s="18">
        <v>0</v>
      </c>
      <c r="P409" s="18">
        <v>13.9</v>
      </c>
      <c r="Q409" s="18">
        <v>1</v>
      </c>
      <c r="R409" s="18">
        <v>4</v>
      </c>
      <c r="S409" s="18">
        <v>2</v>
      </c>
      <c r="T409" s="18">
        <v>164.16</v>
      </c>
    </row>
    <row r="410" spans="1:20" x14ac:dyDescent="0.3">
      <c r="A410" s="18">
        <v>50409</v>
      </c>
      <c r="B410" s="18">
        <v>1</v>
      </c>
      <c r="C410" s="18">
        <v>11</v>
      </c>
      <c r="D410" s="18" t="s">
        <v>36</v>
      </c>
      <c r="E410" s="18">
        <v>1</v>
      </c>
      <c r="F410" s="18">
        <v>18</v>
      </c>
      <c r="G410" s="18" t="s">
        <v>37</v>
      </c>
      <c r="H410" s="18" t="s">
        <v>33</v>
      </c>
      <c r="I410" s="18">
        <v>2.2999999999999998</v>
      </c>
      <c r="J410" s="18">
        <v>2</v>
      </c>
      <c r="K410" s="18" t="s">
        <v>36</v>
      </c>
      <c r="L410" s="18">
        <v>2</v>
      </c>
      <c r="M410" s="18" t="s">
        <v>35</v>
      </c>
      <c r="N410" s="18">
        <v>1</v>
      </c>
      <c r="O410" s="18">
        <v>0</v>
      </c>
      <c r="P410" s="18">
        <v>16.399999999999999</v>
      </c>
      <c r="Q410" s="18">
        <v>0</v>
      </c>
      <c r="R410" s="18">
        <v>4</v>
      </c>
      <c r="S410" s="18">
        <v>6</v>
      </c>
      <c r="T410" s="18">
        <v>120.86</v>
      </c>
    </row>
    <row r="411" spans="1:20" x14ac:dyDescent="0.3">
      <c r="A411" s="18">
        <v>50410</v>
      </c>
      <c r="B411" s="18">
        <v>0</v>
      </c>
      <c r="C411" s="18">
        <v>5</v>
      </c>
      <c r="D411" s="18" t="s">
        <v>42</v>
      </c>
      <c r="E411" s="18">
        <v>1</v>
      </c>
      <c r="F411" s="18">
        <v>5</v>
      </c>
      <c r="G411" s="18" t="s">
        <v>43</v>
      </c>
      <c r="H411" s="18" t="s">
        <v>38</v>
      </c>
      <c r="I411" s="18">
        <v>2.5</v>
      </c>
      <c r="J411" s="18">
        <v>2</v>
      </c>
      <c r="K411" s="18" t="s">
        <v>44</v>
      </c>
      <c r="L411" s="18">
        <v>2</v>
      </c>
      <c r="M411" s="18" t="s">
        <v>35</v>
      </c>
      <c r="N411" s="18">
        <v>2</v>
      </c>
      <c r="O411" s="18">
        <v>0</v>
      </c>
      <c r="P411" s="18">
        <v>16.899999999999999</v>
      </c>
      <c r="Q411" s="18">
        <v>1</v>
      </c>
      <c r="R411" s="18">
        <v>3</v>
      </c>
      <c r="S411" s="18">
        <v>13</v>
      </c>
      <c r="T411" s="18">
        <v>135.22999999999999</v>
      </c>
    </row>
    <row r="412" spans="1:20" x14ac:dyDescent="0.3">
      <c r="A412" s="18">
        <v>50411</v>
      </c>
      <c r="B412" s="18">
        <v>0</v>
      </c>
      <c r="C412" s="18">
        <v>3</v>
      </c>
      <c r="D412" s="18" t="s">
        <v>36</v>
      </c>
      <c r="E412" s="18">
        <v>1</v>
      </c>
      <c r="F412" s="18">
        <v>20</v>
      </c>
      <c r="G412" s="18" t="s">
        <v>39</v>
      </c>
      <c r="H412" s="18" t="s">
        <v>33</v>
      </c>
      <c r="I412" s="18">
        <v>2.1</v>
      </c>
      <c r="J412" s="18">
        <v>3</v>
      </c>
      <c r="K412" s="18" t="s">
        <v>44</v>
      </c>
      <c r="L412" s="18">
        <v>5</v>
      </c>
      <c r="M412" s="18" t="s">
        <v>41</v>
      </c>
      <c r="N412" s="18">
        <v>6</v>
      </c>
      <c r="O412" s="18">
        <v>1</v>
      </c>
      <c r="P412" s="18">
        <v>11.6</v>
      </c>
      <c r="Q412" s="18">
        <v>2</v>
      </c>
      <c r="R412" s="18">
        <v>2</v>
      </c>
      <c r="S412" s="18">
        <v>6</v>
      </c>
      <c r="T412" s="18">
        <v>222.16</v>
      </c>
    </row>
    <row r="413" spans="1:20" x14ac:dyDescent="0.3">
      <c r="A413" s="18">
        <v>50412</v>
      </c>
      <c r="B413" s="18">
        <v>0</v>
      </c>
      <c r="C413" s="18">
        <v>58</v>
      </c>
      <c r="D413" s="18" t="s">
        <v>36</v>
      </c>
      <c r="E413" s="18">
        <v>1</v>
      </c>
      <c r="F413" s="18">
        <v>16</v>
      </c>
      <c r="G413" s="18" t="s">
        <v>47</v>
      </c>
      <c r="H413" s="18" t="s">
        <v>33</v>
      </c>
      <c r="I413" s="18">
        <v>3.4</v>
      </c>
      <c r="J413" s="18">
        <v>4</v>
      </c>
      <c r="K413" s="18" t="s">
        <v>40</v>
      </c>
      <c r="L413" s="18">
        <v>2</v>
      </c>
      <c r="M413" s="18" t="s">
        <v>35</v>
      </c>
      <c r="N413" s="18">
        <v>5</v>
      </c>
      <c r="O413" s="18">
        <v>0</v>
      </c>
      <c r="P413" s="18">
        <v>16.3</v>
      </c>
      <c r="Q413" s="18">
        <v>2</v>
      </c>
      <c r="R413" s="18">
        <v>2</v>
      </c>
      <c r="S413" s="18">
        <v>7</v>
      </c>
      <c r="T413" s="18">
        <v>190.19</v>
      </c>
    </row>
    <row r="414" spans="1:20" x14ac:dyDescent="0.3">
      <c r="A414" s="18">
        <v>50413</v>
      </c>
      <c r="B414" s="18">
        <v>0</v>
      </c>
      <c r="C414" s="18">
        <v>5</v>
      </c>
      <c r="D414" s="18" t="s">
        <v>36</v>
      </c>
      <c r="E414" s="18">
        <v>3</v>
      </c>
      <c r="F414" s="18">
        <v>13</v>
      </c>
      <c r="G414" s="18" t="s">
        <v>39</v>
      </c>
      <c r="H414" s="18" t="s">
        <v>33</v>
      </c>
      <c r="I414" s="18">
        <v>3.6</v>
      </c>
      <c r="J414" s="18">
        <v>4</v>
      </c>
      <c r="K414" s="18" t="s">
        <v>46</v>
      </c>
      <c r="L414" s="18">
        <v>2</v>
      </c>
      <c r="M414" s="18" t="s">
        <v>41</v>
      </c>
      <c r="N414" s="18">
        <v>2</v>
      </c>
      <c r="O414" s="18">
        <v>0</v>
      </c>
      <c r="P414" s="18">
        <v>20.6</v>
      </c>
      <c r="Q414" s="18">
        <v>3</v>
      </c>
      <c r="R414" s="18">
        <v>5</v>
      </c>
      <c r="S414" s="18">
        <v>6</v>
      </c>
      <c r="T414" s="18">
        <v>171.62</v>
      </c>
    </row>
    <row r="415" spans="1:20" x14ac:dyDescent="0.3">
      <c r="A415" s="18">
        <v>50414</v>
      </c>
      <c r="B415" s="18">
        <v>0</v>
      </c>
      <c r="C415" s="18">
        <v>6</v>
      </c>
      <c r="D415" s="18" t="s">
        <v>36</v>
      </c>
      <c r="E415" s="18">
        <v>2</v>
      </c>
      <c r="F415" s="18">
        <v>31</v>
      </c>
      <c r="G415" s="18" t="s">
        <v>47</v>
      </c>
      <c r="H415" s="18" t="s">
        <v>38</v>
      </c>
      <c r="I415" s="18">
        <v>2.9</v>
      </c>
      <c r="J415" s="18">
        <v>2</v>
      </c>
      <c r="K415" s="18" t="s">
        <v>36</v>
      </c>
      <c r="L415" s="18">
        <v>2</v>
      </c>
      <c r="M415" s="18" t="s">
        <v>35</v>
      </c>
      <c r="N415" s="18">
        <v>1</v>
      </c>
      <c r="O415" s="18">
        <v>0</v>
      </c>
      <c r="P415" s="18">
        <v>11</v>
      </c>
      <c r="Q415" s="18">
        <v>2</v>
      </c>
      <c r="R415" s="18">
        <v>3</v>
      </c>
      <c r="S415" s="18">
        <v>1</v>
      </c>
      <c r="T415" s="18">
        <v>180.14</v>
      </c>
    </row>
    <row r="416" spans="1:20" x14ac:dyDescent="0.3">
      <c r="A416" s="18">
        <v>50415</v>
      </c>
      <c r="B416" s="18">
        <v>0</v>
      </c>
      <c r="C416" s="18">
        <v>1</v>
      </c>
      <c r="D416" s="18" t="s">
        <v>36</v>
      </c>
      <c r="E416" s="18">
        <v>1</v>
      </c>
      <c r="F416" s="18">
        <v>9</v>
      </c>
      <c r="G416" s="18" t="s">
        <v>39</v>
      </c>
      <c r="H416" s="18" t="s">
        <v>33</v>
      </c>
      <c r="I416" s="18">
        <v>2.2999999999999998</v>
      </c>
      <c r="J416" s="18">
        <v>4</v>
      </c>
      <c r="K416" s="18" t="s">
        <v>36</v>
      </c>
      <c r="L416" s="18">
        <v>5</v>
      </c>
      <c r="M416" s="18" t="s">
        <v>41</v>
      </c>
      <c r="N416" s="18">
        <v>2</v>
      </c>
      <c r="O416" s="18">
        <v>0</v>
      </c>
      <c r="P416" s="18">
        <v>18.899999999999999</v>
      </c>
      <c r="Q416" s="18">
        <v>3</v>
      </c>
      <c r="R416" s="18">
        <v>2</v>
      </c>
      <c r="S416" s="18">
        <v>7</v>
      </c>
      <c r="T416" s="18">
        <v>177.49</v>
      </c>
    </row>
    <row r="417" spans="1:20" x14ac:dyDescent="0.3">
      <c r="A417" s="18">
        <v>50416</v>
      </c>
      <c r="B417" s="18">
        <v>0</v>
      </c>
      <c r="C417" s="18">
        <v>15</v>
      </c>
      <c r="D417" s="18" t="s">
        <v>42</v>
      </c>
      <c r="E417" s="18">
        <v>1</v>
      </c>
      <c r="F417" s="18">
        <v>11</v>
      </c>
      <c r="G417" s="18" t="s">
        <v>39</v>
      </c>
      <c r="H417" s="18" t="s">
        <v>38</v>
      </c>
      <c r="I417" s="18">
        <v>4</v>
      </c>
      <c r="J417" s="18">
        <v>4</v>
      </c>
      <c r="K417" s="18" t="s">
        <v>46</v>
      </c>
      <c r="L417" s="18">
        <v>4</v>
      </c>
      <c r="M417" s="18" t="s">
        <v>41</v>
      </c>
      <c r="N417" s="18">
        <v>2</v>
      </c>
      <c r="O417" s="18">
        <v>1</v>
      </c>
      <c r="P417" s="18">
        <v>20.8</v>
      </c>
      <c r="Q417" s="18">
        <v>0</v>
      </c>
      <c r="R417" s="18">
        <v>3</v>
      </c>
      <c r="S417" s="18">
        <v>7</v>
      </c>
      <c r="T417" s="18">
        <v>168.5</v>
      </c>
    </row>
    <row r="418" spans="1:20" x14ac:dyDescent="0.3">
      <c r="A418" s="18">
        <v>50417</v>
      </c>
      <c r="B418" s="18">
        <v>0</v>
      </c>
      <c r="C418" s="18">
        <v>11</v>
      </c>
      <c r="D418" s="18" t="s">
        <v>42</v>
      </c>
      <c r="E418" s="18">
        <v>1</v>
      </c>
      <c r="F418" s="18">
        <v>30</v>
      </c>
      <c r="G418" s="18" t="s">
        <v>39</v>
      </c>
      <c r="H418" s="18" t="s">
        <v>38</v>
      </c>
      <c r="I418" s="18">
        <v>2.4</v>
      </c>
      <c r="J418" s="18">
        <v>2</v>
      </c>
      <c r="K418" s="18" t="s">
        <v>40</v>
      </c>
      <c r="L418" s="18">
        <v>4</v>
      </c>
      <c r="M418" s="18" t="s">
        <v>41</v>
      </c>
      <c r="N418" s="18">
        <v>22</v>
      </c>
      <c r="O418" s="18">
        <v>0</v>
      </c>
      <c r="P418" s="18">
        <v>14</v>
      </c>
      <c r="Q418" s="18">
        <v>2</v>
      </c>
      <c r="R418" s="18">
        <v>5</v>
      </c>
      <c r="S418" s="18">
        <v>3</v>
      </c>
      <c r="T418" s="18">
        <v>208.44</v>
      </c>
    </row>
    <row r="419" spans="1:20" x14ac:dyDescent="0.3">
      <c r="A419" s="18">
        <v>50418</v>
      </c>
      <c r="B419" s="18">
        <v>0</v>
      </c>
      <c r="C419" s="18">
        <v>2</v>
      </c>
      <c r="D419" s="18" t="s">
        <v>36</v>
      </c>
      <c r="E419" s="18">
        <v>1</v>
      </c>
      <c r="F419" s="18">
        <v>8</v>
      </c>
      <c r="G419" s="18" t="s">
        <v>39</v>
      </c>
      <c r="H419" s="18" t="s">
        <v>33</v>
      </c>
      <c r="I419" s="18">
        <v>1.4</v>
      </c>
      <c r="J419" s="18">
        <v>2</v>
      </c>
      <c r="K419" s="18" t="s">
        <v>44</v>
      </c>
      <c r="L419" s="18">
        <v>2</v>
      </c>
      <c r="M419" s="18" t="s">
        <v>41</v>
      </c>
      <c r="N419" s="18">
        <v>3</v>
      </c>
      <c r="O419" s="18">
        <v>0</v>
      </c>
      <c r="P419" s="18">
        <v>21.9</v>
      </c>
      <c r="Q419" s="18">
        <v>3</v>
      </c>
      <c r="R419" s="18">
        <v>2</v>
      </c>
      <c r="S419" s="18">
        <v>3</v>
      </c>
      <c r="T419" s="18">
        <v>204.37</v>
      </c>
    </row>
    <row r="420" spans="1:20" x14ac:dyDescent="0.3">
      <c r="A420" s="18">
        <v>50419</v>
      </c>
      <c r="B420" s="18">
        <v>0</v>
      </c>
      <c r="C420" s="18">
        <v>0</v>
      </c>
      <c r="D420" s="18" t="s">
        <v>42</v>
      </c>
      <c r="E420" s="18">
        <v>2</v>
      </c>
      <c r="F420" s="18">
        <v>10</v>
      </c>
      <c r="G420" s="18" t="s">
        <v>43</v>
      </c>
      <c r="H420" s="18" t="s">
        <v>33</v>
      </c>
      <c r="I420" s="18">
        <v>3.2</v>
      </c>
      <c r="J420" s="18">
        <v>4</v>
      </c>
      <c r="K420" s="18" t="s">
        <v>40</v>
      </c>
      <c r="L420" s="18">
        <v>5</v>
      </c>
      <c r="M420" s="18" t="s">
        <v>41</v>
      </c>
      <c r="N420" s="18">
        <v>4</v>
      </c>
      <c r="O420" s="18">
        <v>0</v>
      </c>
      <c r="P420" s="18">
        <v>13.6</v>
      </c>
      <c r="Q420" s="18">
        <v>3</v>
      </c>
      <c r="R420" s="18">
        <v>5</v>
      </c>
      <c r="S420" s="18">
        <v>7</v>
      </c>
      <c r="T420" s="18">
        <v>93.55</v>
      </c>
    </row>
    <row r="421" spans="1:20" x14ac:dyDescent="0.3">
      <c r="A421" s="18">
        <v>50420</v>
      </c>
      <c r="B421" s="18">
        <v>0</v>
      </c>
      <c r="C421" s="18">
        <v>11</v>
      </c>
      <c r="D421" s="18" t="s">
        <v>36</v>
      </c>
      <c r="E421" s="18">
        <v>3</v>
      </c>
      <c r="F421" s="18">
        <v>13</v>
      </c>
      <c r="G421" s="18" t="s">
        <v>37</v>
      </c>
      <c r="H421" s="18" t="s">
        <v>33</v>
      </c>
      <c r="I421" s="18">
        <v>2.1</v>
      </c>
      <c r="J421" s="18">
        <v>3</v>
      </c>
      <c r="K421" s="18" t="s">
        <v>40</v>
      </c>
      <c r="L421" s="18">
        <v>3</v>
      </c>
      <c r="M421" s="18" t="s">
        <v>45</v>
      </c>
      <c r="N421" s="18">
        <v>2</v>
      </c>
      <c r="O421" s="18">
        <v>0</v>
      </c>
      <c r="P421" s="18">
        <v>17.5</v>
      </c>
      <c r="Q421" s="18">
        <v>1</v>
      </c>
      <c r="R421" s="18">
        <v>4</v>
      </c>
      <c r="S421" s="18">
        <v>8</v>
      </c>
      <c r="T421" s="18">
        <v>172.76</v>
      </c>
    </row>
    <row r="422" spans="1:20" x14ac:dyDescent="0.3">
      <c r="A422" s="18">
        <v>50421</v>
      </c>
      <c r="B422" s="18">
        <v>0</v>
      </c>
      <c r="C422" s="18">
        <v>10</v>
      </c>
      <c r="D422" s="18" t="s">
        <v>36</v>
      </c>
      <c r="E422" s="18">
        <v>3</v>
      </c>
      <c r="F422" s="18">
        <v>21</v>
      </c>
      <c r="G422" s="18" t="s">
        <v>39</v>
      </c>
      <c r="H422" s="18" t="s">
        <v>33</v>
      </c>
      <c r="I422" s="18">
        <v>3.6</v>
      </c>
      <c r="J422" s="18">
        <v>5</v>
      </c>
      <c r="K422" s="18" t="s">
        <v>40</v>
      </c>
      <c r="L422" s="18">
        <v>3</v>
      </c>
      <c r="M422" s="18" t="s">
        <v>35</v>
      </c>
      <c r="N422" s="18">
        <v>1</v>
      </c>
      <c r="O422" s="18">
        <v>1</v>
      </c>
      <c r="P422" s="18">
        <v>14.9</v>
      </c>
      <c r="Q422" s="18">
        <v>3</v>
      </c>
      <c r="R422" s="18">
        <v>4</v>
      </c>
      <c r="S422" s="18">
        <v>2</v>
      </c>
      <c r="T422" s="18">
        <v>97.18</v>
      </c>
    </row>
    <row r="423" spans="1:20" x14ac:dyDescent="0.3">
      <c r="A423" s="18">
        <v>50422</v>
      </c>
      <c r="B423" s="18">
        <v>0</v>
      </c>
      <c r="C423" s="18">
        <v>3</v>
      </c>
      <c r="D423" s="18" t="s">
        <v>31</v>
      </c>
      <c r="E423" s="18">
        <v>1</v>
      </c>
      <c r="F423" s="18">
        <v>16</v>
      </c>
      <c r="G423" s="18" t="s">
        <v>37</v>
      </c>
      <c r="H423" s="18" t="s">
        <v>33</v>
      </c>
      <c r="I423" s="18">
        <v>2.6</v>
      </c>
      <c r="J423" s="18">
        <v>4</v>
      </c>
      <c r="K423" s="18" t="s">
        <v>40</v>
      </c>
      <c r="L423" s="18">
        <v>4</v>
      </c>
      <c r="M423" s="18" t="s">
        <v>41</v>
      </c>
      <c r="N423" s="18">
        <v>5</v>
      </c>
      <c r="O423" s="18">
        <v>1</v>
      </c>
      <c r="P423" s="18">
        <v>14.9</v>
      </c>
      <c r="Q423" s="18">
        <v>0</v>
      </c>
      <c r="R423" s="18">
        <v>3</v>
      </c>
      <c r="S423" s="18">
        <v>8</v>
      </c>
      <c r="T423" s="18">
        <v>214.96</v>
      </c>
    </row>
    <row r="424" spans="1:20" x14ac:dyDescent="0.3">
      <c r="A424" s="18">
        <v>50423</v>
      </c>
      <c r="B424" s="18">
        <v>0</v>
      </c>
      <c r="C424" s="18">
        <v>30</v>
      </c>
      <c r="D424" s="18" t="s">
        <v>31</v>
      </c>
      <c r="E424" s="18">
        <v>3</v>
      </c>
      <c r="F424" s="18">
        <v>5</v>
      </c>
      <c r="G424" s="18" t="s">
        <v>39</v>
      </c>
      <c r="H424" s="18" t="s">
        <v>38</v>
      </c>
      <c r="I424" s="18">
        <v>3.3</v>
      </c>
      <c r="J424" s="18">
        <v>3</v>
      </c>
      <c r="K424" s="18" t="s">
        <v>34</v>
      </c>
      <c r="L424" s="18">
        <v>4</v>
      </c>
      <c r="M424" s="18" t="s">
        <v>35</v>
      </c>
      <c r="N424" s="18">
        <v>2</v>
      </c>
      <c r="O424" s="18">
        <v>1</v>
      </c>
      <c r="P424" s="18">
        <v>13.8</v>
      </c>
      <c r="Q424" s="18">
        <v>1</v>
      </c>
      <c r="R424" s="18">
        <v>2</v>
      </c>
      <c r="S424" s="18">
        <v>8</v>
      </c>
      <c r="T424" s="18">
        <v>222.22</v>
      </c>
    </row>
    <row r="425" spans="1:20" x14ac:dyDescent="0.3">
      <c r="A425" s="18">
        <v>50424</v>
      </c>
      <c r="B425" s="18">
        <v>0</v>
      </c>
      <c r="C425" s="18">
        <v>1</v>
      </c>
      <c r="D425" s="18" t="s">
        <v>42</v>
      </c>
      <c r="E425" s="18">
        <v>3</v>
      </c>
      <c r="F425" s="18">
        <v>10</v>
      </c>
      <c r="G425" s="18" t="s">
        <v>47</v>
      </c>
      <c r="H425" s="18" t="s">
        <v>38</v>
      </c>
      <c r="I425" s="18">
        <v>3.9</v>
      </c>
      <c r="J425" s="18">
        <v>3</v>
      </c>
      <c r="K425" s="18" t="s">
        <v>44</v>
      </c>
      <c r="L425" s="18">
        <v>4</v>
      </c>
      <c r="M425" s="18" t="s">
        <v>35</v>
      </c>
      <c r="N425" s="18">
        <v>18</v>
      </c>
      <c r="O425" s="18">
        <v>0</v>
      </c>
      <c r="P425" s="18">
        <v>18.399999999999999</v>
      </c>
      <c r="Q425" s="18">
        <v>0</v>
      </c>
      <c r="R425" s="18">
        <v>4</v>
      </c>
      <c r="S425" s="18">
        <v>1</v>
      </c>
      <c r="T425" s="18">
        <v>146.41</v>
      </c>
    </row>
    <row r="426" spans="1:20" x14ac:dyDescent="0.3">
      <c r="A426" s="18">
        <v>50425</v>
      </c>
      <c r="B426" s="18">
        <v>0</v>
      </c>
      <c r="C426" s="18">
        <v>5</v>
      </c>
      <c r="D426" s="18" t="s">
        <v>36</v>
      </c>
      <c r="E426" s="18">
        <v>3</v>
      </c>
      <c r="F426" s="18">
        <v>10</v>
      </c>
      <c r="G426" s="18" t="s">
        <v>43</v>
      </c>
      <c r="H426" s="18" t="s">
        <v>38</v>
      </c>
      <c r="I426" s="18">
        <v>2.1</v>
      </c>
      <c r="J426" s="18">
        <v>3</v>
      </c>
      <c r="K426" s="18" t="s">
        <v>34</v>
      </c>
      <c r="L426" s="18">
        <v>5</v>
      </c>
      <c r="M426" s="18" t="s">
        <v>45</v>
      </c>
      <c r="N426" s="18">
        <v>2</v>
      </c>
      <c r="O426" s="18">
        <v>0</v>
      </c>
      <c r="P426" s="18">
        <v>19</v>
      </c>
      <c r="Q426" s="18">
        <v>3</v>
      </c>
      <c r="R426" s="18">
        <v>1</v>
      </c>
      <c r="S426" s="18">
        <v>6</v>
      </c>
      <c r="T426" s="18">
        <v>173.58</v>
      </c>
    </row>
    <row r="427" spans="1:20" x14ac:dyDescent="0.3">
      <c r="A427" s="18">
        <v>50426</v>
      </c>
      <c r="B427" s="18">
        <v>0</v>
      </c>
      <c r="C427" s="18">
        <v>28</v>
      </c>
      <c r="D427" s="18" t="s">
        <v>31</v>
      </c>
      <c r="E427" s="18">
        <v>1</v>
      </c>
      <c r="F427" s="18">
        <v>14</v>
      </c>
      <c r="G427" s="18" t="s">
        <v>37</v>
      </c>
      <c r="H427" s="18" t="s">
        <v>38</v>
      </c>
      <c r="I427" s="18"/>
      <c r="J427" s="18">
        <v>2</v>
      </c>
      <c r="K427" s="18" t="s">
        <v>36</v>
      </c>
      <c r="L427" s="18">
        <v>5</v>
      </c>
      <c r="M427" s="18" t="s">
        <v>41</v>
      </c>
      <c r="N427" s="18">
        <v>1</v>
      </c>
      <c r="O427" s="18">
        <v>1</v>
      </c>
      <c r="P427" s="18">
        <v>15.8</v>
      </c>
      <c r="Q427" s="18">
        <v>0</v>
      </c>
      <c r="R427" s="18">
        <v>3</v>
      </c>
      <c r="S427" s="18">
        <v>1</v>
      </c>
      <c r="T427" s="18">
        <v>63.87</v>
      </c>
    </row>
    <row r="428" spans="1:20" x14ac:dyDescent="0.3">
      <c r="A428" s="18">
        <v>50427</v>
      </c>
      <c r="B428" s="18">
        <v>0</v>
      </c>
      <c r="C428" s="18">
        <v>5</v>
      </c>
      <c r="D428" s="18" t="s">
        <v>36</v>
      </c>
      <c r="E428" s="18">
        <v>1</v>
      </c>
      <c r="F428" s="18">
        <v>18</v>
      </c>
      <c r="G428" s="18" t="s">
        <v>32</v>
      </c>
      <c r="H428" s="18" t="s">
        <v>38</v>
      </c>
      <c r="I428" s="18">
        <v>2.8</v>
      </c>
      <c r="J428" s="18">
        <v>2</v>
      </c>
      <c r="K428" s="18" t="s">
        <v>40</v>
      </c>
      <c r="L428" s="18">
        <v>2</v>
      </c>
      <c r="M428" s="18" t="s">
        <v>41</v>
      </c>
      <c r="N428" s="18">
        <v>4</v>
      </c>
      <c r="O428" s="18">
        <v>0</v>
      </c>
      <c r="P428" s="18">
        <v>11.2</v>
      </c>
      <c r="Q428" s="18">
        <v>1</v>
      </c>
      <c r="R428" s="18">
        <v>5</v>
      </c>
      <c r="S428" s="18">
        <v>0</v>
      </c>
      <c r="T428" s="18">
        <v>233.5</v>
      </c>
    </row>
    <row r="429" spans="1:20" x14ac:dyDescent="0.3">
      <c r="A429" s="18">
        <v>50428</v>
      </c>
      <c r="B429" s="18">
        <v>0</v>
      </c>
      <c r="C429" s="18">
        <v>10</v>
      </c>
      <c r="D429" s="18" t="s">
        <v>36</v>
      </c>
      <c r="E429" s="18">
        <v>1</v>
      </c>
      <c r="F429" s="18">
        <v>18</v>
      </c>
      <c r="G429" s="18" t="s">
        <v>37</v>
      </c>
      <c r="H429" s="18" t="s">
        <v>33</v>
      </c>
      <c r="I429" s="18">
        <v>4</v>
      </c>
      <c r="J429" s="18">
        <v>4</v>
      </c>
      <c r="K429" s="18" t="s">
        <v>44</v>
      </c>
      <c r="L429" s="18">
        <v>3</v>
      </c>
      <c r="M429" s="18" t="s">
        <v>45</v>
      </c>
      <c r="N429" s="18">
        <v>1</v>
      </c>
      <c r="O429" s="18">
        <v>0</v>
      </c>
      <c r="P429" s="18">
        <v>17.399999999999999</v>
      </c>
      <c r="Q429" s="18">
        <v>1</v>
      </c>
      <c r="R429" s="18">
        <v>2</v>
      </c>
      <c r="S429" s="18">
        <v>4</v>
      </c>
      <c r="T429" s="18">
        <v>219.03</v>
      </c>
    </row>
    <row r="430" spans="1:20" x14ac:dyDescent="0.3">
      <c r="A430" s="18">
        <v>50429</v>
      </c>
      <c r="B430" s="18">
        <v>0</v>
      </c>
      <c r="C430" s="18">
        <v>5</v>
      </c>
      <c r="D430" s="18" t="s">
        <v>36</v>
      </c>
      <c r="E430" s="18">
        <v>1</v>
      </c>
      <c r="F430" s="18">
        <v>5</v>
      </c>
      <c r="G430" s="18" t="s">
        <v>39</v>
      </c>
      <c r="H430" s="18" t="s">
        <v>38</v>
      </c>
      <c r="I430" s="18">
        <v>2.4</v>
      </c>
      <c r="J430" s="18">
        <v>4</v>
      </c>
      <c r="K430" s="18" t="s">
        <v>36</v>
      </c>
      <c r="L430" s="18">
        <v>1</v>
      </c>
      <c r="M430" s="18" t="s">
        <v>41</v>
      </c>
      <c r="N430" s="18">
        <v>1</v>
      </c>
      <c r="O430" s="18">
        <v>1</v>
      </c>
      <c r="P430" s="18">
        <v>17.5</v>
      </c>
      <c r="Q430" s="18">
        <v>2</v>
      </c>
      <c r="R430" s="18">
        <v>1</v>
      </c>
      <c r="S430" s="18">
        <v>11</v>
      </c>
      <c r="T430" s="18">
        <v>243.25</v>
      </c>
    </row>
    <row r="431" spans="1:20" x14ac:dyDescent="0.3">
      <c r="A431" s="18">
        <v>50430</v>
      </c>
      <c r="B431" s="18">
        <v>0</v>
      </c>
      <c r="C431" s="18">
        <v>3</v>
      </c>
      <c r="D431" s="18" t="s">
        <v>42</v>
      </c>
      <c r="E431" s="18">
        <v>1</v>
      </c>
      <c r="F431" s="18">
        <v>23</v>
      </c>
      <c r="G431" s="18" t="s">
        <v>47</v>
      </c>
      <c r="H431" s="18" t="s">
        <v>38</v>
      </c>
      <c r="I431" s="18">
        <v>2.5</v>
      </c>
      <c r="J431" s="18">
        <v>4</v>
      </c>
      <c r="K431" s="18" t="s">
        <v>40</v>
      </c>
      <c r="L431" s="18">
        <v>5</v>
      </c>
      <c r="M431" s="18" t="s">
        <v>41</v>
      </c>
      <c r="N431" s="18">
        <v>1</v>
      </c>
      <c r="O431" s="18">
        <v>0</v>
      </c>
      <c r="P431" s="18">
        <v>15.2</v>
      </c>
      <c r="Q431" s="18">
        <v>0</v>
      </c>
      <c r="R431" s="18">
        <v>1</v>
      </c>
      <c r="S431" s="18">
        <v>0</v>
      </c>
      <c r="T431" s="18">
        <v>261.76</v>
      </c>
    </row>
    <row r="432" spans="1:20" x14ac:dyDescent="0.3">
      <c r="A432" s="18">
        <v>50431</v>
      </c>
      <c r="B432" s="18">
        <v>0</v>
      </c>
      <c r="C432" s="18">
        <v>41</v>
      </c>
      <c r="D432" s="18" t="s">
        <v>42</v>
      </c>
      <c r="E432" s="18">
        <v>1</v>
      </c>
      <c r="F432" s="18">
        <v>17</v>
      </c>
      <c r="G432" s="18" t="s">
        <v>37</v>
      </c>
      <c r="H432" s="18" t="s">
        <v>33</v>
      </c>
      <c r="I432" s="18">
        <v>3.2</v>
      </c>
      <c r="J432" s="18">
        <v>5</v>
      </c>
      <c r="K432" s="18" t="s">
        <v>40</v>
      </c>
      <c r="L432" s="18">
        <v>2</v>
      </c>
      <c r="M432" s="18" t="s">
        <v>41</v>
      </c>
      <c r="N432" s="18">
        <v>4</v>
      </c>
      <c r="O432" s="18">
        <v>0</v>
      </c>
      <c r="P432" s="18">
        <v>22.5</v>
      </c>
      <c r="Q432" s="18">
        <v>1</v>
      </c>
      <c r="R432" s="18">
        <v>5</v>
      </c>
      <c r="S432" s="18">
        <v>8</v>
      </c>
      <c r="T432" s="18">
        <v>112.67</v>
      </c>
    </row>
    <row r="433" spans="1:20" x14ac:dyDescent="0.3">
      <c r="A433" s="18">
        <v>50432</v>
      </c>
      <c r="B433" s="18">
        <v>0</v>
      </c>
      <c r="C433" s="18">
        <v>5</v>
      </c>
      <c r="D433" s="18" t="s">
        <v>31</v>
      </c>
      <c r="E433" s="18">
        <v>1</v>
      </c>
      <c r="F433" s="18">
        <v>26</v>
      </c>
      <c r="G433" s="18" t="s">
        <v>47</v>
      </c>
      <c r="H433" s="18" t="s">
        <v>38</v>
      </c>
      <c r="I433" s="18">
        <v>2.5</v>
      </c>
      <c r="J433" s="18">
        <v>3</v>
      </c>
      <c r="K433" s="18" t="s">
        <v>44</v>
      </c>
      <c r="L433" s="18">
        <v>5</v>
      </c>
      <c r="M433" s="18" t="s">
        <v>41</v>
      </c>
      <c r="N433" s="18">
        <v>2</v>
      </c>
      <c r="O433" s="18">
        <v>0</v>
      </c>
      <c r="P433" s="18">
        <v>11</v>
      </c>
      <c r="Q433" s="18">
        <v>1</v>
      </c>
      <c r="R433" s="18">
        <v>2</v>
      </c>
      <c r="S433" s="18">
        <v>3</v>
      </c>
      <c r="T433" s="18">
        <v>228.84</v>
      </c>
    </row>
    <row r="434" spans="1:20" x14ac:dyDescent="0.3">
      <c r="A434" s="18">
        <v>50433</v>
      </c>
      <c r="B434" s="18">
        <v>0</v>
      </c>
      <c r="C434" s="18">
        <v>22</v>
      </c>
      <c r="D434" s="18" t="s">
        <v>36</v>
      </c>
      <c r="E434" s="18">
        <v>3</v>
      </c>
      <c r="F434" s="18">
        <v>18</v>
      </c>
      <c r="G434" s="18" t="s">
        <v>32</v>
      </c>
      <c r="H434" s="18" t="s">
        <v>33</v>
      </c>
      <c r="I434" s="18">
        <v>3</v>
      </c>
      <c r="J434" s="18">
        <v>5</v>
      </c>
      <c r="K434" s="18" t="s">
        <v>36</v>
      </c>
      <c r="L434" s="18">
        <v>3</v>
      </c>
      <c r="M434" s="18" t="s">
        <v>45</v>
      </c>
      <c r="N434" s="18">
        <v>1</v>
      </c>
      <c r="O434" s="18">
        <v>0</v>
      </c>
      <c r="P434" s="18">
        <v>11</v>
      </c>
      <c r="Q434" s="18">
        <v>2</v>
      </c>
      <c r="R434" s="18">
        <v>4</v>
      </c>
      <c r="S434" s="18">
        <v>9</v>
      </c>
      <c r="T434" s="18">
        <v>261.36</v>
      </c>
    </row>
    <row r="435" spans="1:20" x14ac:dyDescent="0.3">
      <c r="A435" s="18">
        <v>50434</v>
      </c>
      <c r="B435" s="18">
        <v>0</v>
      </c>
      <c r="C435" s="18">
        <v>2</v>
      </c>
      <c r="D435" s="18" t="s">
        <v>36</v>
      </c>
      <c r="E435" s="18">
        <v>1</v>
      </c>
      <c r="F435" s="18">
        <v>23</v>
      </c>
      <c r="G435" s="18" t="s">
        <v>37</v>
      </c>
      <c r="H435" s="18" t="s">
        <v>38</v>
      </c>
      <c r="I435" s="18">
        <v>1.8</v>
      </c>
      <c r="J435" s="18">
        <v>2</v>
      </c>
      <c r="K435" s="18" t="s">
        <v>44</v>
      </c>
      <c r="L435" s="18">
        <v>3</v>
      </c>
      <c r="M435" s="18" t="s">
        <v>41</v>
      </c>
      <c r="N435" s="18">
        <v>3</v>
      </c>
      <c r="O435" s="18">
        <v>0</v>
      </c>
      <c r="P435" s="18">
        <v>13.4</v>
      </c>
      <c r="Q435" s="18">
        <v>0</v>
      </c>
      <c r="R435" s="18">
        <v>5</v>
      </c>
      <c r="S435" s="18">
        <v>9</v>
      </c>
      <c r="T435" s="18">
        <v>97.8</v>
      </c>
    </row>
    <row r="436" spans="1:20" x14ac:dyDescent="0.3">
      <c r="A436" s="18">
        <v>50435</v>
      </c>
      <c r="B436" s="18">
        <v>0</v>
      </c>
      <c r="C436" s="18">
        <v>2</v>
      </c>
      <c r="D436" s="18" t="s">
        <v>36</v>
      </c>
      <c r="E436" s="18">
        <v>1</v>
      </c>
      <c r="F436" s="18">
        <v>18</v>
      </c>
      <c r="G436" s="18" t="s">
        <v>43</v>
      </c>
      <c r="H436" s="18" t="s">
        <v>38</v>
      </c>
      <c r="I436" s="18">
        <v>4.5</v>
      </c>
      <c r="J436" s="18">
        <v>2</v>
      </c>
      <c r="K436" s="18" t="s">
        <v>34</v>
      </c>
      <c r="L436" s="18">
        <v>1</v>
      </c>
      <c r="M436" s="18" t="s">
        <v>45</v>
      </c>
      <c r="N436" s="18">
        <v>1</v>
      </c>
      <c r="O436" s="18">
        <v>1</v>
      </c>
      <c r="P436" s="18">
        <v>18.5</v>
      </c>
      <c r="Q436" s="18">
        <v>1</v>
      </c>
      <c r="R436" s="18">
        <v>2</v>
      </c>
      <c r="S436" s="18">
        <v>10</v>
      </c>
      <c r="T436" s="18">
        <v>170.58</v>
      </c>
    </row>
    <row r="437" spans="1:20" x14ac:dyDescent="0.3">
      <c r="A437" s="18">
        <v>50436</v>
      </c>
      <c r="B437" s="18">
        <v>0</v>
      </c>
      <c r="C437" s="18">
        <v>0</v>
      </c>
      <c r="D437" s="18" t="s">
        <v>36</v>
      </c>
      <c r="E437" s="18">
        <v>3</v>
      </c>
      <c r="F437" s="18">
        <v>25</v>
      </c>
      <c r="G437" s="18" t="s">
        <v>32</v>
      </c>
      <c r="H437" s="18" t="s">
        <v>38</v>
      </c>
      <c r="I437" s="18">
        <v>2</v>
      </c>
      <c r="J437" s="18">
        <v>1</v>
      </c>
      <c r="K437" s="18" t="s">
        <v>46</v>
      </c>
      <c r="L437" s="18">
        <v>3</v>
      </c>
      <c r="M437" s="18" t="s">
        <v>45</v>
      </c>
      <c r="N437" s="18">
        <v>8</v>
      </c>
      <c r="O437" s="18">
        <v>0</v>
      </c>
      <c r="P437" s="18">
        <v>12.3</v>
      </c>
      <c r="Q437" s="18">
        <v>3</v>
      </c>
      <c r="R437" s="18">
        <v>4</v>
      </c>
      <c r="S437" s="18">
        <v>7</v>
      </c>
      <c r="T437" s="18">
        <v>160.01</v>
      </c>
    </row>
    <row r="438" spans="1:20" x14ac:dyDescent="0.3">
      <c r="A438" s="18">
        <v>50437</v>
      </c>
      <c r="B438" s="18">
        <v>0</v>
      </c>
      <c r="C438" s="18">
        <v>10</v>
      </c>
      <c r="D438" s="18" t="s">
        <v>36</v>
      </c>
      <c r="E438" s="18">
        <v>3</v>
      </c>
      <c r="F438" s="18">
        <v>19</v>
      </c>
      <c r="G438" s="18" t="s">
        <v>37</v>
      </c>
      <c r="H438" s="18" t="s">
        <v>33</v>
      </c>
      <c r="I438" s="18">
        <v>2.7</v>
      </c>
      <c r="J438" s="18">
        <v>3</v>
      </c>
      <c r="K438" s="18" t="s">
        <v>44</v>
      </c>
      <c r="L438" s="18">
        <v>5</v>
      </c>
      <c r="M438" s="18" t="s">
        <v>35</v>
      </c>
      <c r="N438" s="18">
        <v>2</v>
      </c>
      <c r="O438" s="18">
        <v>0</v>
      </c>
      <c r="P438" s="18">
        <v>12.6</v>
      </c>
      <c r="Q438" s="18">
        <v>1</v>
      </c>
      <c r="R438" s="18">
        <v>3</v>
      </c>
      <c r="S438" s="18">
        <v>9</v>
      </c>
      <c r="T438" s="18">
        <v>227.05</v>
      </c>
    </row>
    <row r="439" spans="1:20" x14ac:dyDescent="0.3">
      <c r="A439" s="18">
        <v>50438</v>
      </c>
      <c r="B439" s="18">
        <v>0</v>
      </c>
      <c r="C439" s="18">
        <v>4</v>
      </c>
      <c r="D439" s="18" t="s">
        <v>31</v>
      </c>
      <c r="E439" s="18">
        <v>3</v>
      </c>
      <c r="F439" s="18">
        <v>14</v>
      </c>
      <c r="G439" s="18" t="s">
        <v>47</v>
      </c>
      <c r="H439" s="18" t="s">
        <v>38</v>
      </c>
      <c r="I439" s="18">
        <v>2.9</v>
      </c>
      <c r="J439" s="18">
        <v>3</v>
      </c>
      <c r="K439" s="18" t="s">
        <v>46</v>
      </c>
      <c r="L439" s="18">
        <v>1</v>
      </c>
      <c r="M439" s="18" t="s">
        <v>41</v>
      </c>
      <c r="N439" s="18">
        <v>4</v>
      </c>
      <c r="O439" s="18">
        <v>1</v>
      </c>
      <c r="P439" s="18">
        <v>19.3</v>
      </c>
      <c r="Q439" s="18">
        <v>1</v>
      </c>
      <c r="R439" s="18">
        <v>4</v>
      </c>
      <c r="S439" s="18">
        <v>0</v>
      </c>
      <c r="T439" s="18">
        <v>48.33</v>
      </c>
    </row>
    <row r="440" spans="1:20" x14ac:dyDescent="0.3">
      <c r="A440" s="18">
        <v>50439</v>
      </c>
      <c r="B440" s="18">
        <v>0</v>
      </c>
      <c r="C440" s="18">
        <v>19</v>
      </c>
      <c r="D440" s="18" t="s">
        <v>36</v>
      </c>
      <c r="E440" s="18">
        <v>3</v>
      </c>
      <c r="F440" s="18">
        <v>33</v>
      </c>
      <c r="G440" s="18" t="s">
        <v>39</v>
      </c>
      <c r="H440" s="18" t="s">
        <v>33</v>
      </c>
      <c r="I440" s="18">
        <v>4.2</v>
      </c>
      <c r="J440" s="18">
        <v>4</v>
      </c>
      <c r="K440" s="18" t="s">
        <v>34</v>
      </c>
      <c r="L440" s="18">
        <v>3</v>
      </c>
      <c r="M440" s="18" t="s">
        <v>41</v>
      </c>
      <c r="N440" s="18">
        <v>1</v>
      </c>
      <c r="O440" s="18">
        <v>0</v>
      </c>
      <c r="P440" s="18"/>
      <c r="Q440" s="18">
        <v>1</v>
      </c>
      <c r="R440" s="18">
        <v>3</v>
      </c>
      <c r="S440" s="18">
        <v>1</v>
      </c>
      <c r="T440" s="18">
        <v>279.88</v>
      </c>
    </row>
    <row r="441" spans="1:20" x14ac:dyDescent="0.3">
      <c r="A441" s="18">
        <v>50440</v>
      </c>
      <c r="B441" s="18">
        <v>0</v>
      </c>
      <c r="C441" s="18">
        <v>6</v>
      </c>
      <c r="D441" s="18" t="s">
        <v>36</v>
      </c>
      <c r="E441" s="18">
        <v>2</v>
      </c>
      <c r="F441" s="18">
        <v>22</v>
      </c>
      <c r="G441" s="18" t="s">
        <v>43</v>
      </c>
      <c r="H441" s="18" t="s">
        <v>33</v>
      </c>
      <c r="I441" s="18">
        <v>2</v>
      </c>
      <c r="J441" s="18">
        <v>3</v>
      </c>
      <c r="K441" s="18" t="s">
        <v>36</v>
      </c>
      <c r="L441" s="18">
        <v>1</v>
      </c>
      <c r="M441" s="18" t="s">
        <v>35</v>
      </c>
      <c r="N441" s="18">
        <v>5</v>
      </c>
      <c r="O441" s="18">
        <v>0</v>
      </c>
      <c r="P441" s="18">
        <v>17.3</v>
      </c>
      <c r="Q441" s="18">
        <v>1</v>
      </c>
      <c r="R441" s="18">
        <v>3</v>
      </c>
      <c r="S441" s="18">
        <v>1</v>
      </c>
      <c r="T441" s="18">
        <v>173.81</v>
      </c>
    </row>
    <row r="442" spans="1:20" x14ac:dyDescent="0.3">
      <c r="A442" s="18">
        <v>50441</v>
      </c>
      <c r="B442" s="18">
        <v>0</v>
      </c>
      <c r="C442" s="18">
        <v>34</v>
      </c>
      <c r="D442" s="18" t="s">
        <v>36</v>
      </c>
      <c r="E442" s="18">
        <v>3</v>
      </c>
      <c r="F442" s="18">
        <v>19</v>
      </c>
      <c r="G442" s="18" t="s">
        <v>47</v>
      </c>
      <c r="H442" s="18" t="s">
        <v>38</v>
      </c>
      <c r="I442" s="18">
        <v>4.3</v>
      </c>
      <c r="J442" s="18">
        <v>2</v>
      </c>
      <c r="K442" s="18" t="s">
        <v>40</v>
      </c>
      <c r="L442" s="18">
        <v>3</v>
      </c>
      <c r="M442" s="18" t="s">
        <v>35</v>
      </c>
      <c r="N442" s="18">
        <v>4</v>
      </c>
      <c r="O442" s="18">
        <v>0</v>
      </c>
      <c r="P442" s="18">
        <v>18.7</v>
      </c>
      <c r="Q442" s="18">
        <v>2</v>
      </c>
      <c r="R442" s="18">
        <v>3</v>
      </c>
      <c r="S442" s="18">
        <v>6</v>
      </c>
      <c r="T442" s="18">
        <v>230.39</v>
      </c>
    </row>
    <row r="443" spans="1:20" x14ac:dyDescent="0.3">
      <c r="A443" s="18">
        <v>50442</v>
      </c>
      <c r="B443" s="18">
        <v>0</v>
      </c>
      <c r="C443" s="18">
        <v>2</v>
      </c>
      <c r="D443" s="18" t="s">
        <v>36</v>
      </c>
      <c r="E443" s="18">
        <v>1</v>
      </c>
      <c r="F443" s="18">
        <v>5</v>
      </c>
      <c r="G443" s="18" t="s">
        <v>39</v>
      </c>
      <c r="H443" s="18" t="s">
        <v>33</v>
      </c>
      <c r="I443" s="18">
        <v>3.4</v>
      </c>
      <c r="J443" s="18">
        <v>3</v>
      </c>
      <c r="K443" s="18" t="s">
        <v>36</v>
      </c>
      <c r="L443" s="18">
        <v>2</v>
      </c>
      <c r="M443" s="18" t="s">
        <v>35</v>
      </c>
      <c r="N443" s="18">
        <v>8</v>
      </c>
      <c r="O443" s="18">
        <v>1</v>
      </c>
      <c r="P443" s="18">
        <v>14.5</v>
      </c>
      <c r="Q443" s="18">
        <v>0</v>
      </c>
      <c r="R443" s="18">
        <v>3</v>
      </c>
      <c r="S443" s="18">
        <v>0</v>
      </c>
      <c r="T443" s="18">
        <v>176.69</v>
      </c>
    </row>
    <row r="444" spans="1:20" x14ac:dyDescent="0.3">
      <c r="A444" s="18">
        <v>50443</v>
      </c>
      <c r="B444" s="18">
        <v>0</v>
      </c>
      <c r="C444" s="18">
        <v>20</v>
      </c>
      <c r="D444" s="18" t="s">
        <v>36</v>
      </c>
      <c r="E444" s="18">
        <v>1</v>
      </c>
      <c r="F444" s="18">
        <v>5</v>
      </c>
      <c r="G444" s="18" t="s">
        <v>39</v>
      </c>
      <c r="H444" s="18" t="s">
        <v>38</v>
      </c>
      <c r="I444" s="18">
        <v>3.2</v>
      </c>
      <c r="J444" s="18">
        <v>3</v>
      </c>
      <c r="K444" s="18" t="s">
        <v>40</v>
      </c>
      <c r="L444" s="18">
        <v>3</v>
      </c>
      <c r="M444" s="18" t="s">
        <v>35</v>
      </c>
      <c r="N444" s="18">
        <v>1</v>
      </c>
      <c r="O444" s="18">
        <v>0</v>
      </c>
      <c r="P444" s="18">
        <v>14.7</v>
      </c>
      <c r="Q444" s="18">
        <v>4</v>
      </c>
      <c r="R444" s="18">
        <v>5</v>
      </c>
      <c r="S444" s="18">
        <v>1</v>
      </c>
      <c r="T444" s="18">
        <v>207.07</v>
      </c>
    </row>
    <row r="445" spans="1:20" x14ac:dyDescent="0.3">
      <c r="A445" s="18">
        <v>50444</v>
      </c>
      <c r="B445" s="18">
        <v>0</v>
      </c>
      <c r="C445" s="18">
        <v>14</v>
      </c>
      <c r="D445" s="18" t="s">
        <v>42</v>
      </c>
      <c r="E445" s="18">
        <v>1</v>
      </c>
      <c r="F445" s="18">
        <v>17</v>
      </c>
      <c r="G445" s="18" t="s">
        <v>47</v>
      </c>
      <c r="H445" s="18" t="s">
        <v>33</v>
      </c>
      <c r="I445" s="18">
        <v>2.2000000000000002</v>
      </c>
      <c r="J445" s="18">
        <v>1</v>
      </c>
      <c r="K445" s="18" t="s">
        <v>36</v>
      </c>
      <c r="L445" s="18">
        <v>5</v>
      </c>
      <c r="M445" s="18" t="s">
        <v>45</v>
      </c>
      <c r="N445" s="18">
        <v>2</v>
      </c>
      <c r="O445" s="18">
        <v>0</v>
      </c>
      <c r="P445" s="18">
        <v>18.8</v>
      </c>
      <c r="Q445" s="18">
        <v>2</v>
      </c>
      <c r="R445" s="18">
        <v>4</v>
      </c>
      <c r="S445" s="18">
        <v>10</v>
      </c>
      <c r="T445" s="18">
        <v>52.32</v>
      </c>
    </row>
    <row r="446" spans="1:20" x14ac:dyDescent="0.3">
      <c r="A446" s="18">
        <v>50445</v>
      </c>
      <c r="B446" s="18">
        <v>0</v>
      </c>
      <c r="C446" s="18">
        <v>14</v>
      </c>
      <c r="D446" s="18" t="s">
        <v>31</v>
      </c>
      <c r="E446" s="18">
        <v>1</v>
      </c>
      <c r="F446" s="18">
        <v>16</v>
      </c>
      <c r="G446" s="18" t="s">
        <v>39</v>
      </c>
      <c r="H446" s="18" t="s">
        <v>33</v>
      </c>
      <c r="I446" s="18">
        <v>3.3</v>
      </c>
      <c r="J446" s="18">
        <v>2</v>
      </c>
      <c r="K446" s="18" t="s">
        <v>36</v>
      </c>
      <c r="L446" s="18">
        <v>3</v>
      </c>
      <c r="M446" s="18" t="s">
        <v>35</v>
      </c>
      <c r="N446" s="18">
        <v>3</v>
      </c>
      <c r="O446" s="18">
        <v>0</v>
      </c>
      <c r="P446" s="18">
        <v>11.3</v>
      </c>
      <c r="Q446" s="18">
        <v>2</v>
      </c>
      <c r="R446" s="18">
        <v>3</v>
      </c>
      <c r="S446" s="18">
        <v>6</v>
      </c>
      <c r="T446" s="18">
        <v>158.83000000000001</v>
      </c>
    </row>
    <row r="447" spans="1:20" x14ac:dyDescent="0.3">
      <c r="A447" s="18">
        <v>50446</v>
      </c>
      <c r="B447" s="18">
        <v>0</v>
      </c>
      <c r="C447" s="18">
        <v>18</v>
      </c>
      <c r="D447" s="18" t="s">
        <v>42</v>
      </c>
      <c r="E447" s="18">
        <v>1</v>
      </c>
      <c r="F447" s="18">
        <v>10</v>
      </c>
      <c r="G447" s="18" t="s">
        <v>39</v>
      </c>
      <c r="H447" s="18" t="s">
        <v>38</v>
      </c>
      <c r="I447" s="18">
        <v>2.4</v>
      </c>
      <c r="J447" s="18">
        <v>2</v>
      </c>
      <c r="K447" s="18" t="s">
        <v>36</v>
      </c>
      <c r="L447" s="18">
        <v>3</v>
      </c>
      <c r="M447" s="18" t="s">
        <v>35</v>
      </c>
      <c r="N447" s="18">
        <v>1</v>
      </c>
      <c r="O447" s="18">
        <v>0</v>
      </c>
      <c r="P447" s="18">
        <v>11</v>
      </c>
      <c r="Q447" s="18">
        <v>2</v>
      </c>
      <c r="R447" s="18">
        <v>4</v>
      </c>
      <c r="S447" s="18">
        <v>10</v>
      </c>
      <c r="T447" s="18">
        <v>226.63</v>
      </c>
    </row>
    <row r="448" spans="1:20" x14ac:dyDescent="0.3">
      <c r="A448" s="18">
        <v>50447</v>
      </c>
      <c r="B448" s="18">
        <v>0</v>
      </c>
      <c r="C448" s="18">
        <v>14</v>
      </c>
      <c r="D448" s="18" t="s">
        <v>36</v>
      </c>
      <c r="E448" s="18">
        <v>2</v>
      </c>
      <c r="F448" s="18">
        <v>16</v>
      </c>
      <c r="G448" s="18" t="s">
        <v>37</v>
      </c>
      <c r="H448" s="18" t="s">
        <v>33</v>
      </c>
      <c r="I448" s="18">
        <v>3.8</v>
      </c>
      <c r="J448" s="18">
        <v>5</v>
      </c>
      <c r="K448" s="18" t="s">
        <v>44</v>
      </c>
      <c r="L448" s="18">
        <v>4</v>
      </c>
      <c r="M448" s="18" t="s">
        <v>45</v>
      </c>
      <c r="N448" s="18">
        <v>1</v>
      </c>
      <c r="O448" s="18">
        <v>0</v>
      </c>
      <c r="P448" s="18">
        <v>14.5</v>
      </c>
      <c r="Q448" s="18">
        <v>1</v>
      </c>
      <c r="R448" s="18">
        <v>5</v>
      </c>
      <c r="S448" s="18">
        <v>0</v>
      </c>
      <c r="T448" s="18">
        <v>195.88</v>
      </c>
    </row>
    <row r="449" spans="1:20" x14ac:dyDescent="0.3">
      <c r="A449" s="18">
        <v>50448</v>
      </c>
      <c r="B449" s="18">
        <v>0</v>
      </c>
      <c r="C449" s="18">
        <v>9</v>
      </c>
      <c r="D449" s="18" t="s">
        <v>36</v>
      </c>
      <c r="E449" s="18">
        <v>3</v>
      </c>
      <c r="F449" s="18">
        <v>27</v>
      </c>
      <c r="G449" s="18" t="s">
        <v>39</v>
      </c>
      <c r="H449" s="18" t="s">
        <v>33</v>
      </c>
      <c r="I449" s="18">
        <v>2.2000000000000002</v>
      </c>
      <c r="J449" s="18">
        <v>3</v>
      </c>
      <c r="K449" s="18" t="s">
        <v>46</v>
      </c>
      <c r="L449" s="18">
        <v>2</v>
      </c>
      <c r="M449" s="18" t="s">
        <v>41</v>
      </c>
      <c r="N449" s="18">
        <v>9</v>
      </c>
      <c r="O449" s="18">
        <v>0</v>
      </c>
      <c r="P449" s="18">
        <v>19.3</v>
      </c>
      <c r="Q449" s="18">
        <v>4</v>
      </c>
      <c r="R449" s="18">
        <v>5</v>
      </c>
      <c r="S449" s="18">
        <v>2</v>
      </c>
      <c r="T449" s="18">
        <v>89.97</v>
      </c>
    </row>
    <row r="450" spans="1:20" x14ac:dyDescent="0.3">
      <c r="A450" s="18">
        <v>50449</v>
      </c>
      <c r="B450" s="18">
        <v>0</v>
      </c>
      <c r="C450" s="18">
        <v>1</v>
      </c>
      <c r="D450" s="18" t="s">
        <v>36</v>
      </c>
      <c r="E450" s="18">
        <v>2</v>
      </c>
      <c r="F450" s="18">
        <v>20</v>
      </c>
      <c r="G450" s="18" t="s">
        <v>37</v>
      </c>
      <c r="H450" s="18" t="s">
        <v>38</v>
      </c>
      <c r="I450" s="18">
        <v>2.8</v>
      </c>
      <c r="J450" s="18">
        <v>4</v>
      </c>
      <c r="K450" s="18" t="s">
        <v>36</v>
      </c>
      <c r="L450" s="18">
        <v>3</v>
      </c>
      <c r="M450" s="18" t="s">
        <v>41</v>
      </c>
      <c r="N450" s="18">
        <v>2</v>
      </c>
      <c r="O450" s="18">
        <v>0</v>
      </c>
      <c r="P450" s="18">
        <v>16.899999999999999</v>
      </c>
      <c r="Q450" s="18"/>
      <c r="R450" s="18">
        <v>4</v>
      </c>
      <c r="S450" s="18">
        <v>1</v>
      </c>
      <c r="T450" s="18">
        <v>183.38</v>
      </c>
    </row>
    <row r="451" spans="1:20" x14ac:dyDescent="0.3">
      <c r="A451" s="18">
        <v>50450</v>
      </c>
      <c r="B451" s="18">
        <v>0</v>
      </c>
      <c r="C451" s="18">
        <v>0</v>
      </c>
      <c r="D451" s="18" t="s">
        <v>42</v>
      </c>
      <c r="E451" s="18">
        <v>1</v>
      </c>
      <c r="F451" s="18">
        <v>5</v>
      </c>
      <c r="G451" s="18" t="s">
        <v>39</v>
      </c>
      <c r="H451" s="18" t="s">
        <v>33</v>
      </c>
      <c r="I451" s="18">
        <v>2.5</v>
      </c>
      <c r="J451" s="18">
        <v>2</v>
      </c>
      <c r="K451" s="18" t="s">
        <v>36</v>
      </c>
      <c r="L451" s="18">
        <v>3</v>
      </c>
      <c r="M451" s="18" t="s">
        <v>41</v>
      </c>
      <c r="N451" s="18">
        <v>14</v>
      </c>
      <c r="O451" s="18">
        <v>0</v>
      </c>
      <c r="P451" s="18">
        <v>19</v>
      </c>
      <c r="Q451" s="18">
        <v>1</v>
      </c>
      <c r="R451" s="18">
        <v>6</v>
      </c>
      <c r="S451" s="18">
        <v>0</v>
      </c>
      <c r="T451" s="18">
        <v>134.97</v>
      </c>
    </row>
    <row r="452" spans="1:20" x14ac:dyDescent="0.3">
      <c r="A452" s="18">
        <v>50451</v>
      </c>
      <c r="B452" s="18">
        <v>0</v>
      </c>
      <c r="C452" s="18">
        <v>25</v>
      </c>
      <c r="D452" s="18" t="s">
        <v>31</v>
      </c>
      <c r="E452" s="18">
        <v>3</v>
      </c>
      <c r="F452" s="18">
        <v>14</v>
      </c>
      <c r="G452" s="18" t="s">
        <v>39</v>
      </c>
      <c r="H452" s="18" t="s">
        <v>38</v>
      </c>
      <c r="I452" s="18">
        <v>2.2000000000000002</v>
      </c>
      <c r="J452" s="18">
        <v>4</v>
      </c>
      <c r="K452" s="18" t="s">
        <v>46</v>
      </c>
      <c r="L452" s="18">
        <v>2</v>
      </c>
      <c r="M452" s="18" t="s">
        <v>41</v>
      </c>
      <c r="N452" s="18">
        <v>1</v>
      </c>
      <c r="O452" s="18">
        <v>0</v>
      </c>
      <c r="P452" s="18">
        <v>11</v>
      </c>
      <c r="Q452" s="18">
        <v>3</v>
      </c>
      <c r="R452" s="18">
        <v>1</v>
      </c>
      <c r="S452" s="18">
        <v>1</v>
      </c>
      <c r="T452" s="18">
        <v>130.19999999999999</v>
      </c>
    </row>
    <row r="453" spans="1:20" x14ac:dyDescent="0.3">
      <c r="A453" s="18">
        <v>50452</v>
      </c>
      <c r="B453" s="18">
        <v>0</v>
      </c>
      <c r="C453" s="18">
        <v>9</v>
      </c>
      <c r="D453" s="18" t="s">
        <v>36</v>
      </c>
      <c r="E453" s="18">
        <v>2</v>
      </c>
      <c r="F453" s="18">
        <v>8</v>
      </c>
      <c r="G453" s="18" t="s">
        <v>47</v>
      </c>
      <c r="H453" s="18" t="s">
        <v>33</v>
      </c>
      <c r="I453" s="18">
        <v>3.4</v>
      </c>
      <c r="J453" s="18">
        <v>5</v>
      </c>
      <c r="K453" s="18" t="s">
        <v>36</v>
      </c>
      <c r="L453" s="18">
        <v>4</v>
      </c>
      <c r="M453" s="18" t="s">
        <v>35</v>
      </c>
      <c r="N453" s="18">
        <v>4</v>
      </c>
      <c r="O453" s="18">
        <v>0</v>
      </c>
      <c r="P453" s="18">
        <v>17.100000000000001</v>
      </c>
      <c r="Q453" s="18">
        <v>2</v>
      </c>
      <c r="R453" s="18">
        <v>2</v>
      </c>
      <c r="S453" s="18">
        <v>2</v>
      </c>
      <c r="T453" s="18">
        <v>96.36</v>
      </c>
    </row>
    <row r="454" spans="1:20" x14ac:dyDescent="0.3">
      <c r="A454" s="18">
        <v>50453</v>
      </c>
      <c r="B454" s="18">
        <v>0</v>
      </c>
      <c r="C454" s="18">
        <v>15</v>
      </c>
      <c r="D454" s="18" t="s">
        <v>36</v>
      </c>
      <c r="E454" s="18">
        <v>1</v>
      </c>
      <c r="F454" s="18">
        <v>11</v>
      </c>
      <c r="G454" s="18" t="s">
        <v>37</v>
      </c>
      <c r="H454" s="18" t="s">
        <v>33</v>
      </c>
      <c r="I454" s="18">
        <v>3.3</v>
      </c>
      <c r="J454" s="18">
        <v>1</v>
      </c>
      <c r="K454" s="18" t="s">
        <v>36</v>
      </c>
      <c r="L454" s="18">
        <v>3</v>
      </c>
      <c r="M454" s="18" t="s">
        <v>41</v>
      </c>
      <c r="N454" s="18">
        <v>3</v>
      </c>
      <c r="O454" s="18">
        <v>0</v>
      </c>
      <c r="P454" s="18">
        <v>18.3</v>
      </c>
      <c r="Q454" s="18">
        <v>1</v>
      </c>
      <c r="R454" s="18">
        <v>3</v>
      </c>
      <c r="S454" s="18">
        <v>0</v>
      </c>
      <c r="T454" s="18">
        <v>214.03</v>
      </c>
    </row>
    <row r="455" spans="1:20" x14ac:dyDescent="0.3">
      <c r="A455" s="18">
        <v>50454</v>
      </c>
      <c r="B455" s="18">
        <v>0</v>
      </c>
      <c r="C455" s="18">
        <v>6</v>
      </c>
      <c r="D455" s="18" t="s">
        <v>36</v>
      </c>
      <c r="E455" s="18">
        <v>2</v>
      </c>
      <c r="F455" s="18">
        <v>11</v>
      </c>
      <c r="G455" s="18" t="s">
        <v>39</v>
      </c>
      <c r="H455" s="18" t="s">
        <v>33</v>
      </c>
      <c r="I455" s="18">
        <v>3.7</v>
      </c>
      <c r="J455" s="18">
        <v>2</v>
      </c>
      <c r="K455" s="18" t="s">
        <v>34</v>
      </c>
      <c r="L455" s="18">
        <v>4</v>
      </c>
      <c r="M455" s="18" t="s">
        <v>35</v>
      </c>
      <c r="N455" s="18">
        <v>2</v>
      </c>
      <c r="O455" s="18">
        <v>1</v>
      </c>
      <c r="P455" s="18">
        <v>11.3</v>
      </c>
      <c r="Q455" s="18">
        <v>3</v>
      </c>
      <c r="R455" s="18">
        <v>5</v>
      </c>
      <c r="S455" s="18">
        <v>4</v>
      </c>
      <c r="T455" s="18">
        <v>241.22</v>
      </c>
    </row>
    <row r="456" spans="1:20" x14ac:dyDescent="0.3">
      <c r="A456" s="18">
        <v>50455</v>
      </c>
      <c r="B456" s="18">
        <v>0</v>
      </c>
      <c r="C456" s="18">
        <v>1</v>
      </c>
      <c r="D456" s="18" t="s">
        <v>31</v>
      </c>
      <c r="E456" s="18">
        <v>1</v>
      </c>
      <c r="F456" s="18">
        <v>11</v>
      </c>
      <c r="G456" s="18" t="s">
        <v>39</v>
      </c>
      <c r="H456" s="18" t="s">
        <v>33</v>
      </c>
      <c r="I456" s="18">
        <v>1.7</v>
      </c>
      <c r="J456" s="18">
        <v>4</v>
      </c>
      <c r="K456" s="18" t="s">
        <v>46</v>
      </c>
      <c r="L456" s="18">
        <v>5</v>
      </c>
      <c r="M456" s="18" t="s">
        <v>45</v>
      </c>
      <c r="N456" s="18">
        <v>12</v>
      </c>
      <c r="O456" s="18">
        <v>1</v>
      </c>
      <c r="P456" s="18">
        <v>19</v>
      </c>
      <c r="Q456" s="18">
        <v>5</v>
      </c>
      <c r="R456" s="18">
        <v>4</v>
      </c>
      <c r="S456" s="18">
        <v>2</v>
      </c>
      <c r="T456" s="18">
        <v>296.61</v>
      </c>
    </row>
    <row r="457" spans="1:20" x14ac:dyDescent="0.3">
      <c r="A457" s="18">
        <v>50456</v>
      </c>
      <c r="B457" s="18">
        <v>0</v>
      </c>
      <c r="C457" s="18">
        <v>1</v>
      </c>
      <c r="D457" s="18" t="s">
        <v>42</v>
      </c>
      <c r="E457" s="18">
        <v>1</v>
      </c>
      <c r="F457" s="18">
        <v>5</v>
      </c>
      <c r="G457" s="18" t="s">
        <v>37</v>
      </c>
      <c r="H457" s="18" t="s">
        <v>33</v>
      </c>
      <c r="I457" s="18">
        <v>3.6</v>
      </c>
      <c r="J457" s="18">
        <v>4</v>
      </c>
      <c r="K457" s="18" t="s">
        <v>44</v>
      </c>
      <c r="L457" s="18">
        <v>2</v>
      </c>
      <c r="M457" s="18" t="s">
        <v>41</v>
      </c>
      <c r="N457" s="18">
        <v>1</v>
      </c>
      <c r="O457" s="18">
        <v>1</v>
      </c>
      <c r="P457" s="18">
        <v>15.6</v>
      </c>
      <c r="Q457" s="18">
        <v>4</v>
      </c>
      <c r="R457" s="18">
        <v>5</v>
      </c>
      <c r="S457" s="18">
        <v>0</v>
      </c>
      <c r="T457" s="18">
        <v>98.93</v>
      </c>
    </row>
    <row r="458" spans="1:20" x14ac:dyDescent="0.3">
      <c r="A458" s="18">
        <v>50457</v>
      </c>
      <c r="B458" s="18">
        <v>0</v>
      </c>
      <c r="C458" s="18">
        <v>11</v>
      </c>
      <c r="D458" s="18" t="s">
        <v>31</v>
      </c>
      <c r="E458" s="18">
        <v>3</v>
      </c>
      <c r="F458" s="18">
        <v>13</v>
      </c>
      <c r="G458" s="18" t="s">
        <v>39</v>
      </c>
      <c r="H458" s="18" t="s">
        <v>33</v>
      </c>
      <c r="I458" s="18">
        <v>4.7</v>
      </c>
      <c r="J458" s="18">
        <v>3</v>
      </c>
      <c r="K458" s="18" t="s">
        <v>36</v>
      </c>
      <c r="L458" s="18">
        <v>3</v>
      </c>
      <c r="M458" s="18" t="s">
        <v>35</v>
      </c>
      <c r="N458" s="18">
        <v>7</v>
      </c>
      <c r="O458" s="18">
        <v>0</v>
      </c>
      <c r="P458" s="18">
        <v>26</v>
      </c>
      <c r="Q458" s="18">
        <v>0</v>
      </c>
      <c r="R458" s="18">
        <v>3</v>
      </c>
      <c r="S458" s="18">
        <v>6</v>
      </c>
      <c r="T458" s="18">
        <v>222.21</v>
      </c>
    </row>
    <row r="459" spans="1:20" x14ac:dyDescent="0.3">
      <c r="A459" s="18">
        <v>50458</v>
      </c>
      <c r="B459" s="18">
        <v>0</v>
      </c>
      <c r="C459" s="18">
        <v>5</v>
      </c>
      <c r="D459" s="18" t="s">
        <v>36</v>
      </c>
      <c r="E459" s="18">
        <v>1</v>
      </c>
      <c r="F459" s="18">
        <v>10</v>
      </c>
      <c r="G459" s="18" t="s">
        <v>39</v>
      </c>
      <c r="H459" s="18" t="s">
        <v>33</v>
      </c>
      <c r="I459" s="18">
        <v>2.6</v>
      </c>
      <c r="J459" s="18">
        <v>3</v>
      </c>
      <c r="K459" s="18" t="s">
        <v>34</v>
      </c>
      <c r="L459" s="18">
        <v>3</v>
      </c>
      <c r="M459" s="18" t="s">
        <v>41</v>
      </c>
      <c r="N459" s="18">
        <v>4</v>
      </c>
      <c r="O459" s="18">
        <v>0</v>
      </c>
      <c r="P459" s="18">
        <v>11</v>
      </c>
      <c r="Q459" s="18">
        <v>1</v>
      </c>
      <c r="R459" s="18">
        <v>1</v>
      </c>
      <c r="S459" s="18">
        <v>6</v>
      </c>
      <c r="T459" s="18">
        <v>225.82</v>
      </c>
    </row>
    <row r="460" spans="1:20" x14ac:dyDescent="0.3">
      <c r="A460" s="18">
        <v>50459</v>
      </c>
      <c r="B460" s="18">
        <v>0</v>
      </c>
      <c r="C460" s="18">
        <v>2</v>
      </c>
      <c r="D460" s="18" t="s">
        <v>36</v>
      </c>
      <c r="E460" s="18">
        <v>1</v>
      </c>
      <c r="F460" s="18">
        <v>5</v>
      </c>
      <c r="G460" s="18" t="s">
        <v>39</v>
      </c>
      <c r="H460" s="18" t="s">
        <v>33</v>
      </c>
      <c r="I460" s="18">
        <v>4.2</v>
      </c>
      <c r="J460" s="18">
        <v>3</v>
      </c>
      <c r="K460" s="18" t="s">
        <v>36</v>
      </c>
      <c r="L460" s="18">
        <v>2</v>
      </c>
      <c r="M460" s="18" t="s">
        <v>41</v>
      </c>
      <c r="N460" s="18">
        <v>1</v>
      </c>
      <c r="O460" s="18">
        <v>0</v>
      </c>
      <c r="P460" s="18">
        <v>20.8</v>
      </c>
      <c r="Q460" s="18">
        <v>1</v>
      </c>
      <c r="R460" s="18">
        <v>2</v>
      </c>
      <c r="S460" s="18">
        <v>8</v>
      </c>
      <c r="T460" s="18">
        <v>148.07</v>
      </c>
    </row>
    <row r="461" spans="1:20" x14ac:dyDescent="0.3">
      <c r="A461" s="18">
        <v>50460</v>
      </c>
      <c r="B461" s="18">
        <v>0</v>
      </c>
      <c r="C461" s="18">
        <v>6</v>
      </c>
      <c r="D461" s="18" t="s">
        <v>36</v>
      </c>
      <c r="E461" s="18">
        <v>3</v>
      </c>
      <c r="F461" s="18">
        <v>31</v>
      </c>
      <c r="G461" s="18" t="s">
        <v>32</v>
      </c>
      <c r="H461" s="18" t="s">
        <v>33</v>
      </c>
      <c r="I461" s="18">
        <v>2.7</v>
      </c>
      <c r="J461" s="18">
        <v>3</v>
      </c>
      <c r="K461" s="18" t="s">
        <v>36</v>
      </c>
      <c r="L461" s="18">
        <v>4</v>
      </c>
      <c r="M461" s="18" t="s">
        <v>35</v>
      </c>
      <c r="N461" s="18">
        <v>8</v>
      </c>
      <c r="O461" s="18">
        <v>0</v>
      </c>
      <c r="P461" s="18">
        <v>14.6</v>
      </c>
      <c r="Q461" s="18">
        <v>3</v>
      </c>
      <c r="R461" s="18">
        <v>5</v>
      </c>
      <c r="S461" s="18">
        <v>3</v>
      </c>
      <c r="T461" s="18">
        <v>129.53</v>
      </c>
    </row>
    <row r="462" spans="1:20" x14ac:dyDescent="0.3">
      <c r="A462" s="18">
        <v>50461</v>
      </c>
      <c r="B462" s="18">
        <v>0</v>
      </c>
      <c r="C462" s="18">
        <v>0</v>
      </c>
      <c r="D462" s="18" t="s">
        <v>36</v>
      </c>
      <c r="E462" s="18">
        <v>3</v>
      </c>
      <c r="F462" s="18">
        <v>23</v>
      </c>
      <c r="G462" s="18" t="s">
        <v>32</v>
      </c>
      <c r="H462" s="18" t="s">
        <v>33</v>
      </c>
      <c r="I462" s="18">
        <v>1.9</v>
      </c>
      <c r="J462" s="18">
        <v>4</v>
      </c>
      <c r="K462" s="18" t="s">
        <v>44</v>
      </c>
      <c r="L462" s="18">
        <v>4</v>
      </c>
      <c r="M462" s="18" t="s">
        <v>45</v>
      </c>
      <c r="N462" s="18">
        <v>1</v>
      </c>
      <c r="O462" s="18">
        <v>0</v>
      </c>
      <c r="P462" s="18">
        <v>11</v>
      </c>
      <c r="Q462" s="18">
        <v>1</v>
      </c>
      <c r="R462" s="18">
        <v>3</v>
      </c>
      <c r="S462" s="18">
        <v>17</v>
      </c>
      <c r="T462" s="18">
        <v>120.28</v>
      </c>
    </row>
    <row r="463" spans="1:20" x14ac:dyDescent="0.3">
      <c r="A463" s="18">
        <v>50462</v>
      </c>
      <c r="B463" s="18">
        <v>0</v>
      </c>
      <c r="C463" s="18">
        <v>8</v>
      </c>
      <c r="D463" s="18" t="s">
        <v>36</v>
      </c>
      <c r="E463" s="18">
        <v>1</v>
      </c>
      <c r="F463" s="18"/>
      <c r="G463" s="18" t="s">
        <v>32</v>
      </c>
      <c r="H463" s="18" t="s">
        <v>33</v>
      </c>
      <c r="I463" s="18">
        <v>2.7</v>
      </c>
      <c r="J463" s="18">
        <v>2</v>
      </c>
      <c r="K463" s="18" t="s">
        <v>44</v>
      </c>
      <c r="L463" s="18">
        <v>3</v>
      </c>
      <c r="M463" s="18" t="s">
        <v>41</v>
      </c>
      <c r="N463" s="18">
        <v>5</v>
      </c>
      <c r="O463" s="18">
        <v>0</v>
      </c>
      <c r="P463" s="18">
        <v>14.2</v>
      </c>
      <c r="Q463" s="18">
        <v>3</v>
      </c>
      <c r="R463" s="18">
        <v>4</v>
      </c>
      <c r="S463" s="18">
        <v>12</v>
      </c>
      <c r="T463" s="18">
        <v>151</v>
      </c>
    </row>
    <row r="464" spans="1:20" x14ac:dyDescent="0.3">
      <c r="A464" s="18">
        <v>50463</v>
      </c>
      <c r="B464" s="18">
        <v>0</v>
      </c>
      <c r="C464" s="18">
        <v>3</v>
      </c>
      <c r="D464" s="18" t="s">
        <v>31</v>
      </c>
      <c r="E464" s="18">
        <v>1</v>
      </c>
      <c r="F464" s="18">
        <v>15</v>
      </c>
      <c r="G464" s="18" t="s">
        <v>47</v>
      </c>
      <c r="H464" s="18" t="s">
        <v>38</v>
      </c>
      <c r="I464" s="18">
        <v>3.6</v>
      </c>
      <c r="J464" s="18">
        <v>4</v>
      </c>
      <c r="K464" s="18" t="s">
        <v>40</v>
      </c>
      <c r="L464" s="18">
        <v>3</v>
      </c>
      <c r="M464" s="18" t="s">
        <v>41</v>
      </c>
      <c r="N464" s="18">
        <v>1</v>
      </c>
      <c r="O464" s="18">
        <v>0</v>
      </c>
      <c r="P464" s="18">
        <v>17</v>
      </c>
      <c r="Q464" s="18">
        <v>3</v>
      </c>
      <c r="R464" s="18">
        <v>7</v>
      </c>
      <c r="S464" s="18">
        <v>4</v>
      </c>
      <c r="T464" s="18">
        <v>191.14</v>
      </c>
    </row>
    <row r="465" spans="1:20" x14ac:dyDescent="0.3">
      <c r="A465" s="18">
        <v>50464</v>
      </c>
      <c r="B465" s="18">
        <v>0</v>
      </c>
      <c r="C465" s="18">
        <v>15</v>
      </c>
      <c r="D465" s="18" t="s">
        <v>31</v>
      </c>
      <c r="E465" s="18">
        <v>1</v>
      </c>
      <c r="F465" s="18">
        <v>5</v>
      </c>
      <c r="G465" s="18" t="s">
        <v>47</v>
      </c>
      <c r="H465" s="18" t="s">
        <v>38</v>
      </c>
      <c r="I465" s="18">
        <v>2.2999999999999998</v>
      </c>
      <c r="J465" s="18">
        <v>2</v>
      </c>
      <c r="K465" s="18" t="s">
        <v>40</v>
      </c>
      <c r="L465" s="18">
        <v>1</v>
      </c>
      <c r="M465" s="18" t="s">
        <v>41</v>
      </c>
      <c r="N465" s="18">
        <v>6</v>
      </c>
      <c r="O465" s="18">
        <v>0</v>
      </c>
      <c r="P465" s="18">
        <v>19.600000000000001</v>
      </c>
      <c r="Q465" s="18">
        <v>1</v>
      </c>
      <c r="R465" s="18">
        <v>4</v>
      </c>
      <c r="S465" s="18">
        <v>2</v>
      </c>
      <c r="T465" s="18">
        <v>254.81</v>
      </c>
    </row>
    <row r="466" spans="1:20" x14ac:dyDescent="0.3">
      <c r="A466" s="18">
        <v>50465</v>
      </c>
      <c r="B466" s="18">
        <v>0</v>
      </c>
      <c r="C466" s="18">
        <v>3</v>
      </c>
      <c r="D466" s="18" t="s">
        <v>36</v>
      </c>
      <c r="E466" s="18">
        <v>2</v>
      </c>
      <c r="F466" s="18">
        <v>28</v>
      </c>
      <c r="G466" s="18" t="s">
        <v>37</v>
      </c>
      <c r="H466" s="18" t="s">
        <v>38</v>
      </c>
      <c r="I466" s="18">
        <v>2.5</v>
      </c>
      <c r="J466" s="18">
        <v>2</v>
      </c>
      <c r="K466" s="18" t="s">
        <v>34</v>
      </c>
      <c r="L466" s="18">
        <v>4</v>
      </c>
      <c r="M466" s="18" t="s">
        <v>41</v>
      </c>
      <c r="N466" s="18">
        <v>3</v>
      </c>
      <c r="O466" s="18">
        <v>0</v>
      </c>
      <c r="P466" s="18">
        <v>22</v>
      </c>
      <c r="Q466" s="18">
        <v>1</v>
      </c>
      <c r="R466" s="18">
        <v>3</v>
      </c>
      <c r="S466" s="18">
        <v>0</v>
      </c>
      <c r="T466" s="18">
        <v>240.79</v>
      </c>
    </row>
    <row r="467" spans="1:20" x14ac:dyDescent="0.3">
      <c r="A467" s="18">
        <v>50466</v>
      </c>
      <c r="B467" s="18">
        <v>0</v>
      </c>
      <c r="C467" s="18">
        <v>6</v>
      </c>
      <c r="D467" s="18" t="s">
        <v>42</v>
      </c>
      <c r="E467" s="18">
        <v>1</v>
      </c>
      <c r="F467" s="18">
        <v>30</v>
      </c>
      <c r="G467" s="18" t="s">
        <v>47</v>
      </c>
      <c r="H467" s="18" t="s">
        <v>33</v>
      </c>
      <c r="I467" s="18">
        <v>3.3</v>
      </c>
      <c r="J467" s="18">
        <v>4</v>
      </c>
      <c r="K467" s="18" t="s">
        <v>40</v>
      </c>
      <c r="L467" s="18">
        <v>4</v>
      </c>
      <c r="M467" s="18" t="s">
        <v>41</v>
      </c>
      <c r="N467" s="18">
        <v>1</v>
      </c>
      <c r="O467" s="18">
        <v>0</v>
      </c>
      <c r="P467" s="18">
        <v>21</v>
      </c>
      <c r="Q467" s="18">
        <v>1</v>
      </c>
      <c r="R467" s="18">
        <v>3</v>
      </c>
      <c r="S467" s="18">
        <v>6</v>
      </c>
      <c r="T467" s="18">
        <v>91.15</v>
      </c>
    </row>
    <row r="468" spans="1:20" x14ac:dyDescent="0.3">
      <c r="A468" s="18">
        <v>50467</v>
      </c>
      <c r="B468" s="18">
        <v>0</v>
      </c>
      <c r="C468" s="18">
        <v>0</v>
      </c>
      <c r="D468" s="18" t="s">
        <v>36</v>
      </c>
      <c r="E468" s="18">
        <v>1</v>
      </c>
      <c r="F468" s="18">
        <v>16</v>
      </c>
      <c r="G468" s="18" t="s">
        <v>39</v>
      </c>
      <c r="H468" s="18" t="s">
        <v>38</v>
      </c>
      <c r="I468" s="18">
        <v>2.9</v>
      </c>
      <c r="J468" s="18">
        <v>4</v>
      </c>
      <c r="K468" s="18" t="s">
        <v>44</v>
      </c>
      <c r="L468" s="18">
        <v>4</v>
      </c>
      <c r="M468" s="18" t="s">
        <v>35</v>
      </c>
      <c r="N468" s="18">
        <v>3</v>
      </c>
      <c r="O468" s="18">
        <v>0</v>
      </c>
      <c r="P468" s="18">
        <v>12.6</v>
      </c>
      <c r="Q468" s="18">
        <v>4</v>
      </c>
      <c r="R468" s="18">
        <v>3</v>
      </c>
      <c r="S468" s="18">
        <v>4</v>
      </c>
      <c r="T468" s="18">
        <v>136.61000000000001</v>
      </c>
    </row>
    <row r="469" spans="1:20" x14ac:dyDescent="0.3">
      <c r="A469" s="18">
        <v>50468</v>
      </c>
      <c r="B469" s="18">
        <v>1</v>
      </c>
      <c r="C469" s="18">
        <v>0</v>
      </c>
      <c r="D469" s="18" t="s">
        <v>36</v>
      </c>
      <c r="E469" s="18">
        <v>3</v>
      </c>
      <c r="F469" s="18">
        <v>23</v>
      </c>
      <c r="G469" s="18" t="s">
        <v>47</v>
      </c>
      <c r="H469" s="18" t="s">
        <v>38</v>
      </c>
      <c r="I469" s="18">
        <v>3.3</v>
      </c>
      <c r="J469" s="18">
        <v>4</v>
      </c>
      <c r="K469" s="18" t="s">
        <v>44</v>
      </c>
      <c r="L469" s="18">
        <v>3</v>
      </c>
      <c r="M469" s="18" t="s">
        <v>41</v>
      </c>
      <c r="N469" s="18">
        <v>1</v>
      </c>
      <c r="O469" s="18">
        <v>0</v>
      </c>
      <c r="P469" s="18">
        <v>20</v>
      </c>
      <c r="Q469" s="18">
        <v>1</v>
      </c>
      <c r="R469" s="18">
        <v>6</v>
      </c>
      <c r="S469" s="18"/>
      <c r="T469" s="18">
        <v>251.48</v>
      </c>
    </row>
    <row r="470" spans="1:20" x14ac:dyDescent="0.3">
      <c r="A470" s="18">
        <v>50469</v>
      </c>
      <c r="B470" s="18">
        <v>0</v>
      </c>
      <c r="C470" s="18">
        <v>4</v>
      </c>
      <c r="D470" s="18" t="s">
        <v>36</v>
      </c>
      <c r="E470" s="18">
        <v>2</v>
      </c>
      <c r="F470" s="18">
        <v>16</v>
      </c>
      <c r="G470" s="18" t="s">
        <v>32</v>
      </c>
      <c r="H470" s="18" t="s">
        <v>38</v>
      </c>
      <c r="I470" s="18">
        <v>3.1</v>
      </c>
      <c r="J470" s="18">
        <v>2</v>
      </c>
      <c r="K470" s="18" t="s">
        <v>34</v>
      </c>
      <c r="L470" s="18">
        <v>4</v>
      </c>
      <c r="M470" s="18" t="s">
        <v>35</v>
      </c>
      <c r="N470" s="18">
        <v>1</v>
      </c>
      <c r="O470" s="18">
        <v>1</v>
      </c>
      <c r="P470" s="18">
        <v>17.399999999999999</v>
      </c>
      <c r="Q470" s="18">
        <v>3</v>
      </c>
      <c r="R470" s="18">
        <v>4</v>
      </c>
      <c r="S470" s="18">
        <v>4</v>
      </c>
      <c r="T470" s="18">
        <v>139.79</v>
      </c>
    </row>
    <row r="471" spans="1:20" x14ac:dyDescent="0.3">
      <c r="A471" s="18">
        <v>50470</v>
      </c>
      <c r="B471" s="18">
        <v>1</v>
      </c>
      <c r="C471" s="18">
        <v>6</v>
      </c>
      <c r="D471" s="18" t="s">
        <v>36</v>
      </c>
      <c r="E471" s="18">
        <v>1</v>
      </c>
      <c r="F471" s="18">
        <v>5</v>
      </c>
      <c r="G471" s="18" t="s">
        <v>37</v>
      </c>
      <c r="H471" s="18" t="s">
        <v>33</v>
      </c>
      <c r="I471" s="18">
        <v>3.2</v>
      </c>
      <c r="J471" s="18">
        <v>3</v>
      </c>
      <c r="K471" s="18" t="s">
        <v>36</v>
      </c>
      <c r="L471" s="18">
        <v>3</v>
      </c>
      <c r="M471" s="18" t="s">
        <v>35</v>
      </c>
      <c r="N471" s="18">
        <v>1</v>
      </c>
      <c r="O471" s="18">
        <v>0</v>
      </c>
      <c r="P471" s="18">
        <v>13.7</v>
      </c>
      <c r="Q471" s="18">
        <v>4</v>
      </c>
      <c r="R471" s="18">
        <v>2</v>
      </c>
      <c r="S471" s="18">
        <v>24</v>
      </c>
      <c r="T471" s="18">
        <v>176.87</v>
      </c>
    </row>
    <row r="472" spans="1:20" x14ac:dyDescent="0.3">
      <c r="A472" s="18">
        <v>50471</v>
      </c>
      <c r="B472" s="18">
        <v>0</v>
      </c>
      <c r="C472" s="18">
        <v>9</v>
      </c>
      <c r="D472" s="18" t="s">
        <v>36</v>
      </c>
      <c r="E472" s="18">
        <v>2</v>
      </c>
      <c r="F472" s="18">
        <v>11</v>
      </c>
      <c r="G472" s="18" t="s">
        <v>37</v>
      </c>
      <c r="H472" s="18" t="s">
        <v>38</v>
      </c>
      <c r="I472" s="18">
        <v>2.6</v>
      </c>
      <c r="J472" s="18">
        <v>4</v>
      </c>
      <c r="K472" s="18" t="s">
        <v>44</v>
      </c>
      <c r="L472" s="18">
        <v>3</v>
      </c>
      <c r="M472" s="18" t="s">
        <v>35</v>
      </c>
      <c r="N472" s="18">
        <v>1</v>
      </c>
      <c r="O472" s="18">
        <v>0</v>
      </c>
      <c r="P472" s="18">
        <v>15.3</v>
      </c>
      <c r="Q472" s="18">
        <v>1</v>
      </c>
      <c r="R472" s="18">
        <v>6</v>
      </c>
      <c r="S472" s="18">
        <v>9</v>
      </c>
      <c r="T472" s="18">
        <v>86.21</v>
      </c>
    </row>
    <row r="473" spans="1:20" x14ac:dyDescent="0.3">
      <c r="A473" s="18">
        <v>50472</v>
      </c>
      <c r="B473" s="18">
        <v>0</v>
      </c>
      <c r="C473" s="18">
        <v>3</v>
      </c>
      <c r="D473" s="18" t="s">
        <v>36</v>
      </c>
      <c r="E473" s="18">
        <v>2</v>
      </c>
      <c r="F473" s="18">
        <v>16</v>
      </c>
      <c r="G473" s="18" t="s">
        <v>39</v>
      </c>
      <c r="H473" s="18" t="s">
        <v>38</v>
      </c>
      <c r="I473" s="18">
        <v>3.1</v>
      </c>
      <c r="J473" s="18">
        <v>3</v>
      </c>
      <c r="K473" s="18" t="s">
        <v>34</v>
      </c>
      <c r="L473" s="18">
        <v>3</v>
      </c>
      <c r="M473" s="18" t="s">
        <v>41</v>
      </c>
      <c r="N473" s="18">
        <v>1</v>
      </c>
      <c r="O473" s="18">
        <v>1</v>
      </c>
      <c r="P473" s="18">
        <v>13.5</v>
      </c>
      <c r="Q473" s="18">
        <v>2</v>
      </c>
      <c r="R473" s="18">
        <v>4</v>
      </c>
      <c r="S473" s="18">
        <v>15</v>
      </c>
      <c r="T473" s="18">
        <v>243.42</v>
      </c>
    </row>
    <row r="474" spans="1:20" x14ac:dyDescent="0.3">
      <c r="A474" s="18">
        <v>50473</v>
      </c>
      <c r="B474" s="18">
        <v>1</v>
      </c>
      <c r="C474" s="18">
        <v>11</v>
      </c>
      <c r="D474" s="18" t="s">
        <v>36</v>
      </c>
      <c r="E474" s="18">
        <v>1</v>
      </c>
      <c r="F474" s="18">
        <v>11</v>
      </c>
      <c r="G474" s="18" t="s">
        <v>47</v>
      </c>
      <c r="H474" s="18" t="s">
        <v>38</v>
      </c>
      <c r="I474" s="18">
        <v>2.2999999999999998</v>
      </c>
      <c r="J474" s="18">
        <v>2</v>
      </c>
      <c r="K474" s="18" t="s">
        <v>36</v>
      </c>
      <c r="L474" s="18">
        <v>3</v>
      </c>
      <c r="M474" s="18" t="s">
        <v>45</v>
      </c>
      <c r="N474" s="18">
        <v>2</v>
      </c>
      <c r="O474" s="18">
        <v>0</v>
      </c>
      <c r="P474" s="18">
        <v>16.100000000000001</v>
      </c>
      <c r="Q474" s="18">
        <v>0</v>
      </c>
      <c r="R474" s="18">
        <v>4</v>
      </c>
      <c r="S474" s="18">
        <v>1</v>
      </c>
      <c r="T474" s="18">
        <v>74.8</v>
      </c>
    </row>
    <row r="475" spans="1:20" x14ac:dyDescent="0.3">
      <c r="A475" s="18">
        <v>50474</v>
      </c>
      <c r="B475" s="18">
        <v>0</v>
      </c>
      <c r="C475" s="18">
        <v>19</v>
      </c>
      <c r="D475" s="18" t="s">
        <v>42</v>
      </c>
      <c r="E475" s="18">
        <v>1</v>
      </c>
      <c r="F475" s="18">
        <v>13</v>
      </c>
      <c r="G475" s="18" t="s">
        <v>47</v>
      </c>
      <c r="H475" s="18" t="s">
        <v>33</v>
      </c>
      <c r="I475" s="18">
        <v>3.8</v>
      </c>
      <c r="J475" s="18">
        <v>4</v>
      </c>
      <c r="K475" s="18" t="s">
        <v>44</v>
      </c>
      <c r="L475" s="18">
        <v>4</v>
      </c>
      <c r="M475" s="18" t="s">
        <v>41</v>
      </c>
      <c r="N475" s="18">
        <v>2</v>
      </c>
      <c r="O475" s="18">
        <v>0</v>
      </c>
      <c r="P475" s="18">
        <v>13.4</v>
      </c>
      <c r="Q475" s="18">
        <v>0</v>
      </c>
      <c r="R475" s="18">
        <v>3</v>
      </c>
      <c r="S475" s="18">
        <v>0</v>
      </c>
      <c r="T475" s="18">
        <v>89.65</v>
      </c>
    </row>
    <row r="476" spans="1:20" x14ac:dyDescent="0.3">
      <c r="A476" s="18">
        <v>50475</v>
      </c>
      <c r="B476" s="18">
        <v>0</v>
      </c>
      <c r="C476" s="18">
        <v>15</v>
      </c>
      <c r="D476" s="18" t="s">
        <v>36</v>
      </c>
      <c r="E476" s="18">
        <v>3</v>
      </c>
      <c r="F476" s="18">
        <v>14</v>
      </c>
      <c r="G476" s="18" t="s">
        <v>32</v>
      </c>
      <c r="H476" s="18" t="s">
        <v>33</v>
      </c>
      <c r="I476" s="18">
        <v>2.5</v>
      </c>
      <c r="J476" s="18">
        <v>2</v>
      </c>
      <c r="K476" s="18" t="s">
        <v>46</v>
      </c>
      <c r="L476" s="18">
        <v>5</v>
      </c>
      <c r="M476" s="18" t="s">
        <v>35</v>
      </c>
      <c r="N476" s="18">
        <v>2</v>
      </c>
      <c r="O476" s="18">
        <v>0</v>
      </c>
      <c r="P476" s="18">
        <v>12.4</v>
      </c>
      <c r="Q476" s="18"/>
      <c r="R476" s="18">
        <v>3</v>
      </c>
      <c r="S476" s="18">
        <v>7</v>
      </c>
      <c r="T476" s="18">
        <v>237.79</v>
      </c>
    </row>
    <row r="477" spans="1:20" x14ac:dyDescent="0.3">
      <c r="A477" s="18">
        <v>50476</v>
      </c>
      <c r="B477" s="18">
        <v>0</v>
      </c>
      <c r="C477" s="18">
        <v>0</v>
      </c>
      <c r="D477" s="18" t="s">
        <v>36</v>
      </c>
      <c r="E477" s="18">
        <v>1</v>
      </c>
      <c r="F477" s="18"/>
      <c r="G477" s="18" t="s">
        <v>39</v>
      </c>
      <c r="H477" s="18" t="s">
        <v>33</v>
      </c>
      <c r="I477" s="18">
        <v>3.7</v>
      </c>
      <c r="J477" s="18">
        <v>5</v>
      </c>
      <c r="K477" s="18" t="s">
        <v>34</v>
      </c>
      <c r="L477" s="18">
        <v>1</v>
      </c>
      <c r="M477" s="18" t="s">
        <v>41</v>
      </c>
      <c r="N477" s="18">
        <v>1</v>
      </c>
      <c r="O477" s="18">
        <v>0</v>
      </c>
      <c r="P477" s="18">
        <v>17.7</v>
      </c>
      <c r="Q477" s="18">
        <v>1</v>
      </c>
      <c r="R477" s="18">
        <v>5</v>
      </c>
      <c r="S477" s="18">
        <v>7</v>
      </c>
      <c r="T477" s="18">
        <v>285.60000000000002</v>
      </c>
    </row>
    <row r="478" spans="1:20" x14ac:dyDescent="0.3">
      <c r="A478" s="18">
        <v>50477</v>
      </c>
      <c r="B478" s="18">
        <v>0</v>
      </c>
      <c r="C478" s="18">
        <v>6</v>
      </c>
      <c r="D478" s="18" t="s">
        <v>36</v>
      </c>
      <c r="E478" s="18">
        <v>2</v>
      </c>
      <c r="F478" s="18">
        <v>15</v>
      </c>
      <c r="G478" s="18" t="s">
        <v>32</v>
      </c>
      <c r="H478" s="18" t="s">
        <v>33</v>
      </c>
      <c r="I478" s="18"/>
      <c r="J478" s="18">
        <v>5</v>
      </c>
      <c r="K478" s="18" t="s">
        <v>44</v>
      </c>
      <c r="L478" s="18">
        <v>5</v>
      </c>
      <c r="M478" s="18" t="s">
        <v>35</v>
      </c>
      <c r="N478" s="18">
        <v>4</v>
      </c>
      <c r="O478" s="18">
        <v>0</v>
      </c>
      <c r="P478" s="18">
        <v>18.2</v>
      </c>
      <c r="Q478" s="18">
        <v>2</v>
      </c>
      <c r="R478" s="18">
        <v>4</v>
      </c>
      <c r="S478" s="18">
        <v>1</v>
      </c>
      <c r="T478" s="18">
        <v>164.02</v>
      </c>
    </row>
    <row r="479" spans="1:20" x14ac:dyDescent="0.3">
      <c r="A479" s="18">
        <v>50478</v>
      </c>
      <c r="B479" s="18">
        <v>0</v>
      </c>
      <c r="C479" s="18">
        <v>1</v>
      </c>
      <c r="D479" s="18" t="s">
        <v>31</v>
      </c>
      <c r="E479" s="18">
        <v>1</v>
      </c>
      <c r="F479" s="18">
        <v>6</v>
      </c>
      <c r="G479" s="18" t="s">
        <v>37</v>
      </c>
      <c r="H479" s="18" t="s">
        <v>38</v>
      </c>
      <c r="I479" s="18">
        <v>3</v>
      </c>
      <c r="J479" s="18">
        <v>4</v>
      </c>
      <c r="K479" s="18" t="s">
        <v>46</v>
      </c>
      <c r="L479" s="18">
        <v>3</v>
      </c>
      <c r="M479" s="18" t="s">
        <v>41</v>
      </c>
      <c r="N479" s="18">
        <v>4</v>
      </c>
      <c r="O479" s="18">
        <v>0</v>
      </c>
      <c r="P479" s="18">
        <v>15.3</v>
      </c>
      <c r="Q479" s="18">
        <v>3</v>
      </c>
      <c r="R479" s="18">
        <v>7</v>
      </c>
      <c r="S479" s="18">
        <v>7</v>
      </c>
      <c r="T479" s="18">
        <v>177.42</v>
      </c>
    </row>
    <row r="480" spans="1:20" x14ac:dyDescent="0.3">
      <c r="A480" s="18">
        <v>50479</v>
      </c>
      <c r="B480" s="18">
        <v>0</v>
      </c>
      <c r="C480" s="18">
        <v>2</v>
      </c>
      <c r="D480" s="18" t="s">
        <v>36</v>
      </c>
      <c r="E480" s="18">
        <v>1</v>
      </c>
      <c r="F480" s="18">
        <v>9</v>
      </c>
      <c r="G480" s="18" t="s">
        <v>32</v>
      </c>
      <c r="H480" s="18" t="s">
        <v>33</v>
      </c>
      <c r="I480" s="18">
        <v>2.6</v>
      </c>
      <c r="J480" s="18">
        <v>5</v>
      </c>
      <c r="K480" s="18" t="s">
        <v>36</v>
      </c>
      <c r="L480" s="18">
        <v>4</v>
      </c>
      <c r="M480" s="18" t="s">
        <v>41</v>
      </c>
      <c r="N480" s="18">
        <v>1</v>
      </c>
      <c r="O480" s="18">
        <v>0</v>
      </c>
      <c r="P480" s="18">
        <v>20.8</v>
      </c>
      <c r="Q480" s="18">
        <v>0</v>
      </c>
      <c r="R480" s="18">
        <v>1</v>
      </c>
      <c r="S480" s="18">
        <v>4</v>
      </c>
      <c r="T480" s="18">
        <v>229.96</v>
      </c>
    </row>
    <row r="481" spans="1:20" x14ac:dyDescent="0.3">
      <c r="A481" s="18">
        <v>50480</v>
      </c>
      <c r="B481" s="18">
        <v>1</v>
      </c>
      <c r="C481" s="18">
        <v>43</v>
      </c>
      <c r="D481" s="18" t="s">
        <v>42</v>
      </c>
      <c r="E481" s="18">
        <v>1</v>
      </c>
      <c r="F481" s="18">
        <v>5</v>
      </c>
      <c r="G481" s="18" t="s">
        <v>37</v>
      </c>
      <c r="H481" s="18" t="s">
        <v>33</v>
      </c>
      <c r="I481" s="18">
        <v>2.2000000000000002</v>
      </c>
      <c r="J481" s="18">
        <v>3</v>
      </c>
      <c r="K481" s="18" t="s">
        <v>36</v>
      </c>
      <c r="L481" s="18">
        <v>5</v>
      </c>
      <c r="M481" s="18" t="s">
        <v>41</v>
      </c>
      <c r="N481" s="18">
        <v>7</v>
      </c>
      <c r="O481" s="18">
        <v>1</v>
      </c>
      <c r="P481" s="18">
        <v>15.1</v>
      </c>
      <c r="Q481" s="18">
        <v>1</v>
      </c>
      <c r="R481" s="18">
        <v>4</v>
      </c>
      <c r="S481" s="18">
        <v>0</v>
      </c>
      <c r="T481" s="18">
        <v>195.92</v>
      </c>
    </row>
    <row r="482" spans="1:20" x14ac:dyDescent="0.3">
      <c r="A482" s="18">
        <v>50481</v>
      </c>
      <c r="B482" s="18">
        <v>1</v>
      </c>
      <c r="C482" s="18">
        <v>1</v>
      </c>
      <c r="D482" s="18" t="s">
        <v>36</v>
      </c>
      <c r="E482" s="18">
        <v>1</v>
      </c>
      <c r="F482" s="18">
        <v>22</v>
      </c>
      <c r="G482" s="18" t="s">
        <v>37</v>
      </c>
      <c r="H482" s="18" t="s">
        <v>33</v>
      </c>
      <c r="I482" s="18">
        <v>1.7</v>
      </c>
      <c r="J482" s="18">
        <v>4</v>
      </c>
      <c r="K482" s="18" t="s">
        <v>34</v>
      </c>
      <c r="L482" s="18">
        <v>3</v>
      </c>
      <c r="M482" s="18" t="s">
        <v>41</v>
      </c>
      <c r="N482" s="18">
        <v>3</v>
      </c>
      <c r="O482" s="18">
        <v>0</v>
      </c>
      <c r="P482" s="18">
        <v>14.9</v>
      </c>
      <c r="Q482" s="18">
        <v>0</v>
      </c>
      <c r="R482" s="18">
        <v>5</v>
      </c>
      <c r="S482" s="18">
        <v>3</v>
      </c>
      <c r="T482" s="18">
        <v>159.47</v>
      </c>
    </row>
    <row r="483" spans="1:20" x14ac:dyDescent="0.3">
      <c r="A483" s="18">
        <v>50482</v>
      </c>
      <c r="B483" s="18">
        <v>0</v>
      </c>
      <c r="C483" s="18">
        <v>6</v>
      </c>
      <c r="D483" s="18" t="s">
        <v>36</v>
      </c>
      <c r="E483" s="18">
        <v>1</v>
      </c>
      <c r="F483" s="18">
        <v>5</v>
      </c>
      <c r="G483" s="18" t="s">
        <v>37</v>
      </c>
      <c r="H483" s="18" t="s">
        <v>33</v>
      </c>
      <c r="I483" s="18">
        <v>2.2000000000000002</v>
      </c>
      <c r="J483" s="18">
        <v>5</v>
      </c>
      <c r="K483" s="18" t="s">
        <v>34</v>
      </c>
      <c r="L483" s="18">
        <v>5</v>
      </c>
      <c r="M483" s="18" t="s">
        <v>45</v>
      </c>
      <c r="N483" s="18">
        <v>4</v>
      </c>
      <c r="O483" s="18">
        <v>0</v>
      </c>
      <c r="P483" s="18">
        <v>18.3</v>
      </c>
      <c r="Q483" s="18"/>
      <c r="R483" s="18">
        <v>3</v>
      </c>
      <c r="S483" s="18">
        <v>13</v>
      </c>
      <c r="T483" s="18">
        <v>153.30000000000001</v>
      </c>
    </row>
    <row r="484" spans="1:20" x14ac:dyDescent="0.3">
      <c r="A484" s="18">
        <v>50483</v>
      </c>
      <c r="B484" s="18">
        <v>1</v>
      </c>
      <c r="C484" s="18">
        <v>9</v>
      </c>
      <c r="D484" s="18" t="s">
        <v>31</v>
      </c>
      <c r="E484" s="18">
        <v>1</v>
      </c>
      <c r="F484" s="18">
        <v>24</v>
      </c>
      <c r="G484" s="18" t="s">
        <v>47</v>
      </c>
      <c r="H484" s="18" t="s">
        <v>33</v>
      </c>
      <c r="I484" s="18">
        <v>2.7</v>
      </c>
      <c r="J484" s="18">
        <v>3</v>
      </c>
      <c r="K484" s="18" t="s">
        <v>44</v>
      </c>
      <c r="L484" s="18">
        <v>2</v>
      </c>
      <c r="M484" s="18" t="s">
        <v>35</v>
      </c>
      <c r="N484" s="18">
        <v>1</v>
      </c>
      <c r="O484" s="18">
        <v>0</v>
      </c>
      <c r="P484" s="18">
        <v>15.5</v>
      </c>
      <c r="Q484" s="18">
        <v>3</v>
      </c>
      <c r="R484" s="18">
        <v>3</v>
      </c>
      <c r="S484" s="18">
        <v>3</v>
      </c>
      <c r="T484" s="18">
        <v>93.83</v>
      </c>
    </row>
    <row r="485" spans="1:20" x14ac:dyDescent="0.3">
      <c r="A485" s="18">
        <v>50484</v>
      </c>
      <c r="B485" s="18">
        <v>1</v>
      </c>
      <c r="C485" s="18">
        <v>12</v>
      </c>
      <c r="D485" s="18" t="s">
        <v>36</v>
      </c>
      <c r="E485" s="18">
        <v>3</v>
      </c>
      <c r="F485" s="18">
        <v>26</v>
      </c>
      <c r="G485" s="18" t="s">
        <v>43</v>
      </c>
      <c r="H485" s="18" t="s">
        <v>38</v>
      </c>
      <c r="I485" s="18">
        <v>3</v>
      </c>
      <c r="J485" s="18">
        <v>3</v>
      </c>
      <c r="K485" s="18" t="s">
        <v>44</v>
      </c>
      <c r="L485" s="18">
        <v>2</v>
      </c>
      <c r="M485" s="18" t="s">
        <v>41</v>
      </c>
      <c r="N485" s="18">
        <v>1</v>
      </c>
      <c r="O485" s="18">
        <v>0</v>
      </c>
      <c r="P485" s="18">
        <v>16.3</v>
      </c>
      <c r="Q485" s="18">
        <v>1</v>
      </c>
      <c r="R485" s="18">
        <v>3</v>
      </c>
      <c r="S485" s="18">
        <v>7</v>
      </c>
      <c r="T485" s="18">
        <v>192.81</v>
      </c>
    </row>
    <row r="486" spans="1:20" x14ac:dyDescent="0.3">
      <c r="A486" s="18">
        <v>50485</v>
      </c>
      <c r="B486" s="18">
        <v>0</v>
      </c>
      <c r="C486" s="18">
        <v>8</v>
      </c>
      <c r="D486" s="18" t="s">
        <v>36</v>
      </c>
      <c r="E486" s="18">
        <v>3</v>
      </c>
      <c r="F486" s="18">
        <v>12</v>
      </c>
      <c r="G486" s="18" t="s">
        <v>39</v>
      </c>
      <c r="H486" s="18" t="s">
        <v>33</v>
      </c>
      <c r="I486" s="18"/>
      <c r="J486" s="18">
        <v>1</v>
      </c>
      <c r="K486" s="18" t="s">
        <v>44</v>
      </c>
      <c r="L486" s="18">
        <v>4</v>
      </c>
      <c r="M486" s="18" t="s">
        <v>35</v>
      </c>
      <c r="N486" s="18">
        <v>7</v>
      </c>
      <c r="O486" s="18">
        <v>1</v>
      </c>
      <c r="P486" s="18">
        <v>11</v>
      </c>
      <c r="Q486" s="18">
        <v>2</v>
      </c>
      <c r="R486" s="18">
        <v>3</v>
      </c>
      <c r="S486" s="18">
        <v>0</v>
      </c>
      <c r="T486" s="18">
        <v>174.94</v>
      </c>
    </row>
    <row r="487" spans="1:20" x14ac:dyDescent="0.3">
      <c r="A487" s="18">
        <v>50486</v>
      </c>
      <c r="B487" s="18">
        <v>0</v>
      </c>
      <c r="C487" s="18">
        <v>0</v>
      </c>
      <c r="D487" s="18" t="s">
        <v>36</v>
      </c>
      <c r="E487" s="18">
        <v>3</v>
      </c>
      <c r="F487" s="18">
        <v>5</v>
      </c>
      <c r="G487" s="18" t="s">
        <v>39</v>
      </c>
      <c r="H487" s="18" t="s">
        <v>33</v>
      </c>
      <c r="I487" s="18">
        <v>2.6</v>
      </c>
      <c r="J487" s="18">
        <v>3</v>
      </c>
      <c r="K487" s="18" t="s">
        <v>36</v>
      </c>
      <c r="L487" s="18">
        <v>5</v>
      </c>
      <c r="M487" s="18" t="s">
        <v>45</v>
      </c>
      <c r="N487" s="18">
        <v>6</v>
      </c>
      <c r="O487" s="18">
        <v>0</v>
      </c>
      <c r="P487" s="18">
        <v>16.100000000000001</v>
      </c>
      <c r="Q487" s="18">
        <v>1</v>
      </c>
      <c r="R487" s="18">
        <v>2</v>
      </c>
      <c r="S487" s="18">
        <v>6</v>
      </c>
      <c r="T487" s="18">
        <v>155.91999999999999</v>
      </c>
    </row>
    <row r="488" spans="1:20" x14ac:dyDescent="0.3">
      <c r="A488" s="18">
        <v>50487</v>
      </c>
      <c r="B488" s="18">
        <v>0</v>
      </c>
      <c r="C488" s="18">
        <v>3</v>
      </c>
      <c r="D488" s="18" t="s">
        <v>31</v>
      </c>
      <c r="E488" s="18">
        <v>3</v>
      </c>
      <c r="F488" s="18">
        <v>12</v>
      </c>
      <c r="G488" s="18" t="s">
        <v>43</v>
      </c>
      <c r="H488" s="18" t="s">
        <v>33</v>
      </c>
      <c r="I488" s="18">
        <v>2.2999999999999998</v>
      </c>
      <c r="J488" s="18">
        <v>4</v>
      </c>
      <c r="K488" s="18" t="s">
        <v>44</v>
      </c>
      <c r="L488" s="18">
        <v>5</v>
      </c>
      <c r="M488" s="18" t="s">
        <v>35</v>
      </c>
      <c r="N488" s="18">
        <v>1</v>
      </c>
      <c r="O488" s="18">
        <v>1</v>
      </c>
      <c r="P488" s="18">
        <v>11</v>
      </c>
      <c r="Q488" s="18">
        <v>1</v>
      </c>
      <c r="R488" s="18">
        <v>6</v>
      </c>
      <c r="S488" s="18">
        <v>14</v>
      </c>
      <c r="T488" s="18">
        <v>124.9</v>
      </c>
    </row>
    <row r="489" spans="1:20" x14ac:dyDescent="0.3">
      <c r="A489" s="18">
        <v>50488</v>
      </c>
      <c r="B489" s="18">
        <v>0</v>
      </c>
      <c r="C489" s="18">
        <v>7</v>
      </c>
      <c r="D489" s="18" t="s">
        <v>36</v>
      </c>
      <c r="E489" s="18">
        <v>1</v>
      </c>
      <c r="F489" s="18">
        <v>14</v>
      </c>
      <c r="G489" s="18" t="s">
        <v>37</v>
      </c>
      <c r="H489" s="18" t="s">
        <v>33</v>
      </c>
      <c r="I489" s="18">
        <v>1.9</v>
      </c>
      <c r="J489" s="18">
        <v>4</v>
      </c>
      <c r="K489" s="18" t="s">
        <v>36</v>
      </c>
      <c r="L489" s="18">
        <v>4</v>
      </c>
      <c r="M489" s="18" t="s">
        <v>41</v>
      </c>
      <c r="N489" s="18">
        <v>1</v>
      </c>
      <c r="O489" s="18">
        <v>0</v>
      </c>
      <c r="P489" s="18">
        <v>11.7</v>
      </c>
      <c r="Q489" s="18">
        <v>3</v>
      </c>
      <c r="R489" s="18">
        <v>3</v>
      </c>
      <c r="S489" s="18">
        <v>3</v>
      </c>
      <c r="T489" s="18">
        <v>130.47</v>
      </c>
    </row>
    <row r="490" spans="1:20" x14ac:dyDescent="0.3">
      <c r="A490" s="18">
        <v>50489</v>
      </c>
      <c r="B490" s="18">
        <v>1</v>
      </c>
      <c r="C490" s="18">
        <v>0</v>
      </c>
      <c r="D490" s="18" t="s">
        <v>36</v>
      </c>
      <c r="E490" s="18">
        <v>3</v>
      </c>
      <c r="F490" s="18">
        <v>6</v>
      </c>
      <c r="G490" s="18" t="s">
        <v>47</v>
      </c>
      <c r="H490" s="18" t="s">
        <v>33</v>
      </c>
      <c r="I490" s="18">
        <v>3.2</v>
      </c>
      <c r="J490" s="18">
        <v>4</v>
      </c>
      <c r="K490" s="18" t="s">
        <v>44</v>
      </c>
      <c r="L490" s="18">
        <v>3</v>
      </c>
      <c r="M490" s="18" t="s">
        <v>35</v>
      </c>
      <c r="N490" s="18">
        <v>3</v>
      </c>
      <c r="O490" s="18">
        <v>1</v>
      </c>
      <c r="P490" s="18">
        <v>11.3</v>
      </c>
      <c r="Q490" s="18">
        <v>8</v>
      </c>
      <c r="R490" s="18">
        <v>3</v>
      </c>
      <c r="S490" s="18">
        <v>2</v>
      </c>
      <c r="T490" s="18">
        <v>214.01</v>
      </c>
    </row>
    <row r="491" spans="1:20" x14ac:dyDescent="0.3">
      <c r="A491" s="18">
        <v>50490</v>
      </c>
      <c r="B491" s="18">
        <v>0</v>
      </c>
      <c r="C491" s="18">
        <v>4</v>
      </c>
      <c r="D491" s="18" t="s">
        <v>42</v>
      </c>
      <c r="E491" s="18">
        <v>1</v>
      </c>
      <c r="F491" s="18">
        <v>10</v>
      </c>
      <c r="G491" s="18" t="s">
        <v>37</v>
      </c>
      <c r="H491" s="18" t="s">
        <v>38</v>
      </c>
      <c r="I491" s="18">
        <v>3.9</v>
      </c>
      <c r="J491" s="18">
        <v>3</v>
      </c>
      <c r="K491" s="18" t="s">
        <v>36</v>
      </c>
      <c r="L491" s="18">
        <v>3</v>
      </c>
      <c r="M491" s="18" t="s">
        <v>41</v>
      </c>
      <c r="N491" s="18">
        <v>3</v>
      </c>
      <c r="O491" s="18">
        <v>0</v>
      </c>
      <c r="P491" s="18">
        <v>12.4</v>
      </c>
      <c r="Q491" s="18">
        <v>2</v>
      </c>
      <c r="R491" s="18">
        <v>2</v>
      </c>
      <c r="S491" s="18">
        <v>5</v>
      </c>
      <c r="T491" s="18">
        <v>228.49</v>
      </c>
    </row>
    <row r="492" spans="1:20" x14ac:dyDescent="0.3">
      <c r="A492" s="18">
        <v>50491</v>
      </c>
      <c r="B492" s="18">
        <v>1</v>
      </c>
      <c r="C492" s="18">
        <v>0</v>
      </c>
      <c r="D492" s="18" t="s">
        <v>36</v>
      </c>
      <c r="E492" s="18">
        <v>3</v>
      </c>
      <c r="F492" s="18">
        <v>27</v>
      </c>
      <c r="G492" s="18" t="s">
        <v>39</v>
      </c>
      <c r="H492" s="18" t="s">
        <v>38</v>
      </c>
      <c r="I492" s="18">
        <v>3.8</v>
      </c>
      <c r="J492" s="18">
        <v>1</v>
      </c>
      <c r="K492" s="18" t="s">
        <v>44</v>
      </c>
      <c r="L492" s="18">
        <v>5</v>
      </c>
      <c r="M492" s="18" t="s">
        <v>35</v>
      </c>
      <c r="N492" s="18">
        <v>6</v>
      </c>
      <c r="O492" s="18">
        <v>0</v>
      </c>
      <c r="P492" s="18">
        <v>14.1</v>
      </c>
      <c r="Q492" s="18">
        <v>2</v>
      </c>
      <c r="R492" s="18">
        <v>7</v>
      </c>
      <c r="S492" s="18">
        <v>12</v>
      </c>
      <c r="T492" s="18">
        <v>162.01</v>
      </c>
    </row>
    <row r="493" spans="1:20" x14ac:dyDescent="0.3">
      <c r="A493" s="18">
        <v>50492</v>
      </c>
      <c r="B493" s="18">
        <v>1</v>
      </c>
      <c r="C493" s="18">
        <v>0</v>
      </c>
      <c r="D493" s="18" t="s">
        <v>42</v>
      </c>
      <c r="E493" s="18">
        <v>3</v>
      </c>
      <c r="F493" s="18">
        <v>20</v>
      </c>
      <c r="G493" s="18" t="s">
        <v>32</v>
      </c>
      <c r="H493" s="18" t="s">
        <v>38</v>
      </c>
      <c r="I493" s="18">
        <v>3.4</v>
      </c>
      <c r="J493" s="18">
        <v>3</v>
      </c>
      <c r="K493" s="18" t="s">
        <v>46</v>
      </c>
      <c r="L493" s="18">
        <v>3</v>
      </c>
      <c r="M493" s="18" t="s">
        <v>35</v>
      </c>
      <c r="N493" s="18">
        <v>1</v>
      </c>
      <c r="O493" s="18">
        <v>1</v>
      </c>
      <c r="P493" s="18">
        <v>14.3</v>
      </c>
      <c r="Q493" s="18">
        <v>2</v>
      </c>
      <c r="R493" s="18">
        <v>3</v>
      </c>
      <c r="S493" s="18">
        <v>0</v>
      </c>
      <c r="T493" s="18">
        <v>156.21</v>
      </c>
    </row>
    <row r="494" spans="1:20" x14ac:dyDescent="0.3">
      <c r="A494" s="18">
        <v>50493</v>
      </c>
      <c r="B494" s="18">
        <v>0</v>
      </c>
      <c r="C494" s="18">
        <v>5</v>
      </c>
      <c r="D494" s="18" t="s">
        <v>31</v>
      </c>
      <c r="E494" s="18">
        <v>3</v>
      </c>
      <c r="F494" s="18">
        <v>7</v>
      </c>
      <c r="G494" s="18" t="s">
        <v>47</v>
      </c>
      <c r="H494" s="18" t="s">
        <v>38</v>
      </c>
      <c r="I494" s="18">
        <v>3.3</v>
      </c>
      <c r="J494" s="18">
        <v>3</v>
      </c>
      <c r="K494" s="18" t="s">
        <v>44</v>
      </c>
      <c r="L494" s="18">
        <v>4</v>
      </c>
      <c r="M494" s="18" t="s">
        <v>35</v>
      </c>
      <c r="N494" s="18">
        <v>1</v>
      </c>
      <c r="O494" s="18">
        <v>1</v>
      </c>
      <c r="P494" s="18">
        <v>18.3</v>
      </c>
      <c r="Q494" s="18">
        <v>3</v>
      </c>
      <c r="R494" s="18">
        <v>3</v>
      </c>
      <c r="S494" s="18">
        <v>2</v>
      </c>
      <c r="T494" s="18">
        <v>133.05000000000001</v>
      </c>
    </row>
    <row r="495" spans="1:20" x14ac:dyDescent="0.3">
      <c r="A495" s="18">
        <v>50494</v>
      </c>
      <c r="B495" s="18">
        <v>1</v>
      </c>
      <c r="C495" s="18">
        <v>1</v>
      </c>
      <c r="D495" s="18" t="s">
        <v>36</v>
      </c>
      <c r="E495" s="18">
        <v>3</v>
      </c>
      <c r="F495" s="18">
        <v>5</v>
      </c>
      <c r="G495" s="18" t="s">
        <v>39</v>
      </c>
      <c r="H495" s="18" t="s">
        <v>33</v>
      </c>
      <c r="I495" s="18">
        <v>4.0999999999999996</v>
      </c>
      <c r="J495" s="18">
        <v>3</v>
      </c>
      <c r="K495" s="18" t="s">
        <v>36</v>
      </c>
      <c r="L495" s="18">
        <v>3</v>
      </c>
      <c r="M495" s="18" t="s">
        <v>45</v>
      </c>
      <c r="N495" s="18">
        <v>1</v>
      </c>
      <c r="O495" s="18">
        <v>0</v>
      </c>
      <c r="P495" s="18">
        <v>16.8</v>
      </c>
      <c r="Q495" s="18">
        <v>2</v>
      </c>
      <c r="R495" s="18">
        <v>4</v>
      </c>
      <c r="S495" s="18">
        <v>0</v>
      </c>
      <c r="T495" s="18">
        <v>231.53</v>
      </c>
    </row>
    <row r="496" spans="1:20" x14ac:dyDescent="0.3">
      <c r="A496" s="18">
        <v>50495</v>
      </c>
      <c r="B496" s="18">
        <v>0</v>
      </c>
      <c r="C496" s="18">
        <v>8</v>
      </c>
      <c r="D496" s="18" t="s">
        <v>36</v>
      </c>
      <c r="E496" s="18">
        <v>2</v>
      </c>
      <c r="F496" s="18">
        <v>12</v>
      </c>
      <c r="G496" s="18" t="s">
        <v>39</v>
      </c>
      <c r="H496" s="18" t="s">
        <v>38</v>
      </c>
      <c r="I496" s="18">
        <v>3.1</v>
      </c>
      <c r="J496" s="18">
        <v>4</v>
      </c>
      <c r="K496" s="18" t="s">
        <v>46</v>
      </c>
      <c r="L496" s="18">
        <v>4</v>
      </c>
      <c r="M496" s="18" t="s">
        <v>45</v>
      </c>
      <c r="N496" s="18">
        <v>1</v>
      </c>
      <c r="O496" s="18">
        <v>1</v>
      </c>
      <c r="P496" s="18">
        <v>11</v>
      </c>
      <c r="Q496" s="18">
        <v>0</v>
      </c>
      <c r="R496" s="18">
        <v>6</v>
      </c>
      <c r="S496" s="18">
        <v>3</v>
      </c>
      <c r="T496" s="18">
        <v>181.7</v>
      </c>
    </row>
    <row r="497" spans="1:20" x14ac:dyDescent="0.3">
      <c r="A497" s="18">
        <v>50496</v>
      </c>
      <c r="B497" s="18">
        <v>0</v>
      </c>
      <c r="C497" s="18">
        <v>11</v>
      </c>
      <c r="D497" s="18" t="s">
        <v>36</v>
      </c>
      <c r="E497" s="18">
        <v>1</v>
      </c>
      <c r="F497" s="18"/>
      <c r="G497" s="18" t="s">
        <v>32</v>
      </c>
      <c r="H497" s="18" t="s">
        <v>38</v>
      </c>
      <c r="I497" s="18">
        <v>3.4</v>
      </c>
      <c r="J497" s="18">
        <v>5</v>
      </c>
      <c r="K497" s="18" t="s">
        <v>40</v>
      </c>
      <c r="L497" s="18">
        <v>3</v>
      </c>
      <c r="M497" s="18" t="s">
        <v>41</v>
      </c>
      <c r="N497" s="18">
        <v>1</v>
      </c>
      <c r="O497" s="18">
        <v>0</v>
      </c>
      <c r="P497" s="18">
        <v>16.3</v>
      </c>
      <c r="Q497" s="18">
        <v>1</v>
      </c>
      <c r="R497" s="18">
        <v>2</v>
      </c>
      <c r="S497" s="18">
        <v>3</v>
      </c>
      <c r="T497" s="18">
        <v>200.23</v>
      </c>
    </row>
    <row r="498" spans="1:20" x14ac:dyDescent="0.3">
      <c r="A498" s="18">
        <v>50497</v>
      </c>
      <c r="B498" s="18">
        <v>0</v>
      </c>
      <c r="C498" s="18">
        <v>16</v>
      </c>
      <c r="D498" s="18" t="s">
        <v>31</v>
      </c>
      <c r="E498" s="18">
        <v>1</v>
      </c>
      <c r="F498" s="18">
        <v>18</v>
      </c>
      <c r="G498" s="18" t="s">
        <v>39</v>
      </c>
      <c r="H498" s="18" t="s">
        <v>38</v>
      </c>
      <c r="I498" s="18">
        <v>2.7</v>
      </c>
      <c r="J498" s="18">
        <v>3</v>
      </c>
      <c r="K498" s="18" t="s">
        <v>44</v>
      </c>
      <c r="L498" s="18">
        <v>5</v>
      </c>
      <c r="M498" s="18" t="s">
        <v>45</v>
      </c>
      <c r="N498" s="18">
        <v>7</v>
      </c>
      <c r="O498" s="18">
        <v>0</v>
      </c>
      <c r="P498" s="18">
        <v>17.100000000000001</v>
      </c>
      <c r="Q498" s="18">
        <v>2</v>
      </c>
      <c r="R498" s="18">
        <v>7</v>
      </c>
      <c r="S498" s="18">
        <v>14</v>
      </c>
      <c r="T498" s="18">
        <v>199.72</v>
      </c>
    </row>
    <row r="499" spans="1:20" x14ac:dyDescent="0.3">
      <c r="A499" s="18">
        <v>50498</v>
      </c>
      <c r="B499" s="18">
        <v>1</v>
      </c>
      <c r="C499" s="18">
        <v>2</v>
      </c>
      <c r="D499" s="18" t="s">
        <v>31</v>
      </c>
      <c r="E499" s="18">
        <v>2</v>
      </c>
      <c r="F499" s="18">
        <v>10</v>
      </c>
      <c r="G499" s="18" t="s">
        <v>32</v>
      </c>
      <c r="H499" s="18" t="s">
        <v>33</v>
      </c>
      <c r="I499" s="18">
        <v>1.9</v>
      </c>
      <c r="J499" s="18">
        <v>3</v>
      </c>
      <c r="K499" s="18" t="s">
        <v>44</v>
      </c>
      <c r="L499" s="18">
        <v>4</v>
      </c>
      <c r="M499" s="18" t="s">
        <v>41</v>
      </c>
      <c r="N499" s="18">
        <v>2</v>
      </c>
      <c r="O499" s="18">
        <v>0</v>
      </c>
      <c r="P499" s="18">
        <v>14.9</v>
      </c>
      <c r="Q499" s="18">
        <v>0</v>
      </c>
      <c r="R499" s="18">
        <v>6</v>
      </c>
      <c r="S499" s="18">
        <v>2</v>
      </c>
      <c r="T499" s="18">
        <v>163.08000000000001</v>
      </c>
    </row>
    <row r="500" spans="1:20" x14ac:dyDescent="0.3">
      <c r="A500" s="18">
        <v>50499</v>
      </c>
      <c r="B500" s="18">
        <v>0</v>
      </c>
      <c r="C500" s="18">
        <v>1</v>
      </c>
      <c r="D500" s="18" t="s">
        <v>31</v>
      </c>
      <c r="E500" s="18">
        <v>1</v>
      </c>
      <c r="F500" s="18">
        <v>19</v>
      </c>
      <c r="G500" s="18" t="s">
        <v>39</v>
      </c>
      <c r="H500" s="18" t="s">
        <v>38</v>
      </c>
      <c r="I500" s="18">
        <v>2.4</v>
      </c>
      <c r="J500" s="18">
        <v>3</v>
      </c>
      <c r="K500" s="18" t="s">
        <v>40</v>
      </c>
      <c r="L500" s="18">
        <v>5</v>
      </c>
      <c r="M500" s="18" t="s">
        <v>41</v>
      </c>
      <c r="N500" s="18">
        <v>6</v>
      </c>
      <c r="O500" s="18">
        <v>1</v>
      </c>
      <c r="P500" s="18">
        <v>15.8</v>
      </c>
      <c r="Q500" s="18">
        <v>2</v>
      </c>
      <c r="R500" s="18">
        <v>7</v>
      </c>
      <c r="S500" s="18">
        <v>4</v>
      </c>
      <c r="T500" s="18">
        <v>115.91</v>
      </c>
    </row>
    <row r="501" spans="1:20" x14ac:dyDescent="0.3">
      <c r="A501" s="18">
        <v>50500</v>
      </c>
      <c r="B501" s="18">
        <v>0</v>
      </c>
      <c r="C501" s="18">
        <v>1</v>
      </c>
      <c r="D501" s="18" t="s">
        <v>42</v>
      </c>
      <c r="E501" s="18">
        <v>2</v>
      </c>
      <c r="F501" s="18">
        <v>30</v>
      </c>
      <c r="G501" s="18" t="s">
        <v>37</v>
      </c>
      <c r="H501" s="18" t="s">
        <v>38</v>
      </c>
      <c r="I501" s="18">
        <v>2.9</v>
      </c>
      <c r="J501" s="18">
        <v>3</v>
      </c>
      <c r="K501" s="18" t="s">
        <v>36</v>
      </c>
      <c r="L501" s="18">
        <v>1</v>
      </c>
      <c r="M501" s="18" t="s">
        <v>35</v>
      </c>
      <c r="N501" s="18">
        <v>1</v>
      </c>
      <c r="O501" s="18">
        <v>1</v>
      </c>
      <c r="P501" s="18">
        <v>16.7</v>
      </c>
      <c r="Q501" s="18">
        <v>4</v>
      </c>
      <c r="R501" s="18">
        <v>6</v>
      </c>
      <c r="S501" s="18">
        <v>10</v>
      </c>
      <c r="T501" s="18">
        <v>125.21</v>
      </c>
    </row>
    <row r="502" spans="1:20" x14ac:dyDescent="0.3">
      <c r="A502" s="18">
        <v>50501</v>
      </c>
      <c r="B502" s="18">
        <v>0</v>
      </c>
      <c r="C502" s="18">
        <v>10</v>
      </c>
      <c r="D502" s="18" t="s">
        <v>31</v>
      </c>
      <c r="E502" s="18">
        <v>3</v>
      </c>
      <c r="F502" s="18">
        <v>21</v>
      </c>
      <c r="G502" s="18" t="s">
        <v>43</v>
      </c>
      <c r="H502" s="18" t="s">
        <v>38</v>
      </c>
      <c r="I502" s="18">
        <v>2.9</v>
      </c>
      <c r="J502" s="18">
        <v>2</v>
      </c>
      <c r="K502" s="18" t="s">
        <v>40</v>
      </c>
      <c r="L502" s="18">
        <v>4</v>
      </c>
      <c r="M502" s="18" t="s">
        <v>35</v>
      </c>
      <c r="N502" s="18">
        <v>1</v>
      </c>
      <c r="O502" s="18">
        <v>0</v>
      </c>
      <c r="P502" s="18">
        <v>18.7</v>
      </c>
      <c r="Q502" s="18">
        <v>4</v>
      </c>
      <c r="R502" s="18">
        <v>4</v>
      </c>
      <c r="S502" s="18">
        <v>1</v>
      </c>
      <c r="T502" s="18">
        <v>242.03</v>
      </c>
    </row>
    <row r="503" spans="1:20" x14ac:dyDescent="0.3">
      <c r="A503" s="18">
        <v>50502</v>
      </c>
      <c r="B503" s="18">
        <v>0</v>
      </c>
      <c r="C503" s="18">
        <v>12</v>
      </c>
      <c r="D503" s="18" t="s">
        <v>36</v>
      </c>
      <c r="E503" s="18">
        <v>1</v>
      </c>
      <c r="F503" s="18">
        <v>14</v>
      </c>
      <c r="G503" s="18" t="s">
        <v>47</v>
      </c>
      <c r="H503" s="18" t="s">
        <v>33</v>
      </c>
      <c r="I503" s="18">
        <v>4.2</v>
      </c>
      <c r="J503" s="18">
        <v>3</v>
      </c>
      <c r="K503" s="18" t="s">
        <v>36</v>
      </c>
      <c r="L503" s="18">
        <v>4</v>
      </c>
      <c r="M503" s="18" t="s">
        <v>35</v>
      </c>
      <c r="N503" s="18">
        <v>1</v>
      </c>
      <c r="O503" s="18">
        <v>0</v>
      </c>
      <c r="P503" s="18">
        <v>11</v>
      </c>
      <c r="Q503" s="18">
        <v>2</v>
      </c>
      <c r="R503" s="18">
        <v>4</v>
      </c>
      <c r="S503" s="18">
        <v>5</v>
      </c>
      <c r="T503" s="18">
        <v>140.09</v>
      </c>
    </row>
    <row r="504" spans="1:20" x14ac:dyDescent="0.3">
      <c r="A504" s="18">
        <v>50503</v>
      </c>
      <c r="B504" s="18">
        <v>0</v>
      </c>
      <c r="C504" s="18">
        <v>0</v>
      </c>
      <c r="D504" s="18" t="s">
        <v>36</v>
      </c>
      <c r="E504" s="18">
        <v>3</v>
      </c>
      <c r="F504" s="18">
        <v>13</v>
      </c>
      <c r="G504" s="18" t="s">
        <v>37</v>
      </c>
      <c r="H504" s="18" t="s">
        <v>38</v>
      </c>
      <c r="I504" s="18">
        <v>3</v>
      </c>
      <c r="J504" s="18">
        <v>4</v>
      </c>
      <c r="K504" s="18" t="s">
        <v>36</v>
      </c>
      <c r="L504" s="18">
        <v>4</v>
      </c>
      <c r="M504" s="18" t="s">
        <v>35</v>
      </c>
      <c r="N504" s="18">
        <v>1</v>
      </c>
      <c r="O504" s="18">
        <v>0</v>
      </c>
      <c r="P504" s="18">
        <v>15.1</v>
      </c>
      <c r="Q504" s="18">
        <v>0</v>
      </c>
      <c r="R504" s="18">
        <v>3</v>
      </c>
      <c r="S504" s="18">
        <v>7</v>
      </c>
      <c r="T504" s="18">
        <v>157.43</v>
      </c>
    </row>
    <row r="505" spans="1:20" x14ac:dyDescent="0.3">
      <c r="A505" s="18">
        <v>50504</v>
      </c>
      <c r="B505" s="18">
        <v>0</v>
      </c>
      <c r="C505" s="18">
        <v>27</v>
      </c>
      <c r="D505" s="18" t="s">
        <v>42</v>
      </c>
      <c r="E505" s="18">
        <v>3</v>
      </c>
      <c r="F505" s="18">
        <v>12</v>
      </c>
      <c r="G505" s="18" t="s">
        <v>47</v>
      </c>
      <c r="H505" s="18" t="s">
        <v>38</v>
      </c>
      <c r="I505" s="18">
        <v>3.7</v>
      </c>
      <c r="J505" s="18">
        <v>3</v>
      </c>
      <c r="K505" s="18" t="s">
        <v>36</v>
      </c>
      <c r="L505" s="18">
        <v>5</v>
      </c>
      <c r="M505" s="18" t="s">
        <v>45</v>
      </c>
      <c r="N505" s="18">
        <v>5</v>
      </c>
      <c r="O505" s="18">
        <v>0</v>
      </c>
      <c r="P505" s="18">
        <v>21.3</v>
      </c>
      <c r="Q505" s="18">
        <v>2</v>
      </c>
      <c r="R505" s="18">
        <v>4</v>
      </c>
      <c r="S505" s="18">
        <v>2</v>
      </c>
      <c r="T505" s="18">
        <v>117.61</v>
      </c>
    </row>
    <row r="506" spans="1:20" x14ac:dyDescent="0.3">
      <c r="A506" s="18">
        <v>50505</v>
      </c>
      <c r="B506" s="18">
        <v>0</v>
      </c>
      <c r="C506" s="18">
        <v>0</v>
      </c>
      <c r="D506" s="18" t="s">
        <v>36</v>
      </c>
      <c r="E506" s="18">
        <v>3</v>
      </c>
      <c r="F506" s="18">
        <v>24</v>
      </c>
      <c r="G506" s="18" t="s">
        <v>39</v>
      </c>
      <c r="H506" s="18" t="s">
        <v>38</v>
      </c>
      <c r="I506" s="18">
        <v>2.6</v>
      </c>
      <c r="J506" s="18">
        <v>4</v>
      </c>
      <c r="K506" s="18" t="s">
        <v>40</v>
      </c>
      <c r="L506" s="18">
        <v>1</v>
      </c>
      <c r="M506" s="18" t="s">
        <v>41</v>
      </c>
      <c r="N506" s="18">
        <v>1</v>
      </c>
      <c r="O506" s="18">
        <v>0</v>
      </c>
      <c r="P506" s="18">
        <v>21</v>
      </c>
      <c r="Q506" s="18">
        <v>0</v>
      </c>
      <c r="R506" s="18">
        <v>7</v>
      </c>
      <c r="S506" s="18">
        <v>0</v>
      </c>
      <c r="T506" s="18">
        <v>113.12</v>
      </c>
    </row>
    <row r="507" spans="1:20" x14ac:dyDescent="0.3">
      <c r="A507" s="18">
        <v>50506</v>
      </c>
      <c r="B507" s="18">
        <v>0</v>
      </c>
      <c r="C507" s="18">
        <v>7</v>
      </c>
      <c r="D507" s="18" t="s">
        <v>36</v>
      </c>
      <c r="E507" s="18">
        <v>3</v>
      </c>
      <c r="F507" s="18">
        <v>9</v>
      </c>
      <c r="G507" s="18" t="s">
        <v>39</v>
      </c>
      <c r="H507" s="18" t="s">
        <v>33</v>
      </c>
      <c r="I507" s="18">
        <v>2.7</v>
      </c>
      <c r="J507" s="18">
        <v>4</v>
      </c>
      <c r="K507" s="18" t="s">
        <v>34</v>
      </c>
      <c r="L507" s="18">
        <v>1</v>
      </c>
      <c r="M507" s="18" t="s">
        <v>41</v>
      </c>
      <c r="N507" s="18">
        <v>1</v>
      </c>
      <c r="O507" s="18">
        <v>0</v>
      </c>
      <c r="P507" s="18">
        <v>19</v>
      </c>
      <c r="Q507" s="18">
        <v>3</v>
      </c>
      <c r="R507" s="18">
        <v>6</v>
      </c>
      <c r="S507" s="18">
        <v>3</v>
      </c>
      <c r="T507" s="18">
        <v>137.69999999999999</v>
      </c>
    </row>
    <row r="508" spans="1:20" x14ac:dyDescent="0.3">
      <c r="A508" s="18">
        <v>50507</v>
      </c>
      <c r="B508" s="18">
        <v>0</v>
      </c>
      <c r="C508" s="18">
        <v>12</v>
      </c>
      <c r="D508" s="18" t="s">
        <v>31</v>
      </c>
      <c r="E508" s="18">
        <v>2</v>
      </c>
      <c r="F508" s="18">
        <v>15</v>
      </c>
      <c r="G508" s="18" t="s">
        <v>43</v>
      </c>
      <c r="H508" s="18" t="s">
        <v>38</v>
      </c>
      <c r="I508" s="18"/>
      <c r="J508" s="18">
        <v>1</v>
      </c>
      <c r="K508" s="18" t="s">
        <v>44</v>
      </c>
      <c r="L508" s="18">
        <v>3</v>
      </c>
      <c r="M508" s="18" t="s">
        <v>45</v>
      </c>
      <c r="N508" s="18">
        <v>1</v>
      </c>
      <c r="O508" s="18">
        <v>0</v>
      </c>
      <c r="P508" s="18">
        <v>17.899999999999999</v>
      </c>
      <c r="Q508" s="18">
        <v>2</v>
      </c>
      <c r="R508" s="18">
        <v>3</v>
      </c>
      <c r="S508" s="18">
        <v>2</v>
      </c>
      <c r="T508" s="18">
        <v>272.86</v>
      </c>
    </row>
    <row r="509" spans="1:20" x14ac:dyDescent="0.3">
      <c r="A509" s="18">
        <v>50508</v>
      </c>
      <c r="B509" s="18">
        <v>0</v>
      </c>
      <c r="C509" s="18">
        <v>20</v>
      </c>
      <c r="D509" s="18" t="s">
        <v>36</v>
      </c>
      <c r="E509" s="18">
        <v>3</v>
      </c>
      <c r="F509" s="18">
        <v>15</v>
      </c>
      <c r="G509" s="18" t="s">
        <v>32</v>
      </c>
      <c r="H509" s="18" t="s">
        <v>33</v>
      </c>
      <c r="I509" s="18">
        <v>2.4</v>
      </c>
      <c r="J509" s="18">
        <v>4</v>
      </c>
      <c r="K509" s="18" t="s">
        <v>36</v>
      </c>
      <c r="L509" s="18">
        <v>1</v>
      </c>
      <c r="M509" s="18" t="s">
        <v>41</v>
      </c>
      <c r="N509" s="18">
        <v>1</v>
      </c>
      <c r="O509" s="18">
        <v>0</v>
      </c>
      <c r="P509" s="18">
        <v>21.8</v>
      </c>
      <c r="Q509" s="18">
        <v>1</v>
      </c>
      <c r="R509" s="18">
        <v>2</v>
      </c>
      <c r="S509" s="18">
        <v>1</v>
      </c>
      <c r="T509" s="18">
        <v>216.19</v>
      </c>
    </row>
    <row r="510" spans="1:20" x14ac:dyDescent="0.3">
      <c r="A510" s="18">
        <v>50509</v>
      </c>
      <c r="B510" s="18">
        <v>0</v>
      </c>
      <c r="C510" s="18">
        <v>12</v>
      </c>
      <c r="D510" s="18" t="s">
        <v>42</v>
      </c>
      <c r="E510" s="18">
        <v>3</v>
      </c>
      <c r="F510" s="18">
        <v>10</v>
      </c>
      <c r="G510" s="18" t="s">
        <v>47</v>
      </c>
      <c r="H510" s="18" t="s">
        <v>33</v>
      </c>
      <c r="I510" s="18">
        <v>3.3</v>
      </c>
      <c r="J510" s="18">
        <v>3</v>
      </c>
      <c r="K510" s="18" t="s">
        <v>44</v>
      </c>
      <c r="L510" s="18">
        <v>5</v>
      </c>
      <c r="M510" s="18" t="s">
        <v>35</v>
      </c>
      <c r="N510" s="18">
        <v>4</v>
      </c>
      <c r="O510" s="18">
        <v>0</v>
      </c>
      <c r="P510" s="18">
        <v>22.7</v>
      </c>
      <c r="Q510" s="18">
        <v>2</v>
      </c>
      <c r="R510" s="18">
        <v>8</v>
      </c>
      <c r="S510" s="18">
        <v>18</v>
      </c>
      <c r="T510" s="18">
        <v>151.03</v>
      </c>
    </row>
    <row r="511" spans="1:20" x14ac:dyDescent="0.3">
      <c r="A511" s="18">
        <v>50510</v>
      </c>
      <c r="B511" s="18">
        <v>0</v>
      </c>
      <c r="C511" s="18">
        <v>16</v>
      </c>
      <c r="D511" s="18" t="s">
        <v>31</v>
      </c>
      <c r="E511" s="18">
        <v>1</v>
      </c>
      <c r="F511" s="18">
        <v>5</v>
      </c>
      <c r="G511" s="18" t="s">
        <v>37</v>
      </c>
      <c r="H511" s="18" t="s">
        <v>33</v>
      </c>
      <c r="I511" s="18">
        <v>2.9</v>
      </c>
      <c r="J511" s="18">
        <v>2</v>
      </c>
      <c r="K511" s="18" t="s">
        <v>36</v>
      </c>
      <c r="L511" s="18">
        <v>2</v>
      </c>
      <c r="M511" s="18" t="s">
        <v>35</v>
      </c>
      <c r="N511" s="18">
        <v>2</v>
      </c>
      <c r="O511" s="18">
        <v>0</v>
      </c>
      <c r="P511" s="18">
        <v>15.5</v>
      </c>
      <c r="Q511" s="18">
        <v>3</v>
      </c>
      <c r="R511" s="18">
        <v>5</v>
      </c>
      <c r="S511" s="18">
        <v>3</v>
      </c>
      <c r="T511" s="18">
        <v>239.56</v>
      </c>
    </row>
    <row r="512" spans="1:20" x14ac:dyDescent="0.3">
      <c r="A512" s="18">
        <v>50511</v>
      </c>
      <c r="B512" s="18">
        <v>0</v>
      </c>
      <c r="C512" s="18">
        <v>4</v>
      </c>
      <c r="D512" s="18" t="s">
        <v>36</v>
      </c>
      <c r="E512" s="18">
        <v>1</v>
      </c>
      <c r="F512" s="18">
        <v>17</v>
      </c>
      <c r="G512" s="18" t="s">
        <v>39</v>
      </c>
      <c r="H512" s="18" t="s">
        <v>38</v>
      </c>
      <c r="I512" s="18">
        <v>3.6</v>
      </c>
      <c r="J512" s="18">
        <v>2</v>
      </c>
      <c r="K512" s="18" t="s">
        <v>46</v>
      </c>
      <c r="L512" s="18">
        <v>3</v>
      </c>
      <c r="M512" s="18" t="s">
        <v>35</v>
      </c>
      <c r="N512" s="18">
        <v>4</v>
      </c>
      <c r="O512" s="18">
        <v>0</v>
      </c>
      <c r="P512" s="18"/>
      <c r="Q512" s="18">
        <v>2</v>
      </c>
      <c r="R512" s="18">
        <v>3</v>
      </c>
      <c r="S512" s="18">
        <v>9</v>
      </c>
      <c r="T512" s="18">
        <v>171.62</v>
      </c>
    </row>
    <row r="513" spans="1:20" x14ac:dyDescent="0.3">
      <c r="A513" s="18">
        <v>50512</v>
      </c>
      <c r="B513" s="18">
        <v>0</v>
      </c>
      <c r="C513" s="18">
        <v>16</v>
      </c>
      <c r="D513" s="18" t="s">
        <v>42</v>
      </c>
      <c r="E513" s="18">
        <v>3</v>
      </c>
      <c r="F513" s="18">
        <v>14</v>
      </c>
      <c r="G513" s="18" t="s">
        <v>39</v>
      </c>
      <c r="H513" s="18" t="s">
        <v>33</v>
      </c>
      <c r="I513" s="18">
        <v>3</v>
      </c>
      <c r="J513" s="18">
        <v>4</v>
      </c>
      <c r="K513" s="18" t="s">
        <v>36</v>
      </c>
      <c r="L513" s="18">
        <v>1</v>
      </c>
      <c r="M513" s="18" t="s">
        <v>35</v>
      </c>
      <c r="N513" s="18">
        <v>4</v>
      </c>
      <c r="O513" s="18">
        <v>0</v>
      </c>
      <c r="P513" s="18">
        <v>15.1</v>
      </c>
      <c r="Q513" s="18">
        <v>2</v>
      </c>
      <c r="R513" s="18">
        <v>4</v>
      </c>
      <c r="S513" s="18">
        <v>1</v>
      </c>
      <c r="T513" s="18">
        <v>254.49</v>
      </c>
    </row>
    <row r="514" spans="1:20" x14ac:dyDescent="0.3">
      <c r="A514" s="18">
        <v>50513</v>
      </c>
      <c r="B514" s="18">
        <v>1</v>
      </c>
      <c r="C514" s="18">
        <v>0</v>
      </c>
      <c r="D514" s="18" t="s">
        <v>36</v>
      </c>
      <c r="E514" s="18">
        <v>1</v>
      </c>
      <c r="F514" s="18"/>
      <c r="G514" s="18" t="s">
        <v>37</v>
      </c>
      <c r="H514" s="18" t="s">
        <v>33</v>
      </c>
      <c r="I514" s="18">
        <v>2.7</v>
      </c>
      <c r="J514" s="18">
        <v>3</v>
      </c>
      <c r="K514" s="18" t="s">
        <v>34</v>
      </c>
      <c r="L514" s="18">
        <v>3</v>
      </c>
      <c r="M514" s="18" t="s">
        <v>41</v>
      </c>
      <c r="N514" s="18">
        <v>1</v>
      </c>
      <c r="O514" s="18">
        <v>0</v>
      </c>
      <c r="P514" s="18">
        <v>26</v>
      </c>
      <c r="Q514" s="18">
        <v>1</v>
      </c>
      <c r="R514" s="18">
        <v>6</v>
      </c>
      <c r="S514" s="18">
        <v>14</v>
      </c>
      <c r="T514" s="18">
        <v>301.64999999999998</v>
      </c>
    </row>
    <row r="515" spans="1:20" x14ac:dyDescent="0.3">
      <c r="A515" s="18">
        <v>50514</v>
      </c>
      <c r="B515" s="18">
        <v>0</v>
      </c>
      <c r="C515" s="18">
        <v>22</v>
      </c>
      <c r="D515" s="18" t="s">
        <v>36</v>
      </c>
      <c r="E515" s="18">
        <v>2</v>
      </c>
      <c r="F515" s="18">
        <v>10</v>
      </c>
      <c r="G515" s="18" t="s">
        <v>32</v>
      </c>
      <c r="H515" s="18" t="s">
        <v>38</v>
      </c>
      <c r="I515" s="18">
        <v>4.4000000000000004</v>
      </c>
      <c r="J515" s="18">
        <v>2</v>
      </c>
      <c r="K515" s="18" t="s">
        <v>40</v>
      </c>
      <c r="L515" s="18">
        <v>3</v>
      </c>
      <c r="M515" s="18" t="s">
        <v>35</v>
      </c>
      <c r="N515" s="18">
        <v>1</v>
      </c>
      <c r="O515" s="18">
        <v>0</v>
      </c>
      <c r="P515" s="18">
        <v>11</v>
      </c>
      <c r="Q515" s="18">
        <v>1</v>
      </c>
      <c r="R515" s="18">
        <v>3</v>
      </c>
      <c r="S515" s="18">
        <v>7</v>
      </c>
      <c r="T515" s="18">
        <v>236.55</v>
      </c>
    </row>
    <row r="516" spans="1:20" x14ac:dyDescent="0.3">
      <c r="A516" s="18">
        <v>50515</v>
      </c>
      <c r="B516" s="18">
        <v>0</v>
      </c>
      <c r="C516" s="18">
        <v>7</v>
      </c>
      <c r="D516" s="18" t="s">
        <v>36</v>
      </c>
      <c r="E516" s="18">
        <v>2</v>
      </c>
      <c r="F516" s="18">
        <v>24</v>
      </c>
      <c r="G516" s="18" t="s">
        <v>37</v>
      </c>
      <c r="H516" s="18" t="s">
        <v>38</v>
      </c>
      <c r="I516" s="18">
        <v>2.8</v>
      </c>
      <c r="J516" s="18">
        <v>4</v>
      </c>
      <c r="K516" s="18" t="s">
        <v>34</v>
      </c>
      <c r="L516" s="18">
        <v>1</v>
      </c>
      <c r="M516" s="18" t="s">
        <v>41</v>
      </c>
      <c r="N516" s="18">
        <v>4</v>
      </c>
      <c r="O516" s="18">
        <v>0</v>
      </c>
      <c r="P516" s="18">
        <v>14.4</v>
      </c>
      <c r="Q516" s="18">
        <v>2</v>
      </c>
      <c r="R516" s="18">
        <v>3</v>
      </c>
      <c r="S516" s="18">
        <v>8</v>
      </c>
      <c r="T516" s="18">
        <v>185.2</v>
      </c>
    </row>
    <row r="517" spans="1:20" x14ac:dyDescent="0.3">
      <c r="A517" s="18">
        <v>50516</v>
      </c>
      <c r="B517" s="18">
        <v>0</v>
      </c>
      <c r="C517" s="18">
        <v>16</v>
      </c>
      <c r="D517" s="18" t="s">
        <v>36</v>
      </c>
      <c r="E517" s="18">
        <v>1</v>
      </c>
      <c r="F517" s="18">
        <v>7</v>
      </c>
      <c r="G517" s="18" t="s">
        <v>32</v>
      </c>
      <c r="H517" s="18" t="s">
        <v>33</v>
      </c>
      <c r="I517" s="18">
        <v>3.7</v>
      </c>
      <c r="J517" s="18">
        <v>2</v>
      </c>
      <c r="K517" s="18" t="s">
        <v>40</v>
      </c>
      <c r="L517" s="18">
        <v>3</v>
      </c>
      <c r="M517" s="18" t="s">
        <v>35</v>
      </c>
      <c r="N517" s="18">
        <v>4</v>
      </c>
      <c r="O517" s="18">
        <v>0</v>
      </c>
      <c r="P517" s="18">
        <v>11.1</v>
      </c>
      <c r="Q517" s="18">
        <v>1</v>
      </c>
      <c r="R517" s="18">
        <v>4</v>
      </c>
      <c r="S517" s="18"/>
      <c r="T517" s="18">
        <v>218.46</v>
      </c>
    </row>
    <row r="518" spans="1:20" x14ac:dyDescent="0.3">
      <c r="A518" s="18">
        <v>50517</v>
      </c>
      <c r="B518" s="18">
        <v>1</v>
      </c>
      <c r="C518" s="18">
        <v>6</v>
      </c>
      <c r="D518" s="18" t="s">
        <v>36</v>
      </c>
      <c r="E518" s="18">
        <v>2</v>
      </c>
      <c r="F518" s="18">
        <v>28</v>
      </c>
      <c r="G518" s="18" t="s">
        <v>39</v>
      </c>
      <c r="H518" s="18" t="s">
        <v>38</v>
      </c>
      <c r="I518" s="18">
        <v>2.6</v>
      </c>
      <c r="J518" s="18">
        <v>3</v>
      </c>
      <c r="K518" s="18" t="s">
        <v>44</v>
      </c>
      <c r="L518" s="18">
        <v>3</v>
      </c>
      <c r="M518" s="18" t="s">
        <v>41</v>
      </c>
      <c r="N518" s="18">
        <v>1</v>
      </c>
      <c r="O518" s="18">
        <v>1</v>
      </c>
      <c r="P518" s="18"/>
      <c r="Q518" s="18">
        <v>1</v>
      </c>
      <c r="R518" s="18">
        <v>6</v>
      </c>
      <c r="S518" s="18">
        <v>3</v>
      </c>
      <c r="T518" s="18">
        <v>180.83</v>
      </c>
    </row>
    <row r="519" spans="1:20" x14ac:dyDescent="0.3">
      <c r="A519" s="18">
        <v>50518</v>
      </c>
      <c r="B519" s="18">
        <v>0</v>
      </c>
      <c r="C519" s="18">
        <v>10</v>
      </c>
      <c r="D519" s="18" t="s">
        <v>36</v>
      </c>
      <c r="E519" s="18">
        <v>3</v>
      </c>
      <c r="F519" s="18">
        <v>5</v>
      </c>
      <c r="G519" s="18" t="s">
        <v>37</v>
      </c>
      <c r="H519" s="18" t="s">
        <v>38</v>
      </c>
      <c r="I519" s="18">
        <v>3.4</v>
      </c>
      <c r="J519" s="18">
        <v>3</v>
      </c>
      <c r="K519" s="18" t="s">
        <v>44</v>
      </c>
      <c r="L519" s="18">
        <v>5</v>
      </c>
      <c r="M519" s="18" t="s">
        <v>35</v>
      </c>
      <c r="N519" s="18">
        <v>1</v>
      </c>
      <c r="O519" s="18">
        <v>0</v>
      </c>
      <c r="P519" s="18">
        <v>11.8</v>
      </c>
      <c r="Q519" s="18">
        <v>0</v>
      </c>
      <c r="R519" s="18">
        <v>4</v>
      </c>
      <c r="S519" s="18">
        <v>4</v>
      </c>
      <c r="T519" s="18">
        <v>79.02</v>
      </c>
    </row>
    <row r="520" spans="1:20" x14ac:dyDescent="0.3">
      <c r="A520" s="18">
        <v>50519</v>
      </c>
      <c r="B520" s="18">
        <v>1</v>
      </c>
      <c r="C520" s="18">
        <v>7</v>
      </c>
      <c r="D520" s="18" t="s">
        <v>36</v>
      </c>
      <c r="E520" s="18">
        <v>1</v>
      </c>
      <c r="F520" s="18">
        <v>18</v>
      </c>
      <c r="G520" s="18" t="s">
        <v>39</v>
      </c>
      <c r="H520" s="18" t="s">
        <v>33</v>
      </c>
      <c r="I520" s="18">
        <v>3.5</v>
      </c>
      <c r="J520" s="18">
        <v>4</v>
      </c>
      <c r="K520" s="18" t="s">
        <v>36</v>
      </c>
      <c r="L520" s="18">
        <v>2</v>
      </c>
      <c r="M520" s="18" t="s">
        <v>35</v>
      </c>
      <c r="N520" s="18">
        <v>1</v>
      </c>
      <c r="O520" s="18">
        <v>0</v>
      </c>
      <c r="P520" s="18">
        <v>15.6</v>
      </c>
      <c r="Q520" s="18">
        <v>2</v>
      </c>
      <c r="R520" s="18">
        <v>4</v>
      </c>
      <c r="S520" s="18">
        <v>7</v>
      </c>
      <c r="T520" s="18">
        <v>144</v>
      </c>
    </row>
    <row r="521" spans="1:20" x14ac:dyDescent="0.3">
      <c r="A521" s="18">
        <v>50520</v>
      </c>
      <c r="B521" s="18">
        <v>0</v>
      </c>
      <c r="C521" s="18">
        <v>13</v>
      </c>
      <c r="D521" s="18" t="s">
        <v>36</v>
      </c>
      <c r="E521" s="18">
        <v>1</v>
      </c>
      <c r="F521" s="18">
        <v>18</v>
      </c>
      <c r="G521" s="18" t="s">
        <v>37</v>
      </c>
      <c r="H521" s="18" t="s">
        <v>33</v>
      </c>
      <c r="I521" s="18">
        <v>3</v>
      </c>
      <c r="J521" s="18">
        <v>5</v>
      </c>
      <c r="K521" s="18" t="s">
        <v>44</v>
      </c>
      <c r="L521" s="18">
        <v>3</v>
      </c>
      <c r="M521" s="18" t="s">
        <v>45</v>
      </c>
      <c r="N521" s="18">
        <v>1</v>
      </c>
      <c r="O521" s="18">
        <v>0</v>
      </c>
      <c r="P521" s="18">
        <v>11</v>
      </c>
      <c r="Q521" s="18">
        <v>1</v>
      </c>
      <c r="R521" s="18">
        <v>3</v>
      </c>
      <c r="S521" s="18">
        <v>9</v>
      </c>
      <c r="T521" s="18">
        <v>127.66</v>
      </c>
    </row>
    <row r="522" spans="1:20" x14ac:dyDescent="0.3">
      <c r="A522" s="18">
        <v>50521</v>
      </c>
      <c r="B522" s="18">
        <v>0</v>
      </c>
      <c r="C522" s="18">
        <v>0</v>
      </c>
      <c r="D522" s="18" t="s">
        <v>31</v>
      </c>
      <c r="E522" s="18">
        <v>1</v>
      </c>
      <c r="F522" s="18">
        <v>8</v>
      </c>
      <c r="G522" s="18" t="s">
        <v>39</v>
      </c>
      <c r="H522" s="18" t="s">
        <v>33</v>
      </c>
      <c r="I522" s="18">
        <v>1.3</v>
      </c>
      <c r="J522" s="18">
        <v>2</v>
      </c>
      <c r="K522" s="18" t="s">
        <v>36</v>
      </c>
      <c r="L522" s="18">
        <v>5</v>
      </c>
      <c r="M522" s="18" t="s">
        <v>35</v>
      </c>
      <c r="N522" s="18">
        <v>1</v>
      </c>
      <c r="O522" s="18">
        <v>0</v>
      </c>
      <c r="P522" s="18">
        <v>18.2</v>
      </c>
      <c r="Q522" s="18">
        <v>4</v>
      </c>
      <c r="R522" s="18">
        <v>5</v>
      </c>
      <c r="S522" s="18">
        <v>0</v>
      </c>
      <c r="T522" s="18">
        <v>142.78</v>
      </c>
    </row>
    <row r="523" spans="1:20" x14ac:dyDescent="0.3">
      <c r="A523" s="18">
        <v>50522</v>
      </c>
      <c r="B523" s="18">
        <v>0</v>
      </c>
      <c r="C523" s="18">
        <v>0</v>
      </c>
      <c r="D523" s="18" t="s">
        <v>42</v>
      </c>
      <c r="E523" s="18">
        <v>1</v>
      </c>
      <c r="F523" s="18">
        <v>18</v>
      </c>
      <c r="G523" s="18" t="s">
        <v>43</v>
      </c>
      <c r="H523" s="18" t="s">
        <v>33</v>
      </c>
      <c r="I523" s="18">
        <v>2.9</v>
      </c>
      <c r="J523" s="18">
        <v>3</v>
      </c>
      <c r="K523" s="18" t="s">
        <v>36</v>
      </c>
      <c r="L523" s="18">
        <v>4</v>
      </c>
      <c r="M523" s="18" t="s">
        <v>35</v>
      </c>
      <c r="N523" s="18">
        <v>1</v>
      </c>
      <c r="O523" s="18">
        <v>1</v>
      </c>
      <c r="P523" s="18">
        <v>20.3</v>
      </c>
      <c r="Q523" s="18">
        <v>1</v>
      </c>
      <c r="R523" s="18">
        <v>8</v>
      </c>
      <c r="S523" s="18">
        <v>11</v>
      </c>
      <c r="T523" s="18">
        <v>278.64999999999998</v>
      </c>
    </row>
    <row r="524" spans="1:20" x14ac:dyDescent="0.3">
      <c r="A524" s="18">
        <v>50523</v>
      </c>
      <c r="B524" s="18">
        <v>0</v>
      </c>
      <c r="C524" s="18">
        <v>2</v>
      </c>
      <c r="D524" s="18" t="s">
        <v>36</v>
      </c>
      <c r="E524" s="18">
        <v>3</v>
      </c>
      <c r="F524" s="18">
        <v>25</v>
      </c>
      <c r="G524" s="18" t="s">
        <v>39</v>
      </c>
      <c r="H524" s="18" t="s">
        <v>33</v>
      </c>
      <c r="I524" s="18">
        <v>3.8</v>
      </c>
      <c r="J524" s="18">
        <v>3</v>
      </c>
      <c r="K524" s="18" t="s">
        <v>34</v>
      </c>
      <c r="L524" s="18">
        <v>5</v>
      </c>
      <c r="M524" s="18" t="s">
        <v>45</v>
      </c>
      <c r="N524" s="18">
        <v>1</v>
      </c>
      <c r="O524" s="18">
        <v>1</v>
      </c>
      <c r="P524" s="18">
        <v>14.7</v>
      </c>
      <c r="Q524" s="18">
        <v>2</v>
      </c>
      <c r="R524" s="18">
        <v>2</v>
      </c>
      <c r="S524" s="18">
        <v>13</v>
      </c>
      <c r="T524" s="18">
        <v>241.72</v>
      </c>
    </row>
    <row r="525" spans="1:20" x14ac:dyDescent="0.3">
      <c r="A525" s="18">
        <v>50524</v>
      </c>
      <c r="B525" s="18">
        <v>0</v>
      </c>
      <c r="C525" s="18">
        <v>1</v>
      </c>
      <c r="D525" s="18" t="s">
        <v>36</v>
      </c>
      <c r="E525" s="18">
        <v>1</v>
      </c>
      <c r="F525" s="18">
        <v>5</v>
      </c>
      <c r="G525" s="18" t="s">
        <v>43</v>
      </c>
      <c r="H525" s="18" t="s">
        <v>38</v>
      </c>
      <c r="I525" s="18">
        <v>3.3</v>
      </c>
      <c r="J525" s="18">
        <v>4</v>
      </c>
      <c r="K525" s="18" t="s">
        <v>36</v>
      </c>
      <c r="L525" s="18">
        <v>5</v>
      </c>
      <c r="M525" s="18" t="s">
        <v>35</v>
      </c>
      <c r="N525" s="18">
        <v>1</v>
      </c>
      <c r="O525" s="18">
        <v>0</v>
      </c>
      <c r="P525" s="18">
        <v>15.5</v>
      </c>
      <c r="Q525" s="18">
        <v>0</v>
      </c>
      <c r="R525" s="18">
        <v>4</v>
      </c>
      <c r="S525" s="18">
        <v>4</v>
      </c>
      <c r="T525" s="18">
        <v>204.25</v>
      </c>
    </row>
    <row r="526" spans="1:20" x14ac:dyDescent="0.3">
      <c r="A526" s="18">
        <v>50525</v>
      </c>
      <c r="B526" s="18">
        <v>1</v>
      </c>
      <c r="C526" s="18">
        <v>20</v>
      </c>
      <c r="D526" s="18" t="s">
        <v>36</v>
      </c>
      <c r="E526" s="18">
        <v>2</v>
      </c>
      <c r="F526" s="18">
        <v>19</v>
      </c>
      <c r="G526" s="18" t="s">
        <v>37</v>
      </c>
      <c r="H526" s="18" t="s">
        <v>38</v>
      </c>
      <c r="I526" s="18">
        <v>3.2</v>
      </c>
      <c r="J526" s="18">
        <v>3</v>
      </c>
      <c r="K526" s="18" t="s">
        <v>46</v>
      </c>
      <c r="L526" s="18">
        <v>3</v>
      </c>
      <c r="M526" s="18" t="s">
        <v>35</v>
      </c>
      <c r="N526" s="18">
        <v>1</v>
      </c>
      <c r="O526" s="18">
        <v>0</v>
      </c>
      <c r="P526" s="18">
        <v>15.4</v>
      </c>
      <c r="Q526" s="18">
        <v>0</v>
      </c>
      <c r="R526" s="18">
        <v>4</v>
      </c>
      <c r="S526" s="18">
        <v>1</v>
      </c>
      <c r="T526" s="18">
        <v>224.68</v>
      </c>
    </row>
    <row r="527" spans="1:20" x14ac:dyDescent="0.3">
      <c r="A527" s="18">
        <v>50526</v>
      </c>
      <c r="B527" s="18">
        <v>0</v>
      </c>
      <c r="C527" s="18">
        <v>2</v>
      </c>
      <c r="D527" s="18" t="s">
        <v>36</v>
      </c>
      <c r="E527" s="18">
        <v>1</v>
      </c>
      <c r="F527" s="18">
        <v>5</v>
      </c>
      <c r="G527" s="18" t="s">
        <v>43</v>
      </c>
      <c r="H527" s="18" t="s">
        <v>33</v>
      </c>
      <c r="I527" s="18">
        <v>1.7</v>
      </c>
      <c r="J527" s="18">
        <v>3</v>
      </c>
      <c r="K527" s="18" t="s">
        <v>34</v>
      </c>
      <c r="L527" s="18">
        <v>4</v>
      </c>
      <c r="M527" s="18" t="s">
        <v>35</v>
      </c>
      <c r="N527" s="18">
        <v>7</v>
      </c>
      <c r="O527" s="18">
        <v>1</v>
      </c>
      <c r="P527" s="18">
        <v>16.600000000000001</v>
      </c>
      <c r="Q527" s="18">
        <v>2</v>
      </c>
      <c r="R527" s="18">
        <v>4</v>
      </c>
      <c r="S527" s="18">
        <v>8</v>
      </c>
      <c r="T527" s="18">
        <v>75.930000000000007</v>
      </c>
    </row>
    <row r="528" spans="1:20" x14ac:dyDescent="0.3">
      <c r="A528" s="18">
        <v>50527</v>
      </c>
      <c r="B528" s="18">
        <v>0</v>
      </c>
      <c r="C528" s="18">
        <v>37</v>
      </c>
      <c r="D528" s="18" t="s">
        <v>31</v>
      </c>
      <c r="E528" s="18">
        <v>1</v>
      </c>
      <c r="F528" s="18"/>
      <c r="G528" s="18" t="s">
        <v>37</v>
      </c>
      <c r="H528" s="18" t="s">
        <v>33</v>
      </c>
      <c r="I528" s="18">
        <v>2.4</v>
      </c>
      <c r="J528" s="18">
        <v>3</v>
      </c>
      <c r="K528" s="18" t="s">
        <v>46</v>
      </c>
      <c r="L528" s="18">
        <v>2</v>
      </c>
      <c r="M528" s="18" t="s">
        <v>35</v>
      </c>
      <c r="N528" s="18">
        <v>3</v>
      </c>
      <c r="O528" s="18">
        <v>0</v>
      </c>
      <c r="P528" s="18">
        <v>15.9</v>
      </c>
      <c r="Q528" s="18">
        <v>0</v>
      </c>
      <c r="R528" s="18">
        <v>3</v>
      </c>
      <c r="S528" s="18">
        <v>3</v>
      </c>
      <c r="T528" s="18">
        <v>220.05</v>
      </c>
    </row>
    <row r="529" spans="1:20" x14ac:dyDescent="0.3">
      <c r="A529" s="18">
        <v>50528</v>
      </c>
      <c r="B529" s="18">
        <v>0</v>
      </c>
      <c r="C529" s="18">
        <v>4</v>
      </c>
      <c r="D529" s="18" t="s">
        <v>31</v>
      </c>
      <c r="E529" s="18">
        <v>3</v>
      </c>
      <c r="F529" s="18">
        <v>28</v>
      </c>
      <c r="G529" s="18" t="s">
        <v>43</v>
      </c>
      <c r="H529" s="18" t="s">
        <v>33</v>
      </c>
      <c r="I529" s="18">
        <v>3.2</v>
      </c>
      <c r="J529" s="18">
        <v>2</v>
      </c>
      <c r="K529" s="18" t="s">
        <v>44</v>
      </c>
      <c r="L529" s="18">
        <v>3</v>
      </c>
      <c r="M529" s="18" t="s">
        <v>35</v>
      </c>
      <c r="N529" s="18">
        <v>9</v>
      </c>
      <c r="O529" s="18">
        <v>1</v>
      </c>
      <c r="P529" s="18">
        <v>18.7</v>
      </c>
      <c r="Q529" s="18">
        <v>4</v>
      </c>
      <c r="R529" s="18">
        <v>2</v>
      </c>
      <c r="S529" s="18">
        <v>8</v>
      </c>
      <c r="T529" s="18">
        <v>231.68</v>
      </c>
    </row>
    <row r="530" spans="1:20" x14ac:dyDescent="0.3">
      <c r="A530" s="18">
        <v>50529</v>
      </c>
      <c r="B530" s="18">
        <v>0</v>
      </c>
      <c r="C530" s="18">
        <v>2</v>
      </c>
      <c r="D530" s="18" t="s">
        <v>36</v>
      </c>
      <c r="E530" s="18">
        <v>3</v>
      </c>
      <c r="F530" s="18">
        <v>10</v>
      </c>
      <c r="G530" s="18" t="s">
        <v>39</v>
      </c>
      <c r="H530" s="18" t="s">
        <v>33</v>
      </c>
      <c r="I530" s="18"/>
      <c r="J530" s="18">
        <v>4</v>
      </c>
      <c r="K530" s="18" t="s">
        <v>36</v>
      </c>
      <c r="L530" s="18">
        <v>4</v>
      </c>
      <c r="M530" s="18" t="s">
        <v>41</v>
      </c>
      <c r="N530" s="18">
        <v>1</v>
      </c>
      <c r="O530" s="18">
        <v>1</v>
      </c>
      <c r="P530" s="18">
        <v>20.3</v>
      </c>
      <c r="Q530" s="18">
        <v>1</v>
      </c>
      <c r="R530" s="18">
        <v>5</v>
      </c>
      <c r="S530" s="18">
        <v>8</v>
      </c>
      <c r="T530" s="18">
        <v>56.81</v>
      </c>
    </row>
    <row r="531" spans="1:20" x14ac:dyDescent="0.3">
      <c r="A531" s="18">
        <v>50530</v>
      </c>
      <c r="B531" s="18">
        <v>0</v>
      </c>
      <c r="C531" s="18">
        <v>15</v>
      </c>
      <c r="D531" s="18" t="s">
        <v>36</v>
      </c>
      <c r="E531" s="18">
        <v>1</v>
      </c>
      <c r="F531" s="18">
        <v>5</v>
      </c>
      <c r="G531" s="18" t="s">
        <v>47</v>
      </c>
      <c r="H531" s="18" t="s">
        <v>33</v>
      </c>
      <c r="I531" s="18">
        <v>3.8</v>
      </c>
      <c r="J531" s="18">
        <v>4</v>
      </c>
      <c r="K531" s="18" t="s">
        <v>36</v>
      </c>
      <c r="L531" s="18">
        <v>3</v>
      </c>
      <c r="M531" s="18" t="s">
        <v>35</v>
      </c>
      <c r="N531" s="18">
        <v>3</v>
      </c>
      <c r="O531" s="18">
        <v>0</v>
      </c>
      <c r="P531" s="18">
        <v>13.2</v>
      </c>
      <c r="Q531" s="18">
        <v>0</v>
      </c>
      <c r="R531" s="18">
        <v>5</v>
      </c>
      <c r="S531" s="18">
        <v>0</v>
      </c>
      <c r="T531" s="18">
        <v>222.09</v>
      </c>
    </row>
    <row r="532" spans="1:20" x14ac:dyDescent="0.3">
      <c r="A532" s="18">
        <v>50531</v>
      </c>
      <c r="B532" s="18">
        <v>1</v>
      </c>
      <c r="C532" s="18">
        <v>10</v>
      </c>
      <c r="D532" s="18" t="s">
        <v>36</v>
      </c>
      <c r="E532" s="18">
        <v>1</v>
      </c>
      <c r="F532" s="18">
        <v>13</v>
      </c>
      <c r="G532" s="18" t="s">
        <v>43</v>
      </c>
      <c r="H532" s="18" t="s">
        <v>38</v>
      </c>
      <c r="I532" s="18">
        <v>2.8</v>
      </c>
      <c r="J532" s="18">
        <v>4</v>
      </c>
      <c r="K532" s="18" t="s">
        <v>36</v>
      </c>
      <c r="L532" s="18">
        <v>4</v>
      </c>
      <c r="M532" s="18" t="s">
        <v>35</v>
      </c>
      <c r="N532" s="18">
        <v>1</v>
      </c>
      <c r="O532" s="18">
        <v>1</v>
      </c>
      <c r="P532" s="18">
        <v>14.9</v>
      </c>
      <c r="Q532" s="18">
        <v>0</v>
      </c>
      <c r="R532" s="18">
        <v>7</v>
      </c>
      <c r="S532" s="18">
        <v>4</v>
      </c>
      <c r="T532" s="18">
        <v>101.68</v>
      </c>
    </row>
    <row r="533" spans="1:20" x14ac:dyDescent="0.3">
      <c r="A533" s="18">
        <v>50532</v>
      </c>
      <c r="B533" s="18">
        <v>0</v>
      </c>
      <c r="C533" s="18">
        <v>6</v>
      </c>
      <c r="D533" s="18" t="s">
        <v>31</v>
      </c>
      <c r="E533" s="18">
        <v>1</v>
      </c>
      <c r="F533" s="18">
        <v>31</v>
      </c>
      <c r="G533" s="18" t="s">
        <v>39</v>
      </c>
      <c r="H533" s="18" t="s">
        <v>38</v>
      </c>
      <c r="I533" s="18">
        <v>3.2</v>
      </c>
      <c r="J533" s="18">
        <v>3</v>
      </c>
      <c r="K533" s="18" t="s">
        <v>36</v>
      </c>
      <c r="L533" s="18">
        <v>4</v>
      </c>
      <c r="M533" s="18" t="s">
        <v>45</v>
      </c>
      <c r="N533" s="18">
        <v>3</v>
      </c>
      <c r="O533" s="18">
        <v>1</v>
      </c>
      <c r="P533" s="18">
        <v>19.2</v>
      </c>
      <c r="Q533" s="18">
        <v>0</v>
      </c>
      <c r="R533" s="18">
        <v>4</v>
      </c>
      <c r="S533" s="18">
        <v>3</v>
      </c>
      <c r="T533" s="18">
        <v>71.650000000000006</v>
      </c>
    </row>
    <row r="534" spans="1:20" x14ac:dyDescent="0.3">
      <c r="A534" s="18">
        <v>50533</v>
      </c>
      <c r="B534" s="18">
        <v>1</v>
      </c>
      <c r="C534" s="18">
        <v>8</v>
      </c>
      <c r="D534" s="18" t="s">
        <v>36</v>
      </c>
      <c r="E534" s="18">
        <v>1</v>
      </c>
      <c r="F534" s="18">
        <v>5</v>
      </c>
      <c r="G534" s="18" t="s">
        <v>39</v>
      </c>
      <c r="H534" s="18" t="s">
        <v>33</v>
      </c>
      <c r="I534" s="18">
        <v>2.9</v>
      </c>
      <c r="J534" s="18">
        <v>3</v>
      </c>
      <c r="K534" s="18" t="s">
        <v>46</v>
      </c>
      <c r="L534" s="18">
        <v>3</v>
      </c>
      <c r="M534" s="18" t="s">
        <v>45</v>
      </c>
      <c r="N534" s="18">
        <v>1</v>
      </c>
      <c r="O534" s="18">
        <v>1</v>
      </c>
      <c r="P534" s="18">
        <v>11</v>
      </c>
      <c r="Q534" s="18">
        <v>4</v>
      </c>
      <c r="R534" s="18">
        <v>4</v>
      </c>
      <c r="S534" s="18">
        <v>14</v>
      </c>
      <c r="T534" s="18">
        <v>252.95</v>
      </c>
    </row>
    <row r="535" spans="1:20" x14ac:dyDescent="0.3">
      <c r="A535" s="18">
        <v>50534</v>
      </c>
      <c r="B535" s="18">
        <v>0</v>
      </c>
      <c r="C535" s="18">
        <v>12</v>
      </c>
      <c r="D535" s="18" t="s">
        <v>42</v>
      </c>
      <c r="E535" s="18">
        <v>2</v>
      </c>
      <c r="F535" s="18">
        <v>6</v>
      </c>
      <c r="G535" s="18" t="s">
        <v>37</v>
      </c>
      <c r="H535" s="18" t="s">
        <v>38</v>
      </c>
      <c r="I535" s="18">
        <v>2.2000000000000002</v>
      </c>
      <c r="J535" s="18">
        <v>2</v>
      </c>
      <c r="K535" s="18" t="s">
        <v>36</v>
      </c>
      <c r="L535" s="18">
        <v>5</v>
      </c>
      <c r="M535" s="18" t="s">
        <v>35</v>
      </c>
      <c r="N535" s="18">
        <v>1</v>
      </c>
      <c r="O535" s="18">
        <v>0</v>
      </c>
      <c r="P535" s="18">
        <v>11</v>
      </c>
      <c r="Q535" s="18">
        <v>3</v>
      </c>
      <c r="R535" s="18">
        <v>4</v>
      </c>
      <c r="S535" s="18">
        <v>1</v>
      </c>
      <c r="T535" s="18">
        <v>124.61</v>
      </c>
    </row>
    <row r="536" spans="1:20" x14ac:dyDescent="0.3">
      <c r="A536" s="18">
        <v>50535</v>
      </c>
      <c r="B536" s="18">
        <v>0</v>
      </c>
      <c r="C536" s="18">
        <v>2</v>
      </c>
      <c r="D536" s="18" t="s">
        <v>31</v>
      </c>
      <c r="E536" s="18">
        <v>1</v>
      </c>
      <c r="F536" s="18"/>
      <c r="G536" s="18" t="s">
        <v>43</v>
      </c>
      <c r="H536" s="18" t="s">
        <v>33</v>
      </c>
      <c r="I536" s="18">
        <v>1.3</v>
      </c>
      <c r="J536" s="18">
        <v>4</v>
      </c>
      <c r="K536" s="18" t="s">
        <v>36</v>
      </c>
      <c r="L536" s="18">
        <v>3</v>
      </c>
      <c r="M536" s="18" t="s">
        <v>35</v>
      </c>
      <c r="N536" s="18">
        <v>9</v>
      </c>
      <c r="O536" s="18">
        <v>0</v>
      </c>
      <c r="P536" s="18">
        <v>16.8</v>
      </c>
      <c r="Q536" s="18">
        <v>1</v>
      </c>
      <c r="R536" s="18">
        <v>4</v>
      </c>
      <c r="S536" s="18">
        <v>1</v>
      </c>
      <c r="T536" s="18">
        <v>140.62</v>
      </c>
    </row>
    <row r="537" spans="1:20" x14ac:dyDescent="0.3">
      <c r="A537" s="18">
        <v>50536</v>
      </c>
      <c r="B537" s="18">
        <v>0</v>
      </c>
      <c r="C537" s="18">
        <v>56</v>
      </c>
      <c r="D537" s="18" t="s">
        <v>36</v>
      </c>
      <c r="E537" s="18">
        <v>1</v>
      </c>
      <c r="F537" s="18">
        <v>29</v>
      </c>
      <c r="G537" s="18" t="s">
        <v>37</v>
      </c>
      <c r="H537" s="18" t="s">
        <v>38</v>
      </c>
      <c r="I537" s="18">
        <v>3.2</v>
      </c>
      <c r="J537" s="18">
        <v>2</v>
      </c>
      <c r="K537" s="18" t="s">
        <v>34</v>
      </c>
      <c r="L537" s="18">
        <v>2</v>
      </c>
      <c r="M537" s="18" t="s">
        <v>41</v>
      </c>
      <c r="N537" s="18">
        <v>2</v>
      </c>
      <c r="O537" s="18">
        <v>0</v>
      </c>
      <c r="P537" s="18"/>
      <c r="Q537" s="18"/>
      <c r="R537" s="18">
        <v>7</v>
      </c>
      <c r="S537" s="18">
        <v>11</v>
      </c>
      <c r="T537" s="18">
        <v>234.43</v>
      </c>
    </row>
    <row r="538" spans="1:20" x14ac:dyDescent="0.3">
      <c r="A538" s="18">
        <v>50537</v>
      </c>
      <c r="B538" s="18">
        <v>0</v>
      </c>
      <c r="C538" s="18">
        <v>36</v>
      </c>
      <c r="D538" s="18" t="s">
        <v>31</v>
      </c>
      <c r="E538" s="18">
        <v>1</v>
      </c>
      <c r="F538" s="18">
        <v>14</v>
      </c>
      <c r="G538" s="18" t="s">
        <v>37</v>
      </c>
      <c r="H538" s="18" t="s">
        <v>33</v>
      </c>
      <c r="I538" s="18">
        <v>3</v>
      </c>
      <c r="J538" s="18">
        <v>5</v>
      </c>
      <c r="K538" s="18" t="s">
        <v>44</v>
      </c>
      <c r="L538" s="18">
        <v>5</v>
      </c>
      <c r="M538" s="18" t="s">
        <v>35</v>
      </c>
      <c r="N538" s="18">
        <v>9</v>
      </c>
      <c r="O538" s="18">
        <v>0</v>
      </c>
      <c r="P538" s="18">
        <v>13.5</v>
      </c>
      <c r="Q538" s="18">
        <v>1</v>
      </c>
      <c r="R538" s="18">
        <v>6</v>
      </c>
      <c r="S538" s="18">
        <v>0</v>
      </c>
      <c r="T538" s="18">
        <v>163.21</v>
      </c>
    </row>
    <row r="539" spans="1:20" x14ac:dyDescent="0.3">
      <c r="A539" s="18">
        <v>50538</v>
      </c>
      <c r="B539" s="18">
        <v>0</v>
      </c>
      <c r="C539" s="18">
        <v>10</v>
      </c>
      <c r="D539" s="18" t="s">
        <v>42</v>
      </c>
      <c r="E539" s="18">
        <v>3</v>
      </c>
      <c r="F539" s="18">
        <v>5</v>
      </c>
      <c r="G539" s="18" t="s">
        <v>39</v>
      </c>
      <c r="H539" s="18" t="s">
        <v>33</v>
      </c>
      <c r="I539" s="18">
        <v>2.5</v>
      </c>
      <c r="J539" s="18">
        <v>2</v>
      </c>
      <c r="K539" s="18" t="s">
        <v>36</v>
      </c>
      <c r="L539" s="18">
        <v>3</v>
      </c>
      <c r="M539" s="18" t="s">
        <v>45</v>
      </c>
      <c r="N539" s="18">
        <v>1</v>
      </c>
      <c r="O539" s="18">
        <v>0</v>
      </c>
      <c r="P539" s="18">
        <v>14</v>
      </c>
      <c r="Q539" s="18">
        <v>2</v>
      </c>
      <c r="R539" s="18">
        <v>6</v>
      </c>
      <c r="S539" s="18">
        <v>5</v>
      </c>
      <c r="T539" s="18">
        <v>170.09</v>
      </c>
    </row>
    <row r="540" spans="1:20" x14ac:dyDescent="0.3">
      <c r="A540" s="18">
        <v>50539</v>
      </c>
      <c r="B540" s="18">
        <v>1</v>
      </c>
      <c r="C540" s="18">
        <v>2</v>
      </c>
      <c r="D540" s="18" t="s">
        <v>31</v>
      </c>
      <c r="E540" s="18">
        <v>3</v>
      </c>
      <c r="F540" s="18">
        <v>31</v>
      </c>
      <c r="G540" s="18" t="s">
        <v>39</v>
      </c>
      <c r="H540" s="18" t="s">
        <v>38</v>
      </c>
      <c r="I540" s="18"/>
      <c r="J540" s="18">
        <v>3</v>
      </c>
      <c r="K540" s="18" t="s">
        <v>40</v>
      </c>
      <c r="L540" s="18">
        <v>4</v>
      </c>
      <c r="M540" s="18" t="s">
        <v>45</v>
      </c>
      <c r="N540" s="18">
        <v>1</v>
      </c>
      <c r="O540" s="18">
        <v>0</v>
      </c>
      <c r="P540" s="18">
        <v>13.3</v>
      </c>
      <c r="Q540" s="18">
        <v>1</v>
      </c>
      <c r="R540" s="18">
        <v>4</v>
      </c>
      <c r="S540" s="18">
        <v>1</v>
      </c>
      <c r="T540" s="18">
        <v>168.89</v>
      </c>
    </row>
    <row r="541" spans="1:20" x14ac:dyDescent="0.3">
      <c r="A541" s="18">
        <v>50540</v>
      </c>
      <c r="B541" s="18">
        <v>1</v>
      </c>
      <c r="C541" s="18">
        <v>11</v>
      </c>
      <c r="D541" s="18" t="s">
        <v>36</v>
      </c>
      <c r="E541" s="18">
        <v>1</v>
      </c>
      <c r="F541" s="18">
        <v>27</v>
      </c>
      <c r="G541" s="18" t="s">
        <v>32</v>
      </c>
      <c r="H541" s="18" t="s">
        <v>33</v>
      </c>
      <c r="I541" s="18">
        <v>3.3</v>
      </c>
      <c r="J541" s="18">
        <v>5</v>
      </c>
      <c r="K541" s="18" t="s">
        <v>44</v>
      </c>
      <c r="L541" s="18">
        <v>3</v>
      </c>
      <c r="M541" s="18" t="s">
        <v>45</v>
      </c>
      <c r="N541" s="18">
        <v>1</v>
      </c>
      <c r="O541" s="18">
        <v>0</v>
      </c>
      <c r="P541" s="18"/>
      <c r="Q541" s="18">
        <v>3</v>
      </c>
      <c r="R541" s="18">
        <v>5</v>
      </c>
      <c r="S541" s="18">
        <v>4</v>
      </c>
      <c r="T541" s="18">
        <v>199.12</v>
      </c>
    </row>
    <row r="542" spans="1:20" x14ac:dyDescent="0.3">
      <c r="A542" s="18">
        <v>50541</v>
      </c>
      <c r="B542" s="18">
        <v>0</v>
      </c>
      <c r="C542" s="18">
        <v>0</v>
      </c>
      <c r="D542" s="18" t="s">
        <v>36</v>
      </c>
      <c r="E542" s="18">
        <v>3</v>
      </c>
      <c r="F542" s="18">
        <v>20</v>
      </c>
      <c r="G542" s="18" t="s">
        <v>39</v>
      </c>
      <c r="H542" s="18" t="s">
        <v>38</v>
      </c>
      <c r="I542" s="18">
        <v>2.7</v>
      </c>
      <c r="J542" s="18">
        <v>4</v>
      </c>
      <c r="K542" s="18" t="s">
        <v>40</v>
      </c>
      <c r="L542" s="18">
        <v>3</v>
      </c>
      <c r="M542" s="18" t="s">
        <v>41</v>
      </c>
      <c r="N542" s="18">
        <v>4</v>
      </c>
      <c r="O542" s="18">
        <v>0</v>
      </c>
      <c r="P542" s="18">
        <v>18.399999999999999</v>
      </c>
      <c r="Q542" s="18">
        <v>0</v>
      </c>
      <c r="R542" s="18">
        <v>3</v>
      </c>
      <c r="S542" s="18">
        <v>4</v>
      </c>
      <c r="T542" s="18">
        <v>167.55</v>
      </c>
    </row>
    <row r="543" spans="1:20" x14ac:dyDescent="0.3">
      <c r="A543" s="18">
        <v>50542</v>
      </c>
      <c r="B543" s="18">
        <v>0</v>
      </c>
      <c r="C543" s="18">
        <v>0</v>
      </c>
      <c r="D543" s="18" t="s">
        <v>42</v>
      </c>
      <c r="E543" s="18">
        <v>1</v>
      </c>
      <c r="F543" s="18">
        <v>8</v>
      </c>
      <c r="G543" s="18" t="s">
        <v>47</v>
      </c>
      <c r="H543" s="18" t="s">
        <v>33</v>
      </c>
      <c r="I543" s="18">
        <v>3.3</v>
      </c>
      <c r="J543" s="18">
        <v>3</v>
      </c>
      <c r="K543" s="18" t="s">
        <v>44</v>
      </c>
      <c r="L543" s="18">
        <v>4</v>
      </c>
      <c r="M543" s="18" t="s">
        <v>35</v>
      </c>
      <c r="N543" s="18">
        <v>2</v>
      </c>
      <c r="O543" s="18">
        <v>0</v>
      </c>
      <c r="P543" s="18">
        <v>11.9</v>
      </c>
      <c r="Q543" s="18">
        <v>0</v>
      </c>
      <c r="R543" s="18">
        <v>2</v>
      </c>
      <c r="S543" s="18">
        <v>2</v>
      </c>
      <c r="T543" s="18">
        <v>186.28</v>
      </c>
    </row>
    <row r="544" spans="1:20" x14ac:dyDescent="0.3">
      <c r="A544" s="18">
        <v>50543</v>
      </c>
      <c r="B544" s="18">
        <v>0</v>
      </c>
      <c r="C544" s="18">
        <v>2</v>
      </c>
      <c r="D544" s="18" t="s">
        <v>31</v>
      </c>
      <c r="E544" s="18">
        <v>1</v>
      </c>
      <c r="F544" s="18">
        <v>14</v>
      </c>
      <c r="G544" s="18" t="s">
        <v>43</v>
      </c>
      <c r="H544" s="18" t="s">
        <v>33</v>
      </c>
      <c r="I544" s="18">
        <v>4.2</v>
      </c>
      <c r="J544" s="18">
        <v>2</v>
      </c>
      <c r="K544" s="18" t="s">
        <v>46</v>
      </c>
      <c r="L544" s="18">
        <v>4</v>
      </c>
      <c r="M544" s="18" t="s">
        <v>45</v>
      </c>
      <c r="N544" s="18">
        <v>9</v>
      </c>
      <c r="O544" s="18">
        <v>0</v>
      </c>
      <c r="P544" s="18">
        <v>15.1</v>
      </c>
      <c r="Q544" s="18">
        <v>0</v>
      </c>
      <c r="R544" s="18">
        <v>2</v>
      </c>
      <c r="S544" s="18">
        <v>18</v>
      </c>
      <c r="T544" s="18">
        <v>152.30000000000001</v>
      </c>
    </row>
    <row r="545" spans="1:20" x14ac:dyDescent="0.3">
      <c r="A545" s="18">
        <v>50544</v>
      </c>
      <c r="B545" s="18">
        <v>0</v>
      </c>
      <c r="C545" s="18">
        <v>6</v>
      </c>
      <c r="D545" s="18" t="s">
        <v>31</v>
      </c>
      <c r="E545" s="18">
        <v>3</v>
      </c>
      <c r="F545" s="18">
        <v>13</v>
      </c>
      <c r="G545" s="18" t="s">
        <v>39</v>
      </c>
      <c r="H545" s="18" t="s">
        <v>33</v>
      </c>
      <c r="I545" s="18">
        <v>1.4</v>
      </c>
      <c r="J545" s="18">
        <v>2</v>
      </c>
      <c r="K545" s="18" t="s">
        <v>36</v>
      </c>
      <c r="L545" s="18">
        <v>3</v>
      </c>
      <c r="M545" s="18" t="s">
        <v>41</v>
      </c>
      <c r="N545" s="18">
        <v>1</v>
      </c>
      <c r="O545" s="18">
        <v>1</v>
      </c>
      <c r="P545" s="18">
        <v>12.8</v>
      </c>
      <c r="Q545" s="18">
        <v>4</v>
      </c>
      <c r="R545" s="18">
        <v>4</v>
      </c>
      <c r="S545" s="18"/>
      <c r="T545" s="18">
        <v>199.35</v>
      </c>
    </row>
    <row r="546" spans="1:20" x14ac:dyDescent="0.3">
      <c r="A546" s="18">
        <v>50545</v>
      </c>
      <c r="B546" s="18">
        <v>0</v>
      </c>
      <c r="C546" s="18">
        <v>20</v>
      </c>
      <c r="D546" s="18" t="s">
        <v>42</v>
      </c>
      <c r="E546" s="18">
        <v>3</v>
      </c>
      <c r="F546" s="18">
        <v>17</v>
      </c>
      <c r="G546" s="18" t="s">
        <v>47</v>
      </c>
      <c r="H546" s="18" t="s">
        <v>33</v>
      </c>
      <c r="I546" s="18">
        <v>2.4</v>
      </c>
      <c r="J546" s="18">
        <v>4</v>
      </c>
      <c r="K546" s="18" t="s">
        <v>36</v>
      </c>
      <c r="L546" s="18">
        <v>2</v>
      </c>
      <c r="M546" s="18" t="s">
        <v>35</v>
      </c>
      <c r="N546" s="18">
        <v>4</v>
      </c>
      <c r="O546" s="18">
        <v>0</v>
      </c>
      <c r="P546" s="18">
        <v>11</v>
      </c>
      <c r="Q546" s="18">
        <v>2</v>
      </c>
      <c r="R546" s="18">
        <v>1</v>
      </c>
      <c r="S546" s="18">
        <v>2</v>
      </c>
      <c r="T546" s="18">
        <v>197.26</v>
      </c>
    </row>
    <row r="547" spans="1:20" x14ac:dyDescent="0.3">
      <c r="A547" s="18">
        <v>50546</v>
      </c>
      <c r="B547" s="18">
        <v>1</v>
      </c>
      <c r="C547" s="18">
        <v>12</v>
      </c>
      <c r="D547" s="18" t="s">
        <v>42</v>
      </c>
      <c r="E547" s="18">
        <v>3</v>
      </c>
      <c r="F547" s="18">
        <v>26</v>
      </c>
      <c r="G547" s="18" t="s">
        <v>39</v>
      </c>
      <c r="H547" s="18" t="s">
        <v>38</v>
      </c>
      <c r="I547" s="18">
        <v>2.8</v>
      </c>
      <c r="J547" s="18">
        <v>5</v>
      </c>
      <c r="K547" s="18" t="s">
        <v>36</v>
      </c>
      <c r="L547" s="18">
        <v>5</v>
      </c>
      <c r="M547" s="18" t="s">
        <v>35</v>
      </c>
      <c r="N547" s="18">
        <v>1</v>
      </c>
      <c r="O547" s="18">
        <v>0</v>
      </c>
      <c r="P547" s="18">
        <v>19</v>
      </c>
      <c r="Q547" s="18">
        <v>0</v>
      </c>
      <c r="R547" s="18">
        <v>5</v>
      </c>
      <c r="S547" s="18">
        <v>2</v>
      </c>
      <c r="T547" s="18">
        <v>284.38</v>
      </c>
    </row>
    <row r="548" spans="1:20" x14ac:dyDescent="0.3">
      <c r="A548" s="18">
        <v>50547</v>
      </c>
      <c r="B548" s="18">
        <v>0</v>
      </c>
      <c r="C548" s="18">
        <v>13</v>
      </c>
      <c r="D548" s="18" t="s">
        <v>42</v>
      </c>
      <c r="E548" s="18">
        <v>2</v>
      </c>
      <c r="F548" s="18">
        <v>22</v>
      </c>
      <c r="G548" s="18" t="s">
        <v>47</v>
      </c>
      <c r="H548" s="18" t="s">
        <v>33</v>
      </c>
      <c r="I548" s="18">
        <v>3.9</v>
      </c>
      <c r="J548" s="18">
        <v>3</v>
      </c>
      <c r="K548" s="18" t="s">
        <v>44</v>
      </c>
      <c r="L548" s="18">
        <v>1</v>
      </c>
      <c r="M548" s="18" t="s">
        <v>35</v>
      </c>
      <c r="N548" s="18">
        <v>1</v>
      </c>
      <c r="O548" s="18">
        <v>1</v>
      </c>
      <c r="P548" s="18">
        <v>14.2</v>
      </c>
      <c r="Q548" s="18">
        <v>2</v>
      </c>
      <c r="R548" s="18">
        <v>3</v>
      </c>
      <c r="S548" s="18">
        <v>4</v>
      </c>
      <c r="T548" s="18">
        <v>159.03</v>
      </c>
    </row>
    <row r="549" spans="1:20" x14ac:dyDescent="0.3">
      <c r="A549" s="18">
        <v>50548</v>
      </c>
      <c r="B549" s="18">
        <v>0</v>
      </c>
      <c r="C549" s="18">
        <v>5</v>
      </c>
      <c r="D549" s="18" t="s">
        <v>36</v>
      </c>
      <c r="E549" s="18">
        <v>1</v>
      </c>
      <c r="F549" s="18">
        <v>6</v>
      </c>
      <c r="G549" s="18" t="s">
        <v>39</v>
      </c>
      <c r="H549" s="18" t="s">
        <v>38</v>
      </c>
      <c r="I549" s="18">
        <v>1.8</v>
      </c>
      <c r="J549" s="18">
        <v>2</v>
      </c>
      <c r="K549" s="18" t="s">
        <v>44</v>
      </c>
      <c r="L549" s="18">
        <v>5</v>
      </c>
      <c r="M549" s="18" t="s">
        <v>45</v>
      </c>
      <c r="N549" s="18">
        <v>2</v>
      </c>
      <c r="O549" s="18">
        <v>0</v>
      </c>
      <c r="P549" s="18">
        <v>16.7</v>
      </c>
      <c r="Q549" s="18">
        <v>2</v>
      </c>
      <c r="R549" s="18">
        <v>7</v>
      </c>
      <c r="S549" s="18">
        <v>2</v>
      </c>
      <c r="T549" s="18">
        <v>169.87</v>
      </c>
    </row>
    <row r="550" spans="1:20" x14ac:dyDescent="0.3">
      <c r="A550" s="18">
        <v>50549</v>
      </c>
      <c r="B550" s="18">
        <v>0</v>
      </c>
      <c r="C550" s="18">
        <v>4</v>
      </c>
      <c r="D550" s="18" t="s">
        <v>36</v>
      </c>
      <c r="E550" s="18">
        <v>3</v>
      </c>
      <c r="F550" s="18">
        <v>26</v>
      </c>
      <c r="G550" s="18" t="s">
        <v>47</v>
      </c>
      <c r="H550" s="18" t="s">
        <v>38</v>
      </c>
      <c r="I550" s="18">
        <v>4.3</v>
      </c>
      <c r="J550" s="18">
        <v>1</v>
      </c>
      <c r="K550" s="18" t="s">
        <v>36</v>
      </c>
      <c r="L550" s="18">
        <v>3</v>
      </c>
      <c r="M550" s="18" t="s">
        <v>35</v>
      </c>
      <c r="N550" s="18">
        <v>2</v>
      </c>
      <c r="O550" s="18">
        <v>0</v>
      </c>
      <c r="P550" s="18">
        <v>11</v>
      </c>
      <c r="Q550" s="18">
        <v>3</v>
      </c>
      <c r="R550" s="18">
        <v>5</v>
      </c>
      <c r="S550" s="18">
        <v>0</v>
      </c>
      <c r="T550" s="18">
        <v>193.14</v>
      </c>
    </row>
    <row r="551" spans="1:20" x14ac:dyDescent="0.3">
      <c r="A551" s="18">
        <v>50550</v>
      </c>
      <c r="B551" s="18">
        <v>0</v>
      </c>
      <c r="C551" s="18">
        <v>4</v>
      </c>
      <c r="D551" s="18" t="s">
        <v>31</v>
      </c>
      <c r="E551" s="18">
        <v>1</v>
      </c>
      <c r="F551" s="18">
        <v>17</v>
      </c>
      <c r="G551" s="18" t="s">
        <v>39</v>
      </c>
      <c r="H551" s="18" t="s">
        <v>38</v>
      </c>
      <c r="I551" s="18">
        <v>3</v>
      </c>
      <c r="J551" s="18">
        <v>2</v>
      </c>
      <c r="K551" s="18" t="s">
        <v>36</v>
      </c>
      <c r="L551" s="18">
        <v>4</v>
      </c>
      <c r="M551" s="18" t="s">
        <v>35</v>
      </c>
      <c r="N551" s="18">
        <v>1</v>
      </c>
      <c r="O551" s="18">
        <v>1</v>
      </c>
      <c r="P551" s="18">
        <v>13.4</v>
      </c>
      <c r="Q551" s="18">
        <v>3</v>
      </c>
      <c r="R551" s="18">
        <v>3</v>
      </c>
      <c r="S551" s="18">
        <v>14</v>
      </c>
      <c r="T551" s="18">
        <v>233.04</v>
      </c>
    </row>
    <row r="552" spans="1:20" x14ac:dyDescent="0.3">
      <c r="A552" s="18">
        <v>50551</v>
      </c>
      <c r="B552" s="18">
        <v>0</v>
      </c>
      <c r="C552" s="18">
        <v>43</v>
      </c>
      <c r="D552" s="18" t="s">
        <v>31</v>
      </c>
      <c r="E552" s="18">
        <v>2</v>
      </c>
      <c r="F552" s="18">
        <v>20</v>
      </c>
      <c r="G552" s="18" t="s">
        <v>37</v>
      </c>
      <c r="H552" s="18" t="s">
        <v>33</v>
      </c>
      <c r="I552" s="18">
        <v>2.8</v>
      </c>
      <c r="J552" s="18">
        <v>3</v>
      </c>
      <c r="K552" s="18" t="s">
        <v>36</v>
      </c>
      <c r="L552" s="18">
        <v>5</v>
      </c>
      <c r="M552" s="18" t="s">
        <v>35</v>
      </c>
      <c r="N552" s="18">
        <v>1</v>
      </c>
      <c r="O552" s="18">
        <v>1</v>
      </c>
      <c r="P552" s="18">
        <v>18.600000000000001</v>
      </c>
      <c r="Q552" s="18">
        <v>1</v>
      </c>
      <c r="R552" s="18">
        <v>6</v>
      </c>
      <c r="S552" s="18">
        <v>2</v>
      </c>
      <c r="T552" s="18">
        <v>119.96</v>
      </c>
    </row>
    <row r="553" spans="1:20" x14ac:dyDescent="0.3">
      <c r="A553" s="18">
        <v>50552</v>
      </c>
      <c r="B553" s="18">
        <v>0</v>
      </c>
      <c r="C553" s="18">
        <v>0</v>
      </c>
      <c r="D553" s="18" t="s">
        <v>31</v>
      </c>
      <c r="E553" s="18">
        <v>1</v>
      </c>
      <c r="F553" s="18">
        <v>26</v>
      </c>
      <c r="G553" s="18" t="s">
        <v>37</v>
      </c>
      <c r="H553" s="18" t="s">
        <v>38</v>
      </c>
      <c r="I553" s="18">
        <v>2.8</v>
      </c>
      <c r="J553" s="18">
        <v>5</v>
      </c>
      <c r="K553" s="18" t="s">
        <v>36</v>
      </c>
      <c r="L553" s="18">
        <v>2</v>
      </c>
      <c r="M553" s="18" t="s">
        <v>35</v>
      </c>
      <c r="N553" s="18">
        <v>1</v>
      </c>
      <c r="O553" s="18">
        <v>0</v>
      </c>
      <c r="P553" s="18">
        <v>25.1</v>
      </c>
      <c r="Q553" s="18">
        <v>1</v>
      </c>
      <c r="R553" s="18">
        <v>2</v>
      </c>
      <c r="S553" s="18">
        <v>2</v>
      </c>
      <c r="T553" s="18">
        <v>185.7</v>
      </c>
    </row>
    <row r="554" spans="1:20" x14ac:dyDescent="0.3">
      <c r="A554" s="18">
        <v>50553</v>
      </c>
      <c r="B554" s="18">
        <v>0</v>
      </c>
      <c r="C554" s="18">
        <v>20</v>
      </c>
      <c r="D554" s="18" t="s">
        <v>36</v>
      </c>
      <c r="E554" s="18">
        <v>2</v>
      </c>
      <c r="F554" s="18">
        <v>6</v>
      </c>
      <c r="G554" s="18" t="s">
        <v>39</v>
      </c>
      <c r="H554" s="18" t="s">
        <v>33</v>
      </c>
      <c r="I554" s="18">
        <v>2.6</v>
      </c>
      <c r="J554" s="18">
        <v>4</v>
      </c>
      <c r="K554" s="18" t="s">
        <v>36</v>
      </c>
      <c r="L554" s="18">
        <v>4</v>
      </c>
      <c r="M554" s="18" t="s">
        <v>35</v>
      </c>
      <c r="N554" s="18">
        <v>1</v>
      </c>
      <c r="O554" s="18">
        <v>1</v>
      </c>
      <c r="P554" s="18">
        <v>11</v>
      </c>
      <c r="Q554" s="18">
        <v>1</v>
      </c>
      <c r="R554" s="18">
        <v>8</v>
      </c>
      <c r="S554" s="18">
        <v>2</v>
      </c>
      <c r="T554" s="18">
        <v>42.07</v>
      </c>
    </row>
    <row r="555" spans="1:20" x14ac:dyDescent="0.3">
      <c r="A555" s="18">
        <v>50554</v>
      </c>
      <c r="B555" s="18">
        <v>0</v>
      </c>
      <c r="C555" s="18">
        <v>8</v>
      </c>
      <c r="D555" s="18" t="s">
        <v>31</v>
      </c>
      <c r="E555" s="18">
        <v>1</v>
      </c>
      <c r="F555" s="18">
        <v>14</v>
      </c>
      <c r="G555" s="18" t="s">
        <v>47</v>
      </c>
      <c r="H555" s="18" t="s">
        <v>33</v>
      </c>
      <c r="I555" s="18">
        <v>3.6</v>
      </c>
      <c r="J555" s="18">
        <v>4</v>
      </c>
      <c r="K555" s="18" t="s">
        <v>40</v>
      </c>
      <c r="L555" s="18">
        <v>4</v>
      </c>
      <c r="M555" s="18" t="s">
        <v>35</v>
      </c>
      <c r="N555" s="18">
        <v>1</v>
      </c>
      <c r="O555" s="18">
        <v>1</v>
      </c>
      <c r="P555" s="18">
        <v>15.3</v>
      </c>
      <c r="Q555" s="18">
        <v>0</v>
      </c>
      <c r="R555" s="18">
        <v>3</v>
      </c>
      <c r="S555" s="18"/>
      <c r="T555" s="18">
        <v>165.07</v>
      </c>
    </row>
    <row r="556" spans="1:20" x14ac:dyDescent="0.3">
      <c r="A556" s="18">
        <v>50555</v>
      </c>
      <c r="B556" s="18">
        <v>0</v>
      </c>
      <c r="C556" s="18">
        <v>5</v>
      </c>
      <c r="D556" s="18" t="s">
        <v>31</v>
      </c>
      <c r="E556" s="18">
        <v>1</v>
      </c>
      <c r="F556" s="18">
        <v>10</v>
      </c>
      <c r="G556" s="18" t="s">
        <v>39</v>
      </c>
      <c r="H556" s="18" t="s">
        <v>33</v>
      </c>
      <c r="I556" s="18">
        <v>2.2000000000000002</v>
      </c>
      <c r="J556" s="18">
        <v>3</v>
      </c>
      <c r="K556" s="18" t="s">
        <v>44</v>
      </c>
      <c r="L556" s="18">
        <v>4</v>
      </c>
      <c r="M556" s="18" t="s">
        <v>35</v>
      </c>
      <c r="N556" s="18">
        <v>1</v>
      </c>
      <c r="O556" s="18">
        <v>0</v>
      </c>
      <c r="P556" s="18">
        <v>17.399999999999999</v>
      </c>
      <c r="Q556" s="18">
        <v>1</v>
      </c>
      <c r="R556" s="18">
        <v>2</v>
      </c>
      <c r="S556" s="18">
        <v>0</v>
      </c>
      <c r="T556" s="18">
        <v>239</v>
      </c>
    </row>
    <row r="557" spans="1:20" x14ac:dyDescent="0.3">
      <c r="A557" s="18">
        <v>50556</v>
      </c>
      <c r="B557" s="18">
        <v>0</v>
      </c>
      <c r="C557" s="18">
        <v>12</v>
      </c>
      <c r="D557" s="18" t="s">
        <v>36</v>
      </c>
      <c r="E557" s="18">
        <v>3</v>
      </c>
      <c r="F557" s="18">
        <v>5</v>
      </c>
      <c r="G557" s="18" t="s">
        <v>47</v>
      </c>
      <c r="H557" s="18" t="s">
        <v>33</v>
      </c>
      <c r="I557" s="18">
        <v>3.1</v>
      </c>
      <c r="J557" s="18">
        <v>3</v>
      </c>
      <c r="K557" s="18" t="s">
        <v>44</v>
      </c>
      <c r="L557" s="18">
        <v>3</v>
      </c>
      <c r="M557" s="18" t="s">
        <v>41</v>
      </c>
      <c r="N557" s="18">
        <v>1</v>
      </c>
      <c r="O557" s="18">
        <v>0</v>
      </c>
      <c r="P557" s="18">
        <v>13.8</v>
      </c>
      <c r="Q557" s="18">
        <v>1</v>
      </c>
      <c r="R557" s="18">
        <v>6</v>
      </c>
      <c r="S557" s="18">
        <v>0</v>
      </c>
      <c r="T557" s="18">
        <v>140.06</v>
      </c>
    </row>
    <row r="558" spans="1:20" x14ac:dyDescent="0.3">
      <c r="A558" s="18">
        <v>50557</v>
      </c>
      <c r="B558" s="18">
        <v>0</v>
      </c>
      <c r="C558" s="18">
        <v>6</v>
      </c>
      <c r="D558" s="18" t="s">
        <v>36</v>
      </c>
      <c r="E558" s="18">
        <v>1</v>
      </c>
      <c r="F558" s="18">
        <v>17</v>
      </c>
      <c r="G558" s="18" t="s">
        <v>39</v>
      </c>
      <c r="H558" s="18" t="s">
        <v>33</v>
      </c>
      <c r="I558" s="18">
        <v>2.6</v>
      </c>
      <c r="J558" s="18">
        <v>5</v>
      </c>
      <c r="K558" s="18" t="s">
        <v>40</v>
      </c>
      <c r="L558" s="18">
        <v>4</v>
      </c>
      <c r="M558" s="18" t="s">
        <v>41</v>
      </c>
      <c r="N558" s="18">
        <v>12</v>
      </c>
      <c r="O558" s="18">
        <v>0</v>
      </c>
      <c r="P558" s="18"/>
      <c r="Q558" s="18">
        <v>0</v>
      </c>
      <c r="R558" s="18">
        <v>4</v>
      </c>
      <c r="S558" s="18">
        <v>0</v>
      </c>
      <c r="T558" s="18">
        <v>189.73</v>
      </c>
    </row>
    <row r="559" spans="1:20" x14ac:dyDescent="0.3">
      <c r="A559" s="18">
        <v>50558</v>
      </c>
      <c r="B559" s="18">
        <v>0</v>
      </c>
      <c r="C559" s="18">
        <v>20</v>
      </c>
      <c r="D559" s="18" t="s">
        <v>36</v>
      </c>
      <c r="E559" s="18">
        <v>2</v>
      </c>
      <c r="F559" s="18">
        <v>35</v>
      </c>
      <c r="G559" s="18" t="s">
        <v>47</v>
      </c>
      <c r="H559" s="18" t="s">
        <v>38</v>
      </c>
      <c r="I559" s="18">
        <v>2.4</v>
      </c>
      <c r="J559" s="18">
        <v>3</v>
      </c>
      <c r="K559" s="18" t="s">
        <v>46</v>
      </c>
      <c r="L559" s="18">
        <v>4</v>
      </c>
      <c r="M559" s="18" t="s">
        <v>35</v>
      </c>
      <c r="N559" s="18">
        <v>10</v>
      </c>
      <c r="O559" s="18">
        <v>0</v>
      </c>
      <c r="P559" s="18">
        <v>13</v>
      </c>
      <c r="Q559" s="18">
        <v>2</v>
      </c>
      <c r="R559" s="18">
        <v>2</v>
      </c>
      <c r="S559" s="18">
        <v>1</v>
      </c>
      <c r="T559" s="18">
        <v>150.91</v>
      </c>
    </row>
    <row r="560" spans="1:20" x14ac:dyDescent="0.3">
      <c r="A560" s="18">
        <v>50559</v>
      </c>
      <c r="B560" s="18">
        <v>0</v>
      </c>
      <c r="C560" s="18">
        <v>23</v>
      </c>
      <c r="D560" s="18" t="s">
        <v>36</v>
      </c>
      <c r="E560" s="18">
        <v>1</v>
      </c>
      <c r="F560" s="18">
        <v>5</v>
      </c>
      <c r="G560" s="18" t="s">
        <v>39</v>
      </c>
      <c r="H560" s="18" t="s">
        <v>33</v>
      </c>
      <c r="I560" s="18">
        <v>4.7</v>
      </c>
      <c r="J560" s="18">
        <v>1</v>
      </c>
      <c r="K560" s="18" t="s">
        <v>44</v>
      </c>
      <c r="L560" s="18">
        <v>5</v>
      </c>
      <c r="M560" s="18" t="s">
        <v>45</v>
      </c>
      <c r="N560" s="18">
        <v>2</v>
      </c>
      <c r="O560" s="18">
        <v>0</v>
      </c>
      <c r="P560" s="18">
        <v>16.5</v>
      </c>
      <c r="Q560" s="18">
        <v>1</v>
      </c>
      <c r="R560" s="18">
        <v>7</v>
      </c>
      <c r="S560" s="18">
        <v>2</v>
      </c>
      <c r="T560" s="18">
        <v>132.72999999999999</v>
      </c>
    </row>
    <row r="561" spans="1:20" x14ac:dyDescent="0.3">
      <c r="A561" s="18">
        <v>50560</v>
      </c>
      <c r="B561" s="18">
        <v>0</v>
      </c>
      <c r="C561" s="18">
        <v>5</v>
      </c>
      <c r="D561" s="18" t="s">
        <v>36</v>
      </c>
      <c r="E561" s="18">
        <v>1</v>
      </c>
      <c r="F561" s="18">
        <v>14</v>
      </c>
      <c r="G561" s="18" t="s">
        <v>37</v>
      </c>
      <c r="H561" s="18" t="s">
        <v>33</v>
      </c>
      <c r="I561" s="18">
        <v>3.2</v>
      </c>
      <c r="J561" s="18">
        <v>3</v>
      </c>
      <c r="K561" s="18" t="s">
        <v>36</v>
      </c>
      <c r="L561" s="18">
        <v>4</v>
      </c>
      <c r="M561" s="18" t="s">
        <v>41</v>
      </c>
      <c r="N561" s="18">
        <v>18</v>
      </c>
      <c r="O561" s="18">
        <v>1</v>
      </c>
      <c r="P561" s="18">
        <v>14.2</v>
      </c>
      <c r="Q561" s="18">
        <v>2</v>
      </c>
      <c r="R561" s="18">
        <v>6</v>
      </c>
      <c r="S561" s="18">
        <v>4</v>
      </c>
      <c r="T561" s="18">
        <v>233.43</v>
      </c>
    </row>
    <row r="562" spans="1:20" x14ac:dyDescent="0.3">
      <c r="A562" s="18">
        <v>50561</v>
      </c>
      <c r="B562" s="18">
        <v>1</v>
      </c>
      <c r="C562" s="18">
        <v>3</v>
      </c>
      <c r="D562" s="18" t="s">
        <v>36</v>
      </c>
      <c r="E562" s="18">
        <v>1</v>
      </c>
      <c r="F562" s="18">
        <v>20</v>
      </c>
      <c r="G562" s="18" t="s">
        <v>39</v>
      </c>
      <c r="H562" s="18" t="s">
        <v>38</v>
      </c>
      <c r="I562" s="18">
        <v>3.3</v>
      </c>
      <c r="J562" s="18">
        <v>2</v>
      </c>
      <c r="K562" s="18" t="s">
        <v>36</v>
      </c>
      <c r="L562" s="18">
        <v>3</v>
      </c>
      <c r="M562" s="18" t="s">
        <v>41</v>
      </c>
      <c r="N562" s="18">
        <v>3</v>
      </c>
      <c r="O562" s="18">
        <v>0</v>
      </c>
      <c r="P562" s="18">
        <v>20.3</v>
      </c>
      <c r="Q562" s="18"/>
      <c r="R562" s="18">
        <v>5</v>
      </c>
      <c r="S562" s="18">
        <v>4</v>
      </c>
      <c r="T562" s="18">
        <v>122.51</v>
      </c>
    </row>
    <row r="563" spans="1:20" x14ac:dyDescent="0.3">
      <c r="A563" s="18">
        <v>50562</v>
      </c>
      <c r="B563" s="18">
        <v>0</v>
      </c>
      <c r="C563" s="18">
        <v>8</v>
      </c>
      <c r="D563" s="18" t="s">
        <v>36</v>
      </c>
      <c r="E563" s="18">
        <v>1</v>
      </c>
      <c r="F563" s="18">
        <v>15</v>
      </c>
      <c r="G563" s="18" t="s">
        <v>47</v>
      </c>
      <c r="H563" s="18" t="s">
        <v>33</v>
      </c>
      <c r="I563" s="18">
        <v>3.7</v>
      </c>
      <c r="J563" s="18">
        <v>3</v>
      </c>
      <c r="K563" s="18" t="s">
        <v>36</v>
      </c>
      <c r="L563" s="18">
        <v>5</v>
      </c>
      <c r="M563" s="18" t="s">
        <v>41</v>
      </c>
      <c r="N563" s="18">
        <v>1</v>
      </c>
      <c r="O563" s="18">
        <v>0</v>
      </c>
      <c r="P563" s="18">
        <v>13.6</v>
      </c>
      <c r="Q563" s="18">
        <v>2</v>
      </c>
      <c r="R563" s="18">
        <v>5</v>
      </c>
      <c r="S563" s="18">
        <v>0</v>
      </c>
      <c r="T563" s="18">
        <v>196.11</v>
      </c>
    </row>
    <row r="564" spans="1:20" x14ac:dyDescent="0.3">
      <c r="A564" s="18">
        <v>50563</v>
      </c>
      <c r="B564" s="18">
        <v>1</v>
      </c>
      <c r="C564" s="18">
        <v>24</v>
      </c>
      <c r="D564" s="18" t="s">
        <v>31</v>
      </c>
      <c r="E564" s="18">
        <v>3</v>
      </c>
      <c r="F564" s="18">
        <v>14</v>
      </c>
      <c r="G564" s="18" t="s">
        <v>39</v>
      </c>
      <c r="H564" s="18" t="s">
        <v>33</v>
      </c>
      <c r="I564" s="18">
        <v>1.9</v>
      </c>
      <c r="J564" s="18">
        <v>4</v>
      </c>
      <c r="K564" s="18" t="s">
        <v>40</v>
      </c>
      <c r="L564" s="18">
        <v>3</v>
      </c>
      <c r="M564" s="18" t="s">
        <v>35</v>
      </c>
      <c r="N564" s="18">
        <v>1</v>
      </c>
      <c r="O564" s="18">
        <v>0</v>
      </c>
      <c r="P564" s="18">
        <v>14.8</v>
      </c>
      <c r="Q564" s="18">
        <v>0</v>
      </c>
      <c r="R564" s="18">
        <v>4</v>
      </c>
      <c r="S564" s="18">
        <v>12</v>
      </c>
      <c r="T564" s="18">
        <v>196.96</v>
      </c>
    </row>
    <row r="565" spans="1:20" x14ac:dyDescent="0.3">
      <c r="A565" s="18">
        <v>50564</v>
      </c>
      <c r="B565" s="18">
        <v>0</v>
      </c>
      <c r="C565" s="18">
        <v>2</v>
      </c>
      <c r="D565" s="18" t="s">
        <v>31</v>
      </c>
      <c r="E565" s="18">
        <v>1</v>
      </c>
      <c r="F565" s="18">
        <v>5</v>
      </c>
      <c r="G565" s="18" t="s">
        <v>32</v>
      </c>
      <c r="H565" s="18" t="s">
        <v>33</v>
      </c>
      <c r="I565" s="18">
        <v>4.0999999999999996</v>
      </c>
      <c r="J565" s="18">
        <v>3</v>
      </c>
      <c r="K565" s="18" t="s">
        <v>44</v>
      </c>
      <c r="L565" s="18">
        <v>1</v>
      </c>
      <c r="M565" s="18" t="s">
        <v>45</v>
      </c>
      <c r="N565" s="18">
        <v>8</v>
      </c>
      <c r="O565" s="18">
        <v>0</v>
      </c>
      <c r="P565" s="18">
        <v>19.3</v>
      </c>
      <c r="Q565" s="18">
        <v>3</v>
      </c>
      <c r="R565" s="18">
        <v>5</v>
      </c>
      <c r="S565" s="18">
        <v>8</v>
      </c>
      <c r="T565" s="18">
        <v>133.15</v>
      </c>
    </row>
    <row r="566" spans="1:20" x14ac:dyDescent="0.3">
      <c r="A566" s="18">
        <v>50565</v>
      </c>
      <c r="B566" s="18">
        <v>0</v>
      </c>
      <c r="C566" s="18">
        <v>9</v>
      </c>
      <c r="D566" s="18" t="s">
        <v>42</v>
      </c>
      <c r="E566" s="18">
        <v>3</v>
      </c>
      <c r="F566" s="18">
        <v>16</v>
      </c>
      <c r="G566" s="18" t="s">
        <v>32</v>
      </c>
      <c r="H566" s="18" t="s">
        <v>38</v>
      </c>
      <c r="I566" s="18">
        <v>1.1000000000000001</v>
      </c>
      <c r="J566" s="18">
        <v>3</v>
      </c>
      <c r="K566" s="18" t="s">
        <v>40</v>
      </c>
      <c r="L566" s="18">
        <v>3</v>
      </c>
      <c r="M566" s="18" t="s">
        <v>35</v>
      </c>
      <c r="N566" s="18">
        <v>3</v>
      </c>
      <c r="O566" s="18">
        <v>0</v>
      </c>
      <c r="P566" s="18">
        <v>12.4</v>
      </c>
      <c r="Q566" s="18">
        <v>1</v>
      </c>
      <c r="R566" s="18">
        <v>3</v>
      </c>
      <c r="S566" s="18">
        <v>16</v>
      </c>
      <c r="T566" s="18">
        <v>188.56</v>
      </c>
    </row>
    <row r="567" spans="1:20" x14ac:dyDescent="0.3">
      <c r="A567" s="18">
        <v>50566</v>
      </c>
      <c r="B567" s="18">
        <v>0</v>
      </c>
      <c r="C567" s="18">
        <v>9</v>
      </c>
      <c r="D567" s="18" t="s">
        <v>36</v>
      </c>
      <c r="E567" s="18">
        <v>2</v>
      </c>
      <c r="F567" s="18">
        <v>8</v>
      </c>
      <c r="G567" s="18" t="s">
        <v>39</v>
      </c>
      <c r="H567" s="18" t="s">
        <v>33</v>
      </c>
      <c r="I567" s="18">
        <v>2.4</v>
      </c>
      <c r="J567" s="18">
        <v>5</v>
      </c>
      <c r="K567" s="18" t="s">
        <v>44</v>
      </c>
      <c r="L567" s="18">
        <v>2</v>
      </c>
      <c r="M567" s="18" t="s">
        <v>35</v>
      </c>
      <c r="N567" s="18">
        <v>6</v>
      </c>
      <c r="O567" s="18">
        <v>0</v>
      </c>
      <c r="P567" s="18">
        <v>16.2</v>
      </c>
      <c r="Q567" s="18">
        <v>0</v>
      </c>
      <c r="R567" s="18">
        <v>4</v>
      </c>
      <c r="S567" s="18">
        <v>2</v>
      </c>
      <c r="T567" s="18">
        <v>128.58000000000001</v>
      </c>
    </row>
    <row r="568" spans="1:20" x14ac:dyDescent="0.3">
      <c r="A568" s="18">
        <v>50567</v>
      </c>
      <c r="B568" s="18">
        <v>0</v>
      </c>
      <c r="C568" s="18">
        <v>13</v>
      </c>
      <c r="D568" s="18" t="s">
        <v>36</v>
      </c>
      <c r="E568" s="18">
        <v>1</v>
      </c>
      <c r="F568" s="18">
        <v>5</v>
      </c>
      <c r="G568" s="18" t="s">
        <v>47</v>
      </c>
      <c r="H568" s="18" t="s">
        <v>33</v>
      </c>
      <c r="I568" s="18">
        <v>2.6</v>
      </c>
      <c r="J568" s="18">
        <v>3</v>
      </c>
      <c r="K568" s="18" t="s">
        <v>36</v>
      </c>
      <c r="L568" s="18">
        <v>2</v>
      </c>
      <c r="M568" s="18" t="s">
        <v>35</v>
      </c>
      <c r="N568" s="18">
        <v>7</v>
      </c>
      <c r="O568" s="18">
        <v>0</v>
      </c>
      <c r="P568" s="18">
        <v>11</v>
      </c>
      <c r="Q568" s="18">
        <v>3</v>
      </c>
      <c r="R568" s="18">
        <v>1</v>
      </c>
      <c r="S568" s="18">
        <v>5</v>
      </c>
      <c r="T568" s="18">
        <v>208.7</v>
      </c>
    </row>
    <row r="569" spans="1:20" x14ac:dyDescent="0.3">
      <c r="A569" s="18">
        <v>50568</v>
      </c>
      <c r="B569" s="18">
        <v>0</v>
      </c>
      <c r="C569" s="18">
        <v>1</v>
      </c>
      <c r="D569" s="18" t="s">
        <v>42</v>
      </c>
      <c r="E569" s="18">
        <v>2</v>
      </c>
      <c r="F569" s="18">
        <v>24</v>
      </c>
      <c r="G569" s="18" t="s">
        <v>39</v>
      </c>
      <c r="H569" s="18" t="s">
        <v>33</v>
      </c>
      <c r="I569" s="18">
        <v>3.3</v>
      </c>
      <c r="J569" s="18">
        <v>5</v>
      </c>
      <c r="K569" s="18" t="s">
        <v>46</v>
      </c>
      <c r="L569" s="18">
        <v>3</v>
      </c>
      <c r="M569" s="18" t="s">
        <v>41</v>
      </c>
      <c r="N569" s="18">
        <v>2</v>
      </c>
      <c r="O569" s="18">
        <v>1</v>
      </c>
      <c r="P569" s="18">
        <v>12.2</v>
      </c>
      <c r="Q569" s="18">
        <v>1</v>
      </c>
      <c r="R569" s="18">
        <v>4</v>
      </c>
      <c r="S569" s="18">
        <v>0</v>
      </c>
      <c r="T569" s="18">
        <v>107.68</v>
      </c>
    </row>
    <row r="570" spans="1:20" x14ac:dyDescent="0.3">
      <c r="A570" s="18">
        <v>50569</v>
      </c>
      <c r="B570" s="18">
        <v>0</v>
      </c>
      <c r="C570" s="18">
        <v>12</v>
      </c>
      <c r="D570" s="18" t="s">
        <v>36</v>
      </c>
      <c r="E570" s="18">
        <v>2</v>
      </c>
      <c r="F570" s="18">
        <v>22</v>
      </c>
      <c r="G570" s="18" t="s">
        <v>37</v>
      </c>
      <c r="H570" s="18" t="s">
        <v>38</v>
      </c>
      <c r="I570" s="18">
        <v>3.1</v>
      </c>
      <c r="J570" s="18">
        <v>3</v>
      </c>
      <c r="K570" s="18" t="s">
        <v>36</v>
      </c>
      <c r="L570" s="18">
        <v>1</v>
      </c>
      <c r="M570" s="18" t="s">
        <v>35</v>
      </c>
      <c r="N570" s="18">
        <v>1</v>
      </c>
      <c r="O570" s="18">
        <v>0</v>
      </c>
      <c r="P570" s="18">
        <v>17.3</v>
      </c>
      <c r="Q570" s="18">
        <v>1</v>
      </c>
      <c r="R570" s="18">
        <v>4</v>
      </c>
      <c r="S570" s="18">
        <v>8</v>
      </c>
      <c r="T570" s="18">
        <v>161.32</v>
      </c>
    </row>
    <row r="571" spans="1:20" x14ac:dyDescent="0.3">
      <c r="A571" s="18">
        <v>50570</v>
      </c>
      <c r="B571" s="18">
        <v>0</v>
      </c>
      <c r="C571" s="18">
        <v>23</v>
      </c>
      <c r="D571" s="18" t="s">
        <v>42</v>
      </c>
      <c r="E571" s="18">
        <v>3</v>
      </c>
      <c r="F571" s="18">
        <v>15</v>
      </c>
      <c r="G571" s="18" t="s">
        <v>47</v>
      </c>
      <c r="H571" s="18" t="s">
        <v>38</v>
      </c>
      <c r="I571" s="18">
        <v>2.8</v>
      </c>
      <c r="J571" s="18">
        <v>3</v>
      </c>
      <c r="K571" s="18" t="s">
        <v>44</v>
      </c>
      <c r="L571" s="18">
        <v>4</v>
      </c>
      <c r="M571" s="18" t="s">
        <v>35</v>
      </c>
      <c r="N571" s="18">
        <v>1</v>
      </c>
      <c r="O571" s="18">
        <v>0</v>
      </c>
      <c r="P571" s="18">
        <v>12.5</v>
      </c>
      <c r="Q571" s="18">
        <v>3</v>
      </c>
      <c r="R571" s="18">
        <v>3</v>
      </c>
      <c r="S571" s="18">
        <v>0</v>
      </c>
      <c r="T571" s="18">
        <v>166.1</v>
      </c>
    </row>
    <row r="572" spans="1:20" x14ac:dyDescent="0.3">
      <c r="A572" s="18">
        <v>50571</v>
      </c>
      <c r="B572" s="18">
        <v>1</v>
      </c>
      <c r="C572" s="18">
        <v>1</v>
      </c>
      <c r="D572" s="18" t="s">
        <v>42</v>
      </c>
      <c r="E572" s="18">
        <v>1</v>
      </c>
      <c r="F572" s="18">
        <v>16</v>
      </c>
      <c r="G572" s="18" t="s">
        <v>47</v>
      </c>
      <c r="H572" s="18" t="s">
        <v>38</v>
      </c>
      <c r="I572" s="18">
        <v>2.9</v>
      </c>
      <c r="J572" s="18">
        <v>3</v>
      </c>
      <c r="K572" s="18" t="s">
        <v>34</v>
      </c>
      <c r="L572" s="18">
        <v>1</v>
      </c>
      <c r="M572" s="18" t="s">
        <v>35</v>
      </c>
      <c r="N572" s="18">
        <v>1</v>
      </c>
      <c r="O572" s="18">
        <v>0</v>
      </c>
      <c r="P572" s="18">
        <v>14.1</v>
      </c>
      <c r="Q572" s="18">
        <v>0</v>
      </c>
      <c r="R572" s="18">
        <v>4</v>
      </c>
      <c r="S572" s="18">
        <v>1</v>
      </c>
      <c r="T572" s="18">
        <v>241.21</v>
      </c>
    </row>
    <row r="573" spans="1:20" x14ac:dyDescent="0.3">
      <c r="A573" s="18">
        <v>50572</v>
      </c>
      <c r="B573" s="18">
        <v>1</v>
      </c>
      <c r="C573" s="18">
        <v>2</v>
      </c>
      <c r="D573" s="18" t="s">
        <v>36</v>
      </c>
      <c r="E573" s="18">
        <v>1</v>
      </c>
      <c r="F573" s="18">
        <v>23</v>
      </c>
      <c r="G573" s="18" t="s">
        <v>47</v>
      </c>
      <c r="H573" s="18" t="s">
        <v>33</v>
      </c>
      <c r="I573" s="18">
        <v>2.2000000000000002</v>
      </c>
      <c r="J573" s="18">
        <v>3</v>
      </c>
      <c r="K573" s="18" t="s">
        <v>46</v>
      </c>
      <c r="L573" s="18">
        <v>2</v>
      </c>
      <c r="M573" s="18" t="s">
        <v>45</v>
      </c>
      <c r="N573" s="18">
        <v>1</v>
      </c>
      <c r="O573" s="18">
        <v>0</v>
      </c>
      <c r="P573" s="18">
        <v>17.7</v>
      </c>
      <c r="Q573" s="18">
        <v>5</v>
      </c>
      <c r="R573" s="18">
        <v>4</v>
      </c>
      <c r="S573" s="18">
        <v>3</v>
      </c>
      <c r="T573" s="18">
        <v>187.7</v>
      </c>
    </row>
    <row r="574" spans="1:20" x14ac:dyDescent="0.3">
      <c r="A574" s="18">
        <v>50573</v>
      </c>
      <c r="B574" s="18">
        <v>1</v>
      </c>
      <c r="C574" s="18">
        <v>35</v>
      </c>
      <c r="D574" s="18" t="s">
        <v>42</v>
      </c>
      <c r="E574" s="18">
        <v>3</v>
      </c>
      <c r="F574" s="18">
        <v>16</v>
      </c>
      <c r="G574" s="18" t="s">
        <v>39</v>
      </c>
      <c r="H574" s="18" t="s">
        <v>33</v>
      </c>
      <c r="I574" s="18">
        <v>1.9</v>
      </c>
      <c r="J574" s="18">
        <v>4</v>
      </c>
      <c r="K574" s="18" t="s">
        <v>40</v>
      </c>
      <c r="L574" s="18">
        <v>1</v>
      </c>
      <c r="M574" s="18" t="s">
        <v>35</v>
      </c>
      <c r="N574" s="18">
        <v>1</v>
      </c>
      <c r="O574" s="18">
        <v>0</v>
      </c>
      <c r="P574" s="18">
        <v>14</v>
      </c>
      <c r="Q574" s="18">
        <v>1</v>
      </c>
      <c r="R574" s="18">
        <v>2</v>
      </c>
      <c r="S574" s="18">
        <v>4</v>
      </c>
      <c r="T574" s="18">
        <v>232.53</v>
      </c>
    </row>
    <row r="575" spans="1:20" x14ac:dyDescent="0.3">
      <c r="A575" s="18">
        <v>50574</v>
      </c>
      <c r="B575" s="18">
        <v>1</v>
      </c>
      <c r="C575" s="18">
        <v>1</v>
      </c>
      <c r="D575" s="18" t="s">
        <v>36</v>
      </c>
      <c r="E575" s="18">
        <v>3</v>
      </c>
      <c r="F575" s="18">
        <v>22</v>
      </c>
      <c r="G575" s="18" t="s">
        <v>37</v>
      </c>
      <c r="H575" s="18" t="s">
        <v>33</v>
      </c>
      <c r="I575" s="18">
        <v>3.4</v>
      </c>
      <c r="J575" s="18">
        <v>4</v>
      </c>
      <c r="K575" s="18" t="s">
        <v>36</v>
      </c>
      <c r="L575" s="18">
        <v>1</v>
      </c>
      <c r="M575" s="18" t="s">
        <v>35</v>
      </c>
      <c r="N575" s="18">
        <v>1</v>
      </c>
      <c r="O575" s="18">
        <v>0</v>
      </c>
      <c r="P575" s="18">
        <v>18.899999999999999</v>
      </c>
      <c r="Q575" s="18">
        <v>1</v>
      </c>
      <c r="R575" s="18">
        <v>2</v>
      </c>
      <c r="S575" s="18">
        <v>4</v>
      </c>
      <c r="T575" s="18">
        <v>210.51</v>
      </c>
    </row>
    <row r="576" spans="1:20" x14ac:dyDescent="0.3">
      <c r="A576" s="18">
        <v>50575</v>
      </c>
      <c r="B576" s="18">
        <v>0</v>
      </c>
      <c r="C576" s="18">
        <v>19</v>
      </c>
      <c r="D576" s="18" t="s">
        <v>36</v>
      </c>
      <c r="E576" s="18">
        <v>3</v>
      </c>
      <c r="F576" s="18">
        <v>12</v>
      </c>
      <c r="G576" s="18" t="s">
        <v>39</v>
      </c>
      <c r="H576" s="18" t="s">
        <v>33</v>
      </c>
      <c r="I576" s="18">
        <v>3.4</v>
      </c>
      <c r="J576" s="18">
        <v>2</v>
      </c>
      <c r="K576" s="18" t="s">
        <v>44</v>
      </c>
      <c r="L576" s="18">
        <v>3</v>
      </c>
      <c r="M576" s="18" t="s">
        <v>45</v>
      </c>
      <c r="N576" s="18">
        <v>1</v>
      </c>
      <c r="O576" s="18">
        <v>0</v>
      </c>
      <c r="P576" s="18">
        <v>16.8</v>
      </c>
      <c r="Q576" s="18">
        <v>3</v>
      </c>
      <c r="R576" s="18">
        <v>2</v>
      </c>
      <c r="S576" s="18">
        <v>0</v>
      </c>
      <c r="T576" s="18">
        <v>210.16</v>
      </c>
    </row>
    <row r="577" spans="1:20" x14ac:dyDescent="0.3">
      <c r="A577" s="18">
        <v>50576</v>
      </c>
      <c r="B577" s="18">
        <v>0</v>
      </c>
      <c r="C577" s="18">
        <v>6</v>
      </c>
      <c r="D577" s="18" t="s">
        <v>31</v>
      </c>
      <c r="E577" s="18">
        <v>1</v>
      </c>
      <c r="F577" s="18">
        <v>25</v>
      </c>
      <c r="G577" s="18" t="s">
        <v>47</v>
      </c>
      <c r="H577" s="18" t="s">
        <v>33</v>
      </c>
      <c r="I577" s="18">
        <v>4</v>
      </c>
      <c r="J577" s="18">
        <v>2</v>
      </c>
      <c r="K577" s="18" t="s">
        <v>34</v>
      </c>
      <c r="L577" s="18">
        <v>4</v>
      </c>
      <c r="M577" s="18" t="s">
        <v>45</v>
      </c>
      <c r="N577" s="18">
        <v>2</v>
      </c>
      <c r="O577" s="18">
        <v>0</v>
      </c>
      <c r="P577" s="18">
        <v>17.5</v>
      </c>
      <c r="Q577" s="18">
        <v>1</v>
      </c>
      <c r="R577" s="18">
        <v>3</v>
      </c>
      <c r="S577" s="18">
        <v>2</v>
      </c>
      <c r="T577" s="18">
        <v>161.74</v>
      </c>
    </row>
    <row r="578" spans="1:20" x14ac:dyDescent="0.3">
      <c r="A578" s="18">
        <v>50577</v>
      </c>
      <c r="B578" s="18">
        <v>0</v>
      </c>
      <c r="C578" s="18">
        <v>2</v>
      </c>
      <c r="D578" s="18" t="s">
        <v>36</v>
      </c>
      <c r="E578" s="18">
        <v>3</v>
      </c>
      <c r="F578" s="18">
        <v>17</v>
      </c>
      <c r="G578" s="18" t="s">
        <v>37</v>
      </c>
      <c r="H578" s="18" t="s">
        <v>33</v>
      </c>
      <c r="I578" s="18">
        <v>2.2999999999999998</v>
      </c>
      <c r="J578" s="18">
        <v>6</v>
      </c>
      <c r="K578" s="18" t="s">
        <v>36</v>
      </c>
      <c r="L578" s="18">
        <v>5</v>
      </c>
      <c r="M578" s="18" t="s">
        <v>35</v>
      </c>
      <c r="N578" s="18">
        <v>1</v>
      </c>
      <c r="O578" s="18">
        <v>0</v>
      </c>
      <c r="P578" s="18">
        <v>20.3</v>
      </c>
      <c r="Q578" s="18">
        <v>5</v>
      </c>
      <c r="R578" s="18">
        <v>3</v>
      </c>
      <c r="S578" s="18">
        <v>12</v>
      </c>
      <c r="T578" s="18">
        <v>236.15</v>
      </c>
    </row>
    <row r="579" spans="1:20" x14ac:dyDescent="0.3">
      <c r="A579" s="18">
        <v>50578</v>
      </c>
      <c r="B579" s="18">
        <v>0</v>
      </c>
      <c r="C579" s="18">
        <v>20</v>
      </c>
      <c r="D579" s="18" t="s">
        <v>42</v>
      </c>
      <c r="E579" s="18">
        <v>1</v>
      </c>
      <c r="F579" s="18">
        <v>16</v>
      </c>
      <c r="G579" s="18" t="s">
        <v>47</v>
      </c>
      <c r="H579" s="18" t="s">
        <v>33</v>
      </c>
      <c r="I579" s="18">
        <v>3.4</v>
      </c>
      <c r="J579" s="18">
        <v>3</v>
      </c>
      <c r="K579" s="18" t="s">
        <v>46</v>
      </c>
      <c r="L579" s="18">
        <v>5</v>
      </c>
      <c r="M579" s="18" t="s">
        <v>41</v>
      </c>
      <c r="N579" s="18">
        <v>2</v>
      </c>
      <c r="O579" s="18">
        <v>0</v>
      </c>
      <c r="P579" s="18">
        <v>17.100000000000001</v>
      </c>
      <c r="Q579" s="18">
        <v>4</v>
      </c>
      <c r="R579" s="18">
        <v>2</v>
      </c>
      <c r="S579" s="18">
        <v>10</v>
      </c>
      <c r="T579" s="18">
        <v>160.41</v>
      </c>
    </row>
    <row r="580" spans="1:20" x14ac:dyDescent="0.3">
      <c r="A580" s="18">
        <v>50579</v>
      </c>
      <c r="B580" s="18">
        <v>0</v>
      </c>
      <c r="C580" s="18">
        <v>5</v>
      </c>
      <c r="D580" s="18" t="s">
        <v>36</v>
      </c>
      <c r="E580" s="18">
        <v>1</v>
      </c>
      <c r="F580" s="18">
        <v>5</v>
      </c>
      <c r="G580" s="18" t="s">
        <v>39</v>
      </c>
      <c r="H580" s="18" t="s">
        <v>38</v>
      </c>
      <c r="I580" s="18">
        <v>2.7</v>
      </c>
      <c r="J580" s="18">
        <v>4</v>
      </c>
      <c r="K580" s="18" t="s">
        <v>36</v>
      </c>
      <c r="L580" s="18">
        <v>5</v>
      </c>
      <c r="M580" s="18" t="s">
        <v>35</v>
      </c>
      <c r="N580" s="18">
        <v>1</v>
      </c>
      <c r="O580" s="18">
        <v>1</v>
      </c>
      <c r="P580" s="18">
        <v>21.4</v>
      </c>
      <c r="Q580" s="18">
        <v>1</v>
      </c>
      <c r="R580" s="18">
        <v>4</v>
      </c>
      <c r="S580" s="18">
        <v>4</v>
      </c>
      <c r="T580" s="18">
        <v>84.86</v>
      </c>
    </row>
    <row r="581" spans="1:20" x14ac:dyDescent="0.3">
      <c r="A581" s="18">
        <v>50580</v>
      </c>
      <c r="B581" s="18">
        <v>0</v>
      </c>
      <c r="C581" s="18">
        <v>7</v>
      </c>
      <c r="D581" s="18" t="s">
        <v>36</v>
      </c>
      <c r="E581" s="18">
        <v>1</v>
      </c>
      <c r="F581" s="18">
        <v>17</v>
      </c>
      <c r="G581" s="18" t="s">
        <v>39</v>
      </c>
      <c r="H581" s="18" t="s">
        <v>33</v>
      </c>
      <c r="I581" s="18">
        <v>3.7</v>
      </c>
      <c r="J581" s="18">
        <v>2</v>
      </c>
      <c r="K581" s="18" t="s">
        <v>36</v>
      </c>
      <c r="L581" s="18">
        <v>2</v>
      </c>
      <c r="M581" s="18" t="s">
        <v>35</v>
      </c>
      <c r="N581" s="18">
        <v>3</v>
      </c>
      <c r="O581" s="18">
        <v>0</v>
      </c>
      <c r="P581" s="18"/>
      <c r="Q581" s="18">
        <v>0</v>
      </c>
      <c r="R581" s="18">
        <v>4</v>
      </c>
      <c r="S581" s="18">
        <v>4</v>
      </c>
      <c r="T581" s="18">
        <v>168.19</v>
      </c>
    </row>
    <row r="582" spans="1:20" x14ac:dyDescent="0.3">
      <c r="A582" s="18">
        <v>50581</v>
      </c>
      <c r="B582" s="18">
        <v>0</v>
      </c>
      <c r="C582" s="18">
        <v>4</v>
      </c>
      <c r="D582" s="18" t="s">
        <v>31</v>
      </c>
      <c r="E582" s="18">
        <v>2</v>
      </c>
      <c r="F582" s="18">
        <v>8</v>
      </c>
      <c r="G582" s="18" t="s">
        <v>39</v>
      </c>
      <c r="H582" s="18" t="s">
        <v>38</v>
      </c>
      <c r="I582" s="18">
        <v>3.6</v>
      </c>
      <c r="J582" s="18">
        <v>3</v>
      </c>
      <c r="K582" s="18" t="s">
        <v>34</v>
      </c>
      <c r="L582" s="18">
        <v>3</v>
      </c>
      <c r="M582" s="18" t="s">
        <v>41</v>
      </c>
      <c r="N582" s="18">
        <v>9</v>
      </c>
      <c r="O582" s="18">
        <v>1</v>
      </c>
      <c r="P582" s="18">
        <v>14.2</v>
      </c>
      <c r="Q582" s="18">
        <v>0</v>
      </c>
      <c r="R582" s="18">
        <v>1</v>
      </c>
      <c r="S582" s="18">
        <v>0</v>
      </c>
      <c r="T582" s="18">
        <v>204.94</v>
      </c>
    </row>
    <row r="583" spans="1:20" x14ac:dyDescent="0.3">
      <c r="A583" s="18">
        <v>50582</v>
      </c>
      <c r="B583" s="18">
        <v>0</v>
      </c>
      <c r="C583" s="18">
        <v>8</v>
      </c>
      <c r="D583" s="18" t="s">
        <v>31</v>
      </c>
      <c r="E583" s="18">
        <v>1</v>
      </c>
      <c r="F583" s="18">
        <v>9</v>
      </c>
      <c r="G583" s="18" t="s">
        <v>39</v>
      </c>
      <c r="H583" s="18" t="s">
        <v>33</v>
      </c>
      <c r="I583" s="18">
        <v>3</v>
      </c>
      <c r="J583" s="18">
        <v>3</v>
      </c>
      <c r="K583" s="18" t="s">
        <v>36</v>
      </c>
      <c r="L583" s="18">
        <v>1</v>
      </c>
      <c r="M583" s="18" t="s">
        <v>41</v>
      </c>
      <c r="N583" s="18">
        <v>1</v>
      </c>
      <c r="O583" s="18">
        <v>0</v>
      </c>
      <c r="P583" s="18">
        <v>20.5</v>
      </c>
      <c r="Q583" s="18">
        <v>0</v>
      </c>
      <c r="R583" s="18">
        <v>3</v>
      </c>
      <c r="S583" s="18">
        <v>1</v>
      </c>
      <c r="T583" s="18">
        <v>91.64</v>
      </c>
    </row>
    <row r="584" spans="1:20" x14ac:dyDescent="0.3">
      <c r="A584" s="18">
        <v>50583</v>
      </c>
      <c r="B584" s="18">
        <v>0</v>
      </c>
      <c r="C584" s="18">
        <v>1</v>
      </c>
      <c r="D584" s="18" t="s">
        <v>36</v>
      </c>
      <c r="E584" s="18">
        <v>1</v>
      </c>
      <c r="F584" s="18">
        <v>8</v>
      </c>
      <c r="G584" s="18" t="s">
        <v>39</v>
      </c>
      <c r="H584" s="18" t="s">
        <v>33</v>
      </c>
      <c r="I584" s="18">
        <v>2.7</v>
      </c>
      <c r="J584" s="18">
        <v>4</v>
      </c>
      <c r="K584" s="18" t="s">
        <v>44</v>
      </c>
      <c r="L584" s="18">
        <v>4</v>
      </c>
      <c r="M584" s="18" t="s">
        <v>41</v>
      </c>
      <c r="N584" s="18">
        <v>1</v>
      </c>
      <c r="O584" s="18">
        <v>0</v>
      </c>
      <c r="P584" s="18">
        <v>16.899999999999999</v>
      </c>
      <c r="Q584" s="18">
        <v>1</v>
      </c>
      <c r="R584" s="18">
        <v>3</v>
      </c>
      <c r="S584" s="18">
        <v>1</v>
      </c>
      <c r="T584" s="18">
        <v>131.32</v>
      </c>
    </row>
    <row r="585" spans="1:20" x14ac:dyDescent="0.3">
      <c r="A585" s="18">
        <v>50584</v>
      </c>
      <c r="B585" s="18">
        <v>0</v>
      </c>
      <c r="C585" s="18">
        <v>4</v>
      </c>
      <c r="D585" s="18" t="s">
        <v>36</v>
      </c>
      <c r="E585" s="18">
        <v>3</v>
      </c>
      <c r="F585" s="18">
        <v>6</v>
      </c>
      <c r="G585" s="18" t="s">
        <v>32</v>
      </c>
      <c r="H585" s="18" t="s">
        <v>33</v>
      </c>
      <c r="I585" s="18">
        <v>3.6</v>
      </c>
      <c r="J585" s="18">
        <v>1</v>
      </c>
      <c r="K585" s="18" t="s">
        <v>44</v>
      </c>
      <c r="L585" s="18">
        <v>1</v>
      </c>
      <c r="M585" s="18" t="s">
        <v>35</v>
      </c>
      <c r="N585" s="18">
        <v>6</v>
      </c>
      <c r="O585" s="18">
        <v>0</v>
      </c>
      <c r="P585" s="18">
        <v>14.6</v>
      </c>
      <c r="Q585" s="18">
        <v>3</v>
      </c>
      <c r="R585" s="18">
        <v>7</v>
      </c>
      <c r="S585" s="18">
        <v>3</v>
      </c>
      <c r="T585" s="18">
        <v>112.32</v>
      </c>
    </row>
    <row r="586" spans="1:20" x14ac:dyDescent="0.3">
      <c r="A586" s="18">
        <v>50585</v>
      </c>
      <c r="B586" s="18">
        <v>0</v>
      </c>
      <c r="C586" s="18">
        <v>34</v>
      </c>
      <c r="D586" s="18" t="s">
        <v>42</v>
      </c>
      <c r="E586" s="18">
        <v>1</v>
      </c>
      <c r="F586" s="18">
        <v>31</v>
      </c>
      <c r="G586" s="18" t="s">
        <v>32</v>
      </c>
      <c r="H586" s="18" t="s">
        <v>33</v>
      </c>
      <c r="I586" s="18">
        <v>3.4</v>
      </c>
      <c r="J586" s="18">
        <v>3</v>
      </c>
      <c r="K586" s="18" t="s">
        <v>36</v>
      </c>
      <c r="L586" s="18">
        <v>4</v>
      </c>
      <c r="M586" s="18" t="s">
        <v>35</v>
      </c>
      <c r="N586" s="18">
        <v>2</v>
      </c>
      <c r="O586" s="18">
        <v>1</v>
      </c>
      <c r="P586" s="18">
        <v>17</v>
      </c>
      <c r="Q586" s="18">
        <v>2</v>
      </c>
      <c r="R586" s="18">
        <v>5</v>
      </c>
      <c r="S586" s="18">
        <v>6</v>
      </c>
      <c r="T586" s="18">
        <v>223.27</v>
      </c>
    </row>
    <row r="587" spans="1:20" x14ac:dyDescent="0.3">
      <c r="A587" s="18">
        <v>50586</v>
      </c>
      <c r="B587" s="18">
        <v>0</v>
      </c>
      <c r="C587" s="18">
        <v>2</v>
      </c>
      <c r="D587" s="18" t="s">
        <v>36</v>
      </c>
      <c r="E587" s="18">
        <v>1</v>
      </c>
      <c r="F587" s="18">
        <v>25</v>
      </c>
      <c r="G587" s="18" t="s">
        <v>37</v>
      </c>
      <c r="H587" s="18" t="s">
        <v>33</v>
      </c>
      <c r="I587" s="18">
        <v>2.4</v>
      </c>
      <c r="J587" s="18">
        <v>2</v>
      </c>
      <c r="K587" s="18" t="s">
        <v>44</v>
      </c>
      <c r="L587" s="18">
        <v>2</v>
      </c>
      <c r="M587" s="18" t="s">
        <v>41</v>
      </c>
      <c r="N587" s="18">
        <v>5</v>
      </c>
      <c r="O587" s="18">
        <v>0</v>
      </c>
      <c r="P587" s="18">
        <v>19.899999999999999</v>
      </c>
      <c r="Q587" s="18">
        <v>2</v>
      </c>
      <c r="R587" s="18">
        <v>3</v>
      </c>
      <c r="S587" s="18">
        <v>3</v>
      </c>
      <c r="T587" s="18">
        <v>272.01</v>
      </c>
    </row>
    <row r="588" spans="1:20" x14ac:dyDescent="0.3">
      <c r="A588" s="18">
        <v>50587</v>
      </c>
      <c r="B588" s="18">
        <v>0</v>
      </c>
      <c r="C588" s="18">
        <v>10</v>
      </c>
      <c r="D588" s="18" t="s">
        <v>42</v>
      </c>
      <c r="E588" s="18">
        <v>1</v>
      </c>
      <c r="F588" s="18">
        <v>30</v>
      </c>
      <c r="G588" s="18" t="s">
        <v>37</v>
      </c>
      <c r="H588" s="18" t="s">
        <v>33</v>
      </c>
      <c r="I588" s="18">
        <v>2</v>
      </c>
      <c r="J588" s="18">
        <v>4</v>
      </c>
      <c r="K588" s="18" t="s">
        <v>36</v>
      </c>
      <c r="L588" s="18">
        <v>2</v>
      </c>
      <c r="M588" s="18" t="s">
        <v>41</v>
      </c>
      <c r="N588" s="18">
        <v>1</v>
      </c>
      <c r="O588" s="18">
        <v>0</v>
      </c>
      <c r="P588" s="18">
        <v>17.600000000000001</v>
      </c>
      <c r="Q588" s="18">
        <v>0</v>
      </c>
      <c r="R588" s="18">
        <v>6</v>
      </c>
      <c r="S588" s="18">
        <v>0</v>
      </c>
      <c r="T588" s="18">
        <v>168.47</v>
      </c>
    </row>
    <row r="589" spans="1:20" x14ac:dyDescent="0.3">
      <c r="A589" s="18">
        <v>50588</v>
      </c>
      <c r="B589" s="18">
        <v>1</v>
      </c>
      <c r="C589" s="18">
        <v>3</v>
      </c>
      <c r="D589" s="18" t="s">
        <v>31</v>
      </c>
      <c r="E589" s="18">
        <v>3</v>
      </c>
      <c r="F589" s="18">
        <v>5</v>
      </c>
      <c r="G589" s="18" t="s">
        <v>39</v>
      </c>
      <c r="H589" s="18" t="s">
        <v>38</v>
      </c>
      <c r="I589" s="18">
        <v>2.7</v>
      </c>
      <c r="J589" s="18">
        <v>2</v>
      </c>
      <c r="K589" s="18" t="s">
        <v>36</v>
      </c>
      <c r="L589" s="18">
        <v>5</v>
      </c>
      <c r="M589" s="18" t="s">
        <v>35</v>
      </c>
      <c r="N589" s="18">
        <v>6</v>
      </c>
      <c r="O589" s="18">
        <v>0</v>
      </c>
      <c r="P589" s="18">
        <v>22.4</v>
      </c>
      <c r="Q589" s="18">
        <v>0</v>
      </c>
      <c r="R589" s="18">
        <v>3</v>
      </c>
      <c r="S589" s="18">
        <v>2</v>
      </c>
      <c r="T589" s="18">
        <v>209.23</v>
      </c>
    </row>
    <row r="590" spans="1:20" x14ac:dyDescent="0.3">
      <c r="A590" s="18">
        <v>50589</v>
      </c>
      <c r="B590" s="18">
        <v>0</v>
      </c>
      <c r="C590" s="18">
        <v>14</v>
      </c>
      <c r="D590" s="18" t="s">
        <v>31</v>
      </c>
      <c r="E590" s="18">
        <v>2</v>
      </c>
      <c r="F590" s="18">
        <v>15</v>
      </c>
      <c r="G590" s="18" t="s">
        <v>32</v>
      </c>
      <c r="H590" s="18" t="s">
        <v>38</v>
      </c>
      <c r="I590" s="18">
        <v>4</v>
      </c>
      <c r="J590" s="18">
        <v>2</v>
      </c>
      <c r="K590" s="18" t="s">
        <v>40</v>
      </c>
      <c r="L590" s="18">
        <v>4</v>
      </c>
      <c r="M590" s="18" t="s">
        <v>41</v>
      </c>
      <c r="N590" s="18">
        <v>9</v>
      </c>
      <c r="O590" s="18">
        <v>0</v>
      </c>
      <c r="P590" s="18">
        <v>19.8</v>
      </c>
      <c r="Q590" s="18">
        <v>2</v>
      </c>
      <c r="R590" s="18">
        <v>6</v>
      </c>
      <c r="S590" s="18">
        <v>0</v>
      </c>
      <c r="T590" s="18">
        <v>207.8</v>
      </c>
    </row>
    <row r="591" spans="1:20" x14ac:dyDescent="0.3">
      <c r="A591" s="18">
        <v>50590</v>
      </c>
      <c r="B591" s="18">
        <v>0</v>
      </c>
      <c r="C591" s="18">
        <v>1</v>
      </c>
      <c r="D591" s="18" t="s">
        <v>31</v>
      </c>
      <c r="E591" s="18">
        <v>1</v>
      </c>
      <c r="F591" s="18">
        <v>5</v>
      </c>
      <c r="G591" s="18" t="s">
        <v>39</v>
      </c>
      <c r="H591" s="18" t="s">
        <v>33</v>
      </c>
      <c r="I591" s="18">
        <v>3.7</v>
      </c>
      <c r="J591" s="18">
        <v>3</v>
      </c>
      <c r="K591" s="18" t="s">
        <v>36</v>
      </c>
      <c r="L591" s="18">
        <v>5</v>
      </c>
      <c r="M591" s="18" t="s">
        <v>41</v>
      </c>
      <c r="N591" s="18">
        <v>3</v>
      </c>
      <c r="O591" s="18">
        <v>1</v>
      </c>
      <c r="P591" s="18">
        <v>17.8</v>
      </c>
      <c r="Q591" s="18">
        <v>1</v>
      </c>
      <c r="R591" s="18">
        <v>4</v>
      </c>
      <c r="S591" s="18">
        <v>6</v>
      </c>
      <c r="T591" s="18">
        <v>265.45999999999998</v>
      </c>
    </row>
    <row r="592" spans="1:20" x14ac:dyDescent="0.3">
      <c r="A592" s="18">
        <v>50591</v>
      </c>
      <c r="B592" s="18">
        <v>0</v>
      </c>
      <c r="C592" s="18">
        <v>35</v>
      </c>
      <c r="D592" s="18" t="s">
        <v>36</v>
      </c>
      <c r="E592" s="18">
        <v>3</v>
      </c>
      <c r="F592" s="18">
        <v>9</v>
      </c>
      <c r="G592" s="18" t="s">
        <v>43</v>
      </c>
      <c r="H592" s="18" t="s">
        <v>38</v>
      </c>
      <c r="I592" s="18">
        <v>2.1</v>
      </c>
      <c r="J592" s="18">
        <v>2</v>
      </c>
      <c r="K592" s="18" t="s">
        <v>34</v>
      </c>
      <c r="L592" s="18">
        <v>4</v>
      </c>
      <c r="M592" s="18" t="s">
        <v>35</v>
      </c>
      <c r="N592" s="18">
        <v>1</v>
      </c>
      <c r="O592" s="18">
        <v>0</v>
      </c>
      <c r="P592" s="18">
        <v>12.4</v>
      </c>
      <c r="Q592" s="18">
        <v>3</v>
      </c>
      <c r="R592" s="18">
        <v>3</v>
      </c>
      <c r="S592" s="18">
        <v>0</v>
      </c>
      <c r="T592" s="18">
        <v>144.11000000000001</v>
      </c>
    </row>
    <row r="593" spans="1:20" x14ac:dyDescent="0.3">
      <c r="A593" s="18">
        <v>50592</v>
      </c>
      <c r="B593" s="18">
        <v>0</v>
      </c>
      <c r="C593" s="18">
        <v>6</v>
      </c>
      <c r="D593" s="18" t="s">
        <v>31</v>
      </c>
      <c r="E593" s="18">
        <v>3</v>
      </c>
      <c r="F593" s="18">
        <v>7</v>
      </c>
      <c r="G593" s="18" t="s">
        <v>37</v>
      </c>
      <c r="H593" s="18" t="s">
        <v>38</v>
      </c>
      <c r="I593" s="18">
        <v>2.1</v>
      </c>
      <c r="J593" s="18">
        <v>3</v>
      </c>
      <c r="K593" s="18" t="s">
        <v>44</v>
      </c>
      <c r="L593" s="18">
        <v>5</v>
      </c>
      <c r="M593" s="18" t="s">
        <v>35</v>
      </c>
      <c r="N593" s="18">
        <v>7</v>
      </c>
      <c r="O593" s="18">
        <v>0</v>
      </c>
      <c r="P593" s="18">
        <v>15.4</v>
      </c>
      <c r="Q593" s="18">
        <v>1</v>
      </c>
      <c r="R593" s="18">
        <v>3</v>
      </c>
      <c r="S593" s="18">
        <v>3</v>
      </c>
      <c r="T593" s="18">
        <v>167.91</v>
      </c>
    </row>
    <row r="594" spans="1:20" x14ac:dyDescent="0.3">
      <c r="A594" s="18">
        <v>50593</v>
      </c>
      <c r="B594" s="18">
        <v>0</v>
      </c>
      <c r="C594" s="18">
        <v>2</v>
      </c>
      <c r="D594" s="18" t="s">
        <v>42</v>
      </c>
      <c r="E594" s="18">
        <v>1</v>
      </c>
      <c r="F594" s="18">
        <v>24</v>
      </c>
      <c r="G594" s="18" t="s">
        <v>39</v>
      </c>
      <c r="H594" s="18" t="s">
        <v>38</v>
      </c>
      <c r="I594" s="18">
        <v>3.8</v>
      </c>
      <c r="J594" s="18">
        <v>2</v>
      </c>
      <c r="K594" s="18" t="s">
        <v>36</v>
      </c>
      <c r="L594" s="18">
        <v>4</v>
      </c>
      <c r="M594" s="18" t="s">
        <v>41</v>
      </c>
      <c r="N594" s="18">
        <v>5</v>
      </c>
      <c r="O594" s="18">
        <v>1</v>
      </c>
      <c r="P594" s="18">
        <v>16.3</v>
      </c>
      <c r="Q594" s="18">
        <v>2</v>
      </c>
      <c r="R594" s="18">
        <v>5</v>
      </c>
      <c r="S594" s="18">
        <v>5</v>
      </c>
      <c r="T594" s="18">
        <v>161.26</v>
      </c>
    </row>
    <row r="595" spans="1:20" x14ac:dyDescent="0.3">
      <c r="A595" s="18">
        <v>50594</v>
      </c>
      <c r="B595" s="18">
        <v>0</v>
      </c>
      <c r="C595" s="18">
        <v>0</v>
      </c>
      <c r="D595" s="18" t="s">
        <v>36</v>
      </c>
      <c r="E595" s="18">
        <v>2</v>
      </c>
      <c r="F595" s="18">
        <v>11</v>
      </c>
      <c r="G595" s="18" t="s">
        <v>43</v>
      </c>
      <c r="H595" s="18" t="s">
        <v>38</v>
      </c>
      <c r="I595" s="18">
        <v>2.1</v>
      </c>
      <c r="J595" s="18">
        <v>1</v>
      </c>
      <c r="K595" s="18" t="s">
        <v>44</v>
      </c>
      <c r="L595" s="18">
        <v>5</v>
      </c>
      <c r="M595" s="18" t="s">
        <v>35</v>
      </c>
      <c r="N595" s="18">
        <v>4</v>
      </c>
      <c r="O595" s="18">
        <v>0</v>
      </c>
      <c r="P595" s="18">
        <v>18.399999999999999</v>
      </c>
      <c r="Q595" s="18">
        <v>2</v>
      </c>
      <c r="R595" s="18">
        <v>4</v>
      </c>
      <c r="S595" s="18">
        <v>1</v>
      </c>
      <c r="T595" s="18">
        <v>184.15</v>
      </c>
    </row>
    <row r="596" spans="1:20" x14ac:dyDescent="0.3">
      <c r="A596" s="18">
        <v>50595</v>
      </c>
      <c r="B596" s="18">
        <v>0</v>
      </c>
      <c r="C596" s="18">
        <v>1</v>
      </c>
      <c r="D596" s="18" t="s">
        <v>42</v>
      </c>
      <c r="E596" s="18">
        <v>3</v>
      </c>
      <c r="F596" s="18">
        <v>23</v>
      </c>
      <c r="G596" s="18" t="s">
        <v>39</v>
      </c>
      <c r="H596" s="18" t="s">
        <v>33</v>
      </c>
      <c r="I596" s="18">
        <v>3.3</v>
      </c>
      <c r="J596" s="18">
        <v>4</v>
      </c>
      <c r="K596" s="18" t="s">
        <v>40</v>
      </c>
      <c r="L596" s="18">
        <v>3</v>
      </c>
      <c r="M596" s="18" t="s">
        <v>41</v>
      </c>
      <c r="N596" s="18">
        <v>1</v>
      </c>
      <c r="O596" s="18">
        <v>0</v>
      </c>
      <c r="P596" s="18">
        <v>18.2</v>
      </c>
      <c r="Q596" s="18">
        <v>4</v>
      </c>
      <c r="R596" s="18">
        <v>5</v>
      </c>
      <c r="S596" s="18">
        <v>0</v>
      </c>
      <c r="T596" s="18">
        <v>317.74</v>
      </c>
    </row>
    <row r="597" spans="1:20" x14ac:dyDescent="0.3">
      <c r="A597" s="18">
        <v>50596</v>
      </c>
      <c r="B597" s="18">
        <v>0</v>
      </c>
      <c r="C597" s="18">
        <v>7</v>
      </c>
      <c r="D597" s="18" t="s">
        <v>36</v>
      </c>
      <c r="E597" s="18">
        <v>2</v>
      </c>
      <c r="F597" s="18">
        <v>19</v>
      </c>
      <c r="G597" s="18" t="s">
        <v>37</v>
      </c>
      <c r="H597" s="18" t="s">
        <v>33</v>
      </c>
      <c r="I597" s="18">
        <v>2.5</v>
      </c>
      <c r="J597" s="18">
        <v>2</v>
      </c>
      <c r="K597" s="18" t="s">
        <v>34</v>
      </c>
      <c r="L597" s="18">
        <v>4</v>
      </c>
      <c r="M597" s="18" t="s">
        <v>35</v>
      </c>
      <c r="N597" s="18">
        <v>5</v>
      </c>
      <c r="O597" s="18">
        <v>1</v>
      </c>
      <c r="P597" s="18">
        <v>16.600000000000001</v>
      </c>
      <c r="Q597" s="18">
        <v>4</v>
      </c>
      <c r="R597" s="18">
        <v>8</v>
      </c>
      <c r="S597" s="18">
        <v>4</v>
      </c>
      <c r="T597" s="18">
        <v>181.69</v>
      </c>
    </row>
    <row r="598" spans="1:20" x14ac:dyDescent="0.3">
      <c r="A598" s="18">
        <v>50597</v>
      </c>
      <c r="B598" s="18">
        <v>0</v>
      </c>
      <c r="C598" s="18">
        <v>4</v>
      </c>
      <c r="D598" s="18" t="s">
        <v>36</v>
      </c>
      <c r="E598" s="18">
        <v>1</v>
      </c>
      <c r="F598" s="18">
        <v>33</v>
      </c>
      <c r="G598" s="18" t="s">
        <v>37</v>
      </c>
      <c r="H598" s="18" t="s">
        <v>33</v>
      </c>
      <c r="I598" s="18">
        <v>4</v>
      </c>
      <c r="J598" s="18">
        <v>3</v>
      </c>
      <c r="K598" s="18" t="s">
        <v>46</v>
      </c>
      <c r="L598" s="18">
        <v>4</v>
      </c>
      <c r="M598" s="18" t="s">
        <v>41</v>
      </c>
      <c r="N598" s="18">
        <v>1</v>
      </c>
      <c r="O598" s="18">
        <v>0</v>
      </c>
      <c r="P598" s="18">
        <v>16.399999999999999</v>
      </c>
      <c r="Q598" s="18">
        <v>4</v>
      </c>
      <c r="R598" s="18">
        <v>5</v>
      </c>
      <c r="S598" s="18">
        <v>0</v>
      </c>
      <c r="T598" s="18">
        <v>132.99</v>
      </c>
    </row>
    <row r="599" spans="1:20" x14ac:dyDescent="0.3">
      <c r="A599" s="18">
        <v>50598</v>
      </c>
      <c r="B599" s="18">
        <v>0</v>
      </c>
      <c r="C599" s="18">
        <v>17</v>
      </c>
      <c r="D599" s="18" t="s">
        <v>36</v>
      </c>
      <c r="E599" s="18">
        <v>3</v>
      </c>
      <c r="F599" s="18">
        <v>5</v>
      </c>
      <c r="G599" s="18" t="s">
        <v>39</v>
      </c>
      <c r="H599" s="18" t="s">
        <v>33</v>
      </c>
      <c r="I599" s="18">
        <v>2.4</v>
      </c>
      <c r="J599" s="18">
        <v>4</v>
      </c>
      <c r="K599" s="18" t="s">
        <v>36</v>
      </c>
      <c r="L599" s="18">
        <v>3</v>
      </c>
      <c r="M599" s="18" t="s">
        <v>41</v>
      </c>
      <c r="N599" s="18">
        <v>1</v>
      </c>
      <c r="O599" s="18">
        <v>0</v>
      </c>
      <c r="P599" s="18">
        <v>18.5</v>
      </c>
      <c r="Q599" s="18">
        <v>1</v>
      </c>
      <c r="R599" s="18">
        <v>6</v>
      </c>
      <c r="S599" s="18">
        <v>4</v>
      </c>
      <c r="T599" s="18">
        <v>116.5</v>
      </c>
    </row>
    <row r="600" spans="1:20" x14ac:dyDescent="0.3">
      <c r="A600" s="18">
        <v>50599</v>
      </c>
      <c r="B600" s="18">
        <v>0</v>
      </c>
      <c r="C600" s="18">
        <v>5</v>
      </c>
      <c r="D600" s="18" t="s">
        <v>42</v>
      </c>
      <c r="E600" s="18">
        <v>2</v>
      </c>
      <c r="F600" s="18">
        <v>25</v>
      </c>
      <c r="G600" s="18" t="s">
        <v>37</v>
      </c>
      <c r="H600" s="18" t="s">
        <v>33</v>
      </c>
      <c r="I600" s="18">
        <v>3.7</v>
      </c>
      <c r="J600" s="18">
        <v>3</v>
      </c>
      <c r="K600" s="18" t="s">
        <v>36</v>
      </c>
      <c r="L600" s="18">
        <v>5</v>
      </c>
      <c r="M600" s="18" t="s">
        <v>35</v>
      </c>
      <c r="N600" s="18">
        <v>3</v>
      </c>
      <c r="O600" s="18">
        <v>0</v>
      </c>
      <c r="P600" s="18">
        <v>13</v>
      </c>
      <c r="Q600" s="18">
        <v>1</v>
      </c>
      <c r="R600" s="18">
        <v>2</v>
      </c>
      <c r="S600" s="18">
        <v>7</v>
      </c>
      <c r="T600" s="18">
        <v>248.9</v>
      </c>
    </row>
    <row r="601" spans="1:20" x14ac:dyDescent="0.3">
      <c r="A601" s="18">
        <v>50600</v>
      </c>
      <c r="B601" s="18">
        <v>0</v>
      </c>
      <c r="C601" s="18">
        <v>2</v>
      </c>
      <c r="D601" s="18" t="s">
        <v>36</v>
      </c>
      <c r="E601" s="18">
        <v>1</v>
      </c>
      <c r="F601" s="18">
        <v>24</v>
      </c>
      <c r="G601" s="18" t="s">
        <v>47</v>
      </c>
      <c r="H601" s="18" t="s">
        <v>33</v>
      </c>
      <c r="I601" s="18">
        <v>3</v>
      </c>
      <c r="J601" s="18">
        <v>2</v>
      </c>
      <c r="K601" s="18" t="s">
        <v>46</v>
      </c>
      <c r="L601" s="18">
        <v>5</v>
      </c>
      <c r="M601" s="18" t="s">
        <v>35</v>
      </c>
      <c r="N601" s="18">
        <v>1</v>
      </c>
      <c r="O601" s="18">
        <v>0</v>
      </c>
      <c r="P601" s="18">
        <v>21.9</v>
      </c>
      <c r="Q601" s="18">
        <v>3</v>
      </c>
      <c r="R601" s="18">
        <v>3</v>
      </c>
      <c r="S601" s="18">
        <v>1</v>
      </c>
      <c r="T601" s="18">
        <v>132.74</v>
      </c>
    </row>
    <row r="602" spans="1:20" x14ac:dyDescent="0.3">
      <c r="A602" s="18">
        <v>50601</v>
      </c>
      <c r="B602" s="18">
        <v>0</v>
      </c>
      <c r="C602" s="18">
        <v>9</v>
      </c>
      <c r="D602" s="18" t="s">
        <v>42</v>
      </c>
      <c r="E602" s="18">
        <v>1</v>
      </c>
      <c r="F602" s="18">
        <v>7</v>
      </c>
      <c r="G602" s="18" t="s">
        <v>47</v>
      </c>
      <c r="H602" s="18" t="s">
        <v>38</v>
      </c>
      <c r="I602" s="18">
        <v>3.1</v>
      </c>
      <c r="J602" s="18">
        <v>3</v>
      </c>
      <c r="K602" s="18" t="s">
        <v>34</v>
      </c>
      <c r="L602" s="18">
        <v>3</v>
      </c>
      <c r="M602" s="18" t="s">
        <v>41</v>
      </c>
      <c r="N602" s="18">
        <v>3</v>
      </c>
      <c r="O602" s="18">
        <v>0</v>
      </c>
      <c r="P602" s="18">
        <v>11</v>
      </c>
      <c r="Q602" s="18">
        <v>2</v>
      </c>
      <c r="R602" s="18">
        <v>5</v>
      </c>
      <c r="S602" s="18">
        <v>3</v>
      </c>
      <c r="T602" s="18">
        <v>216.5</v>
      </c>
    </row>
    <row r="603" spans="1:20" x14ac:dyDescent="0.3">
      <c r="A603" s="18">
        <v>50602</v>
      </c>
      <c r="B603" s="18">
        <v>1</v>
      </c>
      <c r="C603" s="18">
        <v>12</v>
      </c>
      <c r="D603" s="18" t="s">
        <v>42</v>
      </c>
      <c r="E603" s="18">
        <v>1</v>
      </c>
      <c r="F603" s="18">
        <v>23</v>
      </c>
      <c r="G603" s="18" t="s">
        <v>39</v>
      </c>
      <c r="H603" s="18" t="s">
        <v>38</v>
      </c>
      <c r="I603" s="18">
        <v>1.5</v>
      </c>
      <c r="J603" s="18">
        <v>4</v>
      </c>
      <c r="K603" s="18" t="s">
        <v>34</v>
      </c>
      <c r="L603" s="18">
        <v>3</v>
      </c>
      <c r="M603" s="18" t="s">
        <v>41</v>
      </c>
      <c r="N603" s="18">
        <v>3</v>
      </c>
      <c r="O603" s="18">
        <v>0</v>
      </c>
      <c r="P603" s="18">
        <v>21.1</v>
      </c>
      <c r="Q603" s="18">
        <v>2</v>
      </c>
      <c r="R603" s="18">
        <v>1</v>
      </c>
      <c r="S603" s="18">
        <v>13</v>
      </c>
      <c r="T603" s="18">
        <v>142.62</v>
      </c>
    </row>
    <row r="604" spans="1:20" x14ac:dyDescent="0.3">
      <c r="A604" s="18">
        <v>50603</v>
      </c>
      <c r="B604" s="18">
        <v>1</v>
      </c>
      <c r="C604" s="18">
        <v>1</v>
      </c>
      <c r="D604" s="18" t="s">
        <v>36</v>
      </c>
      <c r="E604" s="18">
        <v>1</v>
      </c>
      <c r="F604" s="18">
        <v>17</v>
      </c>
      <c r="G604" s="18" t="s">
        <v>43</v>
      </c>
      <c r="H604" s="18" t="s">
        <v>38</v>
      </c>
      <c r="I604" s="18">
        <v>1.4</v>
      </c>
      <c r="J604" s="18">
        <v>2</v>
      </c>
      <c r="K604" s="18" t="s">
        <v>36</v>
      </c>
      <c r="L604" s="18">
        <v>3</v>
      </c>
      <c r="M604" s="18" t="s">
        <v>35</v>
      </c>
      <c r="N604" s="18">
        <v>1</v>
      </c>
      <c r="O604" s="18">
        <v>1</v>
      </c>
      <c r="P604" s="18">
        <v>15.8</v>
      </c>
      <c r="Q604" s="18">
        <v>2</v>
      </c>
      <c r="R604" s="18">
        <v>4</v>
      </c>
      <c r="S604" s="18">
        <v>3</v>
      </c>
      <c r="T604" s="18">
        <v>110.33</v>
      </c>
    </row>
    <row r="605" spans="1:20" x14ac:dyDescent="0.3">
      <c r="A605" s="18">
        <v>50604</v>
      </c>
      <c r="B605" s="18">
        <v>1</v>
      </c>
      <c r="C605" s="18">
        <v>1</v>
      </c>
      <c r="D605" s="18" t="s">
        <v>36</v>
      </c>
      <c r="E605" s="18">
        <v>3</v>
      </c>
      <c r="F605" s="18">
        <v>13</v>
      </c>
      <c r="G605" s="18" t="s">
        <v>39</v>
      </c>
      <c r="H605" s="18" t="s">
        <v>38</v>
      </c>
      <c r="I605" s="18">
        <v>2.7</v>
      </c>
      <c r="J605" s="18">
        <v>3</v>
      </c>
      <c r="K605" s="18" t="s">
        <v>34</v>
      </c>
      <c r="L605" s="18">
        <v>5</v>
      </c>
      <c r="M605" s="18" t="s">
        <v>35</v>
      </c>
      <c r="N605" s="18">
        <v>3</v>
      </c>
      <c r="O605" s="18">
        <v>1</v>
      </c>
      <c r="P605" s="18">
        <v>19.5</v>
      </c>
      <c r="Q605" s="18">
        <v>2</v>
      </c>
      <c r="R605" s="18">
        <v>2</v>
      </c>
      <c r="S605" s="18">
        <v>28</v>
      </c>
      <c r="T605" s="18">
        <v>213.29</v>
      </c>
    </row>
    <row r="606" spans="1:20" x14ac:dyDescent="0.3">
      <c r="A606" s="18">
        <v>50605</v>
      </c>
      <c r="B606" s="18">
        <v>0</v>
      </c>
      <c r="C606" s="18">
        <v>0</v>
      </c>
      <c r="D606" s="18" t="s">
        <v>31</v>
      </c>
      <c r="E606" s="18">
        <v>1</v>
      </c>
      <c r="F606" s="18">
        <v>8</v>
      </c>
      <c r="G606" s="18" t="s">
        <v>39</v>
      </c>
      <c r="H606" s="18" t="s">
        <v>38</v>
      </c>
      <c r="I606" s="18">
        <v>3.1</v>
      </c>
      <c r="J606" s="18">
        <v>1</v>
      </c>
      <c r="K606" s="18" t="s">
        <v>44</v>
      </c>
      <c r="L606" s="18">
        <v>4</v>
      </c>
      <c r="M606" s="18" t="s">
        <v>41</v>
      </c>
      <c r="N606" s="18">
        <v>9</v>
      </c>
      <c r="O606" s="18">
        <v>1</v>
      </c>
      <c r="P606" s="18">
        <v>17.3</v>
      </c>
      <c r="Q606" s="18">
        <v>1</v>
      </c>
      <c r="R606" s="18">
        <v>3</v>
      </c>
      <c r="S606" s="18">
        <v>0</v>
      </c>
      <c r="T606" s="18">
        <v>145.31</v>
      </c>
    </row>
    <row r="607" spans="1:20" x14ac:dyDescent="0.3">
      <c r="A607" s="18">
        <v>50606</v>
      </c>
      <c r="B607" s="18">
        <v>0</v>
      </c>
      <c r="C607" s="18">
        <v>13</v>
      </c>
      <c r="D607" s="18" t="s">
        <v>36</v>
      </c>
      <c r="E607" s="18">
        <v>1</v>
      </c>
      <c r="F607" s="18">
        <v>9</v>
      </c>
      <c r="G607" s="18" t="s">
        <v>39</v>
      </c>
      <c r="H607" s="18" t="s">
        <v>33</v>
      </c>
      <c r="I607" s="18">
        <v>2.1</v>
      </c>
      <c r="J607" s="18">
        <v>3</v>
      </c>
      <c r="K607" s="18" t="s">
        <v>44</v>
      </c>
      <c r="L607" s="18">
        <v>1</v>
      </c>
      <c r="M607" s="18" t="s">
        <v>35</v>
      </c>
      <c r="N607" s="18">
        <v>1</v>
      </c>
      <c r="O607" s="18">
        <v>0</v>
      </c>
      <c r="P607" s="18">
        <v>17.2</v>
      </c>
      <c r="Q607" s="18">
        <v>1</v>
      </c>
      <c r="R607" s="18">
        <v>3</v>
      </c>
      <c r="S607" s="18">
        <v>6</v>
      </c>
      <c r="T607" s="18">
        <v>203.4</v>
      </c>
    </row>
    <row r="608" spans="1:20" x14ac:dyDescent="0.3">
      <c r="A608" s="18">
        <v>50607</v>
      </c>
      <c r="B608" s="18">
        <v>0</v>
      </c>
      <c r="C608" s="18">
        <v>10</v>
      </c>
      <c r="D608" s="18" t="s">
        <v>31</v>
      </c>
      <c r="E608" s="18">
        <v>2</v>
      </c>
      <c r="F608" s="18">
        <v>31</v>
      </c>
      <c r="G608" s="18" t="s">
        <v>39</v>
      </c>
      <c r="H608" s="18" t="s">
        <v>33</v>
      </c>
      <c r="I608" s="18">
        <v>2.1</v>
      </c>
      <c r="J608" s="18">
        <v>3</v>
      </c>
      <c r="K608" s="18" t="s">
        <v>44</v>
      </c>
      <c r="L608" s="18">
        <v>3</v>
      </c>
      <c r="M608" s="18" t="s">
        <v>41</v>
      </c>
      <c r="N608" s="18">
        <v>3</v>
      </c>
      <c r="O608" s="18">
        <v>1</v>
      </c>
      <c r="P608" s="18">
        <v>17.899999999999999</v>
      </c>
      <c r="Q608" s="18">
        <v>1</v>
      </c>
      <c r="R608" s="18">
        <v>4</v>
      </c>
      <c r="S608" s="18">
        <v>5</v>
      </c>
      <c r="T608" s="18">
        <v>207.46</v>
      </c>
    </row>
    <row r="609" spans="1:20" x14ac:dyDescent="0.3">
      <c r="A609" s="18">
        <v>50608</v>
      </c>
      <c r="B609" s="18">
        <v>0</v>
      </c>
      <c r="C609" s="18">
        <v>6</v>
      </c>
      <c r="D609" s="18" t="s">
        <v>36</v>
      </c>
      <c r="E609" s="18">
        <v>1</v>
      </c>
      <c r="F609" s="18">
        <v>15</v>
      </c>
      <c r="G609" s="18" t="s">
        <v>39</v>
      </c>
      <c r="H609" s="18" t="s">
        <v>33</v>
      </c>
      <c r="I609" s="18">
        <v>3.3</v>
      </c>
      <c r="J609" s="18">
        <v>2</v>
      </c>
      <c r="K609" s="18" t="s">
        <v>44</v>
      </c>
      <c r="L609" s="18">
        <v>1</v>
      </c>
      <c r="M609" s="18" t="s">
        <v>35</v>
      </c>
      <c r="N609" s="18">
        <v>1</v>
      </c>
      <c r="O609" s="18">
        <v>0</v>
      </c>
      <c r="P609" s="18">
        <v>18.8</v>
      </c>
      <c r="Q609" s="18">
        <v>1</v>
      </c>
      <c r="R609" s="18">
        <v>4</v>
      </c>
      <c r="S609" s="18">
        <v>10</v>
      </c>
      <c r="T609" s="18">
        <v>210.04</v>
      </c>
    </row>
    <row r="610" spans="1:20" x14ac:dyDescent="0.3">
      <c r="A610" s="18">
        <v>50609</v>
      </c>
      <c r="B610" s="18">
        <v>0</v>
      </c>
      <c r="C610" s="18">
        <v>18</v>
      </c>
      <c r="D610" s="18" t="s">
        <v>36</v>
      </c>
      <c r="E610" s="18">
        <v>3</v>
      </c>
      <c r="F610" s="18">
        <v>21</v>
      </c>
      <c r="G610" s="18" t="s">
        <v>43</v>
      </c>
      <c r="H610" s="18" t="s">
        <v>38</v>
      </c>
      <c r="I610" s="18">
        <v>3.3</v>
      </c>
      <c r="J610" s="18">
        <v>3</v>
      </c>
      <c r="K610" s="18" t="s">
        <v>40</v>
      </c>
      <c r="L610" s="18">
        <v>4</v>
      </c>
      <c r="M610" s="18" t="s">
        <v>41</v>
      </c>
      <c r="N610" s="18">
        <v>2</v>
      </c>
      <c r="O610" s="18">
        <v>0</v>
      </c>
      <c r="P610" s="18">
        <v>14.8</v>
      </c>
      <c r="Q610" s="18">
        <v>6</v>
      </c>
      <c r="R610" s="18">
        <v>4</v>
      </c>
      <c r="S610" s="18">
        <v>0</v>
      </c>
      <c r="T610" s="18">
        <v>165.25</v>
      </c>
    </row>
    <row r="611" spans="1:20" x14ac:dyDescent="0.3">
      <c r="A611" s="18">
        <v>50610</v>
      </c>
      <c r="B611" s="18">
        <v>1</v>
      </c>
      <c r="C611" s="18">
        <v>16</v>
      </c>
      <c r="D611" s="18" t="s">
        <v>31</v>
      </c>
      <c r="E611" s="18">
        <v>1</v>
      </c>
      <c r="F611" s="18">
        <v>8</v>
      </c>
      <c r="G611" s="18" t="s">
        <v>39</v>
      </c>
      <c r="H611" s="18" t="s">
        <v>33</v>
      </c>
      <c r="I611" s="18">
        <v>2.8</v>
      </c>
      <c r="J611" s="18">
        <v>2</v>
      </c>
      <c r="K611" s="18" t="s">
        <v>46</v>
      </c>
      <c r="L611" s="18">
        <v>3</v>
      </c>
      <c r="M611" s="18" t="s">
        <v>41</v>
      </c>
      <c r="N611" s="18">
        <v>1</v>
      </c>
      <c r="O611" s="18">
        <v>0</v>
      </c>
      <c r="P611" s="18">
        <v>19.600000000000001</v>
      </c>
      <c r="Q611" s="18">
        <v>1</v>
      </c>
      <c r="R611" s="18">
        <v>4</v>
      </c>
      <c r="S611" s="18">
        <v>1</v>
      </c>
      <c r="T611" s="18">
        <v>217.74</v>
      </c>
    </row>
    <row r="612" spans="1:20" x14ac:dyDescent="0.3">
      <c r="A612" s="18">
        <v>50611</v>
      </c>
      <c r="B612" s="18">
        <v>0</v>
      </c>
      <c r="C612" s="18">
        <v>8</v>
      </c>
      <c r="D612" s="18" t="s">
        <v>36</v>
      </c>
      <c r="E612" s="18">
        <v>1</v>
      </c>
      <c r="F612" s="18">
        <v>8</v>
      </c>
      <c r="G612" s="18" t="s">
        <v>39</v>
      </c>
      <c r="H612" s="18" t="s">
        <v>38</v>
      </c>
      <c r="I612" s="18">
        <v>3.4</v>
      </c>
      <c r="J612" s="18">
        <v>3</v>
      </c>
      <c r="K612" s="18" t="s">
        <v>40</v>
      </c>
      <c r="L612" s="18">
        <v>3</v>
      </c>
      <c r="M612" s="18" t="s">
        <v>41</v>
      </c>
      <c r="N612" s="18">
        <v>1</v>
      </c>
      <c r="O612" s="18">
        <v>0</v>
      </c>
      <c r="P612" s="18">
        <v>12.2</v>
      </c>
      <c r="Q612" s="18">
        <v>4</v>
      </c>
      <c r="R612" s="18">
        <v>3</v>
      </c>
      <c r="S612" s="18">
        <v>0</v>
      </c>
      <c r="T612" s="18">
        <v>129.26</v>
      </c>
    </row>
    <row r="613" spans="1:20" x14ac:dyDescent="0.3">
      <c r="A613" s="18">
        <v>50612</v>
      </c>
      <c r="B613" s="18">
        <v>0</v>
      </c>
      <c r="C613" s="18">
        <v>20</v>
      </c>
      <c r="D613" s="18" t="s">
        <v>36</v>
      </c>
      <c r="E613" s="18">
        <v>1</v>
      </c>
      <c r="F613" s="18">
        <v>23</v>
      </c>
      <c r="G613" s="18" t="s">
        <v>39</v>
      </c>
      <c r="H613" s="18" t="s">
        <v>33</v>
      </c>
      <c r="I613" s="18">
        <v>2.1</v>
      </c>
      <c r="J613" s="18">
        <v>4</v>
      </c>
      <c r="K613" s="18" t="s">
        <v>40</v>
      </c>
      <c r="L613" s="18">
        <v>4</v>
      </c>
      <c r="M613" s="18" t="s">
        <v>35</v>
      </c>
      <c r="N613" s="18">
        <v>1</v>
      </c>
      <c r="O613" s="18">
        <v>0</v>
      </c>
      <c r="P613" s="18">
        <v>16</v>
      </c>
      <c r="Q613" s="18">
        <v>0</v>
      </c>
      <c r="R613" s="18">
        <v>4</v>
      </c>
      <c r="S613" s="18">
        <v>13</v>
      </c>
      <c r="T613" s="18">
        <v>45.03</v>
      </c>
    </row>
    <row r="614" spans="1:20" x14ac:dyDescent="0.3">
      <c r="A614" s="18">
        <v>50613</v>
      </c>
      <c r="B614" s="18">
        <v>0</v>
      </c>
      <c r="C614" s="18">
        <v>2</v>
      </c>
      <c r="D614" s="18" t="s">
        <v>36</v>
      </c>
      <c r="E614" s="18">
        <v>1</v>
      </c>
      <c r="F614" s="18">
        <v>5</v>
      </c>
      <c r="G614" s="18" t="s">
        <v>47</v>
      </c>
      <c r="H614" s="18" t="s">
        <v>33</v>
      </c>
      <c r="I614" s="18">
        <v>2.7</v>
      </c>
      <c r="J614" s="18">
        <v>2</v>
      </c>
      <c r="K614" s="18" t="s">
        <v>36</v>
      </c>
      <c r="L614" s="18">
        <v>1</v>
      </c>
      <c r="M614" s="18" t="s">
        <v>35</v>
      </c>
      <c r="N614" s="18">
        <v>13</v>
      </c>
      <c r="O614" s="18">
        <v>1</v>
      </c>
      <c r="P614" s="18">
        <v>18.899999999999999</v>
      </c>
      <c r="Q614" s="18">
        <v>2</v>
      </c>
      <c r="R614" s="18">
        <v>2</v>
      </c>
      <c r="S614" s="18"/>
      <c r="T614" s="18">
        <v>218.88</v>
      </c>
    </row>
    <row r="615" spans="1:20" x14ac:dyDescent="0.3">
      <c r="A615" s="18">
        <v>50614</v>
      </c>
      <c r="B615" s="18">
        <v>0</v>
      </c>
      <c r="C615" s="18">
        <v>1</v>
      </c>
      <c r="D615" s="18" t="s">
        <v>36</v>
      </c>
      <c r="E615" s="18">
        <v>1</v>
      </c>
      <c r="F615" s="18">
        <v>11</v>
      </c>
      <c r="G615" s="18" t="s">
        <v>32</v>
      </c>
      <c r="H615" s="18" t="s">
        <v>38</v>
      </c>
      <c r="I615" s="18">
        <v>4.0999999999999996</v>
      </c>
      <c r="J615" s="18">
        <v>3</v>
      </c>
      <c r="K615" s="18" t="s">
        <v>40</v>
      </c>
      <c r="L615" s="18">
        <v>2</v>
      </c>
      <c r="M615" s="18" t="s">
        <v>35</v>
      </c>
      <c r="N615" s="18">
        <v>3</v>
      </c>
      <c r="O615" s="18">
        <v>0</v>
      </c>
      <c r="P615" s="18">
        <v>19.5</v>
      </c>
      <c r="Q615" s="18">
        <v>1</v>
      </c>
      <c r="R615" s="18">
        <v>4</v>
      </c>
      <c r="S615" s="18">
        <v>12</v>
      </c>
      <c r="T615" s="18">
        <v>189.11</v>
      </c>
    </row>
    <row r="616" spans="1:20" x14ac:dyDescent="0.3">
      <c r="A616" s="18">
        <v>50615</v>
      </c>
      <c r="B616" s="18">
        <v>0</v>
      </c>
      <c r="C616" s="18">
        <v>3</v>
      </c>
      <c r="D616" s="18" t="s">
        <v>36</v>
      </c>
      <c r="E616" s="18">
        <v>3</v>
      </c>
      <c r="F616" s="18">
        <v>15</v>
      </c>
      <c r="G616" s="18" t="s">
        <v>39</v>
      </c>
      <c r="H616" s="18" t="s">
        <v>33</v>
      </c>
      <c r="I616" s="18">
        <v>2.9</v>
      </c>
      <c r="J616" s="18">
        <v>4</v>
      </c>
      <c r="K616" s="18" t="s">
        <v>36</v>
      </c>
      <c r="L616" s="18">
        <v>3</v>
      </c>
      <c r="M616" s="18" t="s">
        <v>41</v>
      </c>
      <c r="N616" s="18">
        <v>2</v>
      </c>
      <c r="O616" s="18">
        <v>0</v>
      </c>
      <c r="P616" s="18">
        <v>17.600000000000001</v>
      </c>
      <c r="Q616" s="18">
        <v>3</v>
      </c>
      <c r="R616" s="18">
        <v>4</v>
      </c>
      <c r="S616" s="18">
        <v>1</v>
      </c>
      <c r="T616" s="18">
        <v>146.44999999999999</v>
      </c>
    </row>
    <row r="617" spans="1:20" x14ac:dyDescent="0.3">
      <c r="A617" s="18">
        <v>50616</v>
      </c>
      <c r="B617" s="18">
        <v>0</v>
      </c>
      <c r="C617" s="18">
        <v>0</v>
      </c>
      <c r="D617" s="18" t="s">
        <v>42</v>
      </c>
      <c r="E617" s="18">
        <v>3</v>
      </c>
      <c r="F617" s="18">
        <v>15</v>
      </c>
      <c r="G617" s="18" t="s">
        <v>39</v>
      </c>
      <c r="H617" s="18" t="s">
        <v>33</v>
      </c>
      <c r="I617" s="18">
        <v>3</v>
      </c>
      <c r="J617" s="18">
        <v>4</v>
      </c>
      <c r="K617" s="18" t="s">
        <v>46</v>
      </c>
      <c r="L617" s="18">
        <v>2</v>
      </c>
      <c r="M617" s="18" t="s">
        <v>41</v>
      </c>
      <c r="N617" s="18">
        <v>1</v>
      </c>
      <c r="O617" s="18">
        <v>0</v>
      </c>
      <c r="P617" s="18">
        <v>14.6</v>
      </c>
      <c r="Q617" s="18">
        <v>1</v>
      </c>
      <c r="R617" s="18">
        <v>6</v>
      </c>
      <c r="S617" s="18">
        <v>0</v>
      </c>
      <c r="T617" s="18">
        <v>99.09</v>
      </c>
    </row>
    <row r="618" spans="1:20" x14ac:dyDescent="0.3">
      <c r="A618" s="18">
        <v>50617</v>
      </c>
      <c r="B618" s="18">
        <v>0</v>
      </c>
      <c r="C618" s="18">
        <v>7</v>
      </c>
      <c r="D618" s="18" t="s">
        <v>36</v>
      </c>
      <c r="E618" s="18">
        <v>1</v>
      </c>
      <c r="F618" s="18">
        <v>13</v>
      </c>
      <c r="G618" s="18" t="s">
        <v>39</v>
      </c>
      <c r="H618" s="18" t="s">
        <v>33</v>
      </c>
      <c r="I618" s="18">
        <v>4.5</v>
      </c>
      <c r="J618" s="18">
        <v>2</v>
      </c>
      <c r="K618" s="18" t="s">
        <v>40</v>
      </c>
      <c r="L618" s="18">
        <v>3</v>
      </c>
      <c r="M618" s="18" t="s">
        <v>35</v>
      </c>
      <c r="N618" s="18">
        <v>2</v>
      </c>
      <c r="O618" s="18">
        <v>1</v>
      </c>
      <c r="P618" s="18">
        <v>19.100000000000001</v>
      </c>
      <c r="Q618" s="18">
        <v>1</v>
      </c>
      <c r="R618" s="18">
        <v>7</v>
      </c>
      <c r="S618" s="18">
        <v>1</v>
      </c>
      <c r="T618" s="18">
        <v>67.989999999999995</v>
      </c>
    </row>
    <row r="619" spans="1:20" x14ac:dyDescent="0.3">
      <c r="A619" s="18">
        <v>50618</v>
      </c>
      <c r="B619" s="18">
        <v>0</v>
      </c>
      <c r="C619" s="18">
        <v>27</v>
      </c>
      <c r="D619" s="18" t="s">
        <v>36</v>
      </c>
      <c r="E619" s="18">
        <v>2</v>
      </c>
      <c r="F619" s="18">
        <v>18</v>
      </c>
      <c r="G619" s="18" t="s">
        <v>39</v>
      </c>
      <c r="H619" s="18" t="s">
        <v>33</v>
      </c>
      <c r="I619" s="18">
        <v>1.9</v>
      </c>
      <c r="J619" s="18">
        <v>3</v>
      </c>
      <c r="K619" s="18" t="s">
        <v>40</v>
      </c>
      <c r="L619" s="18">
        <v>5</v>
      </c>
      <c r="M619" s="18" t="s">
        <v>41</v>
      </c>
      <c r="N619" s="18">
        <v>1</v>
      </c>
      <c r="O619" s="18">
        <v>0</v>
      </c>
      <c r="P619" s="18">
        <v>13.7</v>
      </c>
      <c r="Q619" s="18">
        <v>0</v>
      </c>
      <c r="R619" s="18">
        <v>2</v>
      </c>
      <c r="S619" s="18">
        <v>4</v>
      </c>
      <c r="T619" s="18">
        <v>182.85</v>
      </c>
    </row>
    <row r="620" spans="1:20" x14ac:dyDescent="0.3">
      <c r="A620" s="18">
        <v>50619</v>
      </c>
      <c r="B620" s="18">
        <v>0</v>
      </c>
      <c r="C620" s="18">
        <v>0</v>
      </c>
      <c r="D620" s="18" t="s">
        <v>31</v>
      </c>
      <c r="E620" s="18">
        <v>3</v>
      </c>
      <c r="F620" s="18">
        <v>20</v>
      </c>
      <c r="G620" s="18" t="s">
        <v>39</v>
      </c>
      <c r="H620" s="18" t="s">
        <v>38</v>
      </c>
      <c r="I620" s="18">
        <v>3.5</v>
      </c>
      <c r="J620" s="18">
        <v>3</v>
      </c>
      <c r="K620" s="18" t="s">
        <v>36</v>
      </c>
      <c r="L620" s="18">
        <v>4</v>
      </c>
      <c r="M620" s="18" t="s">
        <v>35</v>
      </c>
      <c r="N620" s="18">
        <v>1</v>
      </c>
      <c r="O620" s="18">
        <v>0</v>
      </c>
      <c r="P620" s="18">
        <v>22.1</v>
      </c>
      <c r="Q620" s="18">
        <v>4</v>
      </c>
      <c r="R620" s="18">
        <v>3</v>
      </c>
      <c r="S620" s="18">
        <v>9</v>
      </c>
      <c r="T620" s="18">
        <v>270.68</v>
      </c>
    </row>
    <row r="621" spans="1:20" x14ac:dyDescent="0.3">
      <c r="A621" s="18">
        <v>50620</v>
      </c>
      <c r="B621" s="18">
        <v>0</v>
      </c>
      <c r="C621" s="18">
        <v>1</v>
      </c>
      <c r="D621" s="18" t="s">
        <v>36</v>
      </c>
      <c r="E621" s="18">
        <v>3</v>
      </c>
      <c r="F621" s="18">
        <v>20</v>
      </c>
      <c r="G621" s="18" t="s">
        <v>37</v>
      </c>
      <c r="H621" s="18" t="s">
        <v>33</v>
      </c>
      <c r="I621" s="18">
        <v>4.0999999999999996</v>
      </c>
      <c r="J621" s="18">
        <v>3</v>
      </c>
      <c r="K621" s="18" t="s">
        <v>46</v>
      </c>
      <c r="L621" s="18">
        <v>5</v>
      </c>
      <c r="M621" s="18" t="s">
        <v>41</v>
      </c>
      <c r="N621" s="18">
        <v>2</v>
      </c>
      <c r="O621" s="18">
        <v>0</v>
      </c>
      <c r="P621" s="18">
        <v>15.7</v>
      </c>
      <c r="Q621" s="18">
        <v>4</v>
      </c>
      <c r="R621" s="18">
        <v>6</v>
      </c>
      <c r="S621" s="18">
        <v>2</v>
      </c>
      <c r="T621" s="18">
        <v>172.38</v>
      </c>
    </row>
    <row r="622" spans="1:20" x14ac:dyDescent="0.3">
      <c r="A622" s="18">
        <v>50621</v>
      </c>
      <c r="B622" s="18">
        <v>0</v>
      </c>
      <c r="C622" s="18">
        <v>6</v>
      </c>
      <c r="D622" s="18" t="s">
        <v>36</v>
      </c>
      <c r="E622" s="18">
        <v>1</v>
      </c>
      <c r="F622" s="18">
        <v>7</v>
      </c>
      <c r="G622" s="18" t="s">
        <v>39</v>
      </c>
      <c r="H622" s="18" t="s">
        <v>33</v>
      </c>
      <c r="I622" s="18">
        <v>2.7</v>
      </c>
      <c r="J622" s="18">
        <v>1</v>
      </c>
      <c r="K622" s="18" t="s">
        <v>44</v>
      </c>
      <c r="L622" s="18">
        <v>5</v>
      </c>
      <c r="M622" s="18" t="s">
        <v>35</v>
      </c>
      <c r="N622" s="18">
        <v>1</v>
      </c>
      <c r="O622" s="18">
        <v>0</v>
      </c>
      <c r="P622" s="18">
        <v>11</v>
      </c>
      <c r="Q622" s="18">
        <v>2</v>
      </c>
      <c r="R622" s="18">
        <v>4</v>
      </c>
      <c r="S622" s="18">
        <v>12</v>
      </c>
      <c r="T622" s="18">
        <v>160.13</v>
      </c>
    </row>
    <row r="623" spans="1:20" x14ac:dyDescent="0.3">
      <c r="A623" s="18">
        <v>50622</v>
      </c>
      <c r="B623" s="18">
        <v>0</v>
      </c>
      <c r="C623" s="18">
        <v>27</v>
      </c>
      <c r="D623" s="18" t="s">
        <v>42</v>
      </c>
      <c r="E623" s="18">
        <v>1</v>
      </c>
      <c r="F623" s="18">
        <v>12</v>
      </c>
      <c r="G623" s="18" t="s">
        <v>37</v>
      </c>
      <c r="H623" s="18" t="s">
        <v>33</v>
      </c>
      <c r="I623" s="18">
        <v>3.5</v>
      </c>
      <c r="J623" s="18">
        <v>4</v>
      </c>
      <c r="K623" s="18" t="s">
        <v>36</v>
      </c>
      <c r="L623" s="18">
        <v>3</v>
      </c>
      <c r="M623" s="18" t="s">
        <v>35</v>
      </c>
      <c r="N623" s="18">
        <v>1</v>
      </c>
      <c r="O623" s="18">
        <v>1</v>
      </c>
      <c r="P623" s="18">
        <v>11.8</v>
      </c>
      <c r="Q623" s="18">
        <v>0</v>
      </c>
      <c r="R623" s="18">
        <v>4</v>
      </c>
      <c r="S623" s="18">
        <v>1</v>
      </c>
      <c r="T623" s="18">
        <v>178.66</v>
      </c>
    </row>
    <row r="624" spans="1:20" x14ac:dyDescent="0.3">
      <c r="A624" s="18">
        <v>50623</v>
      </c>
      <c r="B624" s="18">
        <v>0</v>
      </c>
      <c r="C624" s="18">
        <v>3</v>
      </c>
      <c r="D624" s="18" t="s">
        <v>31</v>
      </c>
      <c r="E624" s="18">
        <v>1</v>
      </c>
      <c r="F624" s="18">
        <v>24</v>
      </c>
      <c r="G624" s="18" t="s">
        <v>39</v>
      </c>
      <c r="H624" s="18" t="s">
        <v>38</v>
      </c>
      <c r="I624" s="18">
        <v>2.2000000000000002</v>
      </c>
      <c r="J624" s="18">
        <v>5</v>
      </c>
      <c r="K624" s="18" t="s">
        <v>40</v>
      </c>
      <c r="L624" s="18">
        <v>3</v>
      </c>
      <c r="M624" s="18" t="s">
        <v>45</v>
      </c>
      <c r="N624" s="18">
        <v>2</v>
      </c>
      <c r="O624" s="18">
        <v>0</v>
      </c>
      <c r="P624" s="18">
        <v>16.2</v>
      </c>
      <c r="Q624" s="18">
        <v>3</v>
      </c>
      <c r="R624" s="18">
        <v>4</v>
      </c>
      <c r="S624" s="18">
        <v>5</v>
      </c>
      <c r="T624" s="18">
        <v>299.86</v>
      </c>
    </row>
    <row r="625" spans="1:20" x14ac:dyDescent="0.3">
      <c r="A625" s="18">
        <v>50624</v>
      </c>
      <c r="B625" s="18">
        <v>0</v>
      </c>
      <c r="C625" s="18">
        <v>7</v>
      </c>
      <c r="D625" s="18" t="s">
        <v>31</v>
      </c>
      <c r="E625" s="18">
        <v>3</v>
      </c>
      <c r="F625" s="18"/>
      <c r="G625" s="18" t="s">
        <v>43</v>
      </c>
      <c r="H625" s="18" t="s">
        <v>33</v>
      </c>
      <c r="I625" s="18">
        <v>2.4</v>
      </c>
      <c r="J625" s="18">
        <v>3</v>
      </c>
      <c r="K625" s="18" t="s">
        <v>36</v>
      </c>
      <c r="L625" s="18">
        <v>2</v>
      </c>
      <c r="M625" s="18" t="s">
        <v>41</v>
      </c>
      <c r="N625" s="18">
        <v>6</v>
      </c>
      <c r="O625" s="18">
        <v>0</v>
      </c>
      <c r="P625" s="18">
        <v>16.5</v>
      </c>
      <c r="Q625" s="18">
        <v>1</v>
      </c>
      <c r="R625" s="18">
        <v>1</v>
      </c>
      <c r="S625" s="18">
        <v>6</v>
      </c>
      <c r="T625" s="18">
        <v>221.35</v>
      </c>
    </row>
    <row r="626" spans="1:20" x14ac:dyDescent="0.3">
      <c r="A626" s="18">
        <v>50625</v>
      </c>
      <c r="B626" s="18">
        <v>0</v>
      </c>
      <c r="C626" s="18">
        <v>0</v>
      </c>
      <c r="D626" s="18" t="s">
        <v>31</v>
      </c>
      <c r="E626" s="18">
        <v>3</v>
      </c>
      <c r="F626" s="18">
        <v>5</v>
      </c>
      <c r="G626" s="18" t="s">
        <v>43</v>
      </c>
      <c r="H626" s="18" t="s">
        <v>38</v>
      </c>
      <c r="I626" s="18">
        <v>3.2</v>
      </c>
      <c r="J626" s="18">
        <v>2</v>
      </c>
      <c r="K626" s="18" t="s">
        <v>46</v>
      </c>
      <c r="L626" s="18">
        <v>5</v>
      </c>
      <c r="M626" s="18" t="s">
        <v>41</v>
      </c>
      <c r="N626" s="18">
        <v>1</v>
      </c>
      <c r="O626" s="18">
        <v>0</v>
      </c>
      <c r="P626" s="18">
        <v>22.9</v>
      </c>
      <c r="Q626" s="18">
        <v>1</v>
      </c>
      <c r="R626" s="18">
        <v>1</v>
      </c>
      <c r="S626" s="18">
        <v>1</v>
      </c>
      <c r="T626" s="18">
        <v>128.65</v>
      </c>
    </row>
    <row r="627" spans="1:20" x14ac:dyDescent="0.3">
      <c r="A627" s="18">
        <v>50626</v>
      </c>
      <c r="B627" s="18">
        <v>0</v>
      </c>
      <c r="C627" s="18">
        <v>1</v>
      </c>
      <c r="D627" s="18" t="s">
        <v>36</v>
      </c>
      <c r="E627" s="18">
        <v>1</v>
      </c>
      <c r="F627" s="18">
        <v>17</v>
      </c>
      <c r="G627" s="18" t="s">
        <v>37</v>
      </c>
      <c r="H627" s="18" t="s">
        <v>38</v>
      </c>
      <c r="I627" s="18">
        <v>3.5</v>
      </c>
      <c r="J627" s="18">
        <v>3</v>
      </c>
      <c r="K627" s="18" t="s">
        <v>36</v>
      </c>
      <c r="L627" s="18">
        <v>4</v>
      </c>
      <c r="M627" s="18" t="s">
        <v>35</v>
      </c>
      <c r="N627" s="18">
        <v>1</v>
      </c>
      <c r="O627" s="18">
        <v>1</v>
      </c>
      <c r="P627" s="18">
        <v>12.4</v>
      </c>
      <c r="Q627" s="18">
        <v>0</v>
      </c>
      <c r="R627" s="18">
        <v>2</v>
      </c>
      <c r="S627" s="18">
        <v>0</v>
      </c>
      <c r="T627" s="18">
        <v>181.55</v>
      </c>
    </row>
    <row r="628" spans="1:20" x14ac:dyDescent="0.3">
      <c r="A628" s="18">
        <v>50627</v>
      </c>
      <c r="B628" s="18">
        <v>0</v>
      </c>
      <c r="C628" s="18">
        <v>43</v>
      </c>
      <c r="D628" s="18" t="s">
        <v>31</v>
      </c>
      <c r="E628" s="18">
        <v>1</v>
      </c>
      <c r="F628" s="18">
        <v>5</v>
      </c>
      <c r="G628" s="18" t="s">
        <v>37</v>
      </c>
      <c r="H628" s="18" t="s">
        <v>33</v>
      </c>
      <c r="I628" s="18">
        <v>3.7</v>
      </c>
      <c r="J628" s="18">
        <v>5</v>
      </c>
      <c r="K628" s="18" t="s">
        <v>36</v>
      </c>
      <c r="L628" s="18">
        <v>2</v>
      </c>
      <c r="M628" s="18" t="s">
        <v>45</v>
      </c>
      <c r="N628" s="18">
        <v>1</v>
      </c>
      <c r="O628" s="18">
        <v>0</v>
      </c>
      <c r="P628" s="18">
        <v>16.100000000000001</v>
      </c>
      <c r="Q628" s="18"/>
      <c r="R628" s="18">
        <v>4</v>
      </c>
      <c r="S628" s="18">
        <v>2</v>
      </c>
      <c r="T628" s="18">
        <v>198.28</v>
      </c>
    </row>
    <row r="629" spans="1:20" x14ac:dyDescent="0.3">
      <c r="A629" s="18">
        <v>50628</v>
      </c>
      <c r="B629" s="18">
        <v>0</v>
      </c>
      <c r="C629" s="18">
        <v>33</v>
      </c>
      <c r="D629" s="18" t="s">
        <v>36</v>
      </c>
      <c r="E629" s="18">
        <v>3</v>
      </c>
      <c r="F629" s="18">
        <v>15</v>
      </c>
      <c r="G629" s="18" t="s">
        <v>37</v>
      </c>
      <c r="H629" s="18" t="s">
        <v>38</v>
      </c>
      <c r="I629" s="18">
        <v>4</v>
      </c>
      <c r="J629" s="18">
        <v>4</v>
      </c>
      <c r="K629" s="18" t="s">
        <v>46</v>
      </c>
      <c r="L629" s="18">
        <v>3</v>
      </c>
      <c r="M629" s="18" t="s">
        <v>45</v>
      </c>
      <c r="N629" s="18">
        <v>13</v>
      </c>
      <c r="O629" s="18">
        <v>0</v>
      </c>
      <c r="P629" s="18">
        <v>12.3</v>
      </c>
      <c r="Q629" s="18">
        <v>4</v>
      </c>
      <c r="R629" s="18">
        <v>5</v>
      </c>
      <c r="S629" s="18">
        <v>0</v>
      </c>
      <c r="T629" s="18">
        <v>121.9</v>
      </c>
    </row>
    <row r="630" spans="1:20" x14ac:dyDescent="0.3">
      <c r="A630" s="18">
        <v>50629</v>
      </c>
      <c r="B630" s="18">
        <v>0</v>
      </c>
      <c r="C630" s="18">
        <v>0</v>
      </c>
      <c r="D630" s="18" t="s">
        <v>36</v>
      </c>
      <c r="E630" s="18">
        <v>3</v>
      </c>
      <c r="F630" s="18">
        <v>30</v>
      </c>
      <c r="G630" s="18" t="s">
        <v>37</v>
      </c>
      <c r="H630" s="18" t="s">
        <v>38</v>
      </c>
      <c r="I630" s="18">
        <v>2.9</v>
      </c>
      <c r="J630" s="18">
        <v>4</v>
      </c>
      <c r="K630" s="18" t="s">
        <v>36</v>
      </c>
      <c r="L630" s="18">
        <v>3</v>
      </c>
      <c r="M630" s="18" t="s">
        <v>35</v>
      </c>
      <c r="N630" s="18">
        <v>6</v>
      </c>
      <c r="O630" s="18">
        <v>0</v>
      </c>
      <c r="P630" s="18">
        <v>14.3</v>
      </c>
      <c r="Q630" s="18">
        <v>2</v>
      </c>
      <c r="R630" s="18">
        <v>4</v>
      </c>
      <c r="S630" s="18">
        <v>11</v>
      </c>
      <c r="T630" s="18">
        <v>221.75</v>
      </c>
    </row>
    <row r="631" spans="1:20" x14ac:dyDescent="0.3">
      <c r="A631" s="18">
        <v>50630</v>
      </c>
      <c r="B631" s="18">
        <v>0</v>
      </c>
      <c r="C631" s="18">
        <v>30</v>
      </c>
      <c r="D631" s="18" t="s">
        <v>36</v>
      </c>
      <c r="E631" s="18">
        <v>3</v>
      </c>
      <c r="F631" s="18">
        <v>7</v>
      </c>
      <c r="G631" s="18" t="s">
        <v>47</v>
      </c>
      <c r="H631" s="18" t="s">
        <v>33</v>
      </c>
      <c r="I631" s="18">
        <v>3.7</v>
      </c>
      <c r="J631" s="18">
        <v>4</v>
      </c>
      <c r="K631" s="18" t="s">
        <v>36</v>
      </c>
      <c r="L631" s="18">
        <v>3</v>
      </c>
      <c r="M631" s="18" t="s">
        <v>35</v>
      </c>
      <c r="N631" s="18">
        <v>3</v>
      </c>
      <c r="O631" s="18">
        <v>0</v>
      </c>
      <c r="P631" s="18">
        <v>21.9</v>
      </c>
      <c r="Q631" s="18">
        <v>2</v>
      </c>
      <c r="R631" s="18">
        <v>3</v>
      </c>
      <c r="S631" s="18">
        <v>15</v>
      </c>
      <c r="T631" s="18">
        <v>135.02000000000001</v>
      </c>
    </row>
    <row r="632" spans="1:20" x14ac:dyDescent="0.3">
      <c r="A632" s="18">
        <v>50631</v>
      </c>
      <c r="B632" s="18">
        <v>0</v>
      </c>
      <c r="C632" s="18">
        <v>10</v>
      </c>
      <c r="D632" s="18" t="s">
        <v>36</v>
      </c>
      <c r="E632" s="18">
        <v>3</v>
      </c>
      <c r="F632" s="18"/>
      <c r="G632" s="18" t="s">
        <v>37</v>
      </c>
      <c r="H632" s="18" t="s">
        <v>33</v>
      </c>
      <c r="I632" s="18">
        <v>2.7</v>
      </c>
      <c r="J632" s="18">
        <v>3</v>
      </c>
      <c r="K632" s="18" t="s">
        <v>36</v>
      </c>
      <c r="L632" s="18">
        <v>5</v>
      </c>
      <c r="M632" s="18" t="s">
        <v>35</v>
      </c>
      <c r="N632" s="18">
        <v>9</v>
      </c>
      <c r="O632" s="18">
        <v>1</v>
      </c>
      <c r="P632" s="18">
        <v>12</v>
      </c>
      <c r="Q632" s="18">
        <v>3</v>
      </c>
      <c r="R632" s="18">
        <v>4</v>
      </c>
      <c r="S632" s="18">
        <v>6</v>
      </c>
      <c r="T632" s="18">
        <v>96.9</v>
      </c>
    </row>
    <row r="633" spans="1:20" x14ac:dyDescent="0.3">
      <c r="A633" s="18">
        <v>50632</v>
      </c>
      <c r="B633" s="18">
        <v>0</v>
      </c>
      <c r="C633" s="18">
        <v>20</v>
      </c>
      <c r="D633" s="18" t="s">
        <v>36</v>
      </c>
      <c r="E633" s="18">
        <v>1</v>
      </c>
      <c r="F633" s="18">
        <v>21</v>
      </c>
      <c r="G633" s="18" t="s">
        <v>32</v>
      </c>
      <c r="H633" s="18" t="s">
        <v>38</v>
      </c>
      <c r="I633" s="18">
        <v>3.5</v>
      </c>
      <c r="J633" s="18">
        <v>3</v>
      </c>
      <c r="K633" s="18" t="s">
        <v>44</v>
      </c>
      <c r="L633" s="18">
        <v>3</v>
      </c>
      <c r="M633" s="18" t="s">
        <v>35</v>
      </c>
      <c r="N633" s="18">
        <v>2</v>
      </c>
      <c r="O633" s="18">
        <v>1</v>
      </c>
      <c r="P633" s="18">
        <v>18.100000000000001</v>
      </c>
      <c r="Q633" s="18">
        <v>2</v>
      </c>
      <c r="R633" s="18">
        <v>2</v>
      </c>
      <c r="S633" s="18">
        <v>6</v>
      </c>
      <c r="T633" s="18">
        <v>184.19</v>
      </c>
    </row>
    <row r="634" spans="1:20" x14ac:dyDescent="0.3">
      <c r="A634" s="18">
        <v>50633</v>
      </c>
      <c r="B634" s="18">
        <v>0</v>
      </c>
      <c r="C634" s="18">
        <v>6</v>
      </c>
      <c r="D634" s="18" t="s">
        <v>42</v>
      </c>
      <c r="E634" s="18">
        <v>2</v>
      </c>
      <c r="F634" s="18">
        <v>5</v>
      </c>
      <c r="G634" s="18" t="s">
        <v>43</v>
      </c>
      <c r="H634" s="18" t="s">
        <v>38</v>
      </c>
      <c r="I634" s="18">
        <v>3</v>
      </c>
      <c r="J634" s="18">
        <v>3</v>
      </c>
      <c r="K634" s="18" t="s">
        <v>40</v>
      </c>
      <c r="L634" s="18">
        <v>5</v>
      </c>
      <c r="M634" s="18" t="s">
        <v>35</v>
      </c>
      <c r="N634" s="18">
        <v>14</v>
      </c>
      <c r="O634" s="18">
        <v>1</v>
      </c>
      <c r="P634" s="18">
        <v>17.399999999999999</v>
      </c>
      <c r="Q634" s="18">
        <v>3</v>
      </c>
      <c r="R634" s="18">
        <v>2</v>
      </c>
      <c r="S634" s="18">
        <v>1</v>
      </c>
      <c r="T634" s="18">
        <v>175.48</v>
      </c>
    </row>
    <row r="635" spans="1:20" x14ac:dyDescent="0.3">
      <c r="A635" s="18">
        <v>50634</v>
      </c>
      <c r="B635" s="18">
        <v>0</v>
      </c>
      <c r="C635" s="18">
        <v>7</v>
      </c>
      <c r="D635" s="18" t="s">
        <v>36</v>
      </c>
      <c r="E635" s="18">
        <v>2</v>
      </c>
      <c r="F635" s="18">
        <v>9</v>
      </c>
      <c r="G635" s="18" t="s">
        <v>39</v>
      </c>
      <c r="H635" s="18" t="s">
        <v>33</v>
      </c>
      <c r="I635" s="18">
        <v>3.2</v>
      </c>
      <c r="J635" s="18">
        <v>4</v>
      </c>
      <c r="K635" s="18" t="s">
        <v>44</v>
      </c>
      <c r="L635" s="18">
        <v>3</v>
      </c>
      <c r="M635" s="18" t="s">
        <v>35</v>
      </c>
      <c r="N635" s="18">
        <v>1</v>
      </c>
      <c r="O635" s="18">
        <v>1</v>
      </c>
      <c r="P635" s="18"/>
      <c r="Q635" s="18">
        <v>2</v>
      </c>
      <c r="R635" s="18">
        <v>2</v>
      </c>
      <c r="S635" s="18">
        <v>0</v>
      </c>
      <c r="T635" s="18">
        <v>179.94</v>
      </c>
    </row>
    <row r="636" spans="1:20" x14ac:dyDescent="0.3">
      <c r="A636" s="18">
        <v>50635</v>
      </c>
      <c r="B636" s="18">
        <v>0</v>
      </c>
      <c r="C636" s="18">
        <v>6</v>
      </c>
      <c r="D636" s="18" t="s">
        <v>36</v>
      </c>
      <c r="E636" s="18">
        <v>1</v>
      </c>
      <c r="F636" s="18">
        <v>19</v>
      </c>
      <c r="G636" s="18" t="s">
        <v>37</v>
      </c>
      <c r="H636" s="18" t="s">
        <v>33</v>
      </c>
      <c r="I636" s="18">
        <v>3.2</v>
      </c>
      <c r="J636" s="18">
        <v>5</v>
      </c>
      <c r="K636" s="18" t="s">
        <v>46</v>
      </c>
      <c r="L636" s="18">
        <v>4</v>
      </c>
      <c r="M636" s="18" t="s">
        <v>35</v>
      </c>
      <c r="N636" s="18">
        <v>1</v>
      </c>
      <c r="O636" s="18">
        <v>1</v>
      </c>
      <c r="P636" s="18">
        <v>17.8</v>
      </c>
      <c r="Q636" s="18">
        <v>1</v>
      </c>
      <c r="R636" s="18">
        <v>4</v>
      </c>
      <c r="S636" s="18">
        <v>8</v>
      </c>
      <c r="T636" s="18">
        <v>137.94</v>
      </c>
    </row>
    <row r="637" spans="1:20" x14ac:dyDescent="0.3">
      <c r="A637" s="18">
        <v>50636</v>
      </c>
      <c r="B637" s="18">
        <v>0</v>
      </c>
      <c r="C637" s="18">
        <v>10</v>
      </c>
      <c r="D637" s="18" t="s">
        <v>36</v>
      </c>
      <c r="E637" s="18">
        <v>2</v>
      </c>
      <c r="F637" s="18">
        <v>9</v>
      </c>
      <c r="G637" s="18" t="s">
        <v>39</v>
      </c>
      <c r="H637" s="18" t="s">
        <v>38</v>
      </c>
      <c r="I637" s="18">
        <v>1.8</v>
      </c>
      <c r="J637" s="18">
        <v>4</v>
      </c>
      <c r="K637" s="18" t="s">
        <v>40</v>
      </c>
      <c r="L637" s="18">
        <v>5</v>
      </c>
      <c r="M637" s="18" t="s">
        <v>35</v>
      </c>
      <c r="N637" s="18">
        <v>3</v>
      </c>
      <c r="O637" s="18">
        <v>0</v>
      </c>
      <c r="P637" s="18">
        <v>11.9</v>
      </c>
      <c r="Q637" s="18">
        <v>1</v>
      </c>
      <c r="R637" s="18">
        <v>4</v>
      </c>
      <c r="S637" s="18">
        <v>4</v>
      </c>
      <c r="T637" s="18">
        <v>145.62</v>
      </c>
    </row>
    <row r="638" spans="1:20" x14ac:dyDescent="0.3">
      <c r="A638" s="18">
        <v>50637</v>
      </c>
      <c r="B638" s="18">
        <v>0</v>
      </c>
      <c r="C638" s="18">
        <v>1</v>
      </c>
      <c r="D638" s="18" t="s">
        <v>36</v>
      </c>
      <c r="E638" s="18">
        <v>3</v>
      </c>
      <c r="F638" s="18">
        <v>13</v>
      </c>
      <c r="G638" s="18" t="s">
        <v>39</v>
      </c>
      <c r="H638" s="18" t="s">
        <v>38</v>
      </c>
      <c r="I638" s="18">
        <v>2.1</v>
      </c>
      <c r="J638" s="18">
        <v>2</v>
      </c>
      <c r="K638" s="18" t="s">
        <v>44</v>
      </c>
      <c r="L638" s="18">
        <v>5</v>
      </c>
      <c r="M638" s="18" t="s">
        <v>35</v>
      </c>
      <c r="N638" s="18">
        <v>1</v>
      </c>
      <c r="O638" s="18">
        <v>1</v>
      </c>
      <c r="P638" s="18">
        <v>21.8</v>
      </c>
      <c r="Q638" s="18">
        <v>2</v>
      </c>
      <c r="R638" s="18">
        <v>4</v>
      </c>
      <c r="S638" s="18">
        <v>5</v>
      </c>
      <c r="T638" s="18">
        <v>242.06</v>
      </c>
    </row>
    <row r="639" spans="1:20" x14ac:dyDescent="0.3">
      <c r="A639" s="18">
        <v>50638</v>
      </c>
      <c r="B639" s="18">
        <v>0</v>
      </c>
      <c r="C639" s="18">
        <v>0</v>
      </c>
      <c r="D639" s="18" t="s">
        <v>31</v>
      </c>
      <c r="E639" s="18">
        <v>1</v>
      </c>
      <c r="F639" s="18">
        <v>20</v>
      </c>
      <c r="G639" s="18" t="s">
        <v>37</v>
      </c>
      <c r="H639" s="18" t="s">
        <v>38</v>
      </c>
      <c r="I639" s="18">
        <v>3</v>
      </c>
      <c r="J639" s="18">
        <v>3</v>
      </c>
      <c r="K639" s="18" t="s">
        <v>40</v>
      </c>
      <c r="L639" s="18">
        <v>1</v>
      </c>
      <c r="M639" s="18" t="s">
        <v>35</v>
      </c>
      <c r="N639" s="18">
        <v>3</v>
      </c>
      <c r="O639" s="18">
        <v>0</v>
      </c>
      <c r="P639" s="18">
        <v>22.7</v>
      </c>
      <c r="Q639" s="18">
        <v>0</v>
      </c>
      <c r="R639" s="18">
        <v>6</v>
      </c>
      <c r="S639" s="18">
        <v>7</v>
      </c>
      <c r="T639" s="18">
        <v>204.26</v>
      </c>
    </row>
    <row r="640" spans="1:20" x14ac:dyDescent="0.3">
      <c r="A640" s="18">
        <v>50639</v>
      </c>
      <c r="B640" s="18">
        <v>0</v>
      </c>
      <c r="C640" s="18">
        <v>3</v>
      </c>
      <c r="D640" s="18" t="s">
        <v>36</v>
      </c>
      <c r="E640" s="18">
        <v>3</v>
      </c>
      <c r="F640" s="18">
        <v>18</v>
      </c>
      <c r="G640" s="18" t="s">
        <v>39</v>
      </c>
      <c r="H640" s="18" t="s">
        <v>33</v>
      </c>
      <c r="I640" s="18">
        <v>1.7</v>
      </c>
      <c r="J640" s="18">
        <v>4</v>
      </c>
      <c r="K640" s="18" t="s">
        <v>40</v>
      </c>
      <c r="L640" s="18">
        <v>2</v>
      </c>
      <c r="M640" s="18" t="s">
        <v>35</v>
      </c>
      <c r="N640" s="18">
        <v>1</v>
      </c>
      <c r="O640" s="18">
        <v>0</v>
      </c>
      <c r="P640" s="18">
        <v>16.2</v>
      </c>
      <c r="Q640" s="18">
        <v>1</v>
      </c>
      <c r="R640" s="18">
        <v>6</v>
      </c>
      <c r="S640" s="18">
        <v>2</v>
      </c>
      <c r="T640" s="18">
        <v>127.38</v>
      </c>
    </row>
    <row r="641" spans="1:20" x14ac:dyDescent="0.3">
      <c r="A641" s="18">
        <v>50640</v>
      </c>
      <c r="B641" s="18">
        <v>0</v>
      </c>
      <c r="C641" s="18">
        <v>12</v>
      </c>
      <c r="D641" s="18" t="s">
        <v>36</v>
      </c>
      <c r="E641" s="18">
        <v>2</v>
      </c>
      <c r="F641" s="18">
        <v>17</v>
      </c>
      <c r="G641" s="18" t="s">
        <v>32</v>
      </c>
      <c r="H641" s="18" t="s">
        <v>38</v>
      </c>
      <c r="I641" s="18">
        <v>3.5</v>
      </c>
      <c r="J641" s="18">
        <v>4</v>
      </c>
      <c r="K641" s="18" t="s">
        <v>44</v>
      </c>
      <c r="L641" s="18">
        <v>3</v>
      </c>
      <c r="M641" s="18" t="s">
        <v>35</v>
      </c>
      <c r="N641" s="18">
        <v>3</v>
      </c>
      <c r="O641" s="18">
        <v>0</v>
      </c>
      <c r="P641" s="18">
        <v>24.5</v>
      </c>
      <c r="Q641" s="18">
        <v>0</v>
      </c>
      <c r="R641" s="18">
        <v>6</v>
      </c>
      <c r="S641" s="18">
        <v>0</v>
      </c>
      <c r="T641" s="18">
        <v>72.709999999999994</v>
      </c>
    </row>
    <row r="642" spans="1:20" x14ac:dyDescent="0.3">
      <c r="A642" s="18">
        <v>50641</v>
      </c>
      <c r="B642" s="18">
        <v>1</v>
      </c>
      <c r="C642" s="18">
        <v>2</v>
      </c>
      <c r="D642" s="18" t="s">
        <v>36</v>
      </c>
      <c r="E642" s="18">
        <v>3</v>
      </c>
      <c r="F642" s="18">
        <v>12</v>
      </c>
      <c r="G642" s="18" t="s">
        <v>39</v>
      </c>
      <c r="H642" s="18" t="s">
        <v>33</v>
      </c>
      <c r="I642" s="18">
        <v>3.5</v>
      </c>
      <c r="J642" s="18">
        <v>3</v>
      </c>
      <c r="K642" s="18" t="s">
        <v>44</v>
      </c>
      <c r="L642" s="18">
        <v>3</v>
      </c>
      <c r="M642" s="18" t="s">
        <v>41</v>
      </c>
      <c r="N642" s="18">
        <v>1</v>
      </c>
      <c r="O642" s="18">
        <v>1</v>
      </c>
      <c r="P642" s="18">
        <v>14.6</v>
      </c>
      <c r="Q642" s="18">
        <v>0</v>
      </c>
      <c r="R642" s="18">
        <v>4</v>
      </c>
      <c r="S642" s="18">
        <v>7</v>
      </c>
      <c r="T642" s="18">
        <v>129.71</v>
      </c>
    </row>
    <row r="643" spans="1:20" x14ac:dyDescent="0.3">
      <c r="A643" s="18">
        <v>50642</v>
      </c>
      <c r="B643" s="18">
        <v>0</v>
      </c>
      <c r="C643" s="18">
        <v>11</v>
      </c>
      <c r="D643" s="18" t="s">
        <v>31</v>
      </c>
      <c r="E643" s="18">
        <v>1</v>
      </c>
      <c r="F643" s="18">
        <v>17</v>
      </c>
      <c r="G643" s="18" t="s">
        <v>37</v>
      </c>
      <c r="H643" s="18" t="s">
        <v>33</v>
      </c>
      <c r="I643" s="18">
        <v>3.1</v>
      </c>
      <c r="J643" s="18">
        <v>6</v>
      </c>
      <c r="K643" s="18" t="s">
        <v>36</v>
      </c>
      <c r="L643" s="18">
        <v>4</v>
      </c>
      <c r="M643" s="18" t="s">
        <v>41</v>
      </c>
      <c r="N643" s="18">
        <v>1</v>
      </c>
      <c r="O643" s="18">
        <v>0</v>
      </c>
      <c r="P643" s="18">
        <v>17.399999999999999</v>
      </c>
      <c r="Q643" s="18">
        <v>2</v>
      </c>
      <c r="R643" s="18">
        <v>2</v>
      </c>
      <c r="S643" s="18">
        <v>3</v>
      </c>
      <c r="T643" s="18">
        <v>188.65</v>
      </c>
    </row>
    <row r="644" spans="1:20" x14ac:dyDescent="0.3">
      <c r="A644" s="18">
        <v>50643</v>
      </c>
      <c r="B644" s="18">
        <v>0</v>
      </c>
      <c r="C644" s="18">
        <v>35</v>
      </c>
      <c r="D644" s="18" t="s">
        <v>36</v>
      </c>
      <c r="E644" s="18">
        <v>1</v>
      </c>
      <c r="F644" s="18">
        <v>14</v>
      </c>
      <c r="G644" s="18" t="s">
        <v>47</v>
      </c>
      <c r="H644" s="18" t="s">
        <v>38</v>
      </c>
      <c r="I644" s="18">
        <v>2.1</v>
      </c>
      <c r="J644" s="18">
        <v>2</v>
      </c>
      <c r="K644" s="18" t="s">
        <v>40</v>
      </c>
      <c r="L644" s="18">
        <v>5</v>
      </c>
      <c r="M644" s="18" t="s">
        <v>35</v>
      </c>
      <c r="N644" s="18">
        <v>8</v>
      </c>
      <c r="O644" s="18">
        <v>1</v>
      </c>
      <c r="P644" s="18">
        <v>21</v>
      </c>
      <c r="Q644" s="18">
        <v>3</v>
      </c>
      <c r="R644" s="18">
        <v>3</v>
      </c>
      <c r="S644" s="18">
        <v>8</v>
      </c>
      <c r="T644" s="18">
        <v>145.24</v>
      </c>
    </row>
    <row r="645" spans="1:20" x14ac:dyDescent="0.3">
      <c r="A645" s="18">
        <v>50644</v>
      </c>
      <c r="B645" s="18">
        <v>1</v>
      </c>
      <c r="C645" s="18">
        <v>0</v>
      </c>
      <c r="D645" s="18" t="s">
        <v>36</v>
      </c>
      <c r="E645" s="18">
        <v>2</v>
      </c>
      <c r="F645" s="18">
        <v>18</v>
      </c>
      <c r="G645" s="18" t="s">
        <v>47</v>
      </c>
      <c r="H645" s="18" t="s">
        <v>38</v>
      </c>
      <c r="I645" s="18">
        <v>3.9</v>
      </c>
      <c r="J645" s="18">
        <v>2</v>
      </c>
      <c r="K645" s="18" t="s">
        <v>40</v>
      </c>
      <c r="L645" s="18">
        <v>2</v>
      </c>
      <c r="M645" s="18" t="s">
        <v>35</v>
      </c>
      <c r="N645" s="18">
        <v>7</v>
      </c>
      <c r="O645" s="18">
        <v>0</v>
      </c>
      <c r="P645" s="18">
        <v>14.4</v>
      </c>
      <c r="Q645" s="18">
        <v>5</v>
      </c>
      <c r="R645" s="18">
        <v>3</v>
      </c>
      <c r="S645" s="18">
        <v>2</v>
      </c>
      <c r="T645" s="18">
        <v>140.97</v>
      </c>
    </row>
    <row r="646" spans="1:20" x14ac:dyDescent="0.3">
      <c r="A646" s="18">
        <v>50645</v>
      </c>
      <c r="B646" s="18">
        <v>0</v>
      </c>
      <c r="C646" s="18">
        <v>11</v>
      </c>
      <c r="D646" s="18" t="s">
        <v>36</v>
      </c>
      <c r="E646" s="18">
        <v>1</v>
      </c>
      <c r="F646" s="18"/>
      <c r="G646" s="18" t="s">
        <v>37</v>
      </c>
      <c r="H646" s="18" t="s">
        <v>33</v>
      </c>
      <c r="I646" s="18">
        <v>4.3</v>
      </c>
      <c r="J646" s="18">
        <v>3</v>
      </c>
      <c r="K646" s="18" t="s">
        <v>36</v>
      </c>
      <c r="L646" s="18">
        <v>3</v>
      </c>
      <c r="M646" s="18" t="s">
        <v>41</v>
      </c>
      <c r="N646" s="18">
        <v>12</v>
      </c>
      <c r="O646" s="18">
        <v>0</v>
      </c>
      <c r="P646" s="18">
        <v>11.2</v>
      </c>
      <c r="Q646" s="18">
        <v>2</v>
      </c>
      <c r="R646" s="18">
        <v>1</v>
      </c>
      <c r="S646" s="18">
        <v>1</v>
      </c>
      <c r="T646" s="18">
        <v>147.6</v>
      </c>
    </row>
    <row r="647" spans="1:20" x14ac:dyDescent="0.3">
      <c r="A647" s="18">
        <v>50646</v>
      </c>
      <c r="B647" s="18">
        <v>1</v>
      </c>
      <c r="C647" s="18">
        <v>5</v>
      </c>
      <c r="D647" s="18" t="s">
        <v>36</v>
      </c>
      <c r="E647" s="18">
        <v>3</v>
      </c>
      <c r="F647" s="18">
        <v>13</v>
      </c>
      <c r="G647" s="18" t="s">
        <v>32</v>
      </c>
      <c r="H647" s="18" t="s">
        <v>33</v>
      </c>
      <c r="I647" s="18">
        <v>3</v>
      </c>
      <c r="J647" s="18">
        <v>5</v>
      </c>
      <c r="K647" s="18" t="s">
        <v>40</v>
      </c>
      <c r="L647" s="18">
        <v>2</v>
      </c>
      <c r="M647" s="18" t="s">
        <v>35</v>
      </c>
      <c r="N647" s="18">
        <v>4</v>
      </c>
      <c r="O647" s="18">
        <v>0</v>
      </c>
      <c r="P647" s="18">
        <v>11</v>
      </c>
      <c r="Q647" s="18">
        <v>0</v>
      </c>
      <c r="R647" s="18">
        <v>3</v>
      </c>
      <c r="S647" s="18">
        <v>0</v>
      </c>
      <c r="T647" s="18">
        <v>176</v>
      </c>
    </row>
    <row r="648" spans="1:20" x14ac:dyDescent="0.3">
      <c r="A648" s="18">
        <v>50647</v>
      </c>
      <c r="B648" s="18">
        <v>0</v>
      </c>
      <c r="C648" s="18">
        <v>20</v>
      </c>
      <c r="D648" s="18" t="s">
        <v>36</v>
      </c>
      <c r="E648" s="18">
        <v>3</v>
      </c>
      <c r="F648" s="18">
        <v>7</v>
      </c>
      <c r="G648" s="18" t="s">
        <v>37</v>
      </c>
      <c r="H648" s="18" t="s">
        <v>38</v>
      </c>
      <c r="I648" s="18">
        <v>3.3</v>
      </c>
      <c r="J648" s="18">
        <v>2</v>
      </c>
      <c r="K648" s="18" t="s">
        <v>40</v>
      </c>
      <c r="L648" s="18">
        <v>5</v>
      </c>
      <c r="M648" s="18" t="s">
        <v>41</v>
      </c>
      <c r="N648" s="18">
        <v>4</v>
      </c>
      <c r="O648" s="18">
        <v>0</v>
      </c>
      <c r="P648" s="18">
        <v>23.2</v>
      </c>
      <c r="Q648" s="18">
        <v>3</v>
      </c>
      <c r="R648" s="18">
        <v>3</v>
      </c>
      <c r="S648" s="18">
        <v>6</v>
      </c>
      <c r="T648" s="18">
        <v>223.15</v>
      </c>
    </row>
    <row r="649" spans="1:20" x14ac:dyDescent="0.3">
      <c r="A649" s="18">
        <v>50648</v>
      </c>
      <c r="B649" s="18">
        <v>0</v>
      </c>
      <c r="C649" s="18">
        <v>1</v>
      </c>
      <c r="D649" s="18" t="s">
        <v>31</v>
      </c>
      <c r="E649" s="18">
        <v>1</v>
      </c>
      <c r="F649" s="18">
        <v>14</v>
      </c>
      <c r="G649" s="18" t="s">
        <v>37</v>
      </c>
      <c r="H649" s="18" t="s">
        <v>33</v>
      </c>
      <c r="I649" s="18">
        <v>3</v>
      </c>
      <c r="J649" s="18">
        <v>3</v>
      </c>
      <c r="K649" s="18" t="s">
        <v>40</v>
      </c>
      <c r="L649" s="18">
        <v>5</v>
      </c>
      <c r="M649" s="18" t="s">
        <v>41</v>
      </c>
      <c r="N649" s="18">
        <v>2</v>
      </c>
      <c r="O649" s="18">
        <v>0</v>
      </c>
      <c r="P649" s="18">
        <v>14.1</v>
      </c>
      <c r="Q649" s="18">
        <v>1</v>
      </c>
      <c r="R649" s="18">
        <v>2</v>
      </c>
      <c r="S649" s="18">
        <v>4</v>
      </c>
      <c r="T649" s="18">
        <v>179.98</v>
      </c>
    </row>
    <row r="650" spans="1:20" x14ac:dyDescent="0.3">
      <c r="A650" s="18">
        <v>50649</v>
      </c>
      <c r="B650" s="18">
        <v>0</v>
      </c>
      <c r="C650" s="18">
        <v>11</v>
      </c>
      <c r="D650" s="18" t="s">
        <v>31</v>
      </c>
      <c r="E650" s="18">
        <v>2</v>
      </c>
      <c r="F650" s="18">
        <v>8</v>
      </c>
      <c r="G650" s="18" t="s">
        <v>39</v>
      </c>
      <c r="H650" s="18" t="s">
        <v>38</v>
      </c>
      <c r="I650" s="18">
        <v>3.3</v>
      </c>
      <c r="J650" s="18">
        <v>4</v>
      </c>
      <c r="K650" s="18" t="s">
        <v>46</v>
      </c>
      <c r="L650" s="18">
        <v>3</v>
      </c>
      <c r="M650" s="18" t="s">
        <v>45</v>
      </c>
      <c r="N650" s="18">
        <v>1</v>
      </c>
      <c r="O650" s="18">
        <v>0</v>
      </c>
      <c r="P650" s="18">
        <v>15.3</v>
      </c>
      <c r="Q650" s="18">
        <v>3</v>
      </c>
      <c r="R650" s="18">
        <v>3</v>
      </c>
      <c r="S650" s="18">
        <v>2</v>
      </c>
      <c r="T650" s="18">
        <v>183.41</v>
      </c>
    </row>
    <row r="651" spans="1:20" x14ac:dyDescent="0.3">
      <c r="A651" s="18">
        <v>50650</v>
      </c>
      <c r="B651" s="18">
        <v>0</v>
      </c>
      <c r="C651" s="18">
        <v>18</v>
      </c>
      <c r="D651" s="18" t="s">
        <v>42</v>
      </c>
      <c r="E651" s="18">
        <v>2</v>
      </c>
      <c r="F651" s="18">
        <v>6</v>
      </c>
      <c r="G651" s="18" t="s">
        <v>37</v>
      </c>
      <c r="H651" s="18" t="s">
        <v>38</v>
      </c>
      <c r="I651" s="18">
        <v>2.8</v>
      </c>
      <c r="J651" s="18">
        <v>3</v>
      </c>
      <c r="K651" s="18" t="s">
        <v>36</v>
      </c>
      <c r="L651" s="18">
        <v>2</v>
      </c>
      <c r="M651" s="18" t="s">
        <v>35</v>
      </c>
      <c r="N651" s="18">
        <v>1</v>
      </c>
      <c r="O651" s="18">
        <v>1</v>
      </c>
      <c r="P651" s="18">
        <v>12.1</v>
      </c>
      <c r="Q651" s="18">
        <v>1</v>
      </c>
      <c r="R651" s="18">
        <v>3</v>
      </c>
      <c r="S651" s="18">
        <v>3</v>
      </c>
      <c r="T651" s="18">
        <v>167.63</v>
      </c>
    </row>
    <row r="652" spans="1:20" x14ac:dyDescent="0.3">
      <c r="A652" s="18">
        <v>50651</v>
      </c>
      <c r="B652" s="18">
        <v>0</v>
      </c>
      <c r="C652" s="18">
        <v>28</v>
      </c>
      <c r="D652" s="18" t="s">
        <v>36</v>
      </c>
      <c r="E652" s="18">
        <v>1</v>
      </c>
      <c r="F652" s="18">
        <v>17</v>
      </c>
      <c r="G652" s="18" t="s">
        <v>32</v>
      </c>
      <c r="H652" s="18" t="s">
        <v>33</v>
      </c>
      <c r="I652" s="18">
        <v>2.9</v>
      </c>
      <c r="J652" s="18">
        <v>3</v>
      </c>
      <c r="K652" s="18" t="s">
        <v>46</v>
      </c>
      <c r="L652" s="18">
        <v>4</v>
      </c>
      <c r="M652" s="18" t="s">
        <v>41</v>
      </c>
      <c r="N652" s="18">
        <v>1</v>
      </c>
      <c r="O652" s="18">
        <v>0</v>
      </c>
      <c r="P652" s="18">
        <v>19.3</v>
      </c>
      <c r="Q652" s="18">
        <v>1</v>
      </c>
      <c r="R652" s="18">
        <v>5</v>
      </c>
      <c r="S652" s="18">
        <v>3</v>
      </c>
      <c r="T652" s="18">
        <v>152.54</v>
      </c>
    </row>
    <row r="653" spans="1:20" x14ac:dyDescent="0.3">
      <c r="A653" s="18">
        <v>50652</v>
      </c>
      <c r="B653" s="18">
        <v>0</v>
      </c>
      <c r="C653" s="18">
        <v>11</v>
      </c>
      <c r="D653" s="18" t="s">
        <v>36</v>
      </c>
      <c r="E653" s="18">
        <v>3</v>
      </c>
      <c r="F653" s="18">
        <v>16</v>
      </c>
      <c r="G653" s="18" t="s">
        <v>47</v>
      </c>
      <c r="H653" s="18" t="s">
        <v>38</v>
      </c>
      <c r="I653" s="18">
        <v>3.5</v>
      </c>
      <c r="J653" s="18">
        <v>4</v>
      </c>
      <c r="K653" s="18" t="s">
        <v>40</v>
      </c>
      <c r="L653" s="18">
        <v>4</v>
      </c>
      <c r="M653" s="18" t="s">
        <v>35</v>
      </c>
      <c r="N653" s="18">
        <v>7</v>
      </c>
      <c r="O653" s="18">
        <v>0</v>
      </c>
      <c r="P653" s="18">
        <v>13.3</v>
      </c>
      <c r="Q653" s="18">
        <v>1</v>
      </c>
      <c r="R653" s="18">
        <v>2</v>
      </c>
      <c r="S653" s="18">
        <v>1</v>
      </c>
      <c r="T653" s="18">
        <v>229.18</v>
      </c>
    </row>
    <row r="654" spans="1:20" x14ac:dyDescent="0.3">
      <c r="A654" s="18">
        <v>50653</v>
      </c>
      <c r="B654" s="18">
        <v>0</v>
      </c>
      <c r="C654" s="18">
        <v>6</v>
      </c>
      <c r="D654" s="18" t="s">
        <v>36</v>
      </c>
      <c r="E654" s="18">
        <v>3</v>
      </c>
      <c r="F654" s="18">
        <v>21</v>
      </c>
      <c r="G654" s="18" t="s">
        <v>32</v>
      </c>
      <c r="H654" s="18" t="s">
        <v>38</v>
      </c>
      <c r="I654" s="18">
        <v>4.5</v>
      </c>
      <c r="J654" s="18">
        <v>3</v>
      </c>
      <c r="K654" s="18" t="s">
        <v>46</v>
      </c>
      <c r="L654" s="18">
        <v>3</v>
      </c>
      <c r="M654" s="18" t="s">
        <v>41</v>
      </c>
      <c r="N654" s="18">
        <v>1</v>
      </c>
      <c r="O654" s="18">
        <v>0</v>
      </c>
      <c r="P654" s="18">
        <v>14.3</v>
      </c>
      <c r="Q654" s="18">
        <v>3</v>
      </c>
      <c r="R654" s="18">
        <v>8</v>
      </c>
      <c r="S654" s="18">
        <v>2</v>
      </c>
      <c r="T654" s="18">
        <v>220.83</v>
      </c>
    </row>
    <row r="655" spans="1:20" x14ac:dyDescent="0.3">
      <c r="A655" s="18">
        <v>50654</v>
      </c>
      <c r="B655" s="18">
        <v>0</v>
      </c>
      <c r="C655" s="18">
        <v>9</v>
      </c>
      <c r="D655" s="18" t="s">
        <v>42</v>
      </c>
      <c r="E655" s="18">
        <v>2</v>
      </c>
      <c r="F655" s="18">
        <v>11</v>
      </c>
      <c r="G655" s="18" t="s">
        <v>37</v>
      </c>
      <c r="H655" s="18" t="s">
        <v>38</v>
      </c>
      <c r="I655" s="18">
        <v>1.9</v>
      </c>
      <c r="J655" s="18">
        <v>4</v>
      </c>
      <c r="K655" s="18" t="s">
        <v>36</v>
      </c>
      <c r="L655" s="18">
        <v>5</v>
      </c>
      <c r="M655" s="18" t="s">
        <v>45</v>
      </c>
      <c r="N655" s="18">
        <v>8</v>
      </c>
      <c r="O655" s="18">
        <v>0</v>
      </c>
      <c r="P655" s="18">
        <v>17</v>
      </c>
      <c r="Q655" s="18">
        <v>2</v>
      </c>
      <c r="R655" s="18">
        <v>6</v>
      </c>
      <c r="S655" s="18">
        <v>1</v>
      </c>
      <c r="T655" s="18">
        <v>292.49</v>
      </c>
    </row>
    <row r="656" spans="1:20" x14ac:dyDescent="0.3">
      <c r="A656" s="18">
        <v>50655</v>
      </c>
      <c r="B656" s="18">
        <v>0</v>
      </c>
      <c r="C656" s="18">
        <v>20</v>
      </c>
      <c r="D656" s="18" t="s">
        <v>31</v>
      </c>
      <c r="E656" s="18">
        <v>3</v>
      </c>
      <c r="F656" s="18">
        <v>18</v>
      </c>
      <c r="G656" s="18" t="s">
        <v>39</v>
      </c>
      <c r="H656" s="18" t="s">
        <v>38</v>
      </c>
      <c r="I656" s="18">
        <v>2.8</v>
      </c>
      <c r="J656" s="18">
        <v>4</v>
      </c>
      <c r="K656" s="18" t="s">
        <v>44</v>
      </c>
      <c r="L656" s="18">
        <v>5</v>
      </c>
      <c r="M656" s="18" t="s">
        <v>41</v>
      </c>
      <c r="N656" s="18">
        <v>2</v>
      </c>
      <c r="O656" s="18">
        <v>0</v>
      </c>
      <c r="P656" s="18">
        <v>12.3</v>
      </c>
      <c r="Q656" s="18">
        <v>2</v>
      </c>
      <c r="R656" s="18">
        <v>3</v>
      </c>
      <c r="S656" s="18">
        <v>2</v>
      </c>
      <c r="T656" s="18">
        <v>213.58</v>
      </c>
    </row>
    <row r="657" spans="1:20" x14ac:dyDescent="0.3">
      <c r="A657" s="18">
        <v>50656</v>
      </c>
      <c r="B657" s="18">
        <v>0</v>
      </c>
      <c r="C657" s="18">
        <v>8</v>
      </c>
      <c r="D657" s="18" t="s">
        <v>31</v>
      </c>
      <c r="E657" s="18">
        <v>1</v>
      </c>
      <c r="F657" s="18">
        <v>19</v>
      </c>
      <c r="G657" s="18" t="s">
        <v>39</v>
      </c>
      <c r="H657" s="18" t="s">
        <v>38</v>
      </c>
      <c r="I657" s="18">
        <v>2.1</v>
      </c>
      <c r="J657" s="18">
        <v>4</v>
      </c>
      <c r="K657" s="18" t="s">
        <v>36</v>
      </c>
      <c r="L657" s="18">
        <v>4</v>
      </c>
      <c r="M657" s="18" t="s">
        <v>41</v>
      </c>
      <c r="N657" s="18">
        <v>4</v>
      </c>
      <c r="O657" s="18">
        <v>0</v>
      </c>
      <c r="P657" s="18">
        <v>15.4</v>
      </c>
      <c r="Q657" s="18">
        <v>2</v>
      </c>
      <c r="R657" s="18">
        <v>2</v>
      </c>
      <c r="S657" s="18">
        <v>3</v>
      </c>
      <c r="T657" s="18">
        <v>152.59</v>
      </c>
    </row>
    <row r="658" spans="1:20" x14ac:dyDescent="0.3">
      <c r="A658" s="18">
        <v>50657</v>
      </c>
      <c r="B658" s="18">
        <v>0</v>
      </c>
      <c r="C658" s="18">
        <v>0</v>
      </c>
      <c r="D658" s="18" t="s">
        <v>36</v>
      </c>
      <c r="E658" s="18">
        <v>3</v>
      </c>
      <c r="F658" s="18">
        <v>18</v>
      </c>
      <c r="G658" s="18" t="s">
        <v>39</v>
      </c>
      <c r="H658" s="18" t="s">
        <v>33</v>
      </c>
      <c r="I658" s="18">
        <v>4</v>
      </c>
      <c r="J658" s="18">
        <v>3</v>
      </c>
      <c r="K658" s="18" t="s">
        <v>36</v>
      </c>
      <c r="L658" s="18">
        <v>4</v>
      </c>
      <c r="M658" s="18" t="s">
        <v>35</v>
      </c>
      <c r="N658" s="18">
        <v>1</v>
      </c>
      <c r="O658" s="18">
        <v>0</v>
      </c>
      <c r="P658" s="18">
        <v>20.9</v>
      </c>
      <c r="Q658" s="18">
        <v>1</v>
      </c>
      <c r="R658" s="18">
        <v>3</v>
      </c>
      <c r="S658" s="18">
        <v>0</v>
      </c>
      <c r="T658" s="18">
        <v>130.24</v>
      </c>
    </row>
    <row r="659" spans="1:20" x14ac:dyDescent="0.3">
      <c r="A659" s="18">
        <v>50658</v>
      </c>
      <c r="B659" s="18">
        <v>0</v>
      </c>
      <c r="C659" s="18">
        <v>26</v>
      </c>
      <c r="D659" s="18" t="s">
        <v>36</v>
      </c>
      <c r="E659" s="18">
        <v>2</v>
      </c>
      <c r="F659" s="18">
        <v>8</v>
      </c>
      <c r="G659" s="18" t="s">
        <v>47</v>
      </c>
      <c r="H659" s="18" t="s">
        <v>33</v>
      </c>
      <c r="I659" s="18">
        <v>2.5</v>
      </c>
      <c r="J659" s="18">
        <v>3</v>
      </c>
      <c r="K659" s="18" t="s">
        <v>40</v>
      </c>
      <c r="L659" s="18">
        <v>3</v>
      </c>
      <c r="M659" s="18" t="s">
        <v>35</v>
      </c>
      <c r="N659" s="18">
        <v>1</v>
      </c>
      <c r="O659" s="18">
        <v>0</v>
      </c>
      <c r="P659" s="18">
        <v>17.5</v>
      </c>
      <c r="Q659" s="18">
        <v>1</v>
      </c>
      <c r="R659" s="18">
        <v>5</v>
      </c>
      <c r="S659" s="18">
        <v>2</v>
      </c>
      <c r="T659" s="18">
        <v>232.41</v>
      </c>
    </row>
    <row r="660" spans="1:20" x14ac:dyDescent="0.3">
      <c r="A660" s="18">
        <v>50659</v>
      </c>
      <c r="B660" s="18">
        <v>0</v>
      </c>
      <c r="C660" s="18">
        <v>11</v>
      </c>
      <c r="D660" s="18" t="s">
        <v>36</v>
      </c>
      <c r="E660" s="18">
        <v>3</v>
      </c>
      <c r="F660" s="18">
        <v>16</v>
      </c>
      <c r="G660" s="18" t="s">
        <v>32</v>
      </c>
      <c r="H660" s="18" t="s">
        <v>38</v>
      </c>
      <c r="I660" s="18">
        <v>1.9</v>
      </c>
      <c r="J660" s="18">
        <v>4</v>
      </c>
      <c r="K660" s="18" t="s">
        <v>36</v>
      </c>
      <c r="L660" s="18">
        <v>4</v>
      </c>
      <c r="M660" s="18" t="s">
        <v>41</v>
      </c>
      <c r="N660" s="18">
        <v>11</v>
      </c>
      <c r="O660" s="18">
        <v>1</v>
      </c>
      <c r="P660" s="18">
        <v>16.5</v>
      </c>
      <c r="Q660" s="18">
        <v>1</v>
      </c>
      <c r="R660" s="18">
        <v>2</v>
      </c>
      <c r="S660" s="18">
        <v>2</v>
      </c>
      <c r="T660" s="18">
        <v>135.18</v>
      </c>
    </row>
    <row r="661" spans="1:20" x14ac:dyDescent="0.3">
      <c r="A661" s="18">
        <v>50660</v>
      </c>
      <c r="B661" s="18">
        <v>0</v>
      </c>
      <c r="C661" s="18">
        <v>11</v>
      </c>
      <c r="D661" s="18" t="s">
        <v>31</v>
      </c>
      <c r="E661" s="18">
        <v>3</v>
      </c>
      <c r="F661" s="18">
        <v>17</v>
      </c>
      <c r="G661" s="18" t="s">
        <v>39</v>
      </c>
      <c r="H661" s="18" t="s">
        <v>33</v>
      </c>
      <c r="I661" s="18">
        <v>3.3</v>
      </c>
      <c r="J661" s="18">
        <v>3</v>
      </c>
      <c r="K661" s="18" t="s">
        <v>46</v>
      </c>
      <c r="L661" s="18">
        <v>3</v>
      </c>
      <c r="M661" s="18" t="s">
        <v>35</v>
      </c>
      <c r="N661" s="18">
        <v>1</v>
      </c>
      <c r="O661" s="18">
        <v>1</v>
      </c>
      <c r="P661" s="18">
        <v>16.8</v>
      </c>
      <c r="Q661" s="18">
        <v>0</v>
      </c>
      <c r="R661" s="18">
        <v>4</v>
      </c>
      <c r="S661" s="18">
        <v>1</v>
      </c>
      <c r="T661" s="18">
        <v>224.54</v>
      </c>
    </row>
    <row r="662" spans="1:20" x14ac:dyDescent="0.3">
      <c r="A662" s="18">
        <v>50661</v>
      </c>
      <c r="B662" s="18">
        <v>0</v>
      </c>
      <c r="C662" s="18">
        <v>2</v>
      </c>
      <c r="D662" s="18" t="s">
        <v>42</v>
      </c>
      <c r="E662" s="18">
        <v>1</v>
      </c>
      <c r="F662" s="18">
        <v>15</v>
      </c>
      <c r="G662" s="18" t="s">
        <v>37</v>
      </c>
      <c r="H662" s="18" t="s">
        <v>33</v>
      </c>
      <c r="I662" s="18">
        <v>4.0999999999999996</v>
      </c>
      <c r="J662" s="18">
        <v>3</v>
      </c>
      <c r="K662" s="18" t="s">
        <v>40</v>
      </c>
      <c r="L662" s="18">
        <v>3</v>
      </c>
      <c r="M662" s="18" t="s">
        <v>41</v>
      </c>
      <c r="N662" s="18">
        <v>1</v>
      </c>
      <c r="O662" s="18">
        <v>0</v>
      </c>
      <c r="P662" s="18">
        <v>14.6</v>
      </c>
      <c r="Q662" s="18">
        <v>2</v>
      </c>
      <c r="R662" s="18">
        <v>9</v>
      </c>
      <c r="S662" s="18">
        <v>32</v>
      </c>
      <c r="T662" s="18">
        <v>138.19999999999999</v>
      </c>
    </row>
    <row r="663" spans="1:20" x14ac:dyDescent="0.3">
      <c r="A663" s="18">
        <v>50662</v>
      </c>
      <c r="B663" s="18">
        <v>0</v>
      </c>
      <c r="C663" s="18">
        <v>10</v>
      </c>
      <c r="D663" s="18" t="s">
        <v>42</v>
      </c>
      <c r="E663" s="18">
        <v>3</v>
      </c>
      <c r="F663" s="18">
        <v>5</v>
      </c>
      <c r="G663" s="18" t="s">
        <v>37</v>
      </c>
      <c r="H663" s="18" t="s">
        <v>38</v>
      </c>
      <c r="I663" s="18">
        <v>3.4</v>
      </c>
      <c r="J663" s="18">
        <v>4</v>
      </c>
      <c r="K663" s="18" t="s">
        <v>40</v>
      </c>
      <c r="L663" s="18">
        <v>1</v>
      </c>
      <c r="M663" s="18" t="s">
        <v>45</v>
      </c>
      <c r="N663" s="18">
        <v>1</v>
      </c>
      <c r="O663" s="18">
        <v>0</v>
      </c>
      <c r="P663" s="18">
        <v>23</v>
      </c>
      <c r="Q663" s="18">
        <v>2</v>
      </c>
      <c r="R663" s="18">
        <v>3</v>
      </c>
      <c r="S663" s="18">
        <v>0</v>
      </c>
      <c r="T663" s="18">
        <v>199.2</v>
      </c>
    </row>
    <row r="664" spans="1:20" x14ac:dyDescent="0.3">
      <c r="A664" s="18">
        <v>50663</v>
      </c>
      <c r="B664" s="18">
        <v>0</v>
      </c>
      <c r="C664" s="18">
        <v>5</v>
      </c>
      <c r="D664" s="18" t="s">
        <v>36</v>
      </c>
      <c r="E664" s="18">
        <v>1</v>
      </c>
      <c r="F664" s="18">
        <v>16</v>
      </c>
      <c r="G664" s="18" t="s">
        <v>37</v>
      </c>
      <c r="H664" s="18" t="s">
        <v>38</v>
      </c>
      <c r="I664" s="18">
        <v>3</v>
      </c>
      <c r="J664" s="18">
        <v>5</v>
      </c>
      <c r="K664" s="18" t="s">
        <v>44</v>
      </c>
      <c r="L664" s="18">
        <v>3</v>
      </c>
      <c r="M664" s="18" t="s">
        <v>41</v>
      </c>
      <c r="N664" s="18">
        <v>1</v>
      </c>
      <c r="O664" s="18">
        <v>0</v>
      </c>
      <c r="P664" s="18">
        <v>13.2</v>
      </c>
      <c r="Q664" s="18">
        <v>3</v>
      </c>
      <c r="R664" s="18">
        <v>4</v>
      </c>
      <c r="S664" s="18">
        <v>5</v>
      </c>
      <c r="T664" s="18">
        <v>121.71</v>
      </c>
    </row>
    <row r="665" spans="1:20" x14ac:dyDescent="0.3">
      <c r="A665" s="18">
        <v>50664</v>
      </c>
      <c r="B665" s="18">
        <v>0</v>
      </c>
      <c r="C665" s="18">
        <v>10</v>
      </c>
      <c r="D665" s="18" t="s">
        <v>36</v>
      </c>
      <c r="E665" s="18">
        <v>1</v>
      </c>
      <c r="F665" s="18">
        <v>32</v>
      </c>
      <c r="G665" s="18" t="s">
        <v>39</v>
      </c>
      <c r="H665" s="18" t="s">
        <v>33</v>
      </c>
      <c r="I665" s="18">
        <v>3.2</v>
      </c>
      <c r="J665" s="18">
        <v>2</v>
      </c>
      <c r="K665" s="18" t="s">
        <v>34</v>
      </c>
      <c r="L665" s="18">
        <v>2</v>
      </c>
      <c r="M665" s="18" t="s">
        <v>45</v>
      </c>
      <c r="N665" s="18">
        <v>1</v>
      </c>
      <c r="O665" s="18">
        <v>0</v>
      </c>
      <c r="P665" s="18">
        <v>16.7</v>
      </c>
      <c r="Q665" s="18">
        <v>2</v>
      </c>
      <c r="R665" s="18">
        <v>3</v>
      </c>
      <c r="S665" s="18">
        <v>0</v>
      </c>
      <c r="T665" s="18">
        <v>222.89</v>
      </c>
    </row>
    <row r="666" spans="1:20" x14ac:dyDescent="0.3">
      <c r="A666" s="18">
        <v>50665</v>
      </c>
      <c r="B666" s="18">
        <v>0</v>
      </c>
      <c r="C666" s="18">
        <v>1</v>
      </c>
      <c r="D666" s="18" t="s">
        <v>42</v>
      </c>
      <c r="E666" s="18">
        <v>1</v>
      </c>
      <c r="F666" s="18">
        <v>12</v>
      </c>
      <c r="G666" s="18" t="s">
        <v>39</v>
      </c>
      <c r="H666" s="18" t="s">
        <v>38</v>
      </c>
      <c r="I666" s="18">
        <v>3.9</v>
      </c>
      <c r="J666" s="18">
        <v>3</v>
      </c>
      <c r="K666" s="18" t="s">
        <v>46</v>
      </c>
      <c r="L666" s="18">
        <v>3</v>
      </c>
      <c r="M666" s="18" t="s">
        <v>35</v>
      </c>
      <c r="N666" s="18">
        <v>3</v>
      </c>
      <c r="O666" s="18">
        <v>1</v>
      </c>
      <c r="P666" s="18">
        <v>16.399999999999999</v>
      </c>
      <c r="Q666" s="18">
        <v>1</v>
      </c>
      <c r="R666" s="18">
        <v>3</v>
      </c>
      <c r="S666" s="18">
        <v>9</v>
      </c>
      <c r="T666" s="18">
        <v>112.15</v>
      </c>
    </row>
    <row r="667" spans="1:20" x14ac:dyDescent="0.3">
      <c r="A667" s="18">
        <v>50666</v>
      </c>
      <c r="B667" s="18">
        <v>1</v>
      </c>
      <c r="C667" s="18">
        <v>10</v>
      </c>
      <c r="D667" s="18" t="s">
        <v>31</v>
      </c>
      <c r="E667" s="18">
        <v>3</v>
      </c>
      <c r="F667" s="18">
        <v>9</v>
      </c>
      <c r="G667" s="18" t="s">
        <v>39</v>
      </c>
      <c r="H667" s="18" t="s">
        <v>38</v>
      </c>
      <c r="I667" s="18">
        <v>2.2999999999999998</v>
      </c>
      <c r="J667" s="18">
        <v>3</v>
      </c>
      <c r="K667" s="18" t="s">
        <v>46</v>
      </c>
      <c r="L667" s="18">
        <v>4</v>
      </c>
      <c r="M667" s="18" t="s">
        <v>35</v>
      </c>
      <c r="N667" s="18">
        <v>2</v>
      </c>
      <c r="O667" s="18">
        <v>0</v>
      </c>
      <c r="P667" s="18">
        <v>19.5</v>
      </c>
      <c r="Q667" s="18">
        <v>0</v>
      </c>
      <c r="R667" s="18">
        <v>5</v>
      </c>
      <c r="S667" s="18">
        <v>12</v>
      </c>
      <c r="T667" s="18">
        <v>195.01</v>
      </c>
    </row>
    <row r="668" spans="1:20" x14ac:dyDescent="0.3">
      <c r="A668" s="18">
        <v>50667</v>
      </c>
      <c r="B668" s="18">
        <v>0</v>
      </c>
      <c r="C668" s="18">
        <v>60</v>
      </c>
      <c r="D668" s="18" t="s">
        <v>36</v>
      </c>
      <c r="E668" s="18">
        <v>3</v>
      </c>
      <c r="F668" s="18">
        <v>17</v>
      </c>
      <c r="G668" s="18" t="s">
        <v>39</v>
      </c>
      <c r="H668" s="18" t="s">
        <v>33</v>
      </c>
      <c r="I668" s="18">
        <v>2.8</v>
      </c>
      <c r="J668" s="18">
        <v>3</v>
      </c>
      <c r="K668" s="18" t="s">
        <v>36</v>
      </c>
      <c r="L668" s="18">
        <v>4</v>
      </c>
      <c r="M668" s="18" t="s">
        <v>45</v>
      </c>
      <c r="N668" s="18">
        <v>2</v>
      </c>
      <c r="O668" s="18">
        <v>0</v>
      </c>
      <c r="P668" s="18">
        <v>19.899999999999999</v>
      </c>
      <c r="Q668" s="18">
        <v>1</v>
      </c>
      <c r="R668" s="18">
        <v>10</v>
      </c>
      <c r="S668" s="18">
        <v>2</v>
      </c>
      <c r="T668" s="18">
        <v>169.12</v>
      </c>
    </row>
    <row r="669" spans="1:20" x14ac:dyDescent="0.3">
      <c r="A669" s="18">
        <v>50668</v>
      </c>
      <c r="B669" s="18">
        <v>0</v>
      </c>
      <c r="C669" s="18">
        <v>0</v>
      </c>
      <c r="D669" s="18" t="s">
        <v>36</v>
      </c>
      <c r="E669" s="18">
        <v>3</v>
      </c>
      <c r="F669" s="18">
        <v>17</v>
      </c>
      <c r="G669" s="18" t="s">
        <v>39</v>
      </c>
      <c r="H669" s="18" t="s">
        <v>38</v>
      </c>
      <c r="I669" s="18">
        <v>2.6</v>
      </c>
      <c r="J669" s="18">
        <v>4</v>
      </c>
      <c r="K669" s="18" t="s">
        <v>36</v>
      </c>
      <c r="L669" s="18">
        <v>3</v>
      </c>
      <c r="M669" s="18" t="s">
        <v>45</v>
      </c>
      <c r="N669" s="18">
        <v>1</v>
      </c>
      <c r="O669" s="18">
        <v>0</v>
      </c>
      <c r="P669" s="18">
        <v>15.9</v>
      </c>
      <c r="Q669" s="18">
        <v>2</v>
      </c>
      <c r="R669" s="18">
        <v>4</v>
      </c>
      <c r="S669" s="18">
        <v>8</v>
      </c>
      <c r="T669" s="18">
        <v>185.6</v>
      </c>
    </row>
    <row r="670" spans="1:20" x14ac:dyDescent="0.3">
      <c r="A670" s="18">
        <v>50669</v>
      </c>
      <c r="B670" s="18">
        <v>0</v>
      </c>
      <c r="C670" s="18">
        <v>37</v>
      </c>
      <c r="D670" s="18" t="s">
        <v>36</v>
      </c>
      <c r="E670" s="18">
        <v>3</v>
      </c>
      <c r="F670" s="18">
        <v>24</v>
      </c>
      <c r="G670" s="18" t="s">
        <v>39</v>
      </c>
      <c r="H670" s="18" t="s">
        <v>33</v>
      </c>
      <c r="I670" s="18">
        <v>2.1</v>
      </c>
      <c r="J670" s="18">
        <v>4</v>
      </c>
      <c r="K670" s="18" t="s">
        <v>44</v>
      </c>
      <c r="L670" s="18">
        <v>3</v>
      </c>
      <c r="M670" s="18" t="s">
        <v>35</v>
      </c>
      <c r="N670" s="18">
        <v>5</v>
      </c>
      <c r="O670" s="18">
        <v>1</v>
      </c>
      <c r="P670" s="18">
        <v>17</v>
      </c>
      <c r="Q670" s="18">
        <v>0</v>
      </c>
      <c r="R670" s="18">
        <v>6</v>
      </c>
      <c r="S670" s="18">
        <v>1</v>
      </c>
      <c r="T670" s="18">
        <v>158.22999999999999</v>
      </c>
    </row>
    <row r="671" spans="1:20" x14ac:dyDescent="0.3">
      <c r="A671" s="18">
        <v>50670</v>
      </c>
      <c r="B671" s="18">
        <v>0</v>
      </c>
      <c r="C671" s="18">
        <v>5</v>
      </c>
      <c r="D671" s="18" t="s">
        <v>36</v>
      </c>
      <c r="E671" s="18">
        <v>2</v>
      </c>
      <c r="F671" s="18">
        <v>5</v>
      </c>
      <c r="G671" s="18" t="s">
        <v>47</v>
      </c>
      <c r="H671" s="18" t="s">
        <v>33</v>
      </c>
      <c r="I671" s="18">
        <v>2.7</v>
      </c>
      <c r="J671" s="18">
        <v>3</v>
      </c>
      <c r="K671" s="18" t="s">
        <v>36</v>
      </c>
      <c r="L671" s="18">
        <v>5</v>
      </c>
      <c r="M671" s="18" t="s">
        <v>41</v>
      </c>
      <c r="N671" s="18">
        <v>5</v>
      </c>
      <c r="O671" s="18">
        <v>1</v>
      </c>
      <c r="P671" s="18">
        <v>17.100000000000001</v>
      </c>
      <c r="Q671" s="18">
        <v>2</v>
      </c>
      <c r="R671" s="18">
        <v>4</v>
      </c>
      <c r="S671" s="18">
        <v>0</v>
      </c>
      <c r="T671" s="18">
        <v>156.94</v>
      </c>
    </row>
    <row r="672" spans="1:20" x14ac:dyDescent="0.3">
      <c r="A672" s="18">
        <v>50671</v>
      </c>
      <c r="B672" s="18">
        <v>0</v>
      </c>
      <c r="C672" s="18">
        <v>20</v>
      </c>
      <c r="D672" s="18" t="s">
        <v>36</v>
      </c>
      <c r="E672" s="18">
        <v>3</v>
      </c>
      <c r="F672" s="18">
        <v>20</v>
      </c>
      <c r="G672" s="18" t="s">
        <v>39</v>
      </c>
      <c r="H672" s="18" t="s">
        <v>33</v>
      </c>
      <c r="I672" s="18">
        <v>3.7</v>
      </c>
      <c r="J672" s="18">
        <v>1</v>
      </c>
      <c r="K672" s="18" t="s">
        <v>44</v>
      </c>
      <c r="L672" s="18">
        <v>3</v>
      </c>
      <c r="M672" s="18" t="s">
        <v>35</v>
      </c>
      <c r="N672" s="18">
        <v>1</v>
      </c>
      <c r="O672" s="18">
        <v>1</v>
      </c>
      <c r="P672" s="18">
        <v>11</v>
      </c>
      <c r="Q672" s="18">
        <v>1</v>
      </c>
      <c r="R672" s="18">
        <v>2</v>
      </c>
      <c r="S672" s="18">
        <v>1</v>
      </c>
      <c r="T672" s="18">
        <v>188.51</v>
      </c>
    </row>
    <row r="673" spans="1:20" x14ac:dyDescent="0.3">
      <c r="A673" s="18">
        <v>50672</v>
      </c>
      <c r="B673" s="18">
        <v>0</v>
      </c>
      <c r="C673" s="18">
        <v>15</v>
      </c>
      <c r="D673" s="18" t="s">
        <v>31</v>
      </c>
      <c r="E673" s="18">
        <v>1</v>
      </c>
      <c r="F673" s="18">
        <v>19</v>
      </c>
      <c r="G673" s="18" t="s">
        <v>43</v>
      </c>
      <c r="H673" s="18" t="s">
        <v>33</v>
      </c>
      <c r="I673" s="18">
        <v>3.3</v>
      </c>
      <c r="J673" s="18">
        <v>2</v>
      </c>
      <c r="K673" s="18" t="s">
        <v>36</v>
      </c>
      <c r="L673" s="18">
        <v>5</v>
      </c>
      <c r="M673" s="18" t="s">
        <v>35</v>
      </c>
      <c r="N673" s="18">
        <v>1</v>
      </c>
      <c r="O673" s="18">
        <v>0</v>
      </c>
      <c r="P673" s="18">
        <v>11</v>
      </c>
      <c r="Q673" s="18">
        <v>2</v>
      </c>
      <c r="R673" s="18">
        <v>3</v>
      </c>
      <c r="S673" s="18">
        <v>2</v>
      </c>
      <c r="T673" s="18">
        <v>124.88</v>
      </c>
    </row>
    <row r="674" spans="1:20" x14ac:dyDescent="0.3">
      <c r="A674" s="18">
        <v>50673</v>
      </c>
      <c r="B674" s="18">
        <v>0</v>
      </c>
      <c r="C674" s="18">
        <v>8</v>
      </c>
      <c r="D674" s="18" t="s">
        <v>36</v>
      </c>
      <c r="E674" s="18">
        <v>1</v>
      </c>
      <c r="F674" s="18">
        <v>13</v>
      </c>
      <c r="G674" s="18" t="s">
        <v>39</v>
      </c>
      <c r="H674" s="18" t="s">
        <v>33</v>
      </c>
      <c r="I674" s="18">
        <v>3.4</v>
      </c>
      <c r="J674" s="18">
        <v>4</v>
      </c>
      <c r="K674" s="18" t="s">
        <v>40</v>
      </c>
      <c r="L674" s="18">
        <v>3</v>
      </c>
      <c r="M674" s="18" t="s">
        <v>35</v>
      </c>
      <c r="N674" s="18">
        <v>1</v>
      </c>
      <c r="O674" s="18">
        <v>0</v>
      </c>
      <c r="P674" s="18">
        <v>13.9</v>
      </c>
      <c r="Q674" s="18">
        <v>3</v>
      </c>
      <c r="R674" s="18">
        <v>3</v>
      </c>
      <c r="S674" s="18">
        <v>2</v>
      </c>
      <c r="T674" s="18">
        <v>124.56</v>
      </c>
    </row>
    <row r="675" spans="1:20" x14ac:dyDescent="0.3">
      <c r="A675" s="18">
        <v>50674</v>
      </c>
      <c r="B675" s="18">
        <v>0</v>
      </c>
      <c r="C675" s="18">
        <v>13</v>
      </c>
      <c r="D675" s="18" t="s">
        <v>36</v>
      </c>
      <c r="E675" s="18">
        <v>1</v>
      </c>
      <c r="F675" s="18">
        <v>17</v>
      </c>
      <c r="G675" s="18" t="s">
        <v>39</v>
      </c>
      <c r="H675" s="18" t="s">
        <v>38</v>
      </c>
      <c r="I675" s="18">
        <v>3</v>
      </c>
      <c r="J675" s="18">
        <v>1</v>
      </c>
      <c r="K675" s="18" t="s">
        <v>36</v>
      </c>
      <c r="L675" s="18">
        <v>4</v>
      </c>
      <c r="M675" s="18" t="s">
        <v>35</v>
      </c>
      <c r="N675" s="18">
        <v>5</v>
      </c>
      <c r="O675" s="18">
        <v>0</v>
      </c>
      <c r="P675" s="18">
        <v>14</v>
      </c>
      <c r="Q675" s="18">
        <v>1</v>
      </c>
      <c r="R675" s="18">
        <v>6</v>
      </c>
      <c r="S675" s="18">
        <v>2</v>
      </c>
      <c r="T675" s="18">
        <v>160.28</v>
      </c>
    </row>
    <row r="676" spans="1:20" x14ac:dyDescent="0.3">
      <c r="A676" s="18">
        <v>50675</v>
      </c>
      <c r="B676" s="18">
        <v>0</v>
      </c>
      <c r="C676" s="18">
        <v>21</v>
      </c>
      <c r="D676" s="18" t="s">
        <v>36</v>
      </c>
      <c r="E676" s="18">
        <v>3</v>
      </c>
      <c r="F676" s="18">
        <v>23</v>
      </c>
      <c r="G676" s="18" t="s">
        <v>37</v>
      </c>
      <c r="H676" s="18" t="s">
        <v>38</v>
      </c>
      <c r="I676" s="18">
        <v>3.3</v>
      </c>
      <c r="J676" s="18">
        <v>4</v>
      </c>
      <c r="K676" s="18" t="s">
        <v>36</v>
      </c>
      <c r="L676" s="18">
        <v>1</v>
      </c>
      <c r="M676" s="18" t="s">
        <v>41</v>
      </c>
      <c r="N676" s="18">
        <v>4</v>
      </c>
      <c r="O676" s="18">
        <v>0</v>
      </c>
      <c r="P676" s="18">
        <v>11.8</v>
      </c>
      <c r="Q676" s="18">
        <v>0</v>
      </c>
      <c r="R676" s="18">
        <v>6</v>
      </c>
      <c r="S676" s="18">
        <v>2</v>
      </c>
      <c r="T676" s="18">
        <v>158.13999999999999</v>
      </c>
    </row>
    <row r="677" spans="1:20" x14ac:dyDescent="0.3">
      <c r="A677" s="18">
        <v>50676</v>
      </c>
      <c r="B677" s="18">
        <v>0</v>
      </c>
      <c r="C677" s="18">
        <v>5</v>
      </c>
      <c r="D677" s="18" t="s">
        <v>42</v>
      </c>
      <c r="E677" s="18">
        <v>3</v>
      </c>
      <c r="F677" s="18">
        <v>21</v>
      </c>
      <c r="G677" s="18" t="s">
        <v>39</v>
      </c>
      <c r="H677" s="18" t="s">
        <v>33</v>
      </c>
      <c r="I677" s="18">
        <v>2.2999999999999998</v>
      </c>
      <c r="J677" s="18">
        <v>4</v>
      </c>
      <c r="K677" s="18" t="s">
        <v>46</v>
      </c>
      <c r="L677" s="18">
        <v>4</v>
      </c>
      <c r="M677" s="18" t="s">
        <v>35</v>
      </c>
      <c r="N677" s="18">
        <v>8</v>
      </c>
      <c r="O677" s="18">
        <v>0</v>
      </c>
      <c r="P677" s="18">
        <v>18.600000000000001</v>
      </c>
      <c r="Q677" s="18">
        <v>4</v>
      </c>
      <c r="R677" s="18">
        <v>3</v>
      </c>
      <c r="S677" s="18">
        <v>6</v>
      </c>
      <c r="T677" s="18">
        <v>124.7</v>
      </c>
    </row>
    <row r="678" spans="1:20" x14ac:dyDescent="0.3">
      <c r="A678" s="18">
        <v>50677</v>
      </c>
      <c r="B678" s="18">
        <v>0</v>
      </c>
      <c r="C678" s="18">
        <v>3</v>
      </c>
      <c r="D678" s="18" t="s">
        <v>31</v>
      </c>
      <c r="E678" s="18">
        <v>1</v>
      </c>
      <c r="F678" s="18">
        <v>5</v>
      </c>
      <c r="G678" s="18" t="s">
        <v>32</v>
      </c>
      <c r="H678" s="18" t="s">
        <v>38</v>
      </c>
      <c r="I678" s="18">
        <v>2.7</v>
      </c>
      <c r="J678" s="18">
        <v>5</v>
      </c>
      <c r="K678" s="18" t="s">
        <v>44</v>
      </c>
      <c r="L678" s="18">
        <v>5</v>
      </c>
      <c r="M678" s="18" t="s">
        <v>35</v>
      </c>
      <c r="N678" s="18">
        <v>1</v>
      </c>
      <c r="O678" s="18">
        <v>0</v>
      </c>
      <c r="P678" s="18">
        <v>16</v>
      </c>
      <c r="Q678" s="18">
        <v>0</v>
      </c>
      <c r="R678" s="18">
        <v>3</v>
      </c>
      <c r="S678" s="18">
        <v>1</v>
      </c>
      <c r="T678" s="18">
        <v>230.83</v>
      </c>
    </row>
    <row r="679" spans="1:20" x14ac:dyDescent="0.3">
      <c r="A679" s="18">
        <v>50678</v>
      </c>
      <c r="B679" s="18">
        <v>0</v>
      </c>
      <c r="C679" s="18">
        <v>11</v>
      </c>
      <c r="D679" s="18" t="s">
        <v>36</v>
      </c>
      <c r="E679" s="18">
        <v>1</v>
      </c>
      <c r="F679" s="18">
        <v>21</v>
      </c>
      <c r="G679" s="18" t="s">
        <v>39</v>
      </c>
      <c r="H679" s="18" t="s">
        <v>33</v>
      </c>
      <c r="I679" s="18">
        <v>3</v>
      </c>
      <c r="J679" s="18">
        <v>3</v>
      </c>
      <c r="K679" s="18" t="s">
        <v>46</v>
      </c>
      <c r="L679" s="18">
        <v>5</v>
      </c>
      <c r="M679" s="18" t="s">
        <v>41</v>
      </c>
      <c r="N679" s="18">
        <v>2</v>
      </c>
      <c r="O679" s="18">
        <v>0</v>
      </c>
      <c r="P679" s="18">
        <v>15.2</v>
      </c>
      <c r="Q679" s="18">
        <v>3</v>
      </c>
      <c r="R679" s="18">
        <v>7</v>
      </c>
      <c r="S679" s="18"/>
      <c r="T679" s="18">
        <v>161.6</v>
      </c>
    </row>
    <row r="680" spans="1:20" x14ac:dyDescent="0.3">
      <c r="A680" s="18">
        <v>50679</v>
      </c>
      <c r="B680" s="18">
        <v>0</v>
      </c>
      <c r="C680" s="18">
        <v>16</v>
      </c>
      <c r="D680" s="18" t="s">
        <v>42</v>
      </c>
      <c r="E680" s="18">
        <v>3</v>
      </c>
      <c r="F680" s="18">
        <v>14</v>
      </c>
      <c r="G680" s="18" t="s">
        <v>43</v>
      </c>
      <c r="H680" s="18" t="s">
        <v>33</v>
      </c>
      <c r="I680" s="18">
        <v>3.1</v>
      </c>
      <c r="J680" s="18">
        <v>1</v>
      </c>
      <c r="K680" s="18" t="s">
        <v>44</v>
      </c>
      <c r="L680" s="18">
        <v>5</v>
      </c>
      <c r="M680" s="18" t="s">
        <v>35</v>
      </c>
      <c r="N680" s="18">
        <v>1</v>
      </c>
      <c r="O680" s="18">
        <v>1</v>
      </c>
      <c r="P680" s="18">
        <v>11.6</v>
      </c>
      <c r="Q680" s="18">
        <v>0</v>
      </c>
      <c r="R680" s="18">
        <v>3</v>
      </c>
      <c r="S680" s="18">
        <v>3</v>
      </c>
      <c r="T680" s="18">
        <v>167.53</v>
      </c>
    </row>
    <row r="681" spans="1:20" x14ac:dyDescent="0.3">
      <c r="A681" s="18">
        <v>50680</v>
      </c>
      <c r="B681" s="18">
        <v>0</v>
      </c>
      <c r="C681" s="18">
        <v>14</v>
      </c>
      <c r="D681" s="18" t="s">
        <v>42</v>
      </c>
      <c r="E681" s="18">
        <v>1</v>
      </c>
      <c r="F681" s="18">
        <v>15</v>
      </c>
      <c r="G681" s="18" t="s">
        <v>32</v>
      </c>
      <c r="H681" s="18" t="s">
        <v>38</v>
      </c>
      <c r="I681" s="18">
        <v>3.1</v>
      </c>
      <c r="J681" s="18">
        <v>4</v>
      </c>
      <c r="K681" s="18" t="s">
        <v>44</v>
      </c>
      <c r="L681" s="18">
        <v>3</v>
      </c>
      <c r="M681" s="18" t="s">
        <v>35</v>
      </c>
      <c r="N681" s="18">
        <v>1</v>
      </c>
      <c r="O681" s="18">
        <v>0</v>
      </c>
      <c r="P681" s="18">
        <v>15.8</v>
      </c>
      <c r="Q681" s="18">
        <v>1</v>
      </c>
      <c r="R681" s="18">
        <v>7</v>
      </c>
      <c r="S681" s="18">
        <v>2</v>
      </c>
      <c r="T681" s="18">
        <v>106.99</v>
      </c>
    </row>
    <row r="682" spans="1:20" x14ac:dyDescent="0.3">
      <c r="A682" s="18">
        <v>50681</v>
      </c>
      <c r="B682" s="18">
        <v>0</v>
      </c>
      <c r="C682" s="18">
        <v>15</v>
      </c>
      <c r="D682" s="18" t="s">
        <v>36</v>
      </c>
      <c r="E682" s="18">
        <v>3</v>
      </c>
      <c r="F682" s="18"/>
      <c r="G682" s="18" t="s">
        <v>37</v>
      </c>
      <c r="H682" s="18" t="s">
        <v>33</v>
      </c>
      <c r="I682" s="18">
        <v>2.8</v>
      </c>
      <c r="J682" s="18">
        <v>4</v>
      </c>
      <c r="K682" s="18" t="s">
        <v>44</v>
      </c>
      <c r="L682" s="18">
        <v>4</v>
      </c>
      <c r="M682" s="18" t="s">
        <v>35</v>
      </c>
      <c r="N682" s="18">
        <v>2</v>
      </c>
      <c r="O682" s="18">
        <v>0</v>
      </c>
      <c r="P682" s="18">
        <v>11</v>
      </c>
      <c r="Q682" s="18">
        <v>1</v>
      </c>
      <c r="R682" s="18">
        <v>4</v>
      </c>
      <c r="S682" s="18">
        <v>0</v>
      </c>
      <c r="T682" s="18">
        <v>293.94</v>
      </c>
    </row>
    <row r="683" spans="1:20" x14ac:dyDescent="0.3">
      <c r="A683" s="18">
        <v>50682</v>
      </c>
      <c r="B683" s="18">
        <v>0</v>
      </c>
      <c r="C683" s="18">
        <v>5</v>
      </c>
      <c r="D683" s="18" t="s">
        <v>36</v>
      </c>
      <c r="E683" s="18">
        <v>3</v>
      </c>
      <c r="F683" s="18">
        <v>13</v>
      </c>
      <c r="G683" s="18" t="s">
        <v>37</v>
      </c>
      <c r="H683" s="18" t="s">
        <v>33</v>
      </c>
      <c r="I683" s="18">
        <v>2.6</v>
      </c>
      <c r="J683" s="18">
        <v>4</v>
      </c>
      <c r="K683" s="18" t="s">
        <v>40</v>
      </c>
      <c r="L683" s="18">
        <v>3</v>
      </c>
      <c r="M683" s="18" t="s">
        <v>41</v>
      </c>
      <c r="N683" s="18">
        <v>1</v>
      </c>
      <c r="O683" s="18">
        <v>0</v>
      </c>
      <c r="P683" s="18">
        <v>15.4</v>
      </c>
      <c r="Q683" s="18">
        <v>1</v>
      </c>
      <c r="R683" s="18">
        <v>3</v>
      </c>
      <c r="S683" s="18">
        <v>0</v>
      </c>
      <c r="T683" s="18">
        <v>313.49</v>
      </c>
    </row>
    <row r="684" spans="1:20" x14ac:dyDescent="0.3">
      <c r="A684" s="18">
        <v>50683</v>
      </c>
      <c r="B684" s="18">
        <v>0</v>
      </c>
      <c r="C684" s="18">
        <v>17</v>
      </c>
      <c r="D684" s="18" t="s">
        <v>31</v>
      </c>
      <c r="E684" s="18">
        <v>1</v>
      </c>
      <c r="F684" s="18"/>
      <c r="G684" s="18" t="s">
        <v>47</v>
      </c>
      <c r="H684" s="18" t="s">
        <v>38</v>
      </c>
      <c r="I684" s="18">
        <v>5</v>
      </c>
      <c r="J684" s="18">
        <v>3</v>
      </c>
      <c r="K684" s="18" t="s">
        <v>36</v>
      </c>
      <c r="L684" s="18">
        <v>4</v>
      </c>
      <c r="M684" s="18" t="s">
        <v>35</v>
      </c>
      <c r="N684" s="18">
        <v>4</v>
      </c>
      <c r="O684" s="18">
        <v>0</v>
      </c>
      <c r="P684" s="18">
        <v>16.2</v>
      </c>
      <c r="Q684" s="18">
        <v>3</v>
      </c>
      <c r="R684" s="18">
        <v>4</v>
      </c>
      <c r="S684" s="18">
        <v>3</v>
      </c>
      <c r="T684" s="18">
        <v>137.08000000000001</v>
      </c>
    </row>
    <row r="685" spans="1:20" x14ac:dyDescent="0.3">
      <c r="A685" s="18">
        <v>50684</v>
      </c>
      <c r="B685" s="18">
        <v>0</v>
      </c>
      <c r="C685" s="18">
        <v>1</v>
      </c>
      <c r="D685" s="18" t="s">
        <v>42</v>
      </c>
      <c r="E685" s="18">
        <v>1</v>
      </c>
      <c r="F685" s="18">
        <v>14</v>
      </c>
      <c r="G685" s="18" t="s">
        <v>37</v>
      </c>
      <c r="H685" s="18" t="s">
        <v>33</v>
      </c>
      <c r="I685" s="18">
        <v>3.5</v>
      </c>
      <c r="J685" s="18">
        <v>3</v>
      </c>
      <c r="K685" s="18" t="s">
        <v>46</v>
      </c>
      <c r="L685" s="18">
        <v>2</v>
      </c>
      <c r="M685" s="18" t="s">
        <v>41</v>
      </c>
      <c r="N685" s="18">
        <v>2</v>
      </c>
      <c r="O685" s="18">
        <v>0</v>
      </c>
      <c r="P685" s="18">
        <v>16.8</v>
      </c>
      <c r="Q685" s="18">
        <v>0</v>
      </c>
      <c r="R685" s="18">
        <v>3</v>
      </c>
      <c r="S685" s="18">
        <v>1</v>
      </c>
      <c r="T685" s="18">
        <v>247.43</v>
      </c>
    </row>
    <row r="686" spans="1:20" x14ac:dyDescent="0.3">
      <c r="A686" s="18">
        <v>50685</v>
      </c>
      <c r="B686" s="18">
        <v>0</v>
      </c>
      <c r="C686" s="18">
        <v>7</v>
      </c>
      <c r="D686" s="18" t="s">
        <v>42</v>
      </c>
      <c r="E686" s="18">
        <v>3</v>
      </c>
      <c r="F686" s="18">
        <v>6</v>
      </c>
      <c r="G686" s="18" t="s">
        <v>47</v>
      </c>
      <c r="H686" s="18" t="s">
        <v>38</v>
      </c>
      <c r="I686" s="18">
        <v>3.2</v>
      </c>
      <c r="J686" s="18">
        <v>3</v>
      </c>
      <c r="K686" s="18" t="s">
        <v>36</v>
      </c>
      <c r="L686" s="18">
        <v>5</v>
      </c>
      <c r="M686" s="18" t="s">
        <v>35</v>
      </c>
      <c r="N686" s="18">
        <v>6</v>
      </c>
      <c r="O686" s="18">
        <v>0</v>
      </c>
      <c r="P686" s="18">
        <v>11</v>
      </c>
      <c r="Q686" s="18">
        <v>0</v>
      </c>
      <c r="R686" s="18">
        <v>6</v>
      </c>
      <c r="S686" s="18">
        <v>10</v>
      </c>
      <c r="T686" s="18">
        <v>174.95</v>
      </c>
    </row>
    <row r="687" spans="1:20" x14ac:dyDescent="0.3">
      <c r="A687" s="18">
        <v>50686</v>
      </c>
      <c r="B687" s="18">
        <v>0</v>
      </c>
      <c r="C687" s="18">
        <v>0</v>
      </c>
      <c r="D687" s="18" t="s">
        <v>42</v>
      </c>
      <c r="E687" s="18">
        <v>3</v>
      </c>
      <c r="F687" s="18">
        <v>11</v>
      </c>
      <c r="G687" s="18" t="s">
        <v>39</v>
      </c>
      <c r="H687" s="18" t="s">
        <v>33</v>
      </c>
      <c r="I687" s="18"/>
      <c r="J687" s="18">
        <v>2</v>
      </c>
      <c r="K687" s="18" t="s">
        <v>44</v>
      </c>
      <c r="L687" s="18">
        <v>5</v>
      </c>
      <c r="M687" s="18" t="s">
        <v>35</v>
      </c>
      <c r="N687" s="18">
        <v>1</v>
      </c>
      <c r="O687" s="18">
        <v>0</v>
      </c>
      <c r="P687" s="18">
        <v>16.8</v>
      </c>
      <c r="Q687" s="18">
        <v>1</v>
      </c>
      <c r="R687" s="18">
        <v>2</v>
      </c>
      <c r="S687" s="18">
        <v>0</v>
      </c>
      <c r="T687" s="18">
        <v>268.20999999999998</v>
      </c>
    </row>
    <row r="688" spans="1:20" x14ac:dyDescent="0.3">
      <c r="A688" s="18">
        <v>50687</v>
      </c>
      <c r="B688" s="18">
        <v>0</v>
      </c>
      <c r="C688" s="18">
        <v>3</v>
      </c>
      <c r="D688" s="18" t="s">
        <v>31</v>
      </c>
      <c r="E688" s="18">
        <v>2</v>
      </c>
      <c r="F688" s="18">
        <v>16</v>
      </c>
      <c r="G688" s="18" t="s">
        <v>39</v>
      </c>
      <c r="H688" s="18" t="s">
        <v>33</v>
      </c>
      <c r="I688" s="18">
        <v>2.6</v>
      </c>
      <c r="J688" s="18">
        <v>4</v>
      </c>
      <c r="K688" s="18" t="s">
        <v>40</v>
      </c>
      <c r="L688" s="18">
        <v>3</v>
      </c>
      <c r="M688" s="18" t="s">
        <v>35</v>
      </c>
      <c r="N688" s="18">
        <v>8</v>
      </c>
      <c r="O688" s="18">
        <v>0</v>
      </c>
      <c r="P688" s="18">
        <v>12.4</v>
      </c>
      <c r="Q688" s="18">
        <v>2</v>
      </c>
      <c r="R688" s="18">
        <v>5</v>
      </c>
      <c r="S688" s="18">
        <v>0</v>
      </c>
      <c r="T688" s="18">
        <v>198.49</v>
      </c>
    </row>
    <row r="689" spans="1:20" x14ac:dyDescent="0.3">
      <c r="A689" s="18">
        <v>50688</v>
      </c>
      <c r="B689" s="18">
        <v>0</v>
      </c>
      <c r="C689" s="18">
        <v>4</v>
      </c>
      <c r="D689" s="18" t="s">
        <v>36</v>
      </c>
      <c r="E689" s="18">
        <v>3</v>
      </c>
      <c r="F689" s="18">
        <v>24</v>
      </c>
      <c r="G689" s="18" t="s">
        <v>37</v>
      </c>
      <c r="H689" s="18" t="s">
        <v>33</v>
      </c>
      <c r="I689" s="18">
        <v>2.8</v>
      </c>
      <c r="J689" s="18">
        <v>2</v>
      </c>
      <c r="K689" s="18" t="s">
        <v>44</v>
      </c>
      <c r="L689" s="18">
        <v>3</v>
      </c>
      <c r="M689" s="18" t="s">
        <v>41</v>
      </c>
      <c r="N689" s="18">
        <v>22</v>
      </c>
      <c r="O689" s="18">
        <v>0</v>
      </c>
      <c r="P689" s="18">
        <v>13.2</v>
      </c>
      <c r="Q689" s="18">
        <v>3</v>
      </c>
      <c r="R689" s="18">
        <v>5</v>
      </c>
      <c r="S689" s="18">
        <v>2</v>
      </c>
      <c r="T689" s="18">
        <v>185.49</v>
      </c>
    </row>
    <row r="690" spans="1:20" x14ac:dyDescent="0.3">
      <c r="A690" s="18">
        <v>50689</v>
      </c>
      <c r="B690" s="18">
        <v>0</v>
      </c>
      <c r="C690" s="18">
        <v>5</v>
      </c>
      <c r="D690" s="18" t="s">
        <v>36</v>
      </c>
      <c r="E690" s="18">
        <v>1</v>
      </c>
      <c r="F690" s="18">
        <v>19</v>
      </c>
      <c r="G690" s="18" t="s">
        <v>37</v>
      </c>
      <c r="H690" s="18" t="s">
        <v>33</v>
      </c>
      <c r="I690" s="18">
        <v>3.1</v>
      </c>
      <c r="J690" s="18">
        <v>2</v>
      </c>
      <c r="K690" s="18" t="s">
        <v>46</v>
      </c>
      <c r="L690" s="18">
        <v>2</v>
      </c>
      <c r="M690" s="18" t="s">
        <v>35</v>
      </c>
      <c r="N690" s="18">
        <v>8</v>
      </c>
      <c r="O690" s="18">
        <v>0</v>
      </c>
      <c r="P690" s="18">
        <v>18.5</v>
      </c>
      <c r="Q690" s="18">
        <v>4</v>
      </c>
      <c r="R690" s="18">
        <v>6</v>
      </c>
      <c r="S690" s="18">
        <v>21</v>
      </c>
      <c r="T690" s="18">
        <v>42.54</v>
      </c>
    </row>
    <row r="691" spans="1:20" x14ac:dyDescent="0.3">
      <c r="A691" s="18">
        <v>50690</v>
      </c>
      <c r="B691" s="18">
        <v>0</v>
      </c>
      <c r="C691" s="18">
        <v>11</v>
      </c>
      <c r="D691" s="18" t="s">
        <v>36</v>
      </c>
      <c r="E691" s="18">
        <v>2</v>
      </c>
      <c r="F691" s="18">
        <v>8</v>
      </c>
      <c r="G691" s="18" t="s">
        <v>32</v>
      </c>
      <c r="H691" s="18" t="s">
        <v>33</v>
      </c>
      <c r="I691" s="18">
        <v>1.6</v>
      </c>
      <c r="J691" s="18">
        <v>2</v>
      </c>
      <c r="K691" s="18" t="s">
        <v>44</v>
      </c>
      <c r="L691" s="18">
        <v>4</v>
      </c>
      <c r="M691" s="18" t="s">
        <v>45</v>
      </c>
      <c r="N691" s="18">
        <v>5</v>
      </c>
      <c r="O691" s="18">
        <v>0</v>
      </c>
      <c r="P691" s="18">
        <v>23</v>
      </c>
      <c r="Q691" s="18">
        <v>2</v>
      </c>
      <c r="R691" s="18">
        <v>5</v>
      </c>
      <c r="S691" s="18">
        <v>5</v>
      </c>
      <c r="T691" s="18">
        <v>131.68</v>
      </c>
    </row>
    <row r="692" spans="1:20" x14ac:dyDescent="0.3">
      <c r="A692" s="18">
        <v>50691</v>
      </c>
      <c r="B692" s="18">
        <v>0</v>
      </c>
      <c r="C692" s="18">
        <v>4</v>
      </c>
      <c r="D692" s="18" t="s">
        <v>36</v>
      </c>
      <c r="E692" s="18">
        <v>3</v>
      </c>
      <c r="F692" s="18">
        <v>34</v>
      </c>
      <c r="G692" s="18" t="s">
        <v>39</v>
      </c>
      <c r="H692" s="18" t="s">
        <v>33</v>
      </c>
      <c r="I692" s="18">
        <v>1.8</v>
      </c>
      <c r="J692" s="18">
        <v>2</v>
      </c>
      <c r="K692" s="18" t="s">
        <v>36</v>
      </c>
      <c r="L692" s="18">
        <v>3</v>
      </c>
      <c r="M692" s="18" t="s">
        <v>41</v>
      </c>
      <c r="N692" s="18">
        <v>5</v>
      </c>
      <c r="O692" s="18">
        <v>0</v>
      </c>
      <c r="P692" s="18">
        <v>16.2</v>
      </c>
      <c r="Q692" s="18">
        <v>1</v>
      </c>
      <c r="R692" s="18">
        <v>4</v>
      </c>
      <c r="S692" s="18">
        <v>2</v>
      </c>
      <c r="T692" s="18">
        <v>181.13</v>
      </c>
    </row>
    <row r="693" spans="1:20" x14ac:dyDescent="0.3">
      <c r="A693" s="18">
        <v>50692</v>
      </c>
      <c r="B693" s="18">
        <v>0</v>
      </c>
      <c r="C693" s="18">
        <v>5</v>
      </c>
      <c r="D693" s="18" t="s">
        <v>31</v>
      </c>
      <c r="E693" s="18">
        <v>3</v>
      </c>
      <c r="F693" s="18">
        <v>17</v>
      </c>
      <c r="G693" s="18" t="s">
        <v>32</v>
      </c>
      <c r="H693" s="18" t="s">
        <v>38</v>
      </c>
      <c r="I693" s="18">
        <v>2.5</v>
      </c>
      <c r="J693" s="18">
        <v>3</v>
      </c>
      <c r="K693" s="18" t="s">
        <v>40</v>
      </c>
      <c r="L693" s="18">
        <v>5</v>
      </c>
      <c r="M693" s="18" t="s">
        <v>35</v>
      </c>
      <c r="N693" s="18">
        <v>2</v>
      </c>
      <c r="O693" s="18">
        <v>0</v>
      </c>
      <c r="P693" s="18">
        <v>13.1</v>
      </c>
      <c r="Q693" s="18">
        <v>1</v>
      </c>
      <c r="R693" s="18">
        <v>4</v>
      </c>
      <c r="S693" s="18">
        <v>0</v>
      </c>
      <c r="T693" s="18">
        <v>190.93</v>
      </c>
    </row>
    <row r="694" spans="1:20" x14ac:dyDescent="0.3">
      <c r="A694" s="18">
        <v>50693</v>
      </c>
      <c r="B694" s="18">
        <v>0</v>
      </c>
      <c r="C694" s="18">
        <v>2</v>
      </c>
      <c r="D694" s="18" t="s">
        <v>31</v>
      </c>
      <c r="E694" s="18">
        <v>1</v>
      </c>
      <c r="F694" s="18">
        <v>25</v>
      </c>
      <c r="G694" s="18" t="s">
        <v>39</v>
      </c>
      <c r="H694" s="18" t="s">
        <v>38</v>
      </c>
      <c r="I694" s="18">
        <v>3</v>
      </c>
      <c r="J694" s="18">
        <v>4</v>
      </c>
      <c r="K694" s="18" t="s">
        <v>34</v>
      </c>
      <c r="L694" s="18">
        <v>4</v>
      </c>
      <c r="M694" s="18" t="s">
        <v>35</v>
      </c>
      <c r="N694" s="18">
        <v>1</v>
      </c>
      <c r="O694" s="18">
        <v>1</v>
      </c>
      <c r="P694" s="18">
        <v>16.7</v>
      </c>
      <c r="Q694" s="18">
        <v>5</v>
      </c>
      <c r="R694" s="18">
        <v>3</v>
      </c>
      <c r="S694" s="18">
        <v>3</v>
      </c>
      <c r="T694" s="18">
        <v>113.18</v>
      </c>
    </row>
    <row r="695" spans="1:20" x14ac:dyDescent="0.3">
      <c r="A695" s="18">
        <v>50694</v>
      </c>
      <c r="B695" s="18">
        <v>0</v>
      </c>
      <c r="C695" s="18">
        <v>4</v>
      </c>
      <c r="D695" s="18" t="s">
        <v>31</v>
      </c>
      <c r="E695" s="18">
        <v>3</v>
      </c>
      <c r="F695" s="18">
        <v>13</v>
      </c>
      <c r="G695" s="18" t="s">
        <v>37</v>
      </c>
      <c r="H695" s="18" t="s">
        <v>33</v>
      </c>
      <c r="I695" s="18">
        <v>2.7</v>
      </c>
      <c r="J695" s="18">
        <v>3</v>
      </c>
      <c r="K695" s="18" t="s">
        <v>36</v>
      </c>
      <c r="L695" s="18">
        <v>4</v>
      </c>
      <c r="M695" s="18" t="s">
        <v>35</v>
      </c>
      <c r="N695" s="18">
        <v>3</v>
      </c>
      <c r="O695" s="18">
        <v>0</v>
      </c>
      <c r="P695" s="18">
        <v>19.3</v>
      </c>
      <c r="Q695" s="18">
        <v>0</v>
      </c>
      <c r="R695" s="18">
        <v>2</v>
      </c>
      <c r="S695" s="18">
        <v>1</v>
      </c>
      <c r="T695" s="18">
        <v>139.91999999999999</v>
      </c>
    </row>
    <row r="696" spans="1:20" x14ac:dyDescent="0.3">
      <c r="A696" s="18">
        <v>50695</v>
      </c>
      <c r="B696" s="18">
        <v>0</v>
      </c>
      <c r="C696" s="18">
        <v>2</v>
      </c>
      <c r="D696" s="18" t="s">
        <v>36</v>
      </c>
      <c r="E696" s="18">
        <v>2</v>
      </c>
      <c r="F696" s="18">
        <v>19</v>
      </c>
      <c r="G696" s="18" t="s">
        <v>39</v>
      </c>
      <c r="H696" s="18" t="s">
        <v>33</v>
      </c>
      <c r="I696" s="18"/>
      <c r="J696" s="18">
        <v>2</v>
      </c>
      <c r="K696" s="18" t="s">
        <v>46</v>
      </c>
      <c r="L696" s="18">
        <v>4</v>
      </c>
      <c r="M696" s="18" t="s">
        <v>41</v>
      </c>
      <c r="N696" s="18">
        <v>4</v>
      </c>
      <c r="O696" s="18">
        <v>0</v>
      </c>
      <c r="P696" s="18">
        <v>18.2</v>
      </c>
      <c r="Q696" s="18">
        <v>2</v>
      </c>
      <c r="R696" s="18">
        <v>3</v>
      </c>
      <c r="S696" s="18">
        <v>5</v>
      </c>
      <c r="T696" s="18">
        <v>210.44</v>
      </c>
    </row>
    <row r="697" spans="1:20" x14ac:dyDescent="0.3">
      <c r="A697" s="18">
        <v>50696</v>
      </c>
      <c r="B697" s="18">
        <v>1</v>
      </c>
      <c r="C697" s="18">
        <v>0</v>
      </c>
      <c r="D697" s="18" t="s">
        <v>31</v>
      </c>
      <c r="E697" s="18">
        <v>1</v>
      </c>
      <c r="F697" s="18">
        <v>21</v>
      </c>
      <c r="G697" s="18" t="s">
        <v>37</v>
      </c>
      <c r="H697" s="18" t="s">
        <v>33</v>
      </c>
      <c r="I697" s="18">
        <v>1.9</v>
      </c>
      <c r="J697" s="18">
        <v>4</v>
      </c>
      <c r="K697" s="18" t="s">
        <v>44</v>
      </c>
      <c r="L697" s="18">
        <v>1</v>
      </c>
      <c r="M697" s="18" t="s">
        <v>41</v>
      </c>
      <c r="N697" s="18">
        <v>14</v>
      </c>
      <c r="O697" s="18">
        <v>1</v>
      </c>
      <c r="P697" s="18">
        <v>25.6</v>
      </c>
      <c r="Q697" s="18">
        <v>2</v>
      </c>
      <c r="R697" s="18">
        <v>6</v>
      </c>
      <c r="S697" s="18">
        <v>4</v>
      </c>
      <c r="T697" s="18">
        <v>103.92</v>
      </c>
    </row>
    <row r="698" spans="1:20" x14ac:dyDescent="0.3">
      <c r="A698" s="18">
        <v>50697</v>
      </c>
      <c r="B698" s="18">
        <v>0</v>
      </c>
      <c r="C698" s="18">
        <v>9</v>
      </c>
      <c r="D698" s="18" t="s">
        <v>36</v>
      </c>
      <c r="E698" s="18">
        <v>1</v>
      </c>
      <c r="F698" s="18">
        <v>24</v>
      </c>
      <c r="G698" s="18" t="s">
        <v>39</v>
      </c>
      <c r="H698" s="18" t="s">
        <v>38</v>
      </c>
      <c r="I698" s="18">
        <v>2.4</v>
      </c>
      <c r="J698" s="18">
        <v>5</v>
      </c>
      <c r="K698" s="18" t="s">
        <v>46</v>
      </c>
      <c r="L698" s="18">
        <v>5</v>
      </c>
      <c r="M698" s="18" t="s">
        <v>45</v>
      </c>
      <c r="N698" s="18">
        <v>2</v>
      </c>
      <c r="O698" s="18">
        <v>1</v>
      </c>
      <c r="P698" s="18">
        <v>13.5</v>
      </c>
      <c r="Q698" s="18">
        <v>4</v>
      </c>
      <c r="R698" s="18">
        <v>5</v>
      </c>
      <c r="S698" s="18">
        <v>1</v>
      </c>
      <c r="T698" s="18">
        <v>187.36</v>
      </c>
    </row>
    <row r="699" spans="1:20" x14ac:dyDescent="0.3">
      <c r="A699" s="18">
        <v>50698</v>
      </c>
      <c r="B699" s="18">
        <v>0</v>
      </c>
      <c r="C699" s="18">
        <v>11</v>
      </c>
      <c r="D699" s="18" t="s">
        <v>36</v>
      </c>
      <c r="E699" s="18">
        <v>3</v>
      </c>
      <c r="F699" s="18">
        <v>23</v>
      </c>
      <c r="G699" s="18" t="s">
        <v>37</v>
      </c>
      <c r="H699" s="18" t="s">
        <v>38</v>
      </c>
      <c r="I699" s="18">
        <v>4</v>
      </c>
      <c r="J699" s="18">
        <v>3</v>
      </c>
      <c r="K699" s="18" t="s">
        <v>40</v>
      </c>
      <c r="L699" s="18">
        <v>4</v>
      </c>
      <c r="M699" s="18" t="s">
        <v>41</v>
      </c>
      <c r="N699" s="18">
        <v>1</v>
      </c>
      <c r="O699" s="18">
        <v>1</v>
      </c>
      <c r="P699" s="18">
        <v>16.899999999999999</v>
      </c>
      <c r="Q699" s="18">
        <v>4</v>
      </c>
      <c r="R699" s="18">
        <v>3</v>
      </c>
      <c r="S699" s="18">
        <v>0</v>
      </c>
      <c r="T699" s="18">
        <v>248.09</v>
      </c>
    </row>
    <row r="700" spans="1:20" x14ac:dyDescent="0.3">
      <c r="A700" s="18">
        <v>50699</v>
      </c>
      <c r="B700" s="18">
        <v>0</v>
      </c>
      <c r="C700" s="18">
        <v>9</v>
      </c>
      <c r="D700" s="18" t="s">
        <v>31</v>
      </c>
      <c r="E700" s="18">
        <v>1</v>
      </c>
      <c r="F700" s="18">
        <v>21</v>
      </c>
      <c r="G700" s="18" t="s">
        <v>32</v>
      </c>
      <c r="H700" s="18" t="s">
        <v>33</v>
      </c>
      <c r="I700" s="18">
        <v>3</v>
      </c>
      <c r="J700" s="18">
        <v>3</v>
      </c>
      <c r="K700" s="18" t="s">
        <v>44</v>
      </c>
      <c r="L700" s="18">
        <v>5</v>
      </c>
      <c r="M700" s="18" t="s">
        <v>41</v>
      </c>
      <c r="N700" s="18">
        <v>4</v>
      </c>
      <c r="O700" s="18">
        <v>0</v>
      </c>
      <c r="P700" s="18">
        <v>21.4</v>
      </c>
      <c r="Q700" s="18">
        <v>1</v>
      </c>
      <c r="R700" s="18">
        <v>4</v>
      </c>
      <c r="S700" s="18"/>
      <c r="T700" s="18">
        <v>201.2</v>
      </c>
    </row>
    <row r="701" spans="1:20" x14ac:dyDescent="0.3">
      <c r="A701" s="18">
        <v>50700</v>
      </c>
      <c r="B701" s="18">
        <v>0</v>
      </c>
      <c r="C701" s="18">
        <v>6</v>
      </c>
      <c r="D701" s="18" t="s">
        <v>31</v>
      </c>
      <c r="E701" s="18">
        <v>1</v>
      </c>
      <c r="F701" s="18">
        <v>12</v>
      </c>
      <c r="G701" s="18" t="s">
        <v>37</v>
      </c>
      <c r="H701" s="18" t="s">
        <v>38</v>
      </c>
      <c r="I701" s="18">
        <v>3.5</v>
      </c>
      <c r="J701" s="18">
        <v>4</v>
      </c>
      <c r="K701" s="18" t="s">
        <v>44</v>
      </c>
      <c r="L701" s="18">
        <v>3</v>
      </c>
      <c r="M701" s="18" t="s">
        <v>35</v>
      </c>
      <c r="N701" s="18">
        <v>13</v>
      </c>
      <c r="O701" s="18">
        <v>0</v>
      </c>
      <c r="P701" s="18">
        <v>21.2</v>
      </c>
      <c r="Q701" s="18">
        <v>4</v>
      </c>
      <c r="R701" s="18">
        <v>3</v>
      </c>
      <c r="S701" s="18">
        <v>4</v>
      </c>
      <c r="T701" s="18">
        <v>198.45</v>
      </c>
    </row>
    <row r="702" spans="1:20" x14ac:dyDescent="0.3">
      <c r="A702" s="18">
        <v>50701</v>
      </c>
      <c r="B702" s="18">
        <v>0</v>
      </c>
      <c r="C702" s="18">
        <v>4</v>
      </c>
      <c r="D702" s="18" t="s">
        <v>42</v>
      </c>
      <c r="E702" s="18">
        <v>1</v>
      </c>
      <c r="F702" s="18">
        <v>10</v>
      </c>
      <c r="G702" s="18" t="s">
        <v>37</v>
      </c>
      <c r="H702" s="18" t="s">
        <v>33</v>
      </c>
      <c r="I702" s="18">
        <v>4.3</v>
      </c>
      <c r="J702" s="18">
        <v>5</v>
      </c>
      <c r="K702" s="18" t="s">
        <v>44</v>
      </c>
      <c r="L702" s="18">
        <v>4</v>
      </c>
      <c r="M702" s="18" t="s">
        <v>41</v>
      </c>
      <c r="N702" s="18">
        <v>1</v>
      </c>
      <c r="O702" s="18">
        <v>0</v>
      </c>
      <c r="P702" s="18">
        <v>11</v>
      </c>
      <c r="Q702" s="18">
        <v>0</v>
      </c>
      <c r="R702" s="18">
        <v>7</v>
      </c>
      <c r="S702" s="18">
        <v>9</v>
      </c>
      <c r="T702" s="18">
        <v>68.89</v>
      </c>
    </row>
    <row r="703" spans="1:20" x14ac:dyDescent="0.3">
      <c r="A703" s="18">
        <v>50702</v>
      </c>
      <c r="B703" s="18">
        <v>0</v>
      </c>
      <c r="C703" s="18">
        <v>19</v>
      </c>
      <c r="D703" s="18" t="s">
        <v>36</v>
      </c>
      <c r="E703" s="18">
        <v>3</v>
      </c>
      <c r="F703" s="18">
        <v>17</v>
      </c>
      <c r="G703" s="18" t="s">
        <v>32</v>
      </c>
      <c r="H703" s="18" t="s">
        <v>33</v>
      </c>
      <c r="I703" s="18">
        <v>2.4</v>
      </c>
      <c r="J703" s="18">
        <v>3</v>
      </c>
      <c r="K703" s="18" t="s">
        <v>36</v>
      </c>
      <c r="L703" s="18">
        <v>1</v>
      </c>
      <c r="M703" s="18" t="s">
        <v>35</v>
      </c>
      <c r="N703" s="18">
        <v>1</v>
      </c>
      <c r="O703" s="18">
        <v>0</v>
      </c>
      <c r="P703" s="18">
        <v>16</v>
      </c>
      <c r="Q703" s="18">
        <v>2</v>
      </c>
      <c r="R703" s="18">
        <v>5</v>
      </c>
      <c r="S703" s="18">
        <v>1</v>
      </c>
      <c r="T703" s="18">
        <v>134.79</v>
      </c>
    </row>
    <row r="704" spans="1:20" x14ac:dyDescent="0.3">
      <c r="A704" s="18">
        <v>50703</v>
      </c>
      <c r="B704" s="18">
        <v>0</v>
      </c>
      <c r="C704" s="18">
        <v>7</v>
      </c>
      <c r="D704" s="18" t="s">
        <v>36</v>
      </c>
      <c r="E704" s="18">
        <v>2</v>
      </c>
      <c r="F704" s="18">
        <v>22</v>
      </c>
      <c r="G704" s="18" t="s">
        <v>47</v>
      </c>
      <c r="H704" s="18" t="s">
        <v>33</v>
      </c>
      <c r="I704" s="18">
        <v>2.8</v>
      </c>
      <c r="J704" s="18">
        <v>2</v>
      </c>
      <c r="K704" s="18" t="s">
        <v>44</v>
      </c>
      <c r="L704" s="18">
        <v>4</v>
      </c>
      <c r="M704" s="18" t="s">
        <v>35</v>
      </c>
      <c r="N704" s="18">
        <v>2</v>
      </c>
      <c r="O704" s="18">
        <v>1</v>
      </c>
      <c r="P704" s="18">
        <v>21.2</v>
      </c>
      <c r="Q704" s="18"/>
      <c r="R704" s="18">
        <v>7</v>
      </c>
      <c r="S704" s="18">
        <v>5</v>
      </c>
      <c r="T704" s="18">
        <v>292.98</v>
      </c>
    </row>
    <row r="705" spans="1:20" x14ac:dyDescent="0.3">
      <c r="A705" s="18">
        <v>50704</v>
      </c>
      <c r="B705" s="18">
        <v>1</v>
      </c>
      <c r="C705" s="18">
        <v>6</v>
      </c>
      <c r="D705" s="18" t="s">
        <v>36</v>
      </c>
      <c r="E705" s="18">
        <v>3</v>
      </c>
      <c r="F705" s="18">
        <v>13</v>
      </c>
      <c r="G705" s="18" t="s">
        <v>37</v>
      </c>
      <c r="H705" s="18" t="s">
        <v>33</v>
      </c>
      <c r="I705" s="18">
        <v>2.7</v>
      </c>
      <c r="J705" s="18">
        <v>4</v>
      </c>
      <c r="K705" s="18" t="s">
        <v>40</v>
      </c>
      <c r="L705" s="18">
        <v>4</v>
      </c>
      <c r="M705" s="18" t="s">
        <v>35</v>
      </c>
      <c r="N705" s="18">
        <v>1</v>
      </c>
      <c r="O705" s="18">
        <v>0</v>
      </c>
      <c r="P705" s="18">
        <v>26</v>
      </c>
      <c r="Q705" s="18">
        <v>3</v>
      </c>
      <c r="R705" s="18">
        <v>4</v>
      </c>
      <c r="S705" s="18">
        <v>0</v>
      </c>
      <c r="T705" s="18">
        <v>147.05000000000001</v>
      </c>
    </row>
    <row r="706" spans="1:20" x14ac:dyDescent="0.3">
      <c r="A706" s="18">
        <v>50705</v>
      </c>
      <c r="B706" s="18">
        <v>0</v>
      </c>
      <c r="C706" s="18">
        <v>0</v>
      </c>
      <c r="D706" s="18" t="s">
        <v>36</v>
      </c>
      <c r="E706" s="18">
        <v>1</v>
      </c>
      <c r="F706" s="18">
        <v>23</v>
      </c>
      <c r="G706" s="18" t="s">
        <v>39</v>
      </c>
      <c r="H706" s="18" t="s">
        <v>33</v>
      </c>
      <c r="I706" s="18">
        <v>1.5</v>
      </c>
      <c r="J706" s="18">
        <v>4</v>
      </c>
      <c r="K706" s="18" t="s">
        <v>34</v>
      </c>
      <c r="L706" s="18">
        <v>4</v>
      </c>
      <c r="M706" s="18" t="s">
        <v>35</v>
      </c>
      <c r="N706" s="18">
        <v>1</v>
      </c>
      <c r="O706" s="18">
        <v>1</v>
      </c>
      <c r="P706" s="18">
        <v>18.5</v>
      </c>
      <c r="Q706" s="18">
        <v>1</v>
      </c>
      <c r="R706" s="18">
        <v>1</v>
      </c>
      <c r="S706" s="18">
        <v>1</v>
      </c>
      <c r="T706" s="18">
        <v>249.55</v>
      </c>
    </row>
    <row r="707" spans="1:20" x14ac:dyDescent="0.3">
      <c r="A707" s="18">
        <v>50706</v>
      </c>
      <c r="B707" s="18">
        <v>0</v>
      </c>
      <c r="C707" s="18">
        <v>4</v>
      </c>
      <c r="D707" s="18" t="s">
        <v>42</v>
      </c>
      <c r="E707" s="18">
        <v>2</v>
      </c>
      <c r="F707" s="18">
        <v>26</v>
      </c>
      <c r="G707" s="18" t="s">
        <v>32</v>
      </c>
      <c r="H707" s="18" t="s">
        <v>33</v>
      </c>
      <c r="I707" s="18">
        <v>2.7</v>
      </c>
      <c r="J707" s="18">
        <v>3</v>
      </c>
      <c r="K707" s="18" t="s">
        <v>44</v>
      </c>
      <c r="L707" s="18">
        <v>4</v>
      </c>
      <c r="M707" s="18" t="s">
        <v>41</v>
      </c>
      <c r="N707" s="18">
        <v>1</v>
      </c>
      <c r="O707" s="18">
        <v>0</v>
      </c>
      <c r="P707" s="18">
        <v>14.7</v>
      </c>
      <c r="Q707" s="18">
        <v>2</v>
      </c>
      <c r="R707" s="18">
        <v>3</v>
      </c>
      <c r="S707" s="18">
        <v>5</v>
      </c>
      <c r="T707" s="18">
        <v>146.4</v>
      </c>
    </row>
    <row r="708" spans="1:20" x14ac:dyDescent="0.3">
      <c r="A708" s="18">
        <v>50707</v>
      </c>
      <c r="B708" s="18">
        <v>0</v>
      </c>
      <c r="C708" s="18">
        <v>4</v>
      </c>
      <c r="D708" s="18" t="s">
        <v>31</v>
      </c>
      <c r="E708" s="18">
        <v>2</v>
      </c>
      <c r="F708" s="18">
        <v>7</v>
      </c>
      <c r="G708" s="18" t="s">
        <v>37</v>
      </c>
      <c r="H708" s="18" t="s">
        <v>38</v>
      </c>
      <c r="I708" s="18">
        <v>3.5</v>
      </c>
      <c r="J708" s="18">
        <v>3</v>
      </c>
      <c r="K708" s="18" t="s">
        <v>36</v>
      </c>
      <c r="L708" s="18">
        <v>2</v>
      </c>
      <c r="M708" s="18" t="s">
        <v>41</v>
      </c>
      <c r="N708" s="18">
        <v>7</v>
      </c>
      <c r="O708" s="18">
        <v>0</v>
      </c>
      <c r="P708" s="18">
        <v>12.5</v>
      </c>
      <c r="Q708" s="18">
        <v>4</v>
      </c>
      <c r="R708" s="18">
        <v>6</v>
      </c>
      <c r="S708" s="18">
        <v>8</v>
      </c>
      <c r="T708" s="18">
        <v>164.72</v>
      </c>
    </row>
    <row r="709" spans="1:20" x14ac:dyDescent="0.3">
      <c r="A709" s="18">
        <v>50708</v>
      </c>
      <c r="B709" s="18">
        <v>0</v>
      </c>
      <c r="C709" s="18">
        <v>5</v>
      </c>
      <c r="D709" s="18" t="s">
        <v>42</v>
      </c>
      <c r="E709" s="18">
        <v>3</v>
      </c>
      <c r="F709" s="18">
        <v>8</v>
      </c>
      <c r="G709" s="18" t="s">
        <v>39</v>
      </c>
      <c r="H709" s="18" t="s">
        <v>33</v>
      </c>
      <c r="I709" s="18">
        <v>3.3</v>
      </c>
      <c r="J709" s="18">
        <v>4</v>
      </c>
      <c r="K709" s="18" t="s">
        <v>36</v>
      </c>
      <c r="L709" s="18">
        <v>5</v>
      </c>
      <c r="M709" s="18" t="s">
        <v>35</v>
      </c>
      <c r="N709" s="18">
        <v>1</v>
      </c>
      <c r="O709" s="18">
        <v>1</v>
      </c>
      <c r="P709" s="18">
        <v>23.8</v>
      </c>
      <c r="Q709" s="18">
        <v>1</v>
      </c>
      <c r="R709" s="18">
        <v>5</v>
      </c>
      <c r="S709" s="18">
        <v>1</v>
      </c>
      <c r="T709" s="18">
        <v>208.36</v>
      </c>
    </row>
    <row r="710" spans="1:20" x14ac:dyDescent="0.3">
      <c r="A710" s="18">
        <v>50709</v>
      </c>
      <c r="B710" s="18">
        <v>0</v>
      </c>
      <c r="C710" s="18">
        <v>8</v>
      </c>
      <c r="D710" s="18" t="s">
        <v>36</v>
      </c>
      <c r="E710" s="18">
        <v>3</v>
      </c>
      <c r="F710" s="18">
        <v>13</v>
      </c>
      <c r="G710" s="18" t="s">
        <v>39</v>
      </c>
      <c r="H710" s="18" t="s">
        <v>33</v>
      </c>
      <c r="I710" s="18">
        <v>3.3</v>
      </c>
      <c r="J710" s="18">
        <v>4</v>
      </c>
      <c r="K710" s="18" t="s">
        <v>34</v>
      </c>
      <c r="L710" s="18">
        <v>5</v>
      </c>
      <c r="M710" s="18" t="s">
        <v>35</v>
      </c>
      <c r="N710" s="18">
        <v>1</v>
      </c>
      <c r="O710" s="18">
        <v>1</v>
      </c>
      <c r="P710" s="18">
        <v>18.600000000000001</v>
      </c>
      <c r="Q710" s="18">
        <v>3</v>
      </c>
      <c r="R710" s="18">
        <v>3</v>
      </c>
      <c r="S710" s="18">
        <v>8</v>
      </c>
      <c r="T710" s="18">
        <v>185.54</v>
      </c>
    </row>
    <row r="711" spans="1:20" x14ac:dyDescent="0.3">
      <c r="A711" s="18">
        <v>50710</v>
      </c>
      <c r="B711" s="18">
        <v>0</v>
      </c>
      <c r="C711" s="18">
        <v>7</v>
      </c>
      <c r="D711" s="18" t="s">
        <v>42</v>
      </c>
      <c r="E711" s="18">
        <v>1</v>
      </c>
      <c r="F711" s="18">
        <v>17</v>
      </c>
      <c r="G711" s="18" t="s">
        <v>32</v>
      </c>
      <c r="H711" s="18" t="s">
        <v>33</v>
      </c>
      <c r="I711" s="18">
        <v>2.6</v>
      </c>
      <c r="J711" s="18">
        <v>2</v>
      </c>
      <c r="K711" s="18" t="s">
        <v>36</v>
      </c>
      <c r="L711" s="18">
        <v>1</v>
      </c>
      <c r="M711" s="18" t="s">
        <v>45</v>
      </c>
      <c r="N711" s="18">
        <v>5</v>
      </c>
      <c r="O711" s="18">
        <v>1</v>
      </c>
      <c r="P711" s="18">
        <v>13</v>
      </c>
      <c r="Q711" s="18">
        <v>3</v>
      </c>
      <c r="R711" s="18">
        <v>2</v>
      </c>
      <c r="S711" s="18">
        <v>5</v>
      </c>
      <c r="T711" s="18">
        <v>200.98</v>
      </c>
    </row>
    <row r="712" spans="1:20" x14ac:dyDescent="0.3">
      <c r="A712" s="18">
        <v>50711</v>
      </c>
      <c r="B712" s="18">
        <v>0</v>
      </c>
      <c r="C712" s="18">
        <v>9</v>
      </c>
      <c r="D712" s="18" t="s">
        <v>36</v>
      </c>
      <c r="E712" s="18">
        <v>2</v>
      </c>
      <c r="F712" s="18">
        <v>10</v>
      </c>
      <c r="G712" s="18" t="s">
        <v>39</v>
      </c>
      <c r="H712" s="18" t="s">
        <v>33</v>
      </c>
      <c r="I712" s="18">
        <v>2.4</v>
      </c>
      <c r="J712" s="18">
        <v>3</v>
      </c>
      <c r="K712" s="18" t="s">
        <v>36</v>
      </c>
      <c r="L712" s="18">
        <v>5</v>
      </c>
      <c r="M712" s="18" t="s">
        <v>35</v>
      </c>
      <c r="N712" s="18">
        <v>10</v>
      </c>
      <c r="O712" s="18">
        <v>1</v>
      </c>
      <c r="P712" s="18">
        <v>15.3</v>
      </c>
      <c r="Q712" s="18">
        <v>2</v>
      </c>
      <c r="R712" s="18">
        <v>5</v>
      </c>
      <c r="S712" s="18">
        <v>2</v>
      </c>
      <c r="T712" s="18">
        <v>134.99</v>
      </c>
    </row>
    <row r="713" spans="1:20" x14ac:dyDescent="0.3">
      <c r="A713" s="18">
        <v>50712</v>
      </c>
      <c r="B713" s="18">
        <v>0</v>
      </c>
      <c r="C713" s="18">
        <v>14</v>
      </c>
      <c r="D713" s="18" t="s">
        <v>42</v>
      </c>
      <c r="E713" s="18">
        <v>1</v>
      </c>
      <c r="F713" s="18">
        <v>25</v>
      </c>
      <c r="G713" s="18" t="s">
        <v>43</v>
      </c>
      <c r="H713" s="18" t="s">
        <v>33</v>
      </c>
      <c r="I713" s="18">
        <v>3.8</v>
      </c>
      <c r="J713" s="18">
        <v>2</v>
      </c>
      <c r="K713" s="18" t="s">
        <v>36</v>
      </c>
      <c r="L713" s="18">
        <v>3</v>
      </c>
      <c r="M713" s="18" t="s">
        <v>41</v>
      </c>
      <c r="N713" s="18">
        <v>14</v>
      </c>
      <c r="O713" s="18">
        <v>0</v>
      </c>
      <c r="P713" s="18">
        <v>17.100000000000001</v>
      </c>
      <c r="Q713" s="18">
        <v>1</v>
      </c>
      <c r="R713" s="18">
        <v>7</v>
      </c>
      <c r="S713" s="18">
        <v>10</v>
      </c>
      <c r="T713" s="18">
        <v>117.51</v>
      </c>
    </row>
    <row r="714" spans="1:20" x14ac:dyDescent="0.3">
      <c r="A714" s="18">
        <v>50713</v>
      </c>
      <c r="B714" s="18">
        <v>0</v>
      </c>
      <c r="C714" s="18">
        <v>16</v>
      </c>
      <c r="D714" s="18" t="s">
        <v>36</v>
      </c>
      <c r="E714" s="18">
        <v>2</v>
      </c>
      <c r="F714" s="18">
        <v>18</v>
      </c>
      <c r="G714" s="18" t="s">
        <v>39</v>
      </c>
      <c r="H714" s="18" t="s">
        <v>33</v>
      </c>
      <c r="I714" s="18">
        <v>2.6</v>
      </c>
      <c r="J714" s="18">
        <v>4</v>
      </c>
      <c r="K714" s="18" t="s">
        <v>44</v>
      </c>
      <c r="L714" s="18">
        <v>4</v>
      </c>
      <c r="M714" s="18" t="s">
        <v>35</v>
      </c>
      <c r="N714" s="18">
        <v>1</v>
      </c>
      <c r="O714" s="18">
        <v>0</v>
      </c>
      <c r="P714" s="18">
        <v>17.899999999999999</v>
      </c>
      <c r="Q714" s="18">
        <v>6</v>
      </c>
      <c r="R714" s="18">
        <v>9</v>
      </c>
      <c r="S714" s="18">
        <v>3</v>
      </c>
      <c r="T714" s="18">
        <v>131.28</v>
      </c>
    </row>
    <row r="715" spans="1:20" x14ac:dyDescent="0.3">
      <c r="A715" s="18">
        <v>50714</v>
      </c>
      <c r="B715" s="18">
        <v>0</v>
      </c>
      <c r="C715" s="18">
        <v>12</v>
      </c>
      <c r="D715" s="18" t="s">
        <v>36</v>
      </c>
      <c r="E715" s="18">
        <v>1</v>
      </c>
      <c r="F715" s="18">
        <v>15</v>
      </c>
      <c r="G715" s="18" t="s">
        <v>32</v>
      </c>
      <c r="H715" s="18" t="s">
        <v>33</v>
      </c>
      <c r="I715" s="18">
        <v>3.1</v>
      </c>
      <c r="J715" s="18">
        <v>3</v>
      </c>
      <c r="K715" s="18" t="s">
        <v>44</v>
      </c>
      <c r="L715" s="18">
        <v>3</v>
      </c>
      <c r="M715" s="18" t="s">
        <v>41</v>
      </c>
      <c r="N715" s="18">
        <v>10</v>
      </c>
      <c r="O715" s="18">
        <v>1</v>
      </c>
      <c r="P715" s="18">
        <v>12.9</v>
      </c>
      <c r="Q715" s="18">
        <v>0</v>
      </c>
      <c r="R715" s="18">
        <v>3</v>
      </c>
      <c r="S715" s="18">
        <v>5</v>
      </c>
      <c r="T715" s="18">
        <v>150.72</v>
      </c>
    </row>
    <row r="716" spans="1:20" x14ac:dyDescent="0.3">
      <c r="A716" s="18">
        <v>50715</v>
      </c>
      <c r="B716" s="18">
        <v>0</v>
      </c>
      <c r="C716" s="18">
        <v>31</v>
      </c>
      <c r="D716" s="18" t="s">
        <v>36</v>
      </c>
      <c r="E716" s="18">
        <v>1</v>
      </c>
      <c r="F716" s="18">
        <v>5</v>
      </c>
      <c r="G716" s="18" t="s">
        <v>37</v>
      </c>
      <c r="H716" s="18" t="s">
        <v>33</v>
      </c>
      <c r="I716" s="18">
        <v>3</v>
      </c>
      <c r="J716" s="18">
        <v>3</v>
      </c>
      <c r="K716" s="18" t="s">
        <v>36</v>
      </c>
      <c r="L716" s="18">
        <v>5</v>
      </c>
      <c r="M716" s="18" t="s">
        <v>41</v>
      </c>
      <c r="N716" s="18">
        <v>1</v>
      </c>
      <c r="O716" s="18">
        <v>0</v>
      </c>
      <c r="P716" s="18">
        <v>13.9</v>
      </c>
      <c r="Q716" s="18">
        <v>1</v>
      </c>
      <c r="R716" s="18">
        <v>2</v>
      </c>
      <c r="S716" s="18">
        <v>3</v>
      </c>
      <c r="T716" s="18">
        <v>167.39</v>
      </c>
    </row>
    <row r="717" spans="1:20" x14ac:dyDescent="0.3">
      <c r="A717" s="18">
        <v>50716</v>
      </c>
      <c r="B717" s="18">
        <v>1</v>
      </c>
      <c r="C717" s="18">
        <v>0</v>
      </c>
      <c r="D717" s="18" t="s">
        <v>42</v>
      </c>
      <c r="E717" s="18">
        <v>1</v>
      </c>
      <c r="F717" s="18">
        <v>5</v>
      </c>
      <c r="G717" s="18" t="s">
        <v>37</v>
      </c>
      <c r="H717" s="18" t="s">
        <v>33</v>
      </c>
      <c r="I717" s="18">
        <v>3.9</v>
      </c>
      <c r="J717" s="18">
        <v>3</v>
      </c>
      <c r="K717" s="18" t="s">
        <v>44</v>
      </c>
      <c r="L717" s="18">
        <v>2</v>
      </c>
      <c r="M717" s="18" t="s">
        <v>35</v>
      </c>
      <c r="N717" s="18">
        <v>4</v>
      </c>
      <c r="O717" s="18">
        <v>0</v>
      </c>
      <c r="P717" s="18">
        <v>11</v>
      </c>
      <c r="Q717" s="18">
        <v>0</v>
      </c>
      <c r="R717" s="18">
        <v>4</v>
      </c>
      <c r="S717" s="18">
        <v>3</v>
      </c>
      <c r="T717" s="18">
        <v>237.05</v>
      </c>
    </row>
    <row r="718" spans="1:20" x14ac:dyDescent="0.3">
      <c r="A718" s="18">
        <v>50717</v>
      </c>
      <c r="B718" s="18">
        <v>0</v>
      </c>
      <c r="C718" s="18">
        <v>2</v>
      </c>
      <c r="D718" s="18" t="s">
        <v>36</v>
      </c>
      <c r="E718" s="18">
        <v>2</v>
      </c>
      <c r="F718" s="18">
        <v>17</v>
      </c>
      <c r="G718" s="18" t="s">
        <v>32</v>
      </c>
      <c r="H718" s="18" t="s">
        <v>33</v>
      </c>
      <c r="I718" s="18">
        <v>3.6</v>
      </c>
      <c r="J718" s="18">
        <v>3</v>
      </c>
      <c r="K718" s="18" t="s">
        <v>36</v>
      </c>
      <c r="L718" s="18">
        <v>3</v>
      </c>
      <c r="M718" s="18" t="s">
        <v>35</v>
      </c>
      <c r="N718" s="18">
        <v>3</v>
      </c>
      <c r="O718" s="18">
        <v>0</v>
      </c>
      <c r="P718" s="18">
        <v>19.600000000000001</v>
      </c>
      <c r="Q718" s="18">
        <v>0</v>
      </c>
      <c r="R718" s="18">
        <v>3</v>
      </c>
      <c r="S718" s="18">
        <v>9</v>
      </c>
      <c r="T718" s="18">
        <v>184.8</v>
      </c>
    </row>
    <row r="719" spans="1:20" x14ac:dyDescent="0.3">
      <c r="A719" s="18">
        <v>50718</v>
      </c>
      <c r="B719" s="18">
        <v>0</v>
      </c>
      <c r="C719" s="18">
        <v>0</v>
      </c>
      <c r="D719" s="18" t="s">
        <v>36</v>
      </c>
      <c r="E719" s="18">
        <v>1</v>
      </c>
      <c r="F719" s="18">
        <v>5</v>
      </c>
      <c r="G719" s="18" t="s">
        <v>37</v>
      </c>
      <c r="H719" s="18" t="s">
        <v>38</v>
      </c>
      <c r="I719" s="18">
        <v>2</v>
      </c>
      <c r="J719" s="18">
        <v>4</v>
      </c>
      <c r="K719" s="18" t="s">
        <v>44</v>
      </c>
      <c r="L719" s="18">
        <v>3</v>
      </c>
      <c r="M719" s="18" t="s">
        <v>35</v>
      </c>
      <c r="N719" s="18">
        <v>1</v>
      </c>
      <c r="O719" s="18">
        <v>0</v>
      </c>
      <c r="P719" s="18">
        <v>14.8</v>
      </c>
      <c r="Q719" s="18">
        <v>2</v>
      </c>
      <c r="R719" s="18">
        <v>5</v>
      </c>
      <c r="S719" s="18">
        <v>1</v>
      </c>
      <c r="T719" s="18">
        <v>206.65</v>
      </c>
    </row>
    <row r="720" spans="1:20" x14ac:dyDescent="0.3">
      <c r="A720" s="18">
        <v>50719</v>
      </c>
      <c r="B720" s="18">
        <v>0</v>
      </c>
      <c r="C720" s="18">
        <v>10</v>
      </c>
      <c r="D720" s="18" t="s">
        <v>42</v>
      </c>
      <c r="E720" s="18">
        <v>3</v>
      </c>
      <c r="F720" s="18">
        <v>23</v>
      </c>
      <c r="G720" s="18" t="s">
        <v>37</v>
      </c>
      <c r="H720" s="18" t="s">
        <v>38</v>
      </c>
      <c r="I720" s="18">
        <v>2.1</v>
      </c>
      <c r="J720" s="18">
        <v>4</v>
      </c>
      <c r="K720" s="18" t="s">
        <v>36</v>
      </c>
      <c r="L720" s="18">
        <v>3</v>
      </c>
      <c r="M720" s="18" t="s">
        <v>41</v>
      </c>
      <c r="N720" s="18">
        <v>2</v>
      </c>
      <c r="O720" s="18">
        <v>0</v>
      </c>
      <c r="P720" s="18">
        <v>17.600000000000001</v>
      </c>
      <c r="Q720" s="18">
        <v>0</v>
      </c>
      <c r="R720" s="18">
        <v>3</v>
      </c>
      <c r="S720" s="18">
        <v>0</v>
      </c>
      <c r="T720" s="18">
        <v>187.79</v>
      </c>
    </row>
    <row r="721" spans="1:20" x14ac:dyDescent="0.3">
      <c r="A721" s="18">
        <v>50720</v>
      </c>
      <c r="B721" s="18">
        <v>0</v>
      </c>
      <c r="C721" s="18">
        <v>22</v>
      </c>
      <c r="D721" s="18" t="s">
        <v>36</v>
      </c>
      <c r="E721" s="18">
        <v>1</v>
      </c>
      <c r="F721" s="18">
        <v>13</v>
      </c>
      <c r="G721" s="18" t="s">
        <v>39</v>
      </c>
      <c r="H721" s="18" t="s">
        <v>33</v>
      </c>
      <c r="I721" s="18">
        <v>3.3</v>
      </c>
      <c r="J721" s="18">
        <v>3</v>
      </c>
      <c r="K721" s="18" t="s">
        <v>44</v>
      </c>
      <c r="L721" s="18">
        <v>4</v>
      </c>
      <c r="M721" s="18" t="s">
        <v>41</v>
      </c>
      <c r="N721" s="18">
        <v>1</v>
      </c>
      <c r="O721" s="18">
        <v>1</v>
      </c>
      <c r="P721" s="18">
        <v>21</v>
      </c>
      <c r="Q721" s="18">
        <v>2</v>
      </c>
      <c r="R721" s="18">
        <v>7</v>
      </c>
      <c r="S721" s="18">
        <v>10</v>
      </c>
      <c r="T721" s="18">
        <v>118.65</v>
      </c>
    </row>
    <row r="722" spans="1:20" x14ac:dyDescent="0.3">
      <c r="A722" s="18">
        <v>50721</v>
      </c>
      <c r="B722" s="18">
        <v>0</v>
      </c>
      <c r="C722" s="18">
        <v>2</v>
      </c>
      <c r="D722" s="18" t="s">
        <v>36</v>
      </c>
      <c r="E722" s="18">
        <v>1</v>
      </c>
      <c r="F722" s="18">
        <v>40</v>
      </c>
      <c r="G722" s="18" t="s">
        <v>39</v>
      </c>
      <c r="H722" s="18" t="s">
        <v>33</v>
      </c>
      <c r="I722" s="18">
        <v>2.9</v>
      </c>
      <c r="J722" s="18">
        <v>4</v>
      </c>
      <c r="K722" s="18" t="s">
        <v>34</v>
      </c>
      <c r="L722" s="18">
        <v>2</v>
      </c>
      <c r="M722" s="18" t="s">
        <v>41</v>
      </c>
      <c r="N722" s="18">
        <v>7</v>
      </c>
      <c r="O722" s="18">
        <v>0</v>
      </c>
      <c r="P722" s="18">
        <v>16.8</v>
      </c>
      <c r="Q722" s="18">
        <v>1</v>
      </c>
      <c r="R722" s="18">
        <v>3</v>
      </c>
      <c r="S722" s="18"/>
      <c r="T722" s="18">
        <v>180.95</v>
      </c>
    </row>
    <row r="723" spans="1:20" x14ac:dyDescent="0.3">
      <c r="A723" s="18">
        <v>50722</v>
      </c>
      <c r="B723" s="18">
        <v>0</v>
      </c>
      <c r="C723" s="18">
        <v>26</v>
      </c>
      <c r="D723" s="18" t="s">
        <v>36</v>
      </c>
      <c r="E723" s="18">
        <v>3</v>
      </c>
      <c r="F723" s="18">
        <v>33</v>
      </c>
      <c r="G723" s="18" t="s">
        <v>39</v>
      </c>
      <c r="H723" s="18" t="s">
        <v>33</v>
      </c>
      <c r="I723" s="18">
        <v>2.6</v>
      </c>
      <c r="J723" s="18">
        <v>4</v>
      </c>
      <c r="K723" s="18" t="s">
        <v>46</v>
      </c>
      <c r="L723" s="18">
        <v>4</v>
      </c>
      <c r="M723" s="18" t="s">
        <v>41</v>
      </c>
      <c r="N723" s="18">
        <v>1</v>
      </c>
      <c r="O723" s="18">
        <v>0</v>
      </c>
      <c r="P723" s="18">
        <v>15.6</v>
      </c>
      <c r="Q723" s="18">
        <v>1</v>
      </c>
      <c r="R723" s="18">
        <v>1</v>
      </c>
      <c r="S723" s="18">
        <v>2</v>
      </c>
      <c r="T723" s="18">
        <v>187.19</v>
      </c>
    </row>
    <row r="724" spans="1:20" x14ac:dyDescent="0.3">
      <c r="A724" s="18">
        <v>50723</v>
      </c>
      <c r="B724" s="18">
        <v>0</v>
      </c>
      <c r="C724" s="18">
        <v>0</v>
      </c>
      <c r="D724" s="18" t="s">
        <v>36</v>
      </c>
      <c r="E724" s="18">
        <v>1</v>
      </c>
      <c r="F724" s="18">
        <v>13</v>
      </c>
      <c r="G724" s="18" t="s">
        <v>47</v>
      </c>
      <c r="H724" s="18" t="s">
        <v>33</v>
      </c>
      <c r="I724" s="18">
        <v>3.6</v>
      </c>
      <c r="J724" s="18">
        <v>3</v>
      </c>
      <c r="K724" s="18" t="s">
        <v>44</v>
      </c>
      <c r="L724" s="18">
        <v>5</v>
      </c>
      <c r="M724" s="18" t="s">
        <v>41</v>
      </c>
      <c r="N724" s="18">
        <v>3</v>
      </c>
      <c r="O724" s="18">
        <v>1</v>
      </c>
      <c r="P724" s="18">
        <v>16.7</v>
      </c>
      <c r="Q724" s="18">
        <v>2</v>
      </c>
      <c r="R724" s="18">
        <v>5</v>
      </c>
      <c r="S724" s="18">
        <v>1</v>
      </c>
      <c r="T724" s="18">
        <v>221.8</v>
      </c>
    </row>
    <row r="725" spans="1:20" x14ac:dyDescent="0.3">
      <c r="A725" s="18">
        <v>50724</v>
      </c>
      <c r="B725" s="18">
        <v>0</v>
      </c>
      <c r="C725" s="18">
        <v>27</v>
      </c>
      <c r="D725" s="18" t="s">
        <v>42</v>
      </c>
      <c r="E725" s="18">
        <v>1</v>
      </c>
      <c r="F725" s="18">
        <v>14</v>
      </c>
      <c r="G725" s="18" t="s">
        <v>39</v>
      </c>
      <c r="H725" s="18" t="s">
        <v>33</v>
      </c>
      <c r="I725" s="18">
        <v>3</v>
      </c>
      <c r="J725" s="18">
        <v>3</v>
      </c>
      <c r="K725" s="18" t="s">
        <v>36</v>
      </c>
      <c r="L725" s="18">
        <v>4</v>
      </c>
      <c r="M725" s="18" t="s">
        <v>35</v>
      </c>
      <c r="N725" s="18">
        <v>1</v>
      </c>
      <c r="O725" s="18">
        <v>0</v>
      </c>
      <c r="P725" s="18">
        <v>16.2</v>
      </c>
      <c r="Q725" s="18">
        <v>1</v>
      </c>
      <c r="R725" s="18">
        <v>4</v>
      </c>
      <c r="S725" s="18">
        <v>5</v>
      </c>
      <c r="T725" s="18">
        <v>121.23</v>
      </c>
    </row>
    <row r="726" spans="1:20" x14ac:dyDescent="0.3">
      <c r="A726" s="18">
        <v>50725</v>
      </c>
      <c r="B726" s="18">
        <v>0</v>
      </c>
      <c r="C726" s="18">
        <v>4</v>
      </c>
      <c r="D726" s="18" t="s">
        <v>31</v>
      </c>
      <c r="E726" s="18">
        <v>2</v>
      </c>
      <c r="F726" s="18">
        <v>22</v>
      </c>
      <c r="G726" s="18" t="s">
        <v>39</v>
      </c>
      <c r="H726" s="18" t="s">
        <v>33</v>
      </c>
      <c r="I726" s="18">
        <v>2.9</v>
      </c>
      <c r="J726" s="18">
        <v>3</v>
      </c>
      <c r="K726" s="18" t="s">
        <v>40</v>
      </c>
      <c r="L726" s="18">
        <v>5</v>
      </c>
      <c r="M726" s="18" t="s">
        <v>45</v>
      </c>
      <c r="N726" s="18">
        <v>1</v>
      </c>
      <c r="O726" s="18">
        <v>1</v>
      </c>
      <c r="P726" s="18">
        <v>20.399999999999999</v>
      </c>
      <c r="Q726" s="18">
        <v>3</v>
      </c>
      <c r="R726" s="18">
        <v>4</v>
      </c>
      <c r="S726" s="18">
        <v>0</v>
      </c>
      <c r="T726" s="18">
        <v>67.78</v>
      </c>
    </row>
    <row r="727" spans="1:20" x14ac:dyDescent="0.3">
      <c r="A727" s="18">
        <v>50726</v>
      </c>
      <c r="B727" s="18">
        <v>0</v>
      </c>
      <c r="C727" s="18">
        <v>1</v>
      </c>
      <c r="D727" s="18" t="s">
        <v>36</v>
      </c>
      <c r="E727" s="18">
        <v>1</v>
      </c>
      <c r="F727" s="18">
        <v>28</v>
      </c>
      <c r="G727" s="18" t="s">
        <v>37</v>
      </c>
      <c r="H727" s="18" t="s">
        <v>33</v>
      </c>
      <c r="I727" s="18">
        <v>3.4</v>
      </c>
      <c r="J727" s="18">
        <v>4</v>
      </c>
      <c r="K727" s="18" t="s">
        <v>44</v>
      </c>
      <c r="L727" s="18">
        <v>3</v>
      </c>
      <c r="M727" s="18" t="s">
        <v>41</v>
      </c>
      <c r="N727" s="18">
        <v>16</v>
      </c>
      <c r="O727" s="18">
        <v>0</v>
      </c>
      <c r="P727" s="18">
        <v>17.100000000000001</v>
      </c>
      <c r="Q727" s="18">
        <v>0</v>
      </c>
      <c r="R727" s="18">
        <v>2</v>
      </c>
      <c r="S727" s="18">
        <v>2</v>
      </c>
      <c r="T727" s="18">
        <v>189.69</v>
      </c>
    </row>
    <row r="728" spans="1:20" x14ac:dyDescent="0.3">
      <c r="A728" s="18">
        <v>50727</v>
      </c>
      <c r="B728" s="18">
        <v>1</v>
      </c>
      <c r="C728" s="18">
        <v>6</v>
      </c>
      <c r="D728" s="18" t="s">
        <v>42</v>
      </c>
      <c r="E728" s="18">
        <v>1</v>
      </c>
      <c r="F728" s="18">
        <v>5</v>
      </c>
      <c r="G728" s="18" t="s">
        <v>47</v>
      </c>
      <c r="H728" s="18" t="s">
        <v>38</v>
      </c>
      <c r="I728" s="18">
        <v>2.6</v>
      </c>
      <c r="J728" s="18">
        <v>3</v>
      </c>
      <c r="K728" s="18" t="s">
        <v>36</v>
      </c>
      <c r="L728" s="18">
        <v>3</v>
      </c>
      <c r="M728" s="18" t="s">
        <v>41</v>
      </c>
      <c r="N728" s="18">
        <v>4</v>
      </c>
      <c r="O728" s="18">
        <v>1</v>
      </c>
      <c r="P728" s="18">
        <v>14.1</v>
      </c>
      <c r="Q728" s="18">
        <v>4</v>
      </c>
      <c r="R728" s="18">
        <v>6</v>
      </c>
      <c r="S728" s="18">
        <v>0</v>
      </c>
      <c r="T728" s="18">
        <v>199.46</v>
      </c>
    </row>
    <row r="729" spans="1:20" x14ac:dyDescent="0.3">
      <c r="A729" s="18">
        <v>50728</v>
      </c>
      <c r="B729" s="18">
        <v>0</v>
      </c>
      <c r="C729" s="18">
        <v>2</v>
      </c>
      <c r="D729" s="18" t="s">
        <v>36</v>
      </c>
      <c r="E729" s="18">
        <v>1</v>
      </c>
      <c r="F729" s="18">
        <v>5</v>
      </c>
      <c r="G729" s="18" t="s">
        <v>47</v>
      </c>
      <c r="H729" s="18" t="s">
        <v>33</v>
      </c>
      <c r="I729" s="18">
        <v>4</v>
      </c>
      <c r="J729" s="18">
        <v>3</v>
      </c>
      <c r="K729" s="18" t="s">
        <v>44</v>
      </c>
      <c r="L729" s="18">
        <v>3</v>
      </c>
      <c r="M729" s="18" t="s">
        <v>35</v>
      </c>
      <c r="N729" s="18">
        <v>11</v>
      </c>
      <c r="O729" s="18">
        <v>0</v>
      </c>
      <c r="P729" s="18">
        <v>19.7</v>
      </c>
      <c r="Q729" s="18">
        <v>1</v>
      </c>
      <c r="R729" s="18">
        <v>5</v>
      </c>
      <c r="S729" s="18">
        <v>4</v>
      </c>
      <c r="T729" s="18">
        <v>170.13</v>
      </c>
    </row>
    <row r="730" spans="1:20" x14ac:dyDescent="0.3">
      <c r="A730" s="18">
        <v>50729</v>
      </c>
      <c r="B730" s="18">
        <v>0</v>
      </c>
      <c r="C730" s="18">
        <v>3</v>
      </c>
      <c r="D730" s="18" t="s">
        <v>36</v>
      </c>
      <c r="E730" s="18">
        <v>3</v>
      </c>
      <c r="F730" s="18">
        <v>10</v>
      </c>
      <c r="G730" s="18" t="s">
        <v>39</v>
      </c>
      <c r="H730" s="18" t="s">
        <v>33</v>
      </c>
      <c r="I730" s="18">
        <v>2.2999999999999998</v>
      </c>
      <c r="J730" s="18">
        <v>5</v>
      </c>
      <c r="K730" s="18" t="s">
        <v>34</v>
      </c>
      <c r="L730" s="18">
        <v>1</v>
      </c>
      <c r="M730" s="18" t="s">
        <v>35</v>
      </c>
      <c r="N730" s="18">
        <v>1</v>
      </c>
      <c r="O730" s="18">
        <v>0</v>
      </c>
      <c r="P730" s="18">
        <v>20.3</v>
      </c>
      <c r="Q730" s="18">
        <v>2</v>
      </c>
      <c r="R730" s="18">
        <v>3</v>
      </c>
      <c r="S730" s="18">
        <v>0</v>
      </c>
      <c r="T730" s="18">
        <v>181.54</v>
      </c>
    </row>
    <row r="731" spans="1:20" x14ac:dyDescent="0.3">
      <c r="A731" s="18">
        <v>50730</v>
      </c>
      <c r="B731" s="18">
        <v>0</v>
      </c>
      <c r="C731" s="18">
        <v>3</v>
      </c>
      <c r="D731" s="18" t="s">
        <v>36</v>
      </c>
      <c r="E731" s="18">
        <v>2</v>
      </c>
      <c r="F731" s="18">
        <v>19</v>
      </c>
      <c r="G731" s="18" t="s">
        <v>39</v>
      </c>
      <c r="H731" s="18" t="s">
        <v>33</v>
      </c>
      <c r="I731" s="18">
        <v>3.4</v>
      </c>
      <c r="J731" s="18">
        <v>4</v>
      </c>
      <c r="K731" s="18" t="s">
        <v>46</v>
      </c>
      <c r="L731" s="18">
        <v>5</v>
      </c>
      <c r="M731" s="18" t="s">
        <v>45</v>
      </c>
      <c r="N731" s="18">
        <v>1</v>
      </c>
      <c r="O731" s="18">
        <v>1</v>
      </c>
      <c r="P731" s="18">
        <v>11.3</v>
      </c>
      <c r="Q731" s="18">
        <v>2</v>
      </c>
      <c r="R731" s="18">
        <v>5</v>
      </c>
      <c r="S731" s="18">
        <v>4</v>
      </c>
      <c r="T731" s="18">
        <v>228.33</v>
      </c>
    </row>
    <row r="732" spans="1:20" x14ac:dyDescent="0.3">
      <c r="A732" s="18">
        <v>50731</v>
      </c>
      <c r="B732" s="18">
        <v>0</v>
      </c>
      <c r="C732" s="18">
        <v>16</v>
      </c>
      <c r="D732" s="18" t="s">
        <v>36</v>
      </c>
      <c r="E732" s="18">
        <v>2</v>
      </c>
      <c r="F732" s="18">
        <v>18</v>
      </c>
      <c r="G732" s="18" t="s">
        <v>43</v>
      </c>
      <c r="H732" s="18" t="s">
        <v>38</v>
      </c>
      <c r="I732" s="18">
        <v>3.9</v>
      </c>
      <c r="J732" s="18">
        <v>2</v>
      </c>
      <c r="K732" s="18" t="s">
        <v>36</v>
      </c>
      <c r="L732" s="18">
        <v>2</v>
      </c>
      <c r="M732" s="18" t="s">
        <v>41</v>
      </c>
      <c r="N732" s="18">
        <v>2</v>
      </c>
      <c r="O732" s="18">
        <v>1</v>
      </c>
      <c r="P732" s="18">
        <v>21.4</v>
      </c>
      <c r="Q732" s="18">
        <v>2</v>
      </c>
      <c r="R732" s="18">
        <v>5</v>
      </c>
      <c r="S732" s="18">
        <v>5</v>
      </c>
      <c r="T732" s="18">
        <v>154.77000000000001</v>
      </c>
    </row>
    <row r="733" spans="1:20" x14ac:dyDescent="0.3">
      <c r="A733" s="18">
        <v>50732</v>
      </c>
      <c r="B733" s="18">
        <v>0</v>
      </c>
      <c r="C733" s="18">
        <v>7</v>
      </c>
      <c r="D733" s="18" t="s">
        <v>36</v>
      </c>
      <c r="E733" s="18">
        <v>2</v>
      </c>
      <c r="F733" s="18">
        <v>23</v>
      </c>
      <c r="G733" s="18" t="s">
        <v>39</v>
      </c>
      <c r="H733" s="18" t="s">
        <v>38</v>
      </c>
      <c r="I733" s="18">
        <v>1.9</v>
      </c>
      <c r="J733" s="18">
        <v>4</v>
      </c>
      <c r="K733" s="18" t="s">
        <v>36</v>
      </c>
      <c r="L733" s="18">
        <v>5</v>
      </c>
      <c r="M733" s="18" t="s">
        <v>41</v>
      </c>
      <c r="N733" s="18">
        <v>2</v>
      </c>
      <c r="O733" s="18">
        <v>0</v>
      </c>
      <c r="P733" s="18">
        <v>17.3</v>
      </c>
      <c r="Q733" s="18">
        <v>1</v>
      </c>
      <c r="R733" s="18">
        <v>3</v>
      </c>
      <c r="S733" s="18">
        <v>3</v>
      </c>
      <c r="T733" s="18">
        <v>164.67</v>
      </c>
    </row>
    <row r="734" spans="1:20" x14ac:dyDescent="0.3">
      <c r="A734" s="18">
        <v>50733</v>
      </c>
      <c r="B734" s="18">
        <v>0</v>
      </c>
      <c r="C734" s="18">
        <v>3</v>
      </c>
      <c r="D734" s="18" t="s">
        <v>42</v>
      </c>
      <c r="E734" s="18">
        <v>1</v>
      </c>
      <c r="F734" s="18">
        <v>5</v>
      </c>
      <c r="G734" s="18" t="s">
        <v>32</v>
      </c>
      <c r="H734" s="18" t="s">
        <v>33</v>
      </c>
      <c r="I734" s="18">
        <v>2.7</v>
      </c>
      <c r="J734" s="18">
        <v>3</v>
      </c>
      <c r="K734" s="18" t="s">
        <v>34</v>
      </c>
      <c r="L734" s="18">
        <v>1</v>
      </c>
      <c r="M734" s="18" t="s">
        <v>35</v>
      </c>
      <c r="N734" s="18">
        <v>1</v>
      </c>
      <c r="O734" s="18">
        <v>1</v>
      </c>
      <c r="P734" s="18">
        <v>17</v>
      </c>
      <c r="Q734" s="18">
        <v>3</v>
      </c>
      <c r="R734" s="18">
        <v>5</v>
      </c>
      <c r="S734" s="18">
        <v>0</v>
      </c>
      <c r="T734" s="18">
        <v>184.35</v>
      </c>
    </row>
    <row r="735" spans="1:20" x14ac:dyDescent="0.3">
      <c r="A735" s="18">
        <v>50734</v>
      </c>
      <c r="B735" s="18">
        <v>0</v>
      </c>
      <c r="C735" s="18">
        <v>9</v>
      </c>
      <c r="D735" s="18" t="s">
        <v>31</v>
      </c>
      <c r="E735" s="18">
        <v>1</v>
      </c>
      <c r="F735" s="18">
        <v>5</v>
      </c>
      <c r="G735" s="18" t="s">
        <v>32</v>
      </c>
      <c r="H735" s="18" t="s">
        <v>38</v>
      </c>
      <c r="I735" s="18">
        <v>3.7</v>
      </c>
      <c r="J735" s="18">
        <v>4</v>
      </c>
      <c r="K735" s="18" t="s">
        <v>34</v>
      </c>
      <c r="L735" s="18">
        <v>4</v>
      </c>
      <c r="M735" s="18" t="s">
        <v>35</v>
      </c>
      <c r="N735" s="18">
        <v>4</v>
      </c>
      <c r="O735" s="18">
        <v>0</v>
      </c>
      <c r="P735" s="18">
        <v>19.5</v>
      </c>
      <c r="Q735" s="18">
        <v>2</v>
      </c>
      <c r="R735" s="18">
        <v>4</v>
      </c>
      <c r="S735" s="18">
        <v>0</v>
      </c>
      <c r="T735" s="18">
        <v>112.91</v>
      </c>
    </row>
    <row r="736" spans="1:20" x14ac:dyDescent="0.3">
      <c r="A736" s="18">
        <v>50735</v>
      </c>
      <c r="B736" s="18">
        <v>0</v>
      </c>
      <c r="C736" s="18">
        <v>12</v>
      </c>
      <c r="D736" s="18" t="s">
        <v>36</v>
      </c>
      <c r="E736" s="18">
        <v>3</v>
      </c>
      <c r="F736" s="18">
        <v>21</v>
      </c>
      <c r="G736" s="18" t="s">
        <v>32</v>
      </c>
      <c r="H736" s="18" t="s">
        <v>33</v>
      </c>
      <c r="I736" s="18">
        <v>3.7</v>
      </c>
      <c r="J736" s="18">
        <v>3</v>
      </c>
      <c r="K736" s="18" t="s">
        <v>34</v>
      </c>
      <c r="L736" s="18">
        <v>2</v>
      </c>
      <c r="M736" s="18" t="s">
        <v>35</v>
      </c>
      <c r="N736" s="18">
        <v>1</v>
      </c>
      <c r="O736" s="18">
        <v>1</v>
      </c>
      <c r="P736" s="18">
        <v>14</v>
      </c>
      <c r="Q736" s="18">
        <v>2</v>
      </c>
      <c r="R736" s="18">
        <v>4</v>
      </c>
      <c r="S736" s="18"/>
      <c r="T736" s="18">
        <v>171.65</v>
      </c>
    </row>
    <row r="737" spans="1:20" x14ac:dyDescent="0.3">
      <c r="A737" s="18">
        <v>50736</v>
      </c>
      <c r="B737" s="18">
        <v>1</v>
      </c>
      <c r="C737" s="18">
        <v>3</v>
      </c>
      <c r="D737" s="18" t="s">
        <v>31</v>
      </c>
      <c r="E737" s="18">
        <v>1</v>
      </c>
      <c r="F737" s="18">
        <v>8</v>
      </c>
      <c r="G737" s="18" t="s">
        <v>39</v>
      </c>
      <c r="H737" s="18" t="s">
        <v>38</v>
      </c>
      <c r="I737" s="18">
        <v>2.8</v>
      </c>
      <c r="J737" s="18">
        <v>4</v>
      </c>
      <c r="K737" s="18" t="s">
        <v>44</v>
      </c>
      <c r="L737" s="18">
        <v>1</v>
      </c>
      <c r="M737" s="18" t="s">
        <v>35</v>
      </c>
      <c r="N737" s="18">
        <v>1</v>
      </c>
      <c r="O737" s="18">
        <v>0</v>
      </c>
      <c r="P737" s="18">
        <v>19.3</v>
      </c>
      <c r="Q737" s="18">
        <v>2</v>
      </c>
      <c r="R737" s="18">
        <v>2</v>
      </c>
      <c r="S737" s="18">
        <v>3</v>
      </c>
      <c r="T737" s="18">
        <v>176.49</v>
      </c>
    </row>
    <row r="738" spans="1:20" x14ac:dyDescent="0.3">
      <c r="A738" s="18">
        <v>50737</v>
      </c>
      <c r="B738" s="18">
        <v>0</v>
      </c>
      <c r="C738" s="18">
        <v>5</v>
      </c>
      <c r="D738" s="18" t="s">
        <v>31</v>
      </c>
      <c r="E738" s="18">
        <v>1</v>
      </c>
      <c r="F738" s="18">
        <v>5</v>
      </c>
      <c r="G738" s="18" t="s">
        <v>32</v>
      </c>
      <c r="H738" s="18" t="s">
        <v>38</v>
      </c>
      <c r="I738" s="18">
        <v>2.4</v>
      </c>
      <c r="J738" s="18">
        <v>4</v>
      </c>
      <c r="K738" s="18" t="s">
        <v>44</v>
      </c>
      <c r="L738" s="18">
        <v>4</v>
      </c>
      <c r="M738" s="18" t="s">
        <v>41</v>
      </c>
      <c r="N738" s="18">
        <v>1</v>
      </c>
      <c r="O738" s="18">
        <v>0</v>
      </c>
      <c r="P738" s="18">
        <v>14.7</v>
      </c>
      <c r="Q738" s="18">
        <v>1</v>
      </c>
      <c r="R738" s="18">
        <v>5</v>
      </c>
      <c r="S738" s="18">
        <v>5</v>
      </c>
      <c r="T738" s="18">
        <v>270.04000000000002</v>
      </c>
    </row>
    <row r="739" spans="1:20" x14ac:dyDescent="0.3">
      <c r="A739" s="18">
        <v>50738</v>
      </c>
      <c r="B739" s="18">
        <v>0</v>
      </c>
      <c r="C739" s="18">
        <v>1</v>
      </c>
      <c r="D739" s="18" t="s">
        <v>42</v>
      </c>
      <c r="E739" s="18">
        <v>1</v>
      </c>
      <c r="F739" s="18">
        <v>16</v>
      </c>
      <c r="G739" s="18" t="s">
        <v>32</v>
      </c>
      <c r="H739" s="18" t="s">
        <v>33</v>
      </c>
      <c r="I739" s="18">
        <v>3.6</v>
      </c>
      <c r="J739" s="18">
        <v>3</v>
      </c>
      <c r="K739" s="18" t="s">
        <v>40</v>
      </c>
      <c r="L739" s="18">
        <v>3</v>
      </c>
      <c r="M739" s="18" t="s">
        <v>35</v>
      </c>
      <c r="N739" s="18">
        <v>2</v>
      </c>
      <c r="O739" s="18">
        <v>0</v>
      </c>
      <c r="P739" s="18">
        <v>11</v>
      </c>
      <c r="Q739" s="18">
        <v>0</v>
      </c>
      <c r="R739" s="18">
        <v>4</v>
      </c>
      <c r="S739" s="18">
        <v>0</v>
      </c>
      <c r="T739" s="18">
        <v>163.6</v>
      </c>
    </row>
    <row r="740" spans="1:20" x14ac:dyDescent="0.3">
      <c r="A740" s="18">
        <v>50739</v>
      </c>
      <c r="B740" s="18">
        <v>0</v>
      </c>
      <c r="C740" s="18">
        <v>1</v>
      </c>
      <c r="D740" s="18" t="s">
        <v>42</v>
      </c>
      <c r="E740" s="18">
        <v>1</v>
      </c>
      <c r="F740" s="18">
        <v>21</v>
      </c>
      <c r="G740" s="18" t="s">
        <v>37</v>
      </c>
      <c r="H740" s="18" t="s">
        <v>38</v>
      </c>
      <c r="I740" s="18">
        <v>3.7</v>
      </c>
      <c r="J740" s="18">
        <v>4</v>
      </c>
      <c r="K740" s="18" t="s">
        <v>36</v>
      </c>
      <c r="L740" s="18">
        <v>4</v>
      </c>
      <c r="M740" s="18" t="s">
        <v>35</v>
      </c>
      <c r="N740" s="18">
        <v>4</v>
      </c>
      <c r="O740" s="18">
        <v>0</v>
      </c>
      <c r="P740" s="18">
        <v>12.5</v>
      </c>
      <c r="Q740" s="18">
        <v>1</v>
      </c>
      <c r="R740" s="18">
        <v>3</v>
      </c>
      <c r="S740" s="18">
        <v>6</v>
      </c>
      <c r="T740" s="18">
        <v>191</v>
      </c>
    </row>
    <row r="741" spans="1:20" x14ac:dyDescent="0.3">
      <c r="A741" s="18">
        <v>50740</v>
      </c>
      <c r="B741" s="18">
        <v>0</v>
      </c>
      <c r="C741" s="18">
        <v>11</v>
      </c>
      <c r="D741" s="18" t="s">
        <v>36</v>
      </c>
      <c r="E741" s="18">
        <v>3</v>
      </c>
      <c r="F741" s="18">
        <v>14</v>
      </c>
      <c r="G741" s="18" t="s">
        <v>39</v>
      </c>
      <c r="H741" s="18" t="s">
        <v>33</v>
      </c>
      <c r="I741" s="18">
        <v>2.1</v>
      </c>
      <c r="J741" s="18">
        <v>3</v>
      </c>
      <c r="K741" s="18" t="s">
        <v>44</v>
      </c>
      <c r="L741" s="18">
        <v>4</v>
      </c>
      <c r="M741" s="18" t="s">
        <v>35</v>
      </c>
      <c r="N741" s="18">
        <v>2</v>
      </c>
      <c r="O741" s="18">
        <v>0</v>
      </c>
      <c r="P741" s="18">
        <v>18</v>
      </c>
      <c r="Q741" s="18">
        <v>3</v>
      </c>
      <c r="R741" s="18">
        <v>4</v>
      </c>
      <c r="S741" s="18">
        <v>6</v>
      </c>
      <c r="T741" s="18">
        <v>230.52</v>
      </c>
    </row>
    <row r="742" spans="1:20" x14ac:dyDescent="0.3">
      <c r="A742" s="18">
        <v>50741</v>
      </c>
      <c r="B742" s="18">
        <v>0</v>
      </c>
      <c r="C742" s="18">
        <v>2</v>
      </c>
      <c r="D742" s="18" t="s">
        <v>31</v>
      </c>
      <c r="E742" s="18">
        <v>1</v>
      </c>
      <c r="F742" s="18">
        <v>11</v>
      </c>
      <c r="G742" s="18" t="s">
        <v>39</v>
      </c>
      <c r="H742" s="18" t="s">
        <v>33</v>
      </c>
      <c r="I742" s="18">
        <v>2.1</v>
      </c>
      <c r="J742" s="18">
        <v>3</v>
      </c>
      <c r="K742" s="18" t="s">
        <v>44</v>
      </c>
      <c r="L742" s="18">
        <v>2</v>
      </c>
      <c r="M742" s="18" t="s">
        <v>35</v>
      </c>
      <c r="N742" s="18">
        <v>2</v>
      </c>
      <c r="O742" s="18">
        <v>0</v>
      </c>
      <c r="P742" s="18"/>
      <c r="Q742" s="18">
        <v>2</v>
      </c>
      <c r="R742" s="18">
        <v>4</v>
      </c>
      <c r="S742" s="18">
        <v>2</v>
      </c>
      <c r="T742" s="18">
        <v>133.94</v>
      </c>
    </row>
    <row r="743" spans="1:20" x14ac:dyDescent="0.3">
      <c r="A743" s="18">
        <v>50742</v>
      </c>
      <c r="B743" s="18">
        <v>0</v>
      </c>
      <c r="C743" s="18">
        <v>7</v>
      </c>
      <c r="D743" s="18" t="s">
        <v>31</v>
      </c>
      <c r="E743" s="18">
        <v>2</v>
      </c>
      <c r="F743" s="18">
        <v>13</v>
      </c>
      <c r="G743" s="18" t="s">
        <v>39</v>
      </c>
      <c r="H743" s="18" t="s">
        <v>33</v>
      </c>
      <c r="I743" s="18">
        <v>3.1</v>
      </c>
      <c r="J743" s="18">
        <v>4</v>
      </c>
      <c r="K743" s="18" t="s">
        <v>46</v>
      </c>
      <c r="L743" s="18">
        <v>5</v>
      </c>
      <c r="M743" s="18" t="s">
        <v>35</v>
      </c>
      <c r="N743" s="18">
        <v>1</v>
      </c>
      <c r="O743" s="18">
        <v>0</v>
      </c>
      <c r="P743" s="18">
        <v>21.6</v>
      </c>
      <c r="Q743" s="18">
        <v>2</v>
      </c>
      <c r="R743" s="18">
        <v>3</v>
      </c>
      <c r="S743" s="18">
        <v>2</v>
      </c>
      <c r="T743" s="18">
        <v>255.67</v>
      </c>
    </row>
    <row r="744" spans="1:20" x14ac:dyDescent="0.3">
      <c r="A744" s="18">
        <v>50743</v>
      </c>
      <c r="B744" s="18">
        <v>1</v>
      </c>
      <c r="C744" s="18">
        <v>12</v>
      </c>
      <c r="D744" s="18" t="s">
        <v>31</v>
      </c>
      <c r="E744" s="18">
        <v>1</v>
      </c>
      <c r="F744" s="18">
        <v>12</v>
      </c>
      <c r="G744" s="18" t="s">
        <v>37</v>
      </c>
      <c r="H744" s="18" t="s">
        <v>38</v>
      </c>
      <c r="I744" s="18">
        <v>3.3</v>
      </c>
      <c r="J744" s="18">
        <v>3</v>
      </c>
      <c r="K744" s="18" t="s">
        <v>46</v>
      </c>
      <c r="L744" s="18">
        <v>3</v>
      </c>
      <c r="M744" s="18" t="s">
        <v>41</v>
      </c>
      <c r="N744" s="18">
        <v>8</v>
      </c>
      <c r="O744" s="18">
        <v>0</v>
      </c>
      <c r="P744" s="18">
        <v>20.2</v>
      </c>
      <c r="Q744" s="18">
        <v>2</v>
      </c>
      <c r="R744" s="18">
        <v>5</v>
      </c>
      <c r="S744" s="18">
        <v>9</v>
      </c>
      <c r="T744" s="18">
        <v>277.01</v>
      </c>
    </row>
    <row r="745" spans="1:20" x14ac:dyDescent="0.3">
      <c r="A745" s="18">
        <v>50744</v>
      </c>
      <c r="B745" s="18">
        <v>1</v>
      </c>
      <c r="C745" s="18">
        <v>1</v>
      </c>
      <c r="D745" s="18" t="s">
        <v>36</v>
      </c>
      <c r="E745" s="18">
        <v>3</v>
      </c>
      <c r="F745" s="18">
        <v>5</v>
      </c>
      <c r="G745" s="18" t="s">
        <v>37</v>
      </c>
      <c r="H745" s="18" t="s">
        <v>33</v>
      </c>
      <c r="I745" s="18">
        <v>2.7</v>
      </c>
      <c r="J745" s="18">
        <v>3</v>
      </c>
      <c r="K745" s="18" t="s">
        <v>36</v>
      </c>
      <c r="L745" s="18">
        <v>4</v>
      </c>
      <c r="M745" s="18" t="s">
        <v>41</v>
      </c>
      <c r="N745" s="18">
        <v>9</v>
      </c>
      <c r="O745" s="18">
        <v>0</v>
      </c>
      <c r="P745" s="18">
        <v>20.7</v>
      </c>
      <c r="Q745" s="18">
        <v>3</v>
      </c>
      <c r="R745" s="18">
        <v>1</v>
      </c>
      <c r="S745" s="18">
        <v>7</v>
      </c>
      <c r="T745" s="18">
        <v>178.41</v>
      </c>
    </row>
    <row r="746" spans="1:20" x14ac:dyDescent="0.3">
      <c r="A746" s="18">
        <v>50745</v>
      </c>
      <c r="B746" s="18">
        <v>0</v>
      </c>
      <c r="C746" s="18">
        <v>8</v>
      </c>
      <c r="D746" s="18" t="s">
        <v>36</v>
      </c>
      <c r="E746" s="18">
        <v>1</v>
      </c>
      <c r="F746" s="18">
        <v>9</v>
      </c>
      <c r="G746" s="18" t="s">
        <v>37</v>
      </c>
      <c r="H746" s="18" t="s">
        <v>33</v>
      </c>
      <c r="I746" s="18">
        <v>3.4</v>
      </c>
      <c r="J746" s="18">
        <v>3</v>
      </c>
      <c r="K746" s="18" t="s">
        <v>46</v>
      </c>
      <c r="L746" s="18">
        <v>3</v>
      </c>
      <c r="M746" s="18" t="s">
        <v>35</v>
      </c>
      <c r="N746" s="18">
        <v>4</v>
      </c>
      <c r="O746" s="18">
        <v>1</v>
      </c>
      <c r="P746" s="18">
        <v>16.399999999999999</v>
      </c>
      <c r="Q746" s="18">
        <v>2</v>
      </c>
      <c r="R746" s="18">
        <v>2</v>
      </c>
      <c r="S746" s="18">
        <v>20</v>
      </c>
      <c r="T746" s="18">
        <v>150.33000000000001</v>
      </c>
    </row>
    <row r="747" spans="1:20" x14ac:dyDescent="0.3">
      <c r="A747" s="18">
        <v>50746</v>
      </c>
      <c r="B747" s="18">
        <v>0</v>
      </c>
      <c r="C747" s="18">
        <v>2</v>
      </c>
      <c r="D747" s="18" t="s">
        <v>36</v>
      </c>
      <c r="E747" s="18">
        <v>1</v>
      </c>
      <c r="F747" s="18">
        <v>19</v>
      </c>
      <c r="G747" s="18" t="s">
        <v>37</v>
      </c>
      <c r="H747" s="18" t="s">
        <v>38</v>
      </c>
      <c r="I747" s="18">
        <v>2.4</v>
      </c>
      <c r="J747" s="18">
        <v>2</v>
      </c>
      <c r="K747" s="18" t="s">
        <v>36</v>
      </c>
      <c r="L747" s="18">
        <v>4</v>
      </c>
      <c r="M747" s="18" t="s">
        <v>41</v>
      </c>
      <c r="N747" s="18">
        <v>1</v>
      </c>
      <c r="O747" s="18">
        <v>0</v>
      </c>
      <c r="P747" s="18">
        <v>16.899999999999999</v>
      </c>
      <c r="Q747" s="18">
        <v>2</v>
      </c>
      <c r="R747" s="18">
        <v>5</v>
      </c>
      <c r="S747" s="18">
        <v>2</v>
      </c>
      <c r="T747" s="18">
        <v>269.49</v>
      </c>
    </row>
    <row r="748" spans="1:20" x14ac:dyDescent="0.3">
      <c r="A748" s="18">
        <v>50747</v>
      </c>
      <c r="B748" s="18">
        <v>0</v>
      </c>
      <c r="C748" s="18">
        <v>32</v>
      </c>
      <c r="D748" s="18" t="s">
        <v>36</v>
      </c>
      <c r="E748" s="18">
        <v>3</v>
      </c>
      <c r="F748" s="18">
        <v>17</v>
      </c>
      <c r="G748" s="18" t="s">
        <v>37</v>
      </c>
      <c r="H748" s="18" t="s">
        <v>33</v>
      </c>
      <c r="I748" s="18">
        <v>1.4</v>
      </c>
      <c r="J748" s="18">
        <v>2</v>
      </c>
      <c r="K748" s="18" t="s">
        <v>46</v>
      </c>
      <c r="L748" s="18">
        <v>3</v>
      </c>
      <c r="M748" s="18" t="s">
        <v>35</v>
      </c>
      <c r="N748" s="18">
        <v>2</v>
      </c>
      <c r="O748" s="18">
        <v>1</v>
      </c>
      <c r="P748" s="18">
        <v>11.8</v>
      </c>
      <c r="Q748" s="18">
        <v>0</v>
      </c>
      <c r="R748" s="18">
        <v>3</v>
      </c>
      <c r="S748" s="18">
        <v>11</v>
      </c>
      <c r="T748" s="18">
        <v>223.76</v>
      </c>
    </row>
    <row r="749" spans="1:20" x14ac:dyDescent="0.3">
      <c r="A749" s="18">
        <v>50748</v>
      </c>
      <c r="B749" s="18">
        <v>0</v>
      </c>
      <c r="C749" s="18">
        <v>6</v>
      </c>
      <c r="D749" s="18" t="s">
        <v>36</v>
      </c>
      <c r="E749" s="18">
        <v>3</v>
      </c>
      <c r="F749" s="18">
        <v>16</v>
      </c>
      <c r="G749" s="18" t="s">
        <v>47</v>
      </c>
      <c r="H749" s="18" t="s">
        <v>33</v>
      </c>
      <c r="I749" s="18">
        <v>2.6</v>
      </c>
      <c r="J749" s="18">
        <v>2</v>
      </c>
      <c r="K749" s="18" t="s">
        <v>36</v>
      </c>
      <c r="L749" s="18">
        <v>2</v>
      </c>
      <c r="M749" s="18" t="s">
        <v>35</v>
      </c>
      <c r="N749" s="18">
        <v>3</v>
      </c>
      <c r="O749" s="18">
        <v>1</v>
      </c>
      <c r="P749" s="18">
        <v>19.5</v>
      </c>
      <c r="Q749" s="18">
        <v>2</v>
      </c>
      <c r="R749" s="18">
        <v>6</v>
      </c>
      <c r="S749" s="18">
        <v>0</v>
      </c>
      <c r="T749" s="18">
        <v>184.51</v>
      </c>
    </row>
    <row r="750" spans="1:20" x14ac:dyDescent="0.3">
      <c r="A750" s="18">
        <v>50749</v>
      </c>
      <c r="B750" s="18">
        <v>0</v>
      </c>
      <c r="C750" s="18">
        <v>16</v>
      </c>
      <c r="D750" s="18" t="s">
        <v>31</v>
      </c>
      <c r="E750" s="18">
        <v>1</v>
      </c>
      <c r="F750" s="18">
        <v>7</v>
      </c>
      <c r="G750" s="18" t="s">
        <v>43</v>
      </c>
      <c r="H750" s="18" t="s">
        <v>33</v>
      </c>
      <c r="I750" s="18">
        <v>2.9</v>
      </c>
      <c r="J750" s="18">
        <v>2</v>
      </c>
      <c r="K750" s="18" t="s">
        <v>44</v>
      </c>
      <c r="L750" s="18">
        <v>3</v>
      </c>
      <c r="M750" s="18" t="s">
        <v>41</v>
      </c>
      <c r="N750" s="18">
        <v>18</v>
      </c>
      <c r="O750" s="18">
        <v>0</v>
      </c>
      <c r="P750" s="18">
        <v>17.3</v>
      </c>
      <c r="Q750" s="18">
        <v>2</v>
      </c>
      <c r="R750" s="18">
        <v>4</v>
      </c>
      <c r="S750" s="18">
        <v>2</v>
      </c>
      <c r="T750" s="18">
        <v>258.48</v>
      </c>
    </row>
    <row r="751" spans="1:20" x14ac:dyDescent="0.3">
      <c r="A751" s="18">
        <v>50750</v>
      </c>
      <c r="B751" s="18">
        <v>1</v>
      </c>
      <c r="C751" s="18">
        <v>7</v>
      </c>
      <c r="D751" s="18" t="s">
        <v>36</v>
      </c>
      <c r="E751" s="18">
        <v>1</v>
      </c>
      <c r="F751" s="18">
        <v>13</v>
      </c>
      <c r="G751" s="18" t="s">
        <v>39</v>
      </c>
      <c r="H751" s="18" t="s">
        <v>33</v>
      </c>
      <c r="I751" s="18">
        <v>2.7</v>
      </c>
      <c r="J751" s="18">
        <v>3</v>
      </c>
      <c r="K751" s="18" t="s">
        <v>36</v>
      </c>
      <c r="L751" s="18">
        <v>3</v>
      </c>
      <c r="M751" s="18" t="s">
        <v>41</v>
      </c>
      <c r="N751" s="18">
        <v>19</v>
      </c>
      <c r="O751" s="18">
        <v>1</v>
      </c>
      <c r="P751" s="18">
        <v>18</v>
      </c>
      <c r="Q751" s="18">
        <v>2</v>
      </c>
      <c r="R751" s="18">
        <v>7</v>
      </c>
      <c r="S751" s="18">
        <v>3</v>
      </c>
      <c r="T751" s="18">
        <v>252.65</v>
      </c>
    </row>
    <row r="752" spans="1:20" x14ac:dyDescent="0.3">
      <c r="A752" s="18">
        <v>50751</v>
      </c>
      <c r="B752" s="18">
        <v>0</v>
      </c>
      <c r="C752" s="18">
        <v>0</v>
      </c>
      <c r="D752" s="18" t="s">
        <v>31</v>
      </c>
      <c r="E752" s="18">
        <v>1</v>
      </c>
      <c r="F752" s="18">
        <v>5</v>
      </c>
      <c r="G752" s="18" t="s">
        <v>37</v>
      </c>
      <c r="H752" s="18" t="s">
        <v>33</v>
      </c>
      <c r="I752" s="18">
        <v>2.1</v>
      </c>
      <c r="J752" s="18">
        <v>3</v>
      </c>
      <c r="K752" s="18" t="s">
        <v>36</v>
      </c>
      <c r="L752" s="18">
        <v>3</v>
      </c>
      <c r="M752" s="18" t="s">
        <v>45</v>
      </c>
      <c r="N752" s="18">
        <v>6</v>
      </c>
      <c r="O752" s="18">
        <v>0</v>
      </c>
      <c r="P752" s="18">
        <v>21.9</v>
      </c>
      <c r="Q752" s="18">
        <v>2</v>
      </c>
      <c r="R752" s="18">
        <v>4</v>
      </c>
      <c r="S752" s="18">
        <v>2</v>
      </c>
      <c r="T752" s="18">
        <v>161.51</v>
      </c>
    </row>
    <row r="753" spans="1:20" x14ac:dyDescent="0.3">
      <c r="A753" s="18">
        <v>50752</v>
      </c>
      <c r="B753" s="18">
        <v>0</v>
      </c>
      <c r="C753" s="18">
        <v>10</v>
      </c>
      <c r="D753" s="18" t="s">
        <v>36</v>
      </c>
      <c r="E753" s="18">
        <v>1</v>
      </c>
      <c r="F753" s="18">
        <v>16</v>
      </c>
      <c r="G753" s="18" t="s">
        <v>39</v>
      </c>
      <c r="H753" s="18" t="s">
        <v>33</v>
      </c>
      <c r="I753" s="18">
        <v>1.6</v>
      </c>
      <c r="J753" s="18">
        <v>3</v>
      </c>
      <c r="K753" s="18" t="s">
        <v>36</v>
      </c>
      <c r="L753" s="18">
        <v>4</v>
      </c>
      <c r="M753" s="18" t="s">
        <v>41</v>
      </c>
      <c r="N753" s="18">
        <v>1</v>
      </c>
      <c r="O753" s="18">
        <v>0</v>
      </c>
      <c r="P753" s="18">
        <v>13.9</v>
      </c>
      <c r="Q753" s="18">
        <v>1</v>
      </c>
      <c r="R753" s="18">
        <v>4</v>
      </c>
      <c r="S753" s="18">
        <v>4</v>
      </c>
      <c r="T753" s="18">
        <v>193.68</v>
      </c>
    </row>
    <row r="754" spans="1:20" x14ac:dyDescent="0.3">
      <c r="A754" s="18">
        <v>50753</v>
      </c>
      <c r="B754" s="18">
        <v>0</v>
      </c>
      <c r="C754" s="18">
        <v>30</v>
      </c>
      <c r="D754" s="18" t="s">
        <v>42</v>
      </c>
      <c r="E754" s="18">
        <v>1</v>
      </c>
      <c r="F754" s="18">
        <v>26</v>
      </c>
      <c r="G754" s="18" t="s">
        <v>47</v>
      </c>
      <c r="H754" s="18" t="s">
        <v>38</v>
      </c>
      <c r="I754" s="18">
        <v>2.5</v>
      </c>
      <c r="J754" s="18">
        <v>1</v>
      </c>
      <c r="K754" s="18" t="s">
        <v>44</v>
      </c>
      <c r="L754" s="18">
        <v>4</v>
      </c>
      <c r="M754" s="18" t="s">
        <v>41</v>
      </c>
      <c r="N754" s="18">
        <v>10</v>
      </c>
      <c r="O754" s="18">
        <v>0</v>
      </c>
      <c r="P754" s="18"/>
      <c r="Q754" s="18">
        <v>2</v>
      </c>
      <c r="R754" s="18">
        <v>4</v>
      </c>
      <c r="S754" s="18">
        <v>0</v>
      </c>
      <c r="T754" s="18">
        <v>211.72</v>
      </c>
    </row>
    <row r="755" spans="1:20" x14ac:dyDescent="0.3">
      <c r="A755" s="18">
        <v>50754</v>
      </c>
      <c r="B755" s="18">
        <v>0</v>
      </c>
      <c r="C755" s="18">
        <v>9</v>
      </c>
      <c r="D755" s="18" t="s">
        <v>36</v>
      </c>
      <c r="E755" s="18">
        <v>1</v>
      </c>
      <c r="F755" s="18">
        <v>5</v>
      </c>
      <c r="G755" s="18" t="s">
        <v>47</v>
      </c>
      <c r="H755" s="18" t="s">
        <v>38</v>
      </c>
      <c r="I755" s="18">
        <v>3.5</v>
      </c>
      <c r="J755" s="18">
        <v>5</v>
      </c>
      <c r="K755" s="18" t="s">
        <v>34</v>
      </c>
      <c r="L755" s="18">
        <v>1</v>
      </c>
      <c r="M755" s="18" t="s">
        <v>41</v>
      </c>
      <c r="N755" s="18">
        <v>3</v>
      </c>
      <c r="O755" s="18">
        <v>0</v>
      </c>
      <c r="P755" s="18">
        <v>17.100000000000001</v>
      </c>
      <c r="Q755" s="18">
        <v>2</v>
      </c>
      <c r="R755" s="18">
        <v>3</v>
      </c>
      <c r="S755" s="18">
        <v>10</v>
      </c>
      <c r="T755" s="18">
        <v>181.58</v>
      </c>
    </row>
    <row r="756" spans="1:20" x14ac:dyDescent="0.3">
      <c r="A756" s="18">
        <v>50755</v>
      </c>
      <c r="B756" s="18">
        <v>0</v>
      </c>
      <c r="C756" s="18">
        <v>17</v>
      </c>
      <c r="D756" s="18" t="s">
        <v>36</v>
      </c>
      <c r="E756" s="18">
        <v>1</v>
      </c>
      <c r="F756" s="18">
        <v>10</v>
      </c>
      <c r="G756" s="18" t="s">
        <v>43</v>
      </c>
      <c r="H756" s="18" t="s">
        <v>33</v>
      </c>
      <c r="I756" s="18">
        <v>3.8</v>
      </c>
      <c r="J756" s="18">
        <v>4</v>
      </c>
      <c r="K756" s="18" t="s">
        <v>44</v>
      </c>
      <c r="L756" s="18">
        <v>3</v>
      </c>
      <c r="M756" s="18" t="s">
        <v>35</v>
      </c>
      <c r="N756" s="18">
        <v>5</v>
      </c>
      <c r="O756" s="18">
        <v>1</v>
      </c>
      <c r="P756" s="18">
        <v>12.7</v>
      </c>
      <c r="Q756" s="18">
        <v>1</v>
      </c>
      <c r="R756" s="18">
        <v>4</v>
      </c>
      <c r="S756" s="18">
        <v>4</v>
      </c>
      <c r="T756" s="18">
        <v>103.5</v>
      </c>
    </row>
    <row r="757" spans="1:20" x14ac:dyDescent="0.3">
      <c r="A757" s="18">
        <v>50756</v>
      </c>
      <c r="B757" s="18">
        <v>0</v>
      </c>
      <c r="C757" s="18">
        <v>21</v>
      </c>
      <c r="D757" s="18" t="s">
        <v>31</v>
      </c>
      <c r="E757" s="18">
        <v>1</v>
      </c>
      <c r="F757" s="18">
        <v>17</v>
      </c>
      <c r="G757" s="18" t="s">
        <v>39</v>
      </c>
      <c r="H757" s="18" t="s">
        <v>33</v>
      </c>
      <c r="I757" s="18">
        <v>3.7</v>
      </c>
      <c r="J757" s="18">
        <v>4</v>
      </c>
      <c r="K757" s="18" t="s">
        <v>44</v>
      </c>
      <c r="L757" s="18">
        <v>3</v>
      </c>
      <c r="M757" s="18" t="s">
        <v>41</v>
      </c>
      <c r="N757" s="18">
        <v>1</v>
      </c>
      <c r="O757" s="18">
        <v>0</v>
      </c>
      <c r="P757" s="18">
        <v>15.3</v>
      </c>
      <c r="Q757" s="18">
        <v>2</v>
      </c>
      <c r="R757" s="18">
        <v>2</v>
      </c>
      <c r="S757" s="18">
        <v>11</v>
      </c>
      <c r="T757" s="18">
        <v>128.4</v>
      </c>
    </row>
    <row r="758" spans="1:20" x14ac:dyDescent="0.3">
      <c r="A758" s="18">
        <v>50757</v>
      </c>
      <c r="B758" s="18">
        <v>0</v>
      </c>
      <c r="C758" s="18">
        <v>2</v>
      </c>
      <c r="D758" s="18" t="s">
        <v>42</v>
      </c>
      <c r="E758" s="18">
        <v>2</v>
      </c>
      <c r="F758" s="18">
        <v>25</v>
      </c>
      <c r="G758" s="18" t="s">
        <v>43</v>
      </c>
      <c r="H758" s="18" t="s">
        <v>33</v>
      </c>
      <c r="I758" s="18">
        <v>2.2999999999999998</v>
      </c>
      <c r="J758" s="18">
        <v>5</v>
      </c>
      <c r="K758" s="18" t="s">
        <v>36</v>
      </c>
      <c r="L758" s="18">
        <v>1</v>
      </c>
      <c r="M758" s="18" t="s">
        <v>35</v>
      </c>
      <c r="N758" s="18">
        <v>1</v>
      </c>
      <c r="O758" s="18">
        <v>0</v>
      </c>
      <c r="P758" s="18">
        <v>17.7</v>
      </c>
      <c r="Q758" s="18">
        <v>4</v>
      </c>
      <c r="R758" s="18">
        <v>6</v>
      </c>
      <c r="S758" s="18">
        <v>0</v>
      </c>
      <c r="T758" s="18">
        <v>105.3</v>
      </c>
    </row>
    <row r="759" spans="1:20" x14ac:dyDescent="0.3">
      <c r="A759" s="18">
        <v>50758</v>
      </c>
      <c r="B759" s="18">
        <v>0</v>
      </c>
      <c r="C759" s="18">
        <v>2</v>
      </c>
      <c r="D759" s="18" t="s">
        <v>42</v>
      </c>
      <c r="E759" s="18">
        <v>3</v>
      </c>
      <c r="F759" s="18">
        <v>11</v>
      </c>
      <c r="G759" s="18" t="s">
        <v>39</v>
      </c>
      <c r="H759" s="18" t="s">
        <v>38</v>
      </c>
      <c r="I759" s="18">
        <v>2.1</v>
      </c>
      <c r="J759" s="18">
        <v>2</v>
      </c>
      <c r="K759" s="18" t="s">
        <v>36</v>
      </c>
      <c r="L759" s="18">
        <v>2</v>
      </c>
      <c r="M759" s="18" t="s">
        <v>35</v>
      </c>
      <c r="N759" s="18">
        <v>2</v>
      </c>
      <c r="O759" s="18">
        <v>1</v>
      </c>
      <c r="P759" s="18">
        <v>14.9</v>
      </c>
      <c r="Q759" s="18">
        <v>3</v>
      </c>
      <c r="R759" s="18">
        <v>3</v>
      </c>
      <c r="S759" s="18">
        <v>4</v>
      </c>
      <c r="T759" s="18">
        <v>207.11</v>
      </c>
    </row>
    <row r="760" spans="1:20" x14ac:dyDescent="0.3">
      <c r="A760" s="18">
        <v>50759</v>
      </c>
      <c r="B760" s="18">
        <v>1</v>
      </c>
      <c r="C760" s="18">
        <v>9</v>
      </c>
      <c r="D760" s="18" t="s">
        <v>36</v>
      </c>
      <c r="E760" s="18">
        <v>2</v>
      </c>
      <c r="F760" s="18">
        <v>9</v>
      </c>
      <c r="G760" s="18" t="s">
        <v>47</v>
      </c>
      <c r="H760" s="18" t="s">
        <v>33</v>
      </c>
      <c r="I760" s="18">
        <v>3.2</v>
      </c>
      <c r="J760" s="18">
        <v>5</v>
      </c>
      <c r="K760" s="18" t="s">
        <v>36</v>
      </c>
      <c r="L760" s="18">
        <v>1</v>
      </c>
      <c r="M760" s="18" t="s">
        <v>41</v>
      </c>
      <c r="N760" s="18">
        <v>1</v>
      </c>
      <c r="O760" s="18">
        <v>0</v>
      </c>
      <c r="P760" s="18">
        <v>20.6</v>
      </c>
      <c r="Q760" s="18">
        <v>1</v>
      </c>
      <c r="R760" s="18">
        <v>1</v>
      </c>
      <c r="S760" s="18">
        <v>2</v>
      </c>
      <c r="T760" s="18">
        <v>114.86</v>
      </c>
    </row>
    <row r="761" spans="1:20" x14ac:dyDescent="0.3">
      <c r="A761" s="18">
        <v>50760</v>
      </c>
      <c r="B761" s="18">
        <v>1</v>
      </c>
      <c r="C761" s="18">
        <v>5</v>
      </c>
      <c r="D761" s="18" t="s">
        <v>36</v>
      </c>
      <c r="E761" s="18">
        <v>1</v>
      </c>
      <c r="F761" s="18">
        <v>5</v>
      </c>
      <c r="G761" s="18" t="s">
        <v>39</v>
      </c>
      <c r="H761" s="18" t="s">
        <v>33</v>
      </c>
      <c r="I761" s="18">
        <v>3.3</v>
      </c>
      <c r="J761" s="18">
        <v>2</v>
      </c>
      <c r="K761" s="18" t="s">
        <v>40</v>
      </c>
      <c r="L761" s="18">
        <v>5</v>
      </c>
      <c r="M761" s="18" t="s">
        <v>41</v>
      </c>
      <c r="N761" s="18">
        <v>1</v>
      </c>
      <c r="O761" s="18">
        <v>0</v>
      </c>
      <c r="P761" s="18">
        <v>11</v>
      </c>
      <c r="Q761" s="18">
        <v>1</v>
      </c>
      <c r="R761" s="18">
        <v>10</v>
      </c>
      <c r="S761" s="18">
        <v>3</v>
      </c>
      <c r="T761" s="18">
        <v>190.58</v>
      </c>
    </row>
    <row r="762" spans="1:20" x14ac:dyDescent="0.3">
      <c r="A762" s="18">
        <v>50761</v>
      </c>
      <c r="B762" s="18">
        <v>0</v>
      </c>
      <c r="C762" s="18">
        <v>18</v>
      </c>
      <c r="D762" s="18" t="s">
        <v>42</v>
      </c>
      <c r="E762" s="18">
        <v>1</v>
      </c>
      <c r="F762" s="18">
        <v>15</v>
      </c>
      <c r="G762" s="18" t="s">
        <v>32</v>
      </c>
      <c r="H762" s="18" t="s">
        <v>38</v>
      </c>
      <c r="I762" s="18">
        <v>3.2</v>
      </c>
      <c r="J762" s="18">
        <v>3</v>
      </c>
      <c r="K762" s="18" t="s">
        <v>36</v>
      </c>
      <c r="L762" s="18">
        <v>4</v>
      </c>
      <c r="M762" s="18" t="s">
        <v>35</v>
      </c>
      <c r="N762" s="18">
        <v>6</v>
      </c>
      <c r="O762" s="18">
        <v>0</v>
      </c>
      <c r="P762" s="18">
        <v>19.899999999999999</v>
      </c>
      <c r="Q762" s="18">
        <v>3</v>
      </c>
      <c r="R762" s="18">
        <v>4</v>
      </c>
      <c r="S762" s="18">
        <v>6</v>
      </c>
      <c r="T762" s="18">
        <v>280.75</v>
      </c>
    </row>
    <row r="763" spans="1:20" x14ac:dyDescent="0.3">
      <c r="A763" s="18">
        <v>50762</v>
      </c>
      <c r="B763" s="18">
        <v>0</v>
      </c>
      <c r="C763" s="18">
        <v>23</v>
      </c>
      <c r="D763" s="18" t="s">
        <v>36</v>
      </c>
      <c r="E763" s="18">
        <v>3</v>
      </c>
      <c r="F763" s="18">
        <v>31</v>
      </c>
      <c r="G763" s="18" t="s">
        <v>37</v>
      </c>
      <c r="H763" s="18" t="s">
        <v>33</v>
      </c>
      <c r="I763" s="18">
        <v>1.5</v>
      </c>
      <c r="J763" s="18">
        <v>2</v>
      </c>
      <c r="K763" s="18" t="s">
        <v>40</v>
      </c>
      <c r="L763" s="18">
        <v>1</v>
      </c>
      <c r="M763" s="18" t="s">
        <v>35</v>
      </c>
      <c r="N763" s="18">
        <v>1</v>
      </c>
      <c r="O763" s="18">
        <v>1</v>
      </c>
      <c r="P763" s="18">
        <v>18.3</v>
      </c>
      <c r="Q763" s="18">
        <v>0</v>
      </c>
      <c r="R763" s="18">
        <v>6</v>
      </c>
      <c r="S763" s="18">
        <v>1</v>
      </c>
      <c r="T763" s="18">
        <v>258.52999999999997</v>
      </c>
    </row>
    <row r="764" spans="1:20" x14ac:dyDescent="0.3">
      <c r="A764" s="18">
        <v>50763</v>
      </c>
      <c r="B764" s="18">
        <v>0</v>
      </c>
      <c r="C764" s="18">
        <v>4</v>
      </c>
      <c r="D764" s="18" t="s">
        <v>31</v>
      </c>
      <c r="E764" s="18">
        <v>1</v>
      </c>
      <c r="F764" s="18">
        <v>17</v>
      </c>
      <c r="G764" s="18" t="s">
        <v>47</v>
      </c>
      <c r="H764" s="18" t="s">
        <v>33</v>
      </c>
      <c r="I764" s="18">
        <v>2.2999999999999998</v>
      </c>
      <c r="J764" s="18">
        <v>3</v>
      </c>
      <c r="K764" s="18" t="s">
        <v>40</v>
      </c>
      <c r="L764" s="18">
        <v>1</v>
      </c>
      <c r="M764" s="18" t="s">
        <v>41</v>
      </c>
      <c r="N764" s="18">
        <v>1</v>
      </c>
      <c r="O764" s="18">
        <v>1</v>
      </c>
      <c r="P764" s="18">
        <v>14</v>
      </c>
      <c r="Q764" s="18">
        <v>2</v>
      </c>
      <c r="R764" s="18">
        <v>2</v>
      </c>
      <c r="S764" s="18">
        <v>1</v>
      </c>
      <c r="T764" s="18">
        <v>78.94</v>
      </c>
    </row>
    <row r="765" spans="1:20" x14ac:dyDescent="0.3">
      <c r="A765" s="18">
        <v>50764</v>
      </c>
      <c r="B765" s="18">
        <v>0</v>
      </c>
      <c r="C765" s="18">
        <v>2</v>
      </c>
      <c r="D765" s="18" t="s">
        <v>36</v>
      </c>
      <c r="E765" s="18">
        <v>1</v>
      </c>
      <c r="F765" s="18">
        <v>14</v>
      </c>
      <c r="G765" s="18" t="s">
        <v>32</v>
      </c>
      <c r="H765" s="18" t="s">
        <v>38</v>
      </c>
      <c r="I765" s="18">
        <v>2.9</v>
      </c>
      <c r="J765" s="18">
        <v>4</v>
      </c>
      <c r="K765" s="18" t="s">
        <v>44</v>
      </c>
      <c r="L765" s="18">
        <v>4</v>
      </c>
      <c r="M765" s="18" t="s">
        <v>41</v>
      </c>
      <c r="N765" s="18">
        <v>1</v>
      </c>
      <c r="O765" s="18">
        <v>0</v>
      </c>
      <c r="P765" s="18">
        <v>12.8</v>
      </c>
      <c r="Q765" s="18">
        <v>2</v>
      </c>
      <c r="R765" s="18">
        <v>5</v>
      </c>
      <c r="S765" s="18">
        <v>6</v>
      </c>
      <c r="T765" s="18">
        <v>109.67</v>
      </c>
    </row>
    <row r="766" spans="1:20" x14ac:dyDescent="0.3">
      <c r="A766" s="18">
        <v>50765</v>
      </c>
      <c r="B766" s="18">
        <v>0</v>
      </c>
      <c r="C766" s="18">
        <v>15</v>
      </c>
      <c r="D766" s="18" t="s">
        <v>36</v>
      </c>
      <c r="E766" s="18">
        <v>2</v>
      </c>
      <c r="F766" s="18">
        <v>17</v>
      </c>
      <c r="G766" s="18" t="s">
        <v>39</v>
      </c>
      <c r="H766" s="18" t="s">
        <v>38</v>
      </c>
      <c r="I766" s="18">
        <v>3.2</v>
      </c>
      <c r="J766" s="18">
        <v>3</v>
      </c>
      <c r="K766" s="18" t="s">
        <v>36</v>
      </c>
      <c r="L766" s="18">
        <v>3</v>
      </c>
      <c r="M766" s="18" t="s">
        <v>35</v>
      </c>
      <c r="N766" s="18">
        <v>1</v>
      </c>
      <c r="O766" s="18">
        <v>0</v>
      </c>
      <c r="P766" s="18">
        <v>11</v>
      </c>
      <c r="Q766" s="18">
        <v>3</v>
      </c>
      <c r="R766" s="18">
        <v>5</v>
      </c>
      <c r="S766" s="18">
        <v>3</v>
      </c>
      <c r="T766" s="18">
        <v>137.29</v>
      </c>
    </row>
    <row r="767" spans="1:20" x14ac:dyDescent="0.3">
      <c r="A767" s="18">
        <v>50766</v>
      </c>
      <c r="B767" s="18">
        <v>0</v>
      </c>
      <c r="C767" s="18">
        <v>3</v>
      </c>
      <c r="D767" s="18" t="s">
        <v>36</v>
      </c>
      <c r="E767" s="18">
        <v>2</v>
      </c>
      <c r="F767" s="18">
        <v>14</v>
      </c>
      <c r="G767" s="18" t="s">
        <v>39</v>
      </c>
      <c r="H767" s="18" t="s">
        <v>33</v>
      </c>
      <c r="I767" s="18">
        <v>3.4</v>
      </c>
      <c r="J767" s="18">
        <v>4</v>
      </c>
      <c r="K767" s="18" t="s">
        <v>46</v>
      </c>
      <c r="L767" s="18">
        <v>4</v>
      </c>
      <c r="M767" s="18" t="s">
        <v>35</v>
      </c>
      <c r="N767" s="18">
        <v>20</v>
      </c>
      <c r="O767" s="18">
        <v>0</v>
      </c>
      <c r="P767" s="18">
        <v>13.2</v>
      </c>
      <c r="Q767" s="18">
        <v>1</v>
      </c>
      <c r="R767" s="18">
        <v>4</v>
      </c>
      <c r="S767" s="18">
        <v>1</v>
      </c>
      <c r="T767" s="18">
        <v>115.7</v>
      </c>
    </row>
    <row r="768" spans="1:20" x14ac:dyDescent="0.3">
      <c r="A768" s="18">
        <v>50767</v>
      </c>
      <c r="B768" s="18">
        <v>0</v>
      </c>
      <c r="C768" s="18">
        <v>17</v>
      </c>
      <c r="D768" s="18" t="s">
        <v>36</v>
      </c>
      <c r="E768" s="18">
        <v>2</v>
      </c>
      <c r="F768" s="18">
        <v>8</v>
      </c>
      <c r="G768" s="18" t="s">
        <v>32</v>
      </c>
      <c r="H768" s="18" t="s">
        <v>38</v>
      </c>
      <c r="I768" s="18">
        <v>3</v>
      </c>
      <c r="J768" s="18">
        <v>3</v>
      </c>
      <c r="K768" s="18" t="s">
        <v>44</v>
      </c>
      <c r="L768" s="18">
        <v>5</v>
      </c>
      <c r="M768" s="18" t="s">
        <v>41</v>
      </c>
      <c r="N768" s="18">
        <v>1</v>
      </c>
      <c r="O768" s="18">
        <v>0</v>
      </c>
      <c r="P768" s="18">
        <v>19.7</v>
      </c>
      <c r="Q768" s="18">
        <v>2</v>
      </c>
      <c r="R768" s="18">
        <v>5</v>
      </c>
      <c r="S768" s="18">
        <v>3</v>
      </c>
      <c r="T768" s="18">
        <v>89.04</v>
      </c>
    </row>
    <row r="769" spans="1:20" x14ac:dyDescent="0.3">
      <c r="A769" s="18">
        <v>50768</v>
      </c>
      <c r="B769" s="18">
        <v>0</v>
      </c>
      <c r="C769" s="18">
        <v>5</v>
      </c>
      <c r="D769" s="18" t="s">
        <v>31</v>
      </c>
      <c r="E769" s="18">
        <v>1</v>
      </c>
      <c r="F769" s="18">
        <v>21</v>
      </c>
      <c r="G769" s="18" t="s">
        <v>39</v>
      </c>
      <c r="H769" s="18" t="s">
        <v>33</v>
      </c>
      <c r="I769" s="18">
        <v>3.1</v>
      </c>
      <c r="J769" s="18">
        <v>3</v>
      </c>
      <c r="K769" s="18" t="s">
        <v>36</v>
      </c>
      <c r="L769" s="18">
        <v>4</v>
      </c>
      <c r="M769" s="18" t="s">
        <v>35</v>
      </c>
      <c r="N769" s="18">
        <v>1</v>
      </c>
      <c r="O769" s="18">
        <v>1</v>
      </c>
      <c r="P769" s="18">
        <v>15.8</v>
      </c>
      <c r="Q769" s="18">
        <v>1</v>
      </c>
      <c r="R769" s="18">
        <v>3</v>
      </c>
      <c r="S769" s="18">
        <v>3</v>
      </c>
      <c r="T769" s="18">
        <v>179.4</v>
      </c>
    </row>
    <row r="770" spans="1:20" x14ac:dyDescent="0.3">
      <c r="A770" s="18">
        <v>50769</v>
      </c>
      <c r="B770" s="18">
        <v>0</v>
      </c>
      <c r="C770" s="18">
        <v>11</v>
      </c>
      <c r="D770" s="18" t="s">
        <v>42</v>
      </c>
      <c r="E770" s="18">
        <v>1</v>
      </c>
      <c r="F770" s="18">
        <v>16</v>
      </c>
      <c r="G770" s="18" t="s">
        <v>39</v>
      </c>
      <c r="H770" s="18" t="s">
        <v>38</v>
      </c>
      <c r="I770" s="18">
        <v>3</v>
      </c>
      <c r="J770" s="18">
        <v>3</v>
      </c>
      <c r="K770" s="18" t="s">
        <v>34</v>
      </c>
      <c r="L770" s="18">
        <v>2</v>
      </c>
      <c r="M770" s="18" t="s">
        <v>41</v>
      </c>
      <c r="N770" s="18">
        <v>8</v>
      </c>
      <c r="O770" s="18">
        <v>0</v>
      </c>
      <c r="P770" s="18">
        <v>20.100000000000001</v>
      </c>
      <c r="Q770" s="18">
        <v>3</v>
      </c>
      <c r="R770" s="18">
        <v>4</v>
      </c>
      <c r="S770" s="18">
        <v>5</v>
      </c>
      <c r="T770" s="18">
        <v>218.78</v>
      </c>
    </row>
    <row r="771" spans="1:20" x14ac:dyDescent="0.3">
      <c r="A771" s="18">
        <v>50770</v>
      </c>
      <c r="B771" s="18">
        <v>0</v>
      </c>
      <c r="C771" s="18">
        <v>1</v>
      </c>
      <c r="D771" s="18" t="s">
        <v>36</v>
      </c>
      <c r="E771" s="18">
        <v>3</v>
      </c>
      <c r="F771" s="18">
        <v>15</v>
      </c>
      <c r="G771" s="18" t="s">
        <v>37</v>
      </c>
      <c r="H771" s="18" t="s">
        <v>33</v>
      </c>
      <c r="I771" s="18">
        <v>3.4</v>
      </c>
      <c r="J771" s="18">
        <v>4</v>
      </c>
      <c r="K771" s="18" t="s">
        <v>36</v>
      </c>
      <c r="L771" s="18">
        <v>4</v>
      </c>
      <c r="M771" s="18" t="s">
        <v>41</v>
      </c>
      <c r="N771" s="18">
        <v>7</v>
      </c>
      <c r="O771" s="18">
        <v>0</v>
      </c>
      <c r="P771" s="18">
        <v>13.8</v>
      </c>
      <c r="Q771" s="18">
        <v>1</v>
      </c>
      <c r="R771" s="18">
        <v>6</v>
      </c>
      <c r="S771" s="18">
        <v>0</v>
      </c>
      <c r="T771" s="18">
        <v>232.47</v>
      </c>
    </row>
    <row r="772" spans="1:20" x14ac:dyDescent="0.3">
      <c r="A772" s="18">
        <v>50771</v>
      </c>
      <c r="B772" s="18">
        <v>0</v>
      </c>
      <c r="C772" s="18">
        <v>9</v>
      </c>
      <c r="D772" s="18" t="s">
        <v>42</v>
      </c>
      <c r="E772" s="18">
        <v>1</v>
      </c>
      <c r="F772" s="18">
        <v>7</v>
      </c>
      <c r="G772" s="18" t="s">
        <v>37</v>
      </c>
      <c r="H772" s="18" t="s">
        <v>38</v>
      </c>
      <c r="I772" s="18">
        <v>3.1</v>
      </c>
      <c r="J772" s="18">
        <v>3</v>
      </c>
      <c r="K772" s="18" t="s">
        <v>36</v>
      </c>
      <c r="L772" s="18">
        <v>5</v>
      </c>
      <c r="M772" s="18" t="s">
        <v>41</v>
      </c>
      <c r="N772" s="18">
        <v>1</v>
      </c>
      <c r="O772" s="18">
        <v>1</v>
      </c>
      <c r="P772" s="18">
        <v>18.5</v>
      </c>
      <c r="Q772" s="18">
        <v>0</v>
      </c>
      <c r="R772" s="18">
        <v>3</v>
      </c>
      <c r="S772" s="18">
        <v>4</v>
      </c>
      <c r="T772" s="18">
        <v>153.9</v>
      </c>
    </row>
    <row r="773" spans="1:20" x14ac:dyDescent="0.3">
      <c r="A773" s="18">
        <v>50772</v>
      </c>
      <c r="B773" s="18">
        <v>0</v>
      </c>
      <c r="C773" s="18">
        <v>6</v>
      </c>
      <c r="D773" s="18" t="s">
        <v>36</v>
      </c>
      <c r="E773" s="18">
        <v>2</v>
      </c>
      <c r="F773" s="18">
        <v>25</v>
      </c>
      <c r="G773" s="18" t="s">
        <v>39</v>
      </c>
      <c r="H773" s="18" t="s">
        <v>38</v>
      </c>
      <c r="I773" s="18">
        <v>2.9</v>
      </c>
      <c r="J773" s="18">
        <v>4</v>
      </c>
      <c r="K773" s="18" t="s">
        <v>34</v>
      </c>
      <c r="L773" s="18">
        <v>4</v>
      </c>
      <c r="M773" s="18" t="s">
        <v>35</v>
      </c>
      <c r="N773" s="18">
        <v>4</v>
      </c>
      <c r="O773" s="18">
        <v>1</v>
      </c>
      <c r="P773" s="18">
        <v>13.5</v>
      </c>
      <c r="Q773" s="18">
        <v>1</v>
      </c>
      <c r="R773" s="18">
        <v>4</v>
      </c>
      <c r="S773" s="18">
        <v>4</v>
      </c>
      <c r="T773" s="18">
        <v>165.05</v>
      </c>
    </row>
    <row r="774" spans="1:20" x14ac:dyDescent="0.3">
      <c r="A774" s="18">
        <v>50773</v>
      </c>
      <c r="B774" s="18">
        <v>0</v>
      </c>
      <c r="C774" s="18">
        <v>8</v>
      </c>
      <c r="D774" s="18" t="s">
        <v>36</v>
      </c>
      <c r="E774" s="18">
        <v>3</v>
      </c>
      <c r="F774" s="18">
        <v>20</v>
      </c>
      <c r="G774" s="18" t="s">
        <v>39</v>
      </c>
      <c r="H774" s="18" t="s">
        <v>38</v>
      </c>
      <c r="I774" s="18">
        <v>2.7</v>
      </c>
      <c r="J774" s="18">
        <v>4</v>
      </c>
      <c r="K774" s="18" t="s">
        <v>44</v>
      </c>
      <c r="L774" s="18">
        <v>4</v>
      </c>
      <c r="M774" s="18" t="s">
        <v>35</v>
      </c>
      <c r="N774" s="18">
        <v>3</v>
      </c>
      <c r="O774" s="18">
        <v>0</v>
      </c>
      <c r="P774" s="18">
        <v>12.6</v>
      </c>
      <c r="Q774" s="18">
        <v>2</v>
      </c>
      <c r="R774" s="18">
        <v>3</v>
      </c>
      <c r="S774" s="18">
        <v>6</v>
      </c>
      <c r="T774" s="18">
        <v>199.56</v>
      </c>
    </row>
    <row r="775" spans="1:20" x14ac:dyDescent="0.3">
      <c r="A775" s="18">
        <v>50774</v>
      </c>
      <c r="B775" s="18">
        <v>0</v>
      </c>
      <c r="C775" s="18">
        <v>1</v>
      </c>
      <c r="D775" s="18" t="s">
        <v>36</v>
      </c>
      <c r="E775" s="18">
        <v>2</v>
      </c>
      <c r="F775" s="18">
        <v>10</v>
      </c>
      <c r="G775" s="18" t="s">
        <v>39</v>
      </c>
      <c r="H775" s="18" t="s">
        <v>38</v>
      </c>
      <c r="I775" s="18">
        <v>3</v>
      </c>
      <c r="J775" s="18">
        <v>2</v>
      </c>
      <c r="K775" s="18" t="s">
        <v>44</v>
      </c>
      <c r="L775" s="18">
        <v>3</v>
      </c>
      <c r="M775" s="18" t="s">
        <v>35</v>
      </c>
      <c r="N775" s="18">
        <v>5</v>
      </c>
      <c r="O775" s="18">
        <v>0</v>
      </c>
      <c r="P775" s="18">
        <v>15.6</v>
      </c>
      <c r="Q775" s="18">
        <v>1</v>
      </c>
      <c r="R775" s="18">
        <v>5</v>
      </c>
      <c r="S775" s="18">
        <v>11</v>
      </c>
      <c r="T775" s="18">
        <v>174.03</v>
      </c>
    </row>
    <row r="776" spans="1:20" x14ac:dyDescent="0.3">
      <c r="A776" s="18">
        <v>50775</v>
      </c>
      <c r="B776" s="18">
        <v>0</v>
      </c>
      <c r="C776" s="18">
        <v>13</v>
      </c>
      <c r="D776" s="18" t="s">
        <v>42</v>
      </c>
      <c r="E776" s="18">
        <v>1</v>
      </c>
      <c r="F776" s="18">
        <v>23</v>
      </c>
      <c r="G776" s="18" t="s">
        <v>37</v>
      </c>
      <c r="H776" s="18" t="s">
        <v>33</v>
      </c>
      <c r="I776" s="18">
        <v>3.2</v>
      </c>
      <c r="J776" s="18">
        <v>4</v>
      </c>
      <c r="K776" s="18" t="s">
        <v>46</v>
      </c>
      <c r="L776" s="18">
        <v>3</v>
      </c>
      <c r="M776" s="18" t="s">
        <v>35</v>
      </c>
      <c r="N776" s="18">
        <v>2</v>
      </c>
      <c r="O776" s="18">
        <v>0</v>
      </c>
      <c r="P776" s="18">
        <v>13.7</v>
      </c>
      <c r="Q776" s="18">
        <v>3</v>
      </c>
      <c r="R776" s="18">
        <v>2</v>
      </c>
      <c r="S776" s="18">
        <v>2</v>
      </c>
      <c r="T776" s="18">
        <v>224.58</v>
      </c>
    </row>
    <row r="777" spans="1:20" x14ac:dyDescent="0.3">
      <c r="A777" s="18">
        <v>50776</v>
      </c>
      <c r="B777" s="18">
        <v>0</v>
      </c>
      <c r="C777" s="18">
        <v>19</v>
      </c>
      <c r="D777" s="18" t="s">
        <v>31</v>
      </c>
      <c r="E777" s="18">
        <v>1</v>
      </c>
      <c r="F777" s="18">
        <v>11</v>
      </c>
      <c r="G777" s="18" t="s">
        <v>32</v>
      </c>
      <c r="H777" s="18" t="s">
        <v>33</v>
      </c>
      <c r="I777" s="18">
        <v>3.1</v>
      </c>
      <c r="J777" s="18">
        <v>5</v>
      </c>
      <c r="K777" s="18" t="s">
        <v>46</v>
      </c>
      <c r="L777" s="18">
        <v>4</v>
      </c>
      <c r="M777" s="18" t="s">
        <v>35</v>
      </c>
      <c r="N777" s="18">
        <v>16</v>
      </c>
      <c r="O777" s="18">
        <v>0</v>
      </c>
      <c r="P777" s="18">
        <v>11</v>
      </c>
      <c r="Q777" s="18">
        <v>1</v>
      </c>
      <c r="R777" s="18">
        <v>2</v>
      </c>
      <c r="S777" s="18">
        <v>2</v>
      </c>
      <c r="T777" s="18">
        <v>203.67</v>
      </c>
    </row>
    <row r="778" spans="1:20" x14ac:dyDescent="0.3">
      <c r="A778" s="18">
        <v>50777</v>
      </c>
      <c r="B778" s="18">
        <v>0</v>
      </c>
      <c r="C778" s="18">
        <v>2</v>
      </c>
      <c r="D778" s="18" t="s">
        <v>31</v>
      </c>
      <c r="E778" s="18">
        <v>2</v>
      </c>
      <c r="F778" s="18">
        <v>8</v>
      </c>
      <c r="G778" s="18" t="s">
        <v>43</v>
      </c>
      <c r="H778" s="18" t="s">
        <v>33</v>
      </c>
      <c r="I778" s="18">
        <v>3.2</v>
      </c>
      <c r="J778" s="18">
        <v>3</v>
      </c>
      <c r="K778" s="18" t="s">
        <v>36</v>
      </c>
      <c r="L778" s="18">
        <v>5</v>
      </c>
      <c r="M778" s="18" t="s">
        <v>41</v>
      </c>
      <c r="N778" s="18">
        <v>1</v>
      </c>
      <c r="O778" s="18">
        <v>0</v>
      </c>
      <c r="P778" s="18">
        <v>15.4</v>
      </c>
      <c r="Q778" s="18">
        <v>4</v>
      </c>
      <c r="R778" s="18">
        <v>4</v>
      </c>
      <c r="S778" s="18">
        <v>0</v>
      </c>
      <c r="T778" s="18">
        <v>159.30000000000001</v>
      </c>
    </row>
    <row r="779" spans="1:20" x14ac:dyDescent="0.3">
      <c r="A779" s="18">
        <v>50778</v>
      </c>
      <c r="B779" s="18">
        <v>0</v>
      </c>
      <c r="C779" s="18">
        <v>1</v>
      </c>
      <c r="D779" s="18" t="s">
        <v>42</v>
      </c>
      <c r="E779" s="18">
        <v>3</v>
      </c>
      <c r="F779" s="18">
        <v>8</v>
      </c>
      <c r="G779" s="18" t="s">
        <v>47</v>
      </c>
      <c r="H779" s="18" t="s">
        <v>38</v>
      </c>
      <c r="I779" s="18">
        <v>3.8</v>
      </c>
      <c r="J779" s="18">
        <v>4</v>
      </c>
      <c r="K779" s="18" t="s">
        <v>36</v>
      </c>
      <c r="L779" s="18">
        <v>4</v>
      </c>
      <c r="M779" s="18" t="s">
        <v>41</v>
      </c>
      <c r="N779" s="18">
        <v>1</v>
      </c>
      <c r="O779" s="18">
        <v>0</v>
      </c>
      <c r="P779" s="18">
        <v>16.399999999999999</v>
      </c>
      <c r="Q779" s="18">
        <v>2</v>
      </c>
      <c r="R779" s="18">
        <v>3</v>
      </c>
      <c r="S779" s="18">
        <v>2</v>
      </c>
      <c r="T779" s="18">
        <v>77.89</v>
      </c>
    </row>
    <row r="780" spans="1:20" x14ac:dyDescent="0.3">
      <c r="A780" s="18">
        <v>50779</v>
      </c>
      <c r="B780" s="18">
        <v>0</v>
      </c>
      <c r="C780" s="18">
        <v>0</v>
      </c>
      <c r="D780" s="18" t="s">
        <v>31</v>
      </c>
      <c r="E780" s="18">
        <v>3</v>
      </c>
      <c r="F780" s="18">
        <v>5</v>
      </c>
      <c r="G780" s="18" t="s">
        <v>39</v>
      </c>
      <c r="H780" s="18" t="s">
        <v>38</v>
      </c>
      <c r="I780" s="18">
        <v>3.1</v>
      </c>
      <c r="J780" s="18">
        <v>4</v>
      </c>
      <c r="K780" s="18" t="s">
        <v>46</v>
      </c>
      <c r="L780" s="18">
        <v>4</v>
      </c>
      <c r="M780" s="18" t="s">
        <v>45</v>
      </c>
      <c r="N780" s="18">
        <v>1</v>
      </c>
      <c r="O780" s="18">
        <v>1</v>
      </c>
      <c r="P780" s="18">
        <v>20.399999999999999</v>
      </c>
      <c r="Q780" s="18">
        <v>2</v>
      </c>
      <c r="R780" s="18">
        <v>4</v>
      </c>
      <c r="S780" s="18">
        <v>0</v>
      </c>
      <c r="T780" s="18">
        <v>262.45</v>
      </c>
    </row>
    <row r="781" spans="1:20" x14ac:dyDescent="0.3">
      <c r="A781" s="18">
        <v>50780</v>
      </c>
      <c r="B781" s="18">
        <v>1</v>
      </c>
      <c r="C781" s="18">
        <v>10</v>
      </c>
      <c r="D781" s="18" t="s">
        <v>42</v>
      </c>
      <c r="E781" s="18">
        <v>1</v>
      </c>
      <c r="F781" s="18">
        <v>18</v>
      </c>
      <c r="G781" s="18" t="s">
        <v>43</v>
      </c>
      <c r="H781" s="18" t="s">
        <v>33</v>
      </c>
      <c r="I781" s="18">
        <v>2.4</v>
      </c>
      <c r="J781" s="18">
        <v>3</v>
      </c>
      <c r="K781" s="18" t="s">
        <v>40</v>
      </c>
      <c r="L781" s="18">
        <v>2</v>
      </c>
      <c r="M781" s="18" t="s">
        <v>35</v>
      </c>
      <c r="N781" s="18">
        <v>2</v>
      </c>
      <c r="O781" s="18">
        <v>1</v>
      </c>
      <c r="P781" s="18">
        <v>19.3</v>
      </c>
      <c r="Q781" s="18">
        <v>0</v>
      </c>
      <c r="R781" s="18">
        <v>6</v>
      </c>
      <c r="S781" s="18">
        <v>8</v>
      </c>
      <c r="T781" s="18">
        <v>142.27000000000001</v>
      </c>
    </row>
    <row r="782" spans="1:20" x14ac:dyDescent="0.3">
      <c r="A782" s="18">
        <v>50781</v>
      </c>
      <c r="B782" s="18">
        <v>0</v>
      </c>
      <c r="C782" s="18">
        <v>9</v>
      </c>
      <c r="D782" s="18" t="s">
        <v>31</v>
      </c>
      <c r="E782" s="18">
        <v>1</v>
      </c>
      <c r="F782" s="18">
        <v>5</v>
      </c>
      <c r="G782" s="18" t="s">
        <v>37</v>
      </c>
      <c r="H782" s="18" t="s">
        <v>38</v>
      </c>
      <c r="I782" s="18">
        <v>3.5</v>
      </c>
      <c r="J782" s="18">
        <v>3</v>
      </c>
      <c r="K782" s="18" t="s">
        <v>44</v>
      </c>
      <c r="L782" s="18">
        <v>2</v>
      </c>
      <c r="M782" s="18" t="s">
        <v>35</v>
      </c>
      <c r="N782" s="18">
        <v>8</v>
      </c>
      <c r="O782" s="18">
        <v>0</v>
      </c>
      <c r="P782" s="18">
        <v>20.3</v>
      </c>
      <c r="Q782" s="18">
        <v>2</v>
      </c>
      <c r="R782" s="18">
        <v>3</v>
      </c>
      <c r="S782" s="18">
        <v>8</v>
      </c>
      <c r="T782" s="18">
        <v>199.67</v>
      </c>
    </row>
    <row r="783" spans="1:20" x14ac:dyDescent="0.3">
      <c r="A783" s="18">
        <v>50782</v>
      </c>
      <c r="B783" s="18">
        <v>0</v>
      </c>
      <c r="C783" s="18">
        <v>7</v>
      </c>
      <c r="D783" s="18" t="s">
        <v>42</v>
      </c>
      <c r="E783" s="18">
        <v>3</v>
      </c>
      <c r="F783" s="18">
        <v>5</v>
      </c>
      <c r="G783" s="18" t="s">
        <v>39</v>
      </c>
      <c r="H783" s="18" t="s">
        <v>38</v>
      </c>
      <c r="I783" s="18">
        <v>1.9</v>
      </c>
      <c r="J783" s="18">
        <v>2</v>
      </c>
      <c r="K783" s="18" t="s">
        <v>44</v>
      </c>
      <c r="L783" s="18">
        <v>3</v>
      </c>
      <c r="M783" s="18" t="s">
        <v>41</v>
      </c>
      <c r="N783" s="18">
        <v>2</v>
      </c>
      <c r="O783" s="18">
        <v>0</v>
      </c>
      <c r="P783" s="18">
        <v>18.5</v>
      </c>
      <c r="Q783" s="18">
        <v>6</v>
      </c>
      <c r="R783" s="18">
        <v>2</v>
      </c>
      <c r="S783" s="18">
        <v>2</v>
      </c>
      <c r="T783" s="18">
        <v>74.59</v>
      </c>
    </row>
    <row r="784" spans="1:20" x14ac:dyDescent="0.3">
      <c r="A784" s="18">
        <v>50783</v>
      </c>
      <c r="B784" s="18">
        <v>1</v>
      </c>
      <c r="C784" s="18">
        <v>2</v>
      </c>
      <c r="D784" s="18" t="s">
        <v>36</v>
      </c>
      <c r="E784" s="18">
        <v>3</v>
      </c>
      <c r="F784" s="18">
        <v>5</v>
      </c>
      <c r="G784" s="18" t="s">
        <v>43</v>
      </c>
      <c r="H784" s="18" t="s">
        <v>38</v>
      </c>
      <c r="I784" s="18">
        <v>2.1</v>
      </c>
      <c r="J784" s="18">
        <v>3</v>
      </c>
      <c r="K784" s="18" t="s">
        <v>36</v>
      </c>
      <c r="L784" s="18">
        <v>2</v>
      </c>
      <c r="M784" s="18" t="s">
        <v>41</v>
      </c>
      <c r="N784" s="18">
        <v>1</v>
      </c>
      <c r="O784" s="18">
        <v>0</v>
      </c>
      <c r="P784" s="18">
        <v>17.2</v>
      </c>
      <c r="Q784" s="18">
        <v>1</v>
      </c>
      <c r="R784" s="18">
        <v>5</v>
      </c>
      <c r="S784" s="18">
        <v>1</v>
      </c>
      <c r="T784" s="18">
        <v>179.38</v>
      </c>
    </row>
    <row r="785" spans="1:20" x14ac:dyDescent="0.3">
      <c r="A785" s="18">
        <v>50784</v>
      </c>
      <c r="B785" s="18">
        <v>0</v>
      </c>
      <c r="C785" s="18">
        <v>4</v>
      </c>
      <c r="D785" s="18" t="s">
        <v>36</v>
      </c>
      <c r="E785" s="18">
        <v>3</v>
      </c>
      <c r="F785" s="18">
        <v>14</v>
      </c>
      <c r="G785" s="18" t="s">
        <v>32</v>
      </c>
      <c r="H785" s="18" t="s">
        <v>38</v>
      </c>
      <c r="I785" s="18">
        <v>3.1</v>
      </c>
      <c r="J785" s="18">
        <v>4</v>
      </c>
      <c r="K785" s="18" t="s">
        <v>46</v>
      </c>
      <c r="L785" s="18">
        <v>4</v>
      </c>
      <c r="M785" s="18" t="s">
        <v>35</v>
      </c>
      <c r="N785" s="18">
        <v>1</v>
      </c>
      <c r="O785" s="18">
        <v>1</v>
      </c>
      <c r="P785" s="18">
        <v>11.7</v>
      </c>
      <c r="Q785" s="18">
        <v>0</v>
      </c>
      <c r="R785" s="18">
        <v>4</v>
      </c>
      <c r="S785" s="18">
        <v>0</v>
      </c>
      <c r="T785" s="18">
        <v>185.51</v>
      </c>
    </row>
    <row r="786" spans="1:20" x14ac:dyDescent="0.3">
      <c r="A786" s="18">
        <v>50785</v>
      </c>
      <c r="B786" s="18">
        <v>0</v>
      </c>
      <c r="C786" s="18">
        <v>9</v>
      </c>
      <c r="D786" s="18" t="s">
        <v>36</v>
      </c>
      <c r="E786" s="18">
        <v>1</v>
      </c>
      <c r="F786" s="18">
        <v>13</v>
      </c>
      <c r="G786" s="18" t="s">
        <v>47</v>
      </c>
      <c r="H786" s="18" t="s">
        <v>33</v>
      </c>
      <c r="I786" s="18">
        <v>3.3</v>
      </c>
      <c r="J786" s="18">
        <v>4</v>
      </c>
      <c r="K786" s="18" t="s">
        <v>46</v>
      </c>
      <c r="L786" s="18">
        <v>3</v>
      </c>
      <c r="M786" s="18" t="s">
        <v>41</v>
      </c>
      <c r="N786" s="18">
        <v>1</v>
      </c>
      <c r="O786" s="18">
        <v>1</v>
      </c>
      <c r="P786" s="18">
        <v>16.5</v>
      </c>
      <c r="Q786" s="18">
        <v>1</v>
      </c>
      <c r="R786" s="18">
        <v>7</v>
      </c>
      <c r="S786" s="18">
        <v>9</v>
      </c>
      <c r="T786" s="18">
        <v>188.17</v>
      </c>
    </row>
    <row r="787" spans="1:20" x14ac:dyDescent="0.3">
      <c r="A787" s="18">
        <v>50786</v>
      </c>
      <c r="B787" s="18">
        <v>0</v>
      </c>
      <c r="C787" s="18">
        <v>6</v>
      </c>
      <c r="D787" s="18" t="s">
        <v>36</v>
      </c>
      <c r="E787" s="18">
        <v>2</v>
      </c>
      <c r="F787" s="18">
        <v>12</v>
      </c>
      <c r="G787" s="18" t="s">
        <v>47</v>
      </c>
      <c r="H787" s="18" t="s">
        <v>33</v>
      </c>
      <c r="I787" s="18">
        <v>2</v>
      </c>
      <c r="J787" s="18">
        <v>4</v>
      </c>
      <c r="K787" s="18" t="s">
        <v>34</v>
      </c>
      <c r="L787" s="18">
        <v>4</v>
      </c>
      <c r="M787" s="18" t="s">
        <v>35</v>
      </c>
      <c r="N787" s="18">
        <v>11</v>
      </c>
      <c r="O787" s="18">
        <v>0</v>
      </c>
      <c r="P787" s="18">
        <v>18.100000000000001</v>
      </c>
      <c r="Q787" s="18">
        <v>0</v>
      </c>
      <c r="R787" s="18">
        <v>4</v>
      </c>
      <c r="S787" s="18">
        <v>10</v>
      </c>
      <c r="T787" s="18">
        <v>325</v>
      </c>
    </row>
    <row r="788" spans="1:20" x14ac:dyDescent="0.3">
      <c r="A788" s="18">
        <v>50787</v>
      </c>
      <c r="B788" s="18">
        <v>0</v>
      </c>
      <c r="C788" s="18">
        <v>44</v>
      </c>
      <c r="D788" s="18" t="s">
        <v>31</v>
      </c>
      <c r="E788" s="18">
        <v>3</v>
      </c>
      <c r="F788" s="18">
        <v>6</v>
      </c>
      <c r="G788" s="18" t="s">
        <v>39</v>
      </c>
      <c r="H788" s="18" t="s">
        <v>33</v>
      </c>
      <c r="I788" s="18">
        <v>2.6</v>
      </c>
      <c r="J788" s="18">
        <v>2</v>
      </c>
      <c r="K788" s="18" t="s">
        <v>46</v>
      </c>
      <c r="L788" s="18">
        <v>4</v>
      </c>
      <c r="M788" s="18" t="s">
        <v>35</v>
      </c>
      <c r="N788" s="18">
        <v>3</v>
      </c>
      <c r="O788" s="18">
        <v>0</v>
      </c>
      <c r="P788" s="18">
        <v>21.1</v>
      </c>
      <c r="Q788" s="18">
        <v>0</v>
      </c>
      <c r="R788" s="18">
        <v>5</v>
      </c>
      <c r="S788" s="18">
        <v>1</v>
      </c>
      <c r="T788" s="18">
        <v>145.29</v>
      </c>
    </row>
    <row r="789" spans="1:20" x14ac:dyDescent="0.3">
      <c r="A789" s="18">
        <v>50788</v>
      </c>
      <c r="B789" s="18">
        <v>0</v>
      </c>
      <c r="C789" s="18">
        <v>1</v>
      </c>
      <c r="D789" s="18" t="s">
        <v>36</v>
      </c>
      <c r="E789" s="18">
        <v>2</v>
      </c>
      <c r="F789" s="18">
        <v>5</v>
      </c>
      <c r="G789" s="18" t="s">
        <v>39</v>
      </c>
      <c r="H789" s="18" t="s">
        <v>33</v>
      </c>
      <c r="I789" s="18">
        <v>2.5</v>
      </c>
      <c r="J789" s="18">
        <v>3</v>
      </c>
      <c r="K789" s="18" t="s">
        <v>36</v>
      </c>
      <c r="L789" s="18">
        <v>3</v>
      </c>
      <c r="M789" s="18" t="s">
        <v>41</v>
      </c>
      <c r="N789" s="18">
        <v>3</v>
      </c>
      <c r="O789" s="18">
        <v>1</v>
      </c>
      <c r="P789" s="18">
        <v>18.399999999999999</v>
      </c>
      <c r="Q789" s="18">
        <v>3</v>
      </c>
      <c r="R789" s="18">
        <v>2</v>
      </c>
      <c r="S789" s="18">
        <v>4</v>
      </c>
      <c r="T789" s="18">
        <v>225.14</v>
      </c>
    </row>
    <row r="790" spans="1:20" x14ac:dyDescent="0.3">
      <c r="A790" s="18">
        <v>50789</v>
      </c>
      <c r="B790" s="18">
        <v>0</v>
      </c>
      <c r="C790" s="18">
        <v>11</v>
      </c>
      <c r="D790" s="18" t="s">
        <v>31</v>
      </c>
      <c r="E790" s="18">
        <v>1</v>
      </c>
      <c r="F790" s="18">
        <v>18</v>
      </c>
      <c r="G790" s="18" t="s">
        <v>47</v>
      </c>
      <c r="H790" s="18" t="s">
        <v>38</v>
      </c>
      <c r="I790" s="18">
        <v>2.6</v>
      </c>
      <c r="J790" s="18">
        <v>5</v>
      </c>
      <c r="K790" s="18" t="s">
        <v>36</v>
      </c>
      <c r="L790" s="18">
        <v>2</v>
      </c>
      <c r="M790" s="18" t="s">
        <v>41</v>
      </c>
      <c r="N790" s="18">
        <v>4</v>
      </c>
      <c r="O790" s="18">
        <v>0</v>
      </c>
      <c r="P790" s="18">
        <v>20.3</v>
      </c>
      <c r="Q790" s="18">
        <v>2</v>
      </c>
      <c r="R790" s="18">
        <v>7</v>
      </c>
      <c r="S790" s="18">
        <v>1</v>
      </c>
      <c r="T790" s="18">
        <v>208.78</v>
      </c>
    </row>
    <row r="791" spans="1:20" x14ac:dyDescent="0.3">
      <c r="A791" s="18">
        <v>50790</v>
      </c>
      <c r="B791" s="18">
        <v>0</v>
      </c>
      <c r="C791" s="18">
        <v>5</v>
      </c>
      <c r="D791" s="18" t="s">
        <v>36</v>
      </c>
      <c r="E791" s="18">
        <v>1</v>
      </c>
      <c r="F791" s="18">
        <v>10</v>
      </c>
      <c r="G791" s="18" t="s">
        <v>39</v>
      </c>
      <c r="H791" s="18" t="s">
        <v>38</v>
      </c>
      <c r="I791" s="18"/>
      <c r="J791" s="18">
        <v>3</v>
      </c>
      <c r="K791" s="18" t="s">
        <v>40</v>
      </c>
      <c r="L791" s="18">
        <v>4</v>
      </c>
      <c r="M791" s="18" t="s">
        <v>41</v>
      </c>
      <c r="N791" s="18">
        <v>5</v>
      </c>
      <c r="O791" s="18">
        <v>0</v>
      </c>
      <c r="P791" s="18">
        <v>12.4</v>
      </c>
      <c r="Q791" s="18">
        <v>0</v>
      </c>
      <c r="R791" s="18">
        <v>5</v>
      </c>
      <c r="S791" s="18">
        <v>1</v>
      </c>
      <c r="T791" s="18">
        <v>142.66999999999999</v>
      </c>
    </row>
    <row r="792" spans="1:20" x14ac:dyDescent="0.3">
      <c r="A792" s="18">
        <v>50791</v>
      </c>
      <c r="B792" s="18">
        <v>0</v>
      </c>
      <c r="C792" s="18">
        <v>5</v>
      </c>
      <c r="D792" s="18" t="s">
        <v>36</v>
      </c>
      <c r="E792" s="18">
        <v>2</v>
      </c>
      <c r="F792" s="18">
        <v>17</v>
      </c>
      <c r="G792" s="18" t="s">
        <v>37</v>
      </c>
      <c r="H792" s="18" t="s">
        <v>38</v>
      </c>
      <c r="I792" s="18">
        <v>3.4</v>
      </c>
      <c r="J792" s="18">
        <v>3</v>
      </c>
      <c r="K792" s="18" t="s">
        <v>40</v>
      </c>
      <c r="L792" s="18">
        <v>5</v>
      </c>
      <c r="M792" s="18" t="s">
        <v>41</v>
      </c>
      <c r="N792" s="18">
        <v>3</v>
      </c>
      <c r="O792" s="18">
        <v>0</v>
      </c>
      <c r="P792" s="18">
        <v>14.9</v>
      </c>
      <c r="Q792" s="18">
        <v>4</v>
      </c>
      <c r="R792" s="18">
        <v>5</v>
      </c>
      <c r="S792" s="18">
        <v>0</v>
      </c>
      <c r="T792" s="18">
        <v>224.31</v>
      </c>
    </row>
    <row r="793" spans="1:20" x14ac:dyDescent="0.3">
      <c r="A793" s="18">
        <v>50792</v>
      </c>
      <c r="B793" s="18">
        <v>0</v>
      </c>
      <c r="C793" s="18">
        <v>12</v>
      </c>
      <c r="D793" s="18" t="s">
        <v>36</v>
      </c>
      <c r="E793" s="18">
        <v>1</v>
      </c>
      <c r="F793" s="18">
        <v>7</v>
      </c>
      <c r="G793" s="18" t="s">
        <v>32</v>
      </c>
      <c r="H793" s="18" t="s">
        <v>38</v>
      </c>
      <c r="I793" s="18">
        <v>2.9</v>
      </c>
      <c r="J793" s="18">
        <v>3</v>
      </c>
      <c r="K793" s="18" t="s">
        <v>36</v>
      </c>
      <c r="L793" s="18">
        <v>4</v>
      </c>
      <c r="M793" s="18" t="s">
        <v>35</v>
      </c>
      <c r="N793" s="18">
        <v>1</v>
      </c>
      <c r="O793" s="18">
        <v>1</v>
      </c>
      <c r="P793" s="18">
        <v>17.5</v>
      </c>
      <c r="Q793" s="18">
        <v>2</v>
      </c>
      <c r="R793" s="18">
        <v>5</v>
      </c>
      <c r="S793" s="18">
        <v>4</v>
      </c>
      <c r="T793" s="18">
        <v>170.96</v>
      </c>
    </row>
    <row r="794" spans="1:20" x14ac:dyDescent="0.3">
      <c r="A794" s="18">
        <v>50793</v>
      </c>
      <c r="B794" s="18">
        <v>0</v>
      </c>
      <c r="C794" s="18">
        <v>11</v>
      </c>
      <c r="D794" s="18" t="s">
        <v>42</v>
      </c>
      <c r="E794" s="18">
        <v>1</v>
      </c>
      <c r="F794" s="18">
        <v>16</v>
      </c>
      <c r="G794" s="18" t="s">
        <v>32</v>
      </c>
      <c r="H794" s="18" t="s">
        <v>33</v>
      </c>
      <c r="I794" s="18">
        <v>2.5</v>
      </c>
      <c r="J794" s="18">
        <v>2</v>
      </c>
      <c r="K794" s="18" t="s">
        <v>44</v>
      </c>
      <c r="L794" s="18">
        <v>1</v>
      </c>
      <c r="M794" s="18" t="s">
        <v>41</v>
      </c>
      <c r="N794" s="18">
        <v>7</v>
      </c>
      <c r="O794" s="18">
        <v>0</v>
      </c>
      <c r="P794" s="18">
        <v>20.100000000000001</v>
      </c>
      <c r="Q794" s="18">
        <v>4</v>
      </c>
      <c r="R794" s="18">
        <v>5</v>
      </c>
      <c r="S794" s="18">
        <v>0</v>
      </c>
      <c r="T794" s="18">
        <v>228.14</v>
      </c>
    </row>
    <row r="795" spans="1:20" x14ac:dyDescent="0.3">
      <c r="A795" s="18">
        <v>50794</v>
      </c>
      <c r="B795" s="18">
        <v>0</v>
      </c>
      <c r="C795" s="18">
        <v>47</v>
      </c>
      <c r="D795" s="18" t="s">
        <v>36</v>
      </c>
      <c r="E795" s="18">
        <v>3</v>
      </c>
      <c r="F795" s="18"/>
      <c r="G795" s="18" t="s">
        <v>37</v>
      </c>
      <c r="H795" s="18" t="s">
        <v>33</v>
      </c>
      <c r="I795" s="18">
        <v>2</v>
      </c>
      <c r="J795" s="18">
        <v>5</v>
      </c>
      <c r="K795" s="18" t="s">
        <v>34</v>
      </c>
      <c r="L795" s="18">
        <v>1</v>
      </c>
      <c r="M795" s="18" t="s">
        <v>41</v>
      </c>
      <c r="N795" s="18">
        <v>4</v>
      </c>
      <c r="O795" s="18">
        <v>1</v>
      </c>
      <c r="P795" s="18">
        <v>15.5</v>
      </c>
      <c r="Q795" s="18"/>
      <c r="R795" s="18">
        <v>2</v>
      </c>
      <c r="S795" s="18">
        <v>0</v>
      </c>
      <c r="T795" s="18">
        <v>287.85000000000002</v>
      </c>
    </row>
    <row r="796" spans="1:20" x14ac:dyDescent="0.3">
      <c r="A796" s="18">
        <v>50795</v>
      </c>
      <c r="B796" s="18">
        <v>0</v>
      </c>
      <c r="C796" s="18">
        <v>1</v>
      </c>
      <c r="D796" s="18" t="s">
        <v>36</v>
      </c>
      <c r="E796" s="18">
        <v>1</v>
      </c>
      <c r="F796" s="18">
        <v>19</v>
      </c>
      <c r="G796" s="18" t="s">
        <v>32</v>
      </c>
      <c r="H796" s="18" t="s">
        <v>33</v>
      </c>
      <c r="I796" s="18">
        <v>3.9</v>
      </c>
      <c r="J796" s="18">
        <v>3</v>
      </c>
      <c r="K796" s="18" t="s">
        <v>36</v>
      </c>
      <c r="L796" s="18">
        <v>3</v>
      </c>
      <c r="M796" s="18" t="s">
        <v>45</v>
      </c>
      <c r="N796" s="18">
        <v>4</v>
      </c>
      <c r="O796" s="18">
        <v>0</v>
      </c>
      <c r="P796" s="18">
        <v>15.7</v>
      </c>
      <c r="Q796" s="18">
        <v>0</v>
      </c>
      <c r="R796" s="18">
        <v>3</v>
      </c>
      <c r="S796" s="18">
        <v>0</v>
      </c>
      <c r="T796" s="18">
        <v>188.29</v>
      </c>
    </row>
    <row r="797" spans="1:20" x14ac:dyDescent="0.3">
      <c r="A797" s="18">
        <v>50796</v>
      </c>
      <c r="B797" s="18">
        <v>0</v>
      </c>
      <c r="C797" s="18">
        <v>1</v>
      </c>
      <c r="D797" s="18" t="s">
        <v>31</v>
      </c>
      <c r="E797" s="18">
        <v>3</v>
      </c>
      <c r="F797" s="18"/>
      <c r="G797" s="18" t="s">
        <v>32</v>
      </c>
      <c r="H797" s="18" t="s">
        <v>33</v>
      </c>
      <c r="I797" s="18">
        <v>3.3</v>
      </c>
      <c r="J797" s="18">
        <v>2</v>
      </c>
      <c r="K797" s="18" t="s">
        <v>36</v>
      </c>
      <c r="L797" s="18">
        <v>2</v>
      </c>
      <c r="M797" s="18" t="s">
        <v>35</v>
      </c>
      <c r="N797" s="18">
        <v>19</v>
      </c>
      <c r="O797" s="18">
        <v>1</v>
      </c>
      <c r="P797" s="18">
        <v>18.399999999999999</v>
      </c>
      <c r="Q797" s="18">
        <v>1</v>
      </c>
      <c r="R797" s="18">
        <v>6</v>
      </c>
      <c r="S797" s="18">
        <v>1</v>
      </c>
      <c r="T797" s="18">
        <v>164.54</v>
      </c>
    </row>
    <row r="798" spans="1:20" x14ac:dyDescent="0.3">
      <c r="A798" s="18">
        <v>50797</v>
      </c>
      <c r="B798" s="18">
        <v>0</v>
      </c>
      <c r="C798" s="18">
        <v>12</v>
      </c>
      <c r="D798" s="18" t="s">
        <v>31</v>
      </c>
      <c r="E798" s="18">
        <v>1</v>
      </c>
      <c r="F798" s="18">
        <v>17</v>
      </c>
      <c r="G798" s="18" t="s">
        <v>47</v>
      </c>
      <c r="H798" s="18" t="s">
        <v>33</v>
      </c>
      <c r="I798" s="18">
        <v>2.4</v>
      </c>
      <c r="J798" s="18">
        <v>3</v>
      </c>
      <c r="K798" s="18" t="s">
        <v>40</v>
      </c>
      <c r="L798" s="18">
        <v>4</v>
      </c>
      <c r="M798" s="18" t="s">
        <v>41</v>
      </c>
      <c r="N798" s="18">
        <v>5</v>
      </c>
      <c r="O798" s="18">
        <v>0</v>
      </c>
      <c r="P798" s="18">
        <v>12.1</v>
      </c>
      <c r="Q798" s="18">
        <v>4</v>
      </c>
      <c r="R798" s="18">
        <v>3</v>
      </c>
      <c r="S798" s="18">
        <v>5</v>
      </c>
      <c r="T798" s="18">
        <v>237.84</v>
      </c>
    </row>
    <row r="799" spans="1:20" x14ac:dyDescent="0.3">
      <c r="A799" s="18">
        <v>50798</v>
      </c>
      <c r="B799" s="18">
        <v>0</v>
      </c>
      <c r="C799" s="18">
        <v>8</v>
      </c>
      <c r="D799" s="18" t="s">
        <v>36</v>
      </c>
      <c r="E799" s="18">
        <v>2</v>
      </c>
      <c r="F799" s="18">
        <v>13</v>
      </c>
      <c r="G799" s="18" t="s">
        <v>39</v>
      </c>
      <c r="H799" s="18" t="s">
        <v>33</v>
      </c>
      <c r="I799" s="18">
        <v>3.4</v>
      </c>
      <c r="J799" s="18">
        <v>1</v>
      </c>
      <c r="K799" s="18" t="s">
        <v>40</v>
      </c>
      <c r="L799" s="18">
        <v>5</v>
      </c>
      <c r="M799" s="18" t="s">
        <v>35</v>
      </c>
      <c r="N799" s="18">
        <v>6</v>
      </c>
      <c r="O799" s="18">
        <v>0</v>
      </c>
      <c r="P799" s="18">
        <v>21.6</v>
      </c>
      <c r="Q799" s="18">
        <v>3</v>
      </c>
      <c r="R799" s="18">
        <v>6</v>
      </c>
      <c r="S799" s="18">
        <v>1</v>
      </c>
      <c r="T799" s="18">
        <v>256.82</v>
      </c>
    </row>
    <row r="800" spans="1:20" x14ac:dyDescent="0.3">
      <c r="A800" s="18">
        <v>50799</v>
      </c>
      <c r="B800" s="18">
        <v>1</v>
      </c>
      <c r="C800" s="18">
        <v>3</v>
      </c>
      <c r="D800" s="18" t="s">
        <v>36</v>
      </c>
      <c r="E800" s="18">
        <v>3</v>
      </c>
      <c r="F800" s="18">
        <v>15</v>
      </c>
      <c r="G800" s="18" t="s">
        <v>39</v>
      </c>
      <c r="H800" s="18" t="s">
        <v>33</v>
      </c>
      <c r="I800" s="18">
        <v>2.9</v>
      </c>
      <c r="J800" s="18">
        <v>3</v>
      </c>
      <c r="K800" s="18" t="s">
        <v>44</v>
      </c>
      <c r="L800" s="18">
        <v>3</v>
      </c>
      <c r="M800" s="18" t="s">
        <v>45</v>
      </c>
      <c r="N800" s="18">
        <v>10</v>
      </c>
      <c r="O800" s="18">
        <v>1</v>
      </c>
      <c r="P800" s="18">
        <v>12.9</v>
      </c>
      <c r="Q800" s="18">
        <v>0</v>
      </c>
      <c r="R800" s="18">
        <v>3</v>
      </c>
      <c r="S800" s="18">
        <v>10</v>
      </c>
      <c r="T800" s="18">
        <v>131.41999999999999</v>
      </c>
    </row>
    <row r="801" spans="1:20" x14ac:dyDescent="0.3">
      <c r="A801" s="18">
        <v>50800</v>
      </c>
      <c r="B801" s="18">
        <v>0</v>
      </c>
      <c r="C801" s="18">
        <v>0</v>
      </c>
      <c r="D801" s="18" t="s">
        <v>36</v>
      </c>
      <c r="E801" s="18">
        <v>1</v>
      </c>
      <c r="F801" s="18">
        <v>12</v>
      </c>
      <c r="G801" s="18" t="s">
        <v>39</v>
      </c>
      <c r="H801" s="18" t="s">
        <v>33</v>
      </c>
      <c r="I801" s="18">
        <v>2.7</v>
      </c>
      <c r="J801" s="18">
        <v>2</v>
      </c>
      <c r="K801" s="18" t="s">
        <v>46</v>
      </c>
      <c r="L801" s="18">
        <v>3</v>
      </c>
      <c r="M801" s="18" t="s">
        <v>41</v>
      </c>
      <c r="N801" s="18">
        <v>1</v>
      </c>
      <c r="O801" s="18">
        <v>1</v>
      </c>
      <c r="P801" s="18">
        <v>11</v>
      </c>
      <c r="Q801" s="18">
        <v>5</v>
      </c>
      <c r="R801" s="18">
        <v>1</v>
      </c>
      <c r="S801" s="18">
        <v>1</v>
      </c>
      <c r="T801" s="18">
        <v>155.09</v>
      </c>
    </row>
    <row r="802" spans="1:20" x14ac:dyDescent="0.3">
      <c r="A802" s="18">
        <v>50801</v>
      </c>
      <c r="B802" s="18">
        <v>0</v>
      </c>
      <c r="C802" s="18">
        <v>0</v>
      </c>
      <c r="D802" s="18" t="s">
        <v>42</v>
      </c>
      <c r="E802" s="18">
        <v>1</v>
      </c>
      <c r="F802" s="18"/>
      <c r="G802" s="18" t="s">
        <v>39</v>
      </c>
      <c r="H802" s="18" t="s">
        <v>38</v>
      </c>
      <c r="I802" s="18">
        <v>3.2</v>
      </c>
      <c r="J802" s="18">
        <v>4</v>
      </c>
      <c r="K802" s="18" t="s">
        <v>44</v>
      </c>
      <c r="L802" s="18">
        <v>2</v>
      </c>
      <c r="M802" s="18" t="s">
        <v>35</v>
      </c>
      <c r="N802" s="18">
        <v>2</v>
      </c>
      <c r="O802" s="18">
        <v>1</v>
      </c>
      <c r="P802" s="18"/>
      <c r="Q802" s="18">
        <v>1</v>
      </c>
      <c r="R802" s="18">
        <v>4</v>
      </c>
      <c r="S802" s="18">
        <v>2</v>
      </c>
      <c r="T802" s="18">
        <v>217.15</v>
      </c>
    </row>
    <row r="803" spans="1:20" x14ac:dyDescent="0.3">
      <c r="A803" s="18">
        <v>50802</v>
      </c>
      <c r="B803" s="18">
        <v>0</v>
      </c>
      <c r="C803" s="18">
        <v>22</v>
      </c>
      <c r="D803" s="18" t="s">
        <v>36</v>
      </c>
      <c r="E803" s="18">
        <v>1</v>
      </c>
      <c r="F803" s="18">
        <v>16</v>
      </c>
      <c r="G803" s="18" t="s">
        <v>39</v>
      </c>
      <c r="H803" s="18" t="s">
        <v>33</v>
      </c>
      <c r="I803" s="18">
        <v>2.4</v>
      </c>
      <c r="J803" s="18">
        <v>3</v>
      </c>
      <c r="K803" s="18" t="s">
        <v>44</v>
      </c>
      <c r="L803" s="18">
        <v>5</v>
      </c>
      <c r="M803" s="18" t="s">
        <v>35</v>
      </c>
      <c r="N803" s="18">
        <v>3</v>
      </c>
      <c r="O803" s="18">
        <v>0</v>
      </c>
      <c r="P803" s="18">
        <v>21.9</v>
      </c>
      <c r="Q803" s="18">
        <v>0</v>
      </c>
      <c r="R803" s="18">
        <v>5</v>
      </c>
      <c r="S803" s="18">
        <v>1</v>
      </c>
      <c r="T803" s="18">
        <v>172.74</v>
      </c>
    </row>
    <row r="804" spans="1:20" x14ac:dyDescent="0.3">
      <c r="A804" s="18">
        <v>50803</v>
      </c>
      <c r="B804" s="18">
        <v>0</v>
      </c>
      <c r="C804" s="18">
        <v>2</v>
      </c>
      <c r="D804" s="18" t="s">
        <v>36</v>
      </c>
      <c r="E804" s="18">
        <v>1</v>
      </c>
      <c r="F804" s="18">
        <v>7</v>
      </c>
      <c r="G804" s="18" t="s">
        <v>39</v>
      </c>
      <c r="H804" s="18" t="s">
        <v>33</v>
      </c>
      <c r="I804" s="18">
        <v>2.7</v>
      </c>
      <c r="J804" s="18">
        <v>4</v>
      </c>
      <c r="K804" s="18" t="s">
        <v>36</v>
      </c>
      <c r="L804" s="18">
        <v>3</v>
      </c>
      <c r="M804" s="18" t="s">
        <v>41</v>
      </c>
      <c r="N804" s="18">
        <v>1</v>
      </c>
      <c r="O804" s="18">
        <v>0</v>
      </c>
      <c r="P804" s="18">
        <v>18.100000000000001</v>
      </c>
      <c r="Q804" s="18">
        <v>4</v>
      </c>
      <c r="R804" s="18">
        <v>2</v>
      </c>
      <c r="S804" s="18">
        <v>1</v>
      </c>
      <c r="T804" s="18">
        <v>127.51</v>
      </c>
    </row>
    <row r="805" spans="1:20" x14ac:dyDescent="0.3">
      <c r="A805" s="18">
        <v>50804</v>
      </c>
      <c r="B805" s="18">
        <v>1</v>
      </c>
      <c r="C805" s="18">
        <v>3</v>
      </c>
      <c r="D805" s="18" t="s">
        <v>36</v>
      </c>
      <c r="E805" s="18">
        <v>3</v>
      </c>
      <c r="F805" s="18">
        <v>6</v>
      </c>
      <c r="G805" s="18" t="s">
        <v>37</v>
      </c>
      <c r="H805" s="18" t="s">
        <v>33</v>
      </c>
      <c r="I805" s="18">
        <v>3</v>
      </c>
      <c r="J805" s="18">
        <v>5</v>
      </c>
      <c r="K805" s="18" t="s">
        <v>40</v>
      </c>
      <c r="L805" s="18">
        <v>4</v>
      </c>
      <c r="M805" s="18" t="s">
        <v>35</v>
      </c>
      <c r="N805" s="18">
        <v>6</v>
      </c>
      <c r="O805" s="18">
        <v>0</v>
      </c>
      <c r="P805" s="18">
        <v>18.600000000000001</v>
      </c>
      <c r="Q805" s="18">
        <v>2</v>
      </c>
      <c r="R805" s="18">
        <v>2</v>
      </c>
      <c r="S805" s="18">
        <v>0</v>
      </c>
      <c r="T805" s="18">
        <v>209.74</v>
      </c>
    </row>
    <row r="806" spans="1:20" x14ac:dyDescent="0.3">
      <c r="A806" s="18">
        <v>50805</v>
      </c>
      <c r="B806" s="18">
        <v>0</v>
      </c>
      <c r="C806" s="18">
        <v>2</v>
      </c>
      <c r="D806" s="18" t="s">
        <v>36</v>
      </c>
      <c r="E806" s="18">
        <v>3</v>
      </c>
      <c r="F806" s="18">
        <v>5</v>
      </c>
      <c r="G806" s="18" t="s">
        <v>43</v>
      </c>
      <c r="H806" s="18" t="s">
        <v>38</v>
      </c>
      <c r="I806" s="18">
        <v>2.6</v>
      </c>
      <c r="J806" s="18">
        <v>4</v>
      </c>
      <c r="K806" s="18" t="s">
        <v>34</v>
      </c>
      <c r="L806" s="18">
        <v>3</v>
      </c>
      <c r="M806" s="18" t="s">
        <v>45</v>
      </c>
      <c r="N806" s="18">
        <v>5</v>
      </c>
      <c r="O806" s="18">
        <v>0</v>
      </c>
      <c r="P806" s="18">
        <v>16.100000000000001</v>
      </c>
      <c r="Q806" s="18">
        <v>1</v>
      </c>
      <c r="R806" s="18">
        <v>5</v>
      </c>
      <c r="S806" s="18">
        <v>1</v>
      </c>
      <c r="T806" s="18">
        <v>216.93</v>
      </c>
    </row>
    <row r="807" spans="1:20" x14ac:dyDescent="0.3">
      <c r="A807" s="18">
        <v>50806</v>
      </c>
      <c r="B807" s="18">
        <v>0</v>
      </c>
      <c r="C807" s="18">
        <v>4</v>
      </c>
      <c r="D807" s="18" t="s">
        <v>31</v>
      </c>
      <c r="E807" s="18">
        <v>1</v>
      </c>
      <c r="F807" s="18">
        <v>5</v>
      </c>
      <c r="G807" s="18" t="s">
        <v>39</v>
      </c>
      <c r="H807" s="18" t="s">
        <v>33</v>
      </c>
      <c r="I807" s="18">
        <v>3.4</v>
      </c>
      <c r="J807" s="18">
        <v>3</v>
      </c>
      <c r="K807" s="18" t="s">
        <v>46</v>
      </c>
      <c r="L807" s="18">
        <v>4</v>
      </c>
      <c r="M807" s="18" t="s">
        <v>45</v>
      </c>
      <c r="N807" s="18">
        <v>4</v>
      </c>
      <c r="O807" s="18">
        <v>1</v>
      </c>
      <c r="P807" s="18">
        <v>15.5</v>
      </c>
      <c r="Q807" s="18">
        <v>4</v>
      </c>
      <c r="R807" s="18">
        <v>4</v>
      </c>
      <c r="S807" s="18">
        <v>9</v>
      </c>
      <c r="T807" s="18">
        <v>161.61000000000001</v>
      </c>
    </row>
    <row r="808" spans="1:20" x14ac:dyDescent="0.3">
      <c r="A808" s="18">
        <v>50807</v>
      </c>
      <c r="B808" s="18">
        <v>0</v>
      </c>
      <c r="C808" s="18">
        <v>0</v>
      </c>
      <c r="D808" s="18" t="s">
        <v>36</v>
      </c>
      <c r="E808" s="18">
        <v>1</v>
      </c>
      <c r="F808" s="18">
        <v>5</v>
      </c>
      <c r="G808" s="18" t="s">
        <v>47</v>
      </c>
      <c r="H808" s="18" t="s">
        <v>33</v>
      </c>
      <c r="I808" s="18">
        <v>4.2</v>
      </c>
      <c r="J808" s="18">
        <v>3</v>
      </c>
      <c r="K808" s="18" t="s">
        <v>34</v>
      </c>
      <c r="L808" s="18">
        <v>3</v>
      </c>
      <c r="M808" s="18" t="s">
        <v>41</v>
      </c>
      <c r="N808" s="18">
        <v>20</v>
      </c>
      <c r="O808" s="18">
        <v>0</v>
      </c>
      <c r="P808" s="18">
        <v>11</v>
      </c>
      <c r="Q808" s="18">
        <v>0</v>
      </c>
      <c r="R808" s="18">
        <v>4</v>
      </c>
      <c r="S808" s="18">
        <v>5</v>
      </c>
      <c r="T808" s="18">
        <v>183.37</v>
      </c>
    </row>
    <row r="809" spans="1:20" x14ac:dyDescent="0.3">
      <c r="A809" s="18">
        <v>50808</v>
      </c>
      <c r="B809" s="18">
        <v>1</v>
      </c>
      <c r="C809" s="18">
        <v>7</v>
      </c>
      <c r="D809" s="18" t="s">
        <v>36</v>
      </c>
      <c r="E809" s="18">
        <v>1</v>
      </c>
      <c r="F809" s="18">
        <v>16</v>
      </c>
      <c r="G809" s="18" t="s">
        <v>47</v>
      </c>
      <c r="H809" s="18" t="s">
        <v>38</v>
      </c>
      <c r="I809" s="18">
        <v>2.4</v>
      </c>
      <c r="J809" s="18">
        <v>2</v>
      </c>
      <c r="K809" s="18" t="s">
        <v>44</v>
      </c>
      <c r="L809" s="18">
        <v>3</v>
      </c>
      <c r="M809" s="18" t="s">
        <v>41</v>
      </c>
      <c r="N809" s="18">
        <v>1</v>
      </c>
      <c r="O809" s="18">
        <v>0</v>
      </c>
      <c r="P809" s="18">
        <v>11</v>
      </c>
      <c r="Q809" s="18">
        <v>3</v>
      </c>
      <c r="R809" s="18">
        <v>4</v>
      </c>
      <c r="S809" s="18">
        <v>10</v>
      </c>
      <c r="T809" s="18">
        <v>148.29</v>
      </c>
    </row>
    <row r="810" spans="1:20" x14ac:dyDescent="0.3">
      <c r="A810" s="18">
        <v>50809</v>
      </c>
      <c r="B810" s="18">
        <v>0</v>
      </c>
      <c r="C810" s="18">
        <v>0</v>
      </c>
      <c r="D810" s="18" t="s">
        <v>36</v>
      </c>
      <c r="E810" s="18">
        <v>3</v>
      </c>
      <c r="F810" s="18">
        <v>7</v>
      </c>
      <c r="G810" s="18" t="s">
        <v>39</v>
      </c>
      <c r="H810" s="18" t="s">
        <v>33</v>
      </c>
      <c r="I810" s="18">
        <v>1.7</v>
      </c>
      <c r="J810" s="18">
        <v>3</v>
      </c>
      <c r="K810" s="18" t="s">
        <v>44</v>
      </c>
      <c r="L810" s="18">
        <v>4</v>
      </c>
      <c r="M810" s="18" t="s">
        <v>45</v>
      </c>
      <c r="N810" s="18">
        <v>4</v>
      </c>
      <c r="O810" s="18">
        <v>0</v>
      </c>
      <c r="P810" s="18">
        <v>16.7</v>
      </c>
      <c r="Q810" s="18">
        <v>0</v>
      </c>
      <c r="R810" s="18">
        <v>3</v>
      </c>
      <c r="S810" s="18">
        <v>0</v>
      </c>
      <c r="T810" s="18">
        <v>119.76</v>
      </c>
    </row>
    <row r="811" spans="1:20" x14ac:dyDescent="0.3">
      <c r="A811" s="18">
        <v>50810</v>
      </c>
      <c r="B811" s="18">
        <v>0</v>
      </c>
      <c r="C811" s="18">
        <v>16</v>
      </c>
      <c r="D811" s="18" t="s">
        <v>36</v>
      </c>
      <c r="E811" s="18">
        <v>1</v>
      </c>
      <c r="F811" s="18">
        <v>19</v>
      </c>
      <c r="G811" s="18" t="s">
        <v>43</v>
      </c>
      <c r="H811" s="18" t="s">
        <v>38</v>
      </c>
      <c r="I811" s="18">
        <v>1.5</v>
      </c>
      <c r="J811" s="18">
        <v>2</v>
      </c>
      <c r="K811" s="18" t="s">
        <v>36</v>
      </c>
      <c r="L811" s="18">
        <v>4</v>
      </c>
      <c r="M811" s="18" t="s">
        <v>35</v>
      </c>
      <c r="N811" s="18">
        <v>2</v>
      </c>
      <c r="O811" s="18">
        <v>0</v>
      </c>
      <c r="P811" s="18">
        <v>20.6</v>
      </c>
      <c r="Q811" s="18">
        <v>1</v>
      </c>
      <c r="R811" s="18">
        <v>3</v>
      </c>
      <c r="S811" s="18">
        <v>3</v>
      </c>
      <c r="T811" s="18">
        <v>152.66</v>
      </c>
    </row>
    <row r="812" spans="1:20" x14ac:dyDescent="0.3">
      <c r="A812" s="18">
        <v>50811</v>
      </c>
      <c r="B812" s="18">
        <v>0</v>
      </c>
      <c r="C812" s="18">
        <v>2</v>
      </c>
      <c r="D812" s="18" t="s">
        <v>36</v>
      </c>
      <c r="E812" s="18">
        <v>2</v>
      </c>
      <c r="F812" s="18">
        <v>15</v>
      </c>
      <c r="G812" s="18" t="s">
        <v>37</v>
      </c>
      <c r="H812" s="18" t="s">
        <v>33</v>
      </c>
      <c r="I812" s="18">
        <v>2.8</v>
      </c>
      <c r="J812" s="18">
        <v>4</v>
      </c>
      <c r="K812" s="18" t="s">
        <v>44</v>
      </c>
      <c r="L812" s="18">
        <v>3</v>
      </c>
      <c r="M812" s="18" t="s">
        <v>41</v>
      </c>
      <c r="N812" s="18">
        <v>1</v>
      </c>
      <c r="O812" s="18">
        <v>1</v>
      </c>
      <c r="P812" s="18">
        <v>17.2</v>
      </c>
      <c r="Q812" s="18">
        <v>2</v>
      </c>
      <c r="R812" s="18">
        <v>4</v>
      </c>
      <c r="S812" s="18">
        <v>1</v>
      </c>
      <c r="T812" s="18">
        <v>184.07</v>
      </c>
    </row>
    <row r="813" spans="1:20" x14ac:dyDescent="0.3">
      <c r="A813" s="18">
        <v>50812</v>
      </c>
      <c r="B813" s="18">
        <v>0</v>
      </c>
      <c r="C813" s="18">
        <v>7</v>
      </c>
      <c r="D813" s="18" t="s">
        <v>42</v>
      </c>
      <c r="E813" s="18">
        <v>2</v>
      </c>
      <c r="F813" s="18">
        <v>5</v>
      </c>
      <c r="G813" s="18" t="s">
        <v>37</v>
      </c>
      <c r="H813" s="18" t="s">
        <v>33</v>
      </c>
      <c r="I813" s="18">
        <v>2.4</v>
      </c>
      <c r="J813" s="18">
        <v>6</v>
      </c>
      <c r="K813" s="18" t="s">
        <v>46</v>
      </c>
      <c r="L813" s="18">
        <v>2</v>
      </c>
      <c r="M813" s="18" t="s">
        <v>35</v>
      </c>
      <c r="N813" s="18">
        <v>1</v>
      </c>
      <c r="O813" s="18">
        <v>0</v>
      </c>
      <c r="P813" s="18">
        <v>18.2</v>
      </c>
      <c r="Q813" s="18">
        <v>0</v>
      </c>
      <c r="R813" s="18">
        <v>3</v>
      </c>
      <c r="S813" s="18">
        <v>6</v>
      </c>
      <c r="T813" s="18">
        <v>98.87</v>
      </c>
    </row>
    <row r="814" spans="1:20" x14ac:dyDescent="0.3">
      <c r="A814" s="18">
        <v>50813</v>
      </c>
      <c r="B814" s="18">
        <v>0</v>
      </c>
      <c r="C814" s="18">
        <v>21</v>
      </c>
      <c r="D814" s="18" t="s">
        <v>31</v>
      </c>
      <c r="E814" s="18">
        <v>2</v>
      </c>
      <c r="F814" s="18">
        <v>20</v>
      </c>
      <c r="G814" s="18" t="s">
        <v>32</v>
      </c>
      <c r="H814" s="18" t="s">
        <v>33</v>
      </c>
      <c r="I814" s="18">
        <v>3</v>
      </c>
      <c r="J814" s="18">
        <v>4</v>
      </c>
      <c r="K814" s="18" t="s">
        <v>40</v>
      </c>
      <c r="L814" s="18">
        <v>3</v>
      </c>
      <c r="M814" s="18" t="s">
        <v>41</v>
      </c>
      <c r="N814" s="18">
        <v>7</v>
      </c>
      <c r="O814" s="18">
        <v>0</v>
      </c>
      <c r="P814" s="18">
        <v>21.5</v>
      </c>
      <c r="Q814" s="18">
        <v>2</v>
      </c>
      <c r="R814" s="18">
        <v>5</v>
      </c>
      <c r="S814" s="18">
        <v>17</v>
      </c>
      <c r="T814" s="18">
        <v>156.68</v>
      </c>
    </row>
    <row r="815" spans="1:20" x14ac:dyDescent="0.3">
      <c r="A815" s="18">
        <v>50814</v>
      </c>
      <c r="B815" s="18">
        <v>0</v>
      </c>
      <c r="C815" s="18">
        <v>10</v>
      </c>
      <c r="D815" s="18" t="s">
        <v>42</v>
      </c>
      <c r="E815" s="18">
        <v>1</v>
      </c>
      <c r="F815" s="18">
        <v>21</v>
      </c>
      <c r="G815" s="18" t="s">
        <v>39</v>
      </c>
      <c r="H815" s="18" t="s">
        <v>38</v>
      </c>
      <c r="I815" s="18">
        <v>3</v>
      </c>
      <c r="J815" s="18">
        <v>1</v>
      </c>
      <c r="K815" s="18" t="s">
        <v>34</v>
      </c>
      <c r="L815" s="18">
        <v>3</v>
      </c>
      <c r="M815" s="18" t="s">
        <v>41</v>
      </c>
      <c r="N815" s="18">
        <v>3</v>
      </c>
      <c r="O815" s="18">
        <v>1</v>
      </c>
      <c r="P815" s="18">
        <v>17.2</v>
      </c>
      <c r="Q815" s="18">
        <v>2</v>
      </c>
      <c r="R815" s="18">
        <v>3</v>
      </c>
      <c r="S815" s="18">
        <v>8</v>
      </c>
      <c r="T815" s="18">
        <v>184.83</v>
      </c>
    </row>
    <row r="816" spans="1:20" x14ac:dyDescent="0.3">
      <c r="A816" s="18">
        <v>50815</v>
      </c>
      <c r="B816" s="18">
        <v>0</v>
      </c>
      <c r="C816" s="18">
        <v>7</v>
      </c>
      <c r="D816" s="18" t="s">
        <v>42</v>
      </c>
      <c r="E816" s="18">
        <v>3</v>
      </c>
      <c r="F816" s="18">
        <v>7</v>
      </c>
      <c r="G816" s="18" t="s">
        <v>47</v>
      </c>
      <c r="H816" s="18" t="s">
        <v>33</v>
      </c>
      <c r="I816" s="18">
        <v>1.8</v>
      </c>
      <c r="J816" s="18">
        <v>3</v>
      </c>
      <c r="K816" s="18" t="s">
        <v>44</v>
      </c>
      <c r="L816" s="18">
        <v>4</v>
      </c>
      <c r="M816" s="18" t="s">
        <v>35</v>
      </c>
      <c r="N816" s="18">
        <v>6</v>
      </c>
      <c r="O816" s="18">
        <v>0</v>
      </c>
      <c r="P816" s="18">
        <v>15.6</v>
      </c>
      <c r="Q816" s="18">
        <v>1</v>
      </c>
      <c r="R816" s="18">
        <v>4</v>
      </c>
      <c r="S816" s="18">
        <v>0</v>
      </c>
      <c r="T816" s="18">
        <v>245.71</v>
      </c>
    </row>
    <row r="817" spans="1:20" x14ac:dyDescent="0.3">
      <c r="A817" s="18">
        <v>50816</v>
      </c>
      <c r="B817" s="18">
        <v>0</v>
      </c>
      <c r="C817" s="18">
        <v>3</v>
      </c>
      <c r="D817" s="18" t="s">
        <v>31</v>
      </c>
      <c r="E817" s="18">
        <v>1</v>
      </c>
      <c r="F817" s="18">
        <v>18</v>
      </c>
      <c r="G817" s="18" t="s">
        <v>39</v>
      </c>
      <c r="H817" s="18" t="s">
        <v>33</v>
      </c>
      <c r="I817" s="18">
        <v>1.6</v>
      </c>
      <c r="J817" s="18">
        <v>3</v>
      </c>
      <c r="K817" s="18" t="s">
        <v>36</v>
      </c>
      <c r="L817" s="18">
        <v>5</v>
      </c>
      <c r="M817" s="18" t="s">
        <v>41</v>
      </c>
      <c r="N817" s="18">
        <v>2</v>
      </c>
      <c r="O817" s="18">
        <v>0</v>
      </c>
      <c r="P817" s="18">
        <v>13.1</v>
      </c>
      <c r="Q817" s="18">
        <v>4</v>
      </c>
      <c r="R817" s="18">
        <v>2</v>
      </c>
      <c r="S817" s="18">
        <v>1</v>
      </c>
      <c r="T817" s="18">
        <v>162.81</v>
      </c>
    </row>
    <row r="818" spans="1:20" x14ac:dyDescent="0.3">
      <c r="A818" s="18">
        <v>50817</v>
      </c>
      <c r="B818" s="18">
        <v>1</v>
      </c>
      <c r="C818" s="18">
        <v>4</v>
      </c>
      <c r="D818" s="18" t="s">
        <v>36</v>
      </c>
      <c r="E818" s="18">
        <v>1</v>
      </c>
      <c r="F818" s="18"/>
      <c r="G818" s="18" t="s">
        <v>32</v>
      </c>
      <c r="H818" s="18" t="s">
        <v>33</v>
      </c>
      <c r="I818" s="18">
        <v>3.1</v>
      </c>
      <c r="J818" s="18">
        <v>3</v>
      </c>
      <c r="K818" s="18" t="s">
        <v>36</v>
      </c>
      <c r="L818" s="18">
        <v>1</v>
      </c>
      <c r="M818" s="18" t="s">
        <v>41</v>
      </c>
      <c r="N818" s="18">
        <v>1</v>
      </c>
      <c r="O818" s="18">
        <v>0</v>
      </c>
      <c r="P818" s="18">
        <v>23.1</v>
      </c>
      <c r="Q818" s="18">
        <v>3</v>
      </c>
      <c r="R818" s="18">
        <v>5</v>
      </c>
      <c r="S818" s="18"/>
      <c r="T818" s="18">
        <v>111.48</v>
      </c>
    </row>
    <row r="819" spans="1:20" x14ac:dyDescent="0.3">
      <c r="A819" s="18">
        <v>50818</v>
      </c>
      <c r="B819" s="18">
        <v>0</v>
      </c>
      <c r="C819" s="18">
        <v>11</v>
      </c>
      <c r="D819" s="18" t="s">
        <v>31</v>
      </c>
      <c r="E819" s="18">
        <v>3</v>
      </c>
      <c r="F819" s="18">
        <v>15</v>
      </c>
      <c r="G819" s="18" t="s">
        <v>37</v>
      </c>
      <c r="H819" s="18" t="s">
        <v>33</v>
      </c>
      <c r="I819" s="18">
        <v>3</v>
      </c>
      <c r="J819" s="18">
        <v>2</v>
      </c>
      <c r="K819" s="18" t="s">
        <v>44</v>
      </c>
      <c r="L819" s="18">
        <v>2</v>
      </c>
      <c r="M819" s="18" t="s">
        <v>41</v>
      </c>
      <c r="N819" s="18">
        <v>1</v>
      </c>
      <c r="O819" s="18">
        <v>0</v>
      </c>
      <c r="P819" s="18">
        <v>17.8</v>
      </c>
      <c r="Q819" s="18">
        <v>1</v>
      </c>
      <c r="R819" s="18">
        <v>3</v>
      </c>
      <c r="S819" s="18">
        <v>0</v>
      </c>
      <c r="T819" s="18">
        <v>168.47</v>
      </c>
    </row>
    <row r="820" spans="1:20" x14ac:dyDescent="0.3">
      <c r="A820" s="18">
        <v>50819</v>
      </c>
      <c r="B820" s="18">
        <v>0</v>
      </c>
      <c r="C820" s="18">
        <v>51</v>
      </c>
      <c r="D820" s="18" t="s">
        <v>42</v>
      </c>
      <c r="E820" s="18">
        <v>3</v>
      </c>
      <c r="F820" s="18">
        <v>5</v>
      </c>
      <c r="G820" s="18" t="s">
        <v>47</v>
      </c>
      <c r="H820" s="18" t="s">
        <v>33</v>
      </c>
      <c r="I820" s="18">
        <v>2.6</v>
      </c>
      <c r="J820" s="18">
        <v>3</v>
      </c>
      <c r="K820" s="18" t="s">
        <v>36</v>
      </c>
      <c r="L820" s="18">
        <v>2</v>
      </c>
      <c r="M820" s="18" t="s">
        <v>35</v>
      </c>
      <c r="N820" s="18">
        <v>1</v>
      </c>
      <c r="O820" s="18">
        <v>0</v>
      </c>
      <c r="P820" s="18">
        <v>12.7</v>
      </c>
      <c r="Q820" s="18">
        <v>1</v>
      </c>
      <c r="R820" s="18">
        <v>5</v>
      </c>
      <c r="S820" s="18">
        <v>0</v>
      </c>
      <c r="T820" s="18">
        <v>148.84</v>
      </c>
    </row>
    <row r="821" spans="1:20" x14ac:dyDescent="0.3">
      <c r="A821" s="18">
        <v>50820</v>
      </c>
      <c r="B821" s="18">
        <v>0</v>
      </c>
      <c r="C821" s="18">
        <v>10</v>
      </c>
      <c r="D821" s="18" t="s">
        <v>31</v>
      </c>
      <c r="E821" s="18">
        <v>1</v>
      </c>
      <c r="F821" s="18">
        <v>5</v>
      </c>
      <c r="G821" s="18" t="s">
        <v>39</v>
      </c>
      <c r="H821" s="18" t="s">
        <v>38</v>
      </c>
      <c r="I821" s="18">
        <v>1.7</v>
      </c>
      <c r="J821" s="18">
        <v>2</v>
      </c>
      <c r="K821" s="18" t="s">
        <v>36</v>
      </c>
      <c r="L821" s="18">
        <v>3</v>
      </c>
      <c r="M821" s="18" t="s">
        <v>41</v>
      </c>
      <c r="N821" s="18">
        <v>12</v>
      </c>
      <c r="O821" s="18">
        <v>0</v>
      </c>
      <c r="P821" s="18">
        <v>11.9</v>
      </c>
      <c r="Q821" s="18">
        <v>1</v>
      </c>
      <c r="R821" s="18">
        <v>4</v>
      </c>
      <c r="S821" s="18">
        <v>1</v>
      </c>
      <c r="T821" s="18">
        <v>210.37</v>
      </c>
    </row>
    <row r="822" spans="1:20" x14ac:dyDescent="0.3">
      <c r="A822" s="18">
        <v>50821</v>
      </c>
      <c r="B822" s="18">
        <v>0</v>
      </c>
      <c r="C822" s="18">
        <v>8</v>
      </c>
      <c r="D822" s="18" t="s">
        <v>36</v>
      </c>
      <c r="E822" s="18">
        <v>1</v>
      </c>
      <c r="F822" s="18">
        <v>11</v>
      </c>
      <c r="G822" s="18" t="s">
        <v>47</v>
      </c>
      <c r="H822" s="18" t="s">
        <v>38</v>
      </c>
      <c r="I822" s="18">
        <v>3.2</v>
      </c>
      <c r="J822" s="18">
        <v>2</v>
      </c>
      <c r="K822" s="18" t="s">
        <v>36</v>
      </c>
      <c r="L822" s="18">
        <v>3</v>
      </c>
      <c r="M822" s="18" t="s">
        <v>35</v>
      </c>
      <c r="N822" s="18">
        <v>1</v>
      </c>
      <c r="O822" s="18">
        <v>0</v>
      </c>
      <c r="P822" s="18">
        <v>20.399999999999999</v>
      </c>
      <c r="Q822" s="18">
        <v>0</v>
      </c>
      <c r="R822" s="18">
        <v>5</v>
      </c>
      <c r="S822" s="18">
        <v>1</v>
      </c>
      <c r="T822" s="18">
        <v>161.41999999999999</v>
      </c>
    </row>
    <row r="823" spans="1:20" x14ac:dyDescent="0.3">
      <c r="A823" s="18">
        <v>50822</v>
      </c>
      <c r="B823" s="18">
        <v>0</v>
      </c>
      <c r="C823" s="18">
        <v>13</v>
      </c>
      <c r="D823" s="18" t="s">
        <v>36</v>
      </c>
      <c r="E823" s="18">
        <v>1</v>
      </c>
      <c r="F823" s="18">
        <v>14</v>
      </c>
      <c r="G823" s="18" t="s">
        <v>32</v>
      </c>
      <c r="H823" s="18" t="s">
        <v>33</v>
      </c>
      <c r="I823" s="18">
        <v>3.8</v>
      </c>
      <c r="J823" s="18">
        <v>4</v>
      </c>
      <c r="K823" s="18" t="s">
        <v>36</v>
      </c>
      <c r="L823" s="18">
        <v>4</v>
      </c>
      <c r="M823" s="18" t="s">
        <v>35</v>
      </c>
      <c r="N823" s="18">
        <v>14</v>
      </c>
      <c r="O823" s="18">
        <v>0</v>
      </c>
      <c r="P823" s="18">
        <v>12.4</v>
      </c>
      <c r="Q823" s="18">
        <v>0</v>
      </c>
      <c r="R823" s="18">
        <v>6</v>
      </c>
      <c r="S823" s="18">
        <v>2</v>
      </c>
      <c r="T823" s="18">
        <v>30.92</v>
      </c>
    </row>
    <row r="824" spans="1:20" x14ac:dyDescent="0.3">
      <c r="A824" s="18">
        <v>50823</v>
      </c>
      <c r="B824" s="18">
        <v>1</v>
      </c>
      <c r="C824" s="18">
        <v>6</v>
      </c>
      <c r="D824" s="18" t="s">
        <v>42</v>
      </c>
      <c r="E824" s="18">
        <v>1</v>
      </c>
      <c r="F824" s="18"/>
      <c r="G824" s="18" t="s">
        <v>37</v>
      </c>
      <c r="H824" s="18" t="s">
        <v>33</v>
      </c>
      <c r="I824" s="18">
        <v>3.1</v>
      </c>
      <c r="J824" s="18">
        <v>2</v>
      </c>
      <c r="K824" s="18" t="s">
        <v>44</v>
      </c>
      <c r="L824" s="18">
        <v>2</v>
      </c>
      <c r="M824" s="18" t="s">
        <v>35</v>
      </c>
      <c r="N824" s="18">
        <v>13</v>
      </c>
      <c r="O824" s="18">
        <v>0</v>
      </c>
      <c r="P824" s="18">
        <v>22.5</v>
      </c>
      <c r="Q824" s="18">
        <v>2</v>
      </c>
      <c r="R824" s="18">
        <v>6</v>
      </c>
      <c r="S824" s="18">
        <v>2</v>
      </c>
      <c r="T824" s="18">
        <v>325</v>
      </c>
    </row>
    <row r="825" spans="1:20" x14ac:dyDescent="0.3">
      <c r="A825" s="18">
        <v>50824</v>
      </c>
      <c r="B825" s="18">
        <v>0</v>
      </c>
      <c r="C825" s="18">
        <v>0</v>
      </c>
      <c r="D825" s="18" t="s">
        <v>31</v>
      </c>
      <c r="E825" s="18">
        <v>1</v>
      </c>
      <c r="F825" s="18">
        <v>5</v>
      </c>
      <c r="G825" s="18" t="s">
        <v>47</v>
      </c>
      <c r="H825" s="18" t="s">
        <v>38</v>
      </c>
      <c r="I825" s="18">
        <v>2.2999999999999998</v>
      </c>
      <c r="J825" s="18">
        <v>4</v>
      </c>
      <c r="K825" s="18" t="s">
        <v>36</v>
      </c>
      <c r="L825" s="18">
        <v>4</v>
      </c>
      <c r="M825" s="18" t="s">
        <v>41</v>
      </c>
      <c r="N825" s="18">
        <v>19</v>
      </c>
      <c r="O825" s="18">
        <v>0</v>
      </c>
      <c r="P825" s="18">
        <v>11</v>
      </c>
      <c r="Q825" s="18">
        <v>1</v>
      </c>
      <c r="R825" s="18">
        <v>4</v>
      </c>
      <c r="S825" s="18">
        <v>7</v>
      </c>
      <c r="T825" s="18">
        <v>187.83</v>
      </c>
    </row>
    <row r="826" spans="1:20" x14ac:dyDescent="0.3">
      <c r="A826" s="18">
        <v>50825</v>
      </c>
      <c r="B826" s="18">
        <v>1</v>
      </c>
      <c r="C826" s="18">
        <v>8</v>
      </c>
      <c r="D826" s="18" t="s">
        <v>42</v>
      </c>
      <c r="E826" s="18">
        <v>1</v>
      </c>
      <c r="F826" s="18">
        <v>11</v>
      </c>
      <c r="G826" s="18" t="s">
        <v>37</v>
      </c>
      <c r="H826" s="18" t="s">
        <v>33</v>
      </c>
      <c r="I826" s="18">
        <v>2.9</v>
      </c>
      <c r="J826" s="18">
        <v>2</v>
      </c>
      <c r="K826" s="18" t="s">
        <v>36</v>
      </c>
      <c r="L826" s="18">
        <v>5</v>
      </c>
      <c r="M826" s="18" t="s">
        <v>35</v>
      </c>
      <c r="N826" s="18">
        <v>2</v>
      </c>
      <c r="O826" s="18">
        <v>1</v>
      </c>
      <c r="P826" s="18">
        <v>21</v>
      </c>
      <c r="Q826" s="18">
        <v>1</v>
      </c>
      <c r="R826" s="18">
        <v>3</v>
      </c>
      <c r="S826" s="18">
        <v>0</v>
      </c>
      <c r="T826" s="18">
        <v>184.91</v>
      </c>
    </row>
    <row r="827" spans="1:20" x14ac:dyDescent="0.3">
      <c r="A827" s="18">
        <v>50826</v>
      </c>
      <c r="B827" s="18">
        <v>0</v>
      </c>
      <c r="C827" s="18">
        <v>31</v>
      </c>
      <c r="D827" s="18" t="s">
        <v>36</v>
      </c>
      <c r="E827" s="18">
        <v>1</v>
      </c>
      <c r="F827" s="18"/>
      <c r="G827" s="18" t="s">
        <v>32</v>
      </c>
      <c r="H827" s="18" t="s">
        <v>33</v>
      </c>
      <c r="I827" s="18">
        <v>1.9</v>
      </c>
      <c r="J827" s="18">
        <v>5</v>
      </c>
      <c r="K827" s="18" t="s">
        <v>44</v>
      </c>
      <c r="L827" s="18">
        <v>5</v>
      </c>
      <c r="M827" s="18" t="s">
        <v>41</v>
      </c>
      <c r="N827" s="18">
        <v>11</v>
      </c>
      <c r="O827" s="18">
        <v>0</v>
      </c>
      <c r="P827" s="18">
        <v>17.7</v>
      </c>
      <c r="Q827" s="18">
        <v>1</v>
      </c>
      <c r="R827" s="18">
        <v>3</v>
      </c>
      <c r="S827" s="18">
        <v>0</v>
      </c>
      <c r="T827" s="18">
        <v>95.22</v>
      </c>
    </row>
    <row r="828" spans="1:20" x14ac:dyDescent="0.3">
      <c r="A828" s="18">
        <v>50827</v>
      </c>
      <c r="B828" s="18">
        <v>0</v>
      </c>
      <c r="C828" s="18">
        <v>1</v>
      </c>
      <c r="D828" s="18" t="s">
        <v>36</v>
      </c>
      <c r="E828" s="18">
        <v>3</v>
      </c>
      <c r="F828" s="18">
        <v>14</v>
      </c>
      <c r="G828" s="18" t="s">
        <v>37</v>
      </c>
      <c r="H828" s="18" t="s">
        <v>33</v>
      </c>
      <c r="I828" s="18"/>
      <c r="J828" s="18">
        <v>2</v>
      </c>
      <c r="K828" s="18" t="s">
        <v>44</v>
      </c>
      <c r="L828" s="18">
        <v>5</v>
      </c>
      <c r="M828" s="18" t="s">
        <v>35</v>
      </c>
      <c r="N828" s="18">
        <v>1</v>
      </c>
      <c r="O828" s="18">
        <v>1</v>
      </c>
      <c r="P828" s="18">
        <v>16.399999999999999</v>
      </c>
      <c r="Q828" s="18">
        <v>2</v>
      </c>
      <c r="R828" s="18">
        <v>2</v>
      </c>
      <c r="S828" s="18">
        <v>4</v>
      </c>
      <c r="T828" s="18">
        <v>99.45</v>
      </c>
    </row>
    <row r="829" spans="1:20" x14ac:dyDescent="0.3">
      <c r="A829" s="18">
        <v>50828</v>
      </c>
      <c r="B829" s="18">
        <v>0</v>
      </c>
      <c r="C829" s="18">
        <v>11</v>
      </c>
      <c r="D829" s="18" t="s">
        <v>36</v>
      </c>
      <c r="E829" s="18">
        <v>2</v>
      </c>
      <c r="F829" s="18">
        <v>16</v>
      </c>
      <c r="G829" s="18" t="s">
        <v>32</v>
      </c>
      <c r="H829" s="18" t="s">
        <v>38</v>
      </c>
      <c r="I829" s="18">
        <v>3</v>
      </c>
      <c r="J829" s="18">
        <v>3</v>
      </c>
      <c r="K829" s="18" t="s">
        <v>44</v>
      </c>
      <c r="L829" s="18">
        <v>4</v>
      </c>
      <c r="M829" s="18" t="s">
        <v>35</v>
      </c>
      <c r="N829" s="18">
        <v>1</v>
      </c>
      <c r="O829" s="18">
        <v>0</v>
      </c>
      <c r="P829" s="18">
        <v>15.4</v>
      </c>
      <c r="Q829" s="18">
        <v>1</v>
      </c>
      <c r="R829" s="18">
        <v>4</v>
      </c>
      <c r="S829" s="18">
        <v>4</v>
      </c>
      <c r="T829" s="18">
        <v>174.94</v>
      </c>
    </row>
    <row r="830" spans="1:20" x14ac:dyDescent="0.3">
      <c r="A830" s="18">
        <v>50829</v>
      </c>
      <c r="B830" s="18">
        <v>0</v>
      </c>
      <c r="C830" s="18">
        <v>2</v>
      </c>
      <c r="D830" s="18" t="s">
        <v>31</v>
      </c>
      <c r="E830" s="18">
        <v>2</v>
      </c>
      <c r="F830" s="18">
        <v>9</v>
      </c>
      <c r="G830" s="18" t="s">
        <v>32</v>
      </c>
      <c r="H830" s="18" t="s">
        <v>38</v>
      </c>
      <c r="I830" s="18">
        <v>1.7</v>
      </c>
      <c r="J830" s="18">
        <v>4</v>
      </c>
      <c r="K830" s="18" t="s">
        <v>36</v>
      </c>
      <c r="L830" s="18">
        <v>5</v>
      </c>
      <c r="M830" s="18" t="s">
        <v>41</v>
      </c>
      <c r="N830" s="18">
        <v>1</v>
      </c>
      <c r="O830" s="18">
        <v>0</v>
      </c>
      <c r="P830" s="18">
        <v>22.6</v>
      </c>
      <c r="Q830" s="18">
        <v>0</v>
      </c>
      <c r="R830" s="18">
        <v>4</v>
      </c>
      <c r="S830" s="18">
        <v>0</v>
      </c>
      <c r="T830" s="18">
        <v>198.49</v>
      </c>
    </row>
    <row r="831" spans="1:20" x14ac:dyDescent="0.3">
      <c r="A831" s="18">
        <v>50830</v>
      </c>
      <c r="B831" s="18">
        <v>0</v>
      </c>
      <c r="C831" s="18">
        <v>7</v>
      </c>
      <c r="D831" s="18" t="s">
        <v>36</v>
      </c>
      <c r="E831" s="18">
        <v>1</v>
      </c>
      <c r="F831" s="18">
        <v>24</v>
      </c>
      <c r="G831" s="18" t="s">
        <v>37</v>
      </c>
      <c r="H831" s="18" t="s">
        <v>38</v>
      </c>
      <c r="I831" s="18">
        <v>2.7</v>
      </c>
      <c r="J831" s="18">
        <v>3</v>
      </c>
      <c r="K831" s="18" t="s">
        <v>44</v>
      </c>
      <c r="L831" s="18">
        <v>2</v>
      </c>
      <c r="M831" s="18" t="s">
        <v>35</v>
      </c>
      <c r="N831" s="18">
        <v>10</v>
      </c>
      <c r="O831" s="18">
        <v>0</v>
      </c>
      <c r="P831" s="18">
        <v>18.5</v>
      </c>
      <c r="Q831" s="18">
        <v>3</v>
      </c>
      <c r="R831" s="18">
        <v>2</v>
      </c>
      <c r="S831" s="18">
        <v>9</v>
      </c>
      <c r="T831" s="18">
        <v>218.62</v>
      </c>
    </row>
    <row r="832" spans="1:20" x14ac:dyDescent="0.3">
      <c r="A832" s="18">
        <v>50831</v>
      </c>
      <c r="B832" s="18">
        <v>1</v>
      </c>
      <c r="C832" s="18">
        <v>1</v>
      </c>
      <c r="D832" s="18" t="s">
        <v>36</v>
      </c>
      <c r="E832" s="18">
        <v>3</v>
      </c>
      <c r="F832" s="18">
        <v>5</v>
      </c>
      <c r="G832" s="18" t="s">
        <v>39</v>
      </c>
      <c r="H832" s="18" t="s">
        <v>33</v>
      </c>
      <c r="I832" s="18">
        <v>3.2</v>
      </c>
      <c r="J832" s="18">
        <v>3</v>
      </c>
      <c r="K832" s="18" t="s">
        <v>36</v>
      </c>
      <c r="L832" s="18">
        <v>2</v>
      </c>
      <c r="M832" s="18" t="s">
        <v>41</v>
      </c>
      <c r="N832" s="18">
        <v>1</v>
      </c>
      <c r="O832" s="18">
        <v>1</v>
      </c>
      <c r="P832" s="18">
        <v>12.8</v>
      </c>
      <c r="Q832" s="18">
        <v>1</v>
      </c>
      <c r="R832" s="18">
        <v>1</v>
      </c>
      <c r="S832" s="18">
        <v>1</v>
      </c>
      <c r="T832" s="18">
        <v>193.06</v>
      </c>
    </row>
    <row r="833" spans="1:20" x14ac:dyDescent="0.3">
      <c r="A833" s="18">
        <v>50832</v>
      </c>
      <c r="B833" s="18">
        <v>0</v>
      </c>
      <c r="C833" s="18">
        <v>5</v>
      </c>
      <c r="D833" s="18" t="s">
        <v>42</v>
      </c>
      <c r="E833" s="18">
        <v>3</v>
      </c>
      <c r="F833" s="18">
        <v>18</v>
      </c>
      <c r="G833" s="18" t="s">
        <v>37</v>
      </c>
      <c r="H833" s="18" t="s">
        <v>33</v>
      </c>
      <c r="I833" s="18">
        <v>2.7</v>
      </c>
      <c r="J833" s="18">
        <v>4</v>
      </c>
      <c r="K833" s="18" t="s">
        <v>40</v>
      </c>
      <c r="L833" s="18">
        <v>1</v>
      </c>
      <c r="M833" s="18" t="s">
        <v>41</v>
      </c>
      <c r="N833" s="18">
        <v>2</v>
      </c>
      <c r="O833" s="18">
        <v>0</v>
      </c>
      <c r="P833" s="18">
        <v>11</v>
      </c>
      <c r="Q833" s="18">
        <v>2</v>
      </c>
      <c r="R833" s="18">
        <v>3</v>
      </c>
      <c r="S833" s="18">
        <v>2</v>
      </c>
      <c r="T833" s="18">
        <v>114.77</v>
      </c>
    </row>
    <row r="834" spans="1:20" x14ac:dyDescent="0.3">
      <c r="A834" s="18">
        <v>50833</v>
      </c>
      <c r="B834" s="18">
        <v>0</v>
      </c>
      <c r="C834" s="18">
        <v>14</v>
      </c>
      <c r="D834" s="18" t="s">
        <v>36</v>
      </c>
      <c r="E834" s="18">
        <v>3</v>
      </c>
      <c r="F834" s="18">
        <v>24</v>
      </c>
      <c r="G834" s="18" t="s">
        <v>32</v>
      </c>
      <c r="H834" s="18" t="s">
        <v>38</v>
      </c>
      <c r="I834" s="18">
        <v>2.7</v>
      </c>
      <c r="J834" s="18">
        <v>4</v>
      </c>
      <c r="K834" s="18" t="s">
        <v>40</v>
      </c>
      <c r="L834" s="18">
        <v>4</v>
      </c>
      <c r="M834" s="18" t="s">
        <v>41</v>
      </c>
      <c r="N834" s="18">
        <v>1</v>
      </c>
      <c r="O834" s="18">
        <v>0</v>
      </c>
      <c r="P834" s="18">
        <v>16.600000000000001</v>
      </c>
      <c r="Q834" s="18">
        <v>2</v>
      </c>
      <c r="R834" s="18">
        <v>2</v>
      </c>
      <c r="S834" s="18">
        <v>2</v>
      </c>
      <c r="T834" s="18">
        <v>42.25</v>
      </c>
    </row>
    <row r="835" spans="1:20" x14ac:dyDescent="0.3">
      <c r="A835" s="18">
        <v>50834</v>
      </c>
      <c r="B835" s="18">
        <v>0</v>
      </c>
      <c r="C835" s="18">
        <v>4</v>
      </c>
      <c r="D835" s="18" t="s">
        <v>42</v>
      </c>
      <c r="E835" s="18">
        <v>3</v>
      </c>
      <c r="F835" s="18">
        <v>18</v>
      </c>
      <c r="G835" s="18" t="s">
        <v>39</v>
      </c>
      <c r="H835" s="18" t="s">
        <v>33</v>
      </c>
      <c r="I835" s="18">
        <v>2</v>
      </c>
      <c r="J835" s="18">
        <v>4</v>
      </c>
      <c r="K835" s="18" t="s">
        <v>46</v>
      </c>
      <c r="L835" s="18">
        <v>5</v>
      </c>
      <c r="M835" s="18" t="s">
        <v>35</v>
      </c>
      <c r="N835" s="18">
        <v>1</v>
      </c>
      <c r="O835" s="18">
        <v>1</v>
      </c>
      <c r="P835" s="18">
        <v>16</v>
      </c>
      <c r="Q835" s="18">
        <v>1</v>
      </c>
      <c r="R835" s="18">
        <v>6</v>
      </c>
      <c r="S835" s="18">
        <v>1</v>
      </c>
      <c r="T835" s="18">
        <v>174.49</v>
      </c>
    </row>
    <row r="836" spans="1:20" x14ac:dyDescent="0.3">
      <c r="A836" s="18">
        <v>50835</v>
      </c>
      <c r="B836" s="18">
        <v>1</v>
      </c>
      <c r="C836" s="18">
        <v>10</v>
      </c>
      <c r="D836" s="18" t="s">
        <v>36</v>
      </c>
      <c r="E836" s="18">
        <v>3</v>
      </c>
      <c r="F836" s="18">
        <v>13</v>
      </c>
      <c r="G836" s="18" t="s">
        <v>37</v>
      </c>
      <c r="H836" s="18" t="s">
        <v>38</v>
      </c>
      <c r="I836" s="18">
        <v>3.3</v>
      </c>
      <c r="J836" s="18">
        <v>3</v>
      </c>
      <c r="K836" s="18" t="s">
        <v>36</v>
      </c>
      <c r="L836" s="18">
        <v>2</v>
      </c>
      <c r="M836" s="18" t="s">
        <v>41</v>
      </c>
      <c r="N836" s="18">
        <v>1</v>
      </c>
      <c r="O836" s="18">
        <v>1</v>
      </c>
      <c r="P836" s="18"/>
      <c r="Q836" s="18">
        <v>2</v>
      </c>
      <c r="R836" s="18">
        <v>5</v>
      </c>
      <c r="S836" s="18">
        <v>4</v>
      </c>
      <c r="T836" s="18">
        <v>150.63</v>
      </c>
    </row>
    <row r="837" spans="1:20" x14ac:dyDescent="0.3">
      <c r="A837" s="18">
        <v>50836</v>
      </c>
      <c r="B837" s="18">
        <v>0</v>
      </c>
      <c r="C837" s="18">
        <v>15</v>
      </c>
      <c r="D837" s="18" t="s">
        <v>42</v>
      </c>
      <c r="E837" s="18">
        <v>2</v>
      </c>
      <c r="F837" s="18">
        <v>10</v>
      </c>
      <c r="G837" s="18" t="s">
        <v>32</v>
      </c>
      <c r="H837" s="18" t="s">
        <v>38</v>
      </c>
      <c r="I837" s="18">
        <v>2.4</v>
      </c>
      <c r="J837" s="18">
        <v>3</v>
      </c>
      <c r="K837" s="18" t="s">
        <v>36</v>
      </c>
      <c r="L837" s="18">
        <v>4</v>
      </c>
      <c r="M837" s="18" t="s">
        <v>41</v>
      </c>
      <c r="N837" s="18">
        <v>6</v>
      </c>
      <c r="O837" s="18">
        <v>0</v>
      </c>
      <c r="P837" s="18">
        <v>15.8</v>
      </c>
      <c r="Q837" s="18">
        <v>0</v>
      </c>
      <c r="R837" s="18">
        <v>4</v>
      </c>
      <c r="S837" s="18">
        <v>2</v>
      </c>
      <c r="T837" s="18">
        <v>110.56</v>
      </c>
    </row>
    <row r="838" spans="1:20" x14ac:dyDescent="0.3">
      <c r="A838" s="18">
        <v>50837</v>
      </c>
      <c r="B838" s="18">
        <v>0</v>
      </c>
      <c r="C838" s="18">
        <v>26</v>
      </c>
      <c r="D838" s="18" t="s">
        <v>31</v>
      </c>
      <c r="E838" s="18">
        <v>1</v>
      </c>
      <c r="F838" s="18">
        <v>23</v>
      </c>
      <c r="G838" s="18" t="s">
        <v>37</v>
      </c>
      <c r="H838" s="18" t="s">
        <v>33</v>
      </c>
      <c r="I838" s="18">
        <v>1.4</v>
      </c>
      <c r="J838" s="18">
        <v>6</v>
      </c>
      <c r="K838" s="18" t="s">
        <v>46</v>
      </c>
      <c r="L838" s="18">
        <v>4</v>
      </c>
      <c r="M838" s="18" t="s">
        <v>41</v>
      </c>
      <c r="N838" s="18">
        <v>3</v>
      </c>
      <c r="O838" s="18">
        <v>1</v>
      </c>
      <c r="P838" s="18">
        <v>14</v>
      </c>
      <c r="Q838" s="18">
        <v>2</v>
      </c>
      <c r="R838" s="18">
        <v>7</v>
      </c>
      <c r="S838" s="18">
        <v>1</v>
      </c>
      <c r="T838" s="18">
        <v>225.54</v>
      </c>
    </row>
    <row r="839" spans="1:20" x14ac:dyDescent="0.3">
      <c r="A839" s="18">
        <v>50838</v>
      </c>
      <c r="B839" s="18">
        <v>1</v>
      </c>
      <c r="C839" s="18">
        <v>2</v>
      </c>
      <c r="D839" s="18" t="s">
        <v>42</v>
      </c>
      <c r="E839" s="18">
        <v>2</v>
      </c>
      <c r="F839" s="18">
        <v>5</v>
      </c>
      <c r="G839" s="18" t="s">
        <v>47</v>
      </c>
      <c r="H839" s="18" t="s">
        <v>38</v>
      </c>
      <c r="I839" s="18">
        <v>2.6</v>
      </c>
      <c r="J839" s="18">
        <v>4</v>
      </c>
      <c r="K839" s="18" t="s">
        <v>36</v>
      </c>
      <c r="L839" s="18">
        <v>5</v>
      </c>
      <c r="M839" s="18" t="s">
        <v>35</v>
      </c>
      <c r="N839" s="18">
        <v>8</v>
      </c>
      <c r="O839" s="18">
        <v>0</v>
      </c>
      <c r="P839" s="18">
        <v>16</v>
      </c>
      <c r="Q839" s="18">
        <v>3</v>
      </c>
      <c r="R839" s="18">
        <v>6</v>
      </c>
      <c r="S839" s="18">
        <v>11</v>
      </c>
      <c r="T839" s="18">
        <v>93.34</v>
      </c>
    </row>
    <row r="840" spans="1:20" x14ac:dyDescent="0.3">
      <c r="A840" s="18">
        <v>50839</v>
      </c>
      <c r="B840" s="18">
        <v>1</v>
      </c>
      <c r="C840" s="18">
        <v>5</v>
      </c>
      <c r="D840" s="18" t="s">
        <v>42</v>
      </c>
      <c r="E840" s="18">
        <v>3</v>
      </c>
      <c r="F840" s="18">
        <v>7</v>
      </c>
      <c r="G840" s="18" t="s">
        <v>39</v>
      </c>
      <c r="H840" s="18" t="s">
        <v>33</v>
      </c>
      <c r="I840" s="18">
        <v>3.6</v>
      </c>
      <c r="J840" s="18">
        <v>2</v>
      </c>
      <c r="K840" s="18" t="s">
        <v>40</v>
      </c>
      <c r="L840" s="18">
        <v>4</v>
      </c>
      <c r="M840" s="18" t="s">
        <v>35</v>
      </c>
      <c r="N840" s="18">
        <v>4</v>
      </c>
      <c r="O840" s="18">
        <v>0</v>
      </c>
      <c r="P840" s="18">
        <v>18.5</v>
      </c>
      <c r="Q840" s="18"/>
      <c r="R840" s="18">
        <v>4</v>
      </c>
      <c r="S840" s="18">
        <v>1</v>
      </c>
      <c r="T840" s="18">
        <v>213.93</v>
      </c>
    </row>
    <row r="841" spans="1:20" x14ac:dyDescent="0.3">
      <c r="A841" s="18">
        <v>50840</v>
      </c>
      <c r="B841" s="18">
        <v>0</v>
      </c>
      <c r="C841" s="18">
        <v>1</v>
      </c>
      <c r="D841" s="18" t="s">
        <v>36</v>
      </c>
      <c r="E841" s="18">
        <v>3</v>
      </c>
      <c r="F841" s="18">
        <v>11</v>
      </c>
      <c r="G841" s="18" t="s">
        <v>39</v>
      </c>
      <c r="H841" s="18" t="s">
        <v>38</v>
      </c>
      <c r="I841" s="18">
        <v>2.6</v>
      </c>
      <c r="J841" s="18">
        <v>3</v>
      </c>
      <c r="K841" s="18" t="s">
        <v>36</v>
      </c>
      <c r="L841" s="18">
        <v>5</v>
      </c>
      <c r="M841" s="18" t="s">
        <v>41</v>
      </c>
      <c r="N841" s="18">
        <v>12</v>
      </c>
      <c r="O841" s="18">
        <v>0</v>
      </c>
      <c r="P841" s="18">
        <v>21.2</v>
      </c>
      <c r="Q841" s="18">
        <v>3</v>
      </c>
      <c r="R841" s="18">
        <v>7</v>
      </c>
      <c r="S841" s="18">
        <v>5</v>
      </c>
      <c r="T841" s="18">
        <v>102.44</v>
      </c>
    </row>
    <row r="842" spans="1:20" x14ac:dyDescent="0.3">
      <c r="A842" s="18">
        <v>50841</v>
      </c>
      <c r="B842" s="18">
        <v>0</v>
      </c>
      <c r="C842" s="18">
        <v>48</v>
      </c>
      <c r="D842" s="18" t="s">
        <v>36</v>
      </c>
      <c r="E842" s="18">
        <v>2</v>
      </c>
      <c r="F842" s="18">
        <v>24</v>
      </c>
      <c r="G842" s="18" t="s">
        <v>32</v>
      </c>
      <c r="H842" s="18" t="s">
        <v>33</v>
      </c>
      <c r="I842" s="18">
        <v>4.0999999999999996</v>
      </c>
      <c r="J842" s="18">
        <v>3</v>
      </c>
      <c r="K842" s="18" t="s">
        <v>36</v>
      </c>
      <c r="L842" s="18">
        <v>3</v>
      </c>
      <c r="M842" s="18" t="s">
        <v>41</v>
      </c>
      <c r="N842" s="18">
        <v>2</v>
      </c>
      <c r="O842" s="18">
        <v>0</v>
      </c>
      <c r="P842" s="18">
        <v>19.2</v>
      </c>
      <c r="Q842" s="18">
        <v>3</v>
      </c>
      <c r="R842" s="18">
        <v>5</v>
      </c>
      <c r="S842" s="18">
        <v>2</v>
      </c>
      <c r="T842" s="18">
        <v>187.37</v>
      </c>
    </row>
    <row r="843" spans="1:20" x14ac:dyDescent="0.3">
      <c r="A843" s="18">
        <v>50842</v>
      </c>
      <c r="B843" s="18">
        <v>0</v>
      </c>
      <c r="C843" s="18">
        <v>26</v>
      </c>
      <c r="D843" s="18" t="s">
        <v>36</v>
      </c>
      <c r="E843" s="18">
        <v>1</v>
      </c>
      <c r="F843" s="18">
        <v>18</v>
      </c>
      <c r="G843" s="18" t="s">
        <v>39</v>
      </c>
      <c r="H843" s="18" t="s">
        <v>33</v>
      </c>
      <c r="I843" s="18">
        <v>3.2</v>
      </c>
      <c r="J843" s="18">
        <v>3</v>
      </c>
      <c r="K843" s="18" t="s">
        <v>40</v>
      </c>
      <c r="L843" s="18">
        <v>3</v>
      </c>
      <c r="M843" s="18" t="s">
        <v>35</v>
      </c>
      <c r="N843" s="18">
        <v>3</v>
      </c>
      <c r="O843" s="18">
        <v>0</v>
      </c>
      <c r="P843" s="18">
        <v>13.5</v>
      </c>
      <c r="Q843" s="18">
        <v>2</v>
      </c>
      <c r="R843" s="18">
        <v>2</v>
      </c>
      <c r="S843" s="18">
        <v>2</v>
      </c>
      <c r="T843" s="18">
        <v>231.37</v>
      </c>
    </row>
    <row r="844" spans="1:20" x14ac:dyDescent="0.3">
      <c r="A844" s="18">
        <v>50843</v>
      </c>
      <c r="B844" s="18">
        <v>1</v>
      </c>
      <c r="C844" s="18">
        <v>7</v>
      </c>
      <c r="D844" s="18" t="s">
        <v>31</v>
      </c>
      <c r="E844" s="18">
        <v>1</v>
      </c>
      <c r="F844" s="18">
        <v>7</v>
      </c>
      <c r="G844" s="18" t="s">
        <v>39</v>
      </c>
      <c r="H844" s="18" t="s">
        <v>38</v>
      </c>
      <c r="I844" s="18">
        <v>3.1</v>
      </c>
      <c r="J844" s="18">
        <v>2</v>
      </c>
      <c r="K844" s="18" t="s">
        <v>44</v>
      </c>
      <c r="L844" s="18">
        <v>3</v>
      </c>
      <c r="M844" s="18" t="s">
        <v>35</v>
      </c>
      <c r="N844" s="18">
        <v>3</v>
      </c>
      <c r="O844" s="18">
        <v>1</v>
      </c>
      <c r="P844" s="18">
        <v>17.3</v>
      </c>
      <c r="Q844" s="18">
        <v>2</v>
      </c>
      <c r="R844" s="18">
        <v>6</v>
      </c>
      <c r="S844" s="18">
        <v>1</v>
      </c>
      <c r="T844" s="18">
        <v>161.41</v>
      </c>
    </row>
    <row r="845" spans="1:20" x14ac:dyDescent="0.3">
      <c r="A845" s="18">
        <v>50844</v>
      </c>
      <c r="B845" s="18">
        <v>0</v>
      </c>
      <c r="C845" s="18">
        <v>18</v>
      </c>
      <c r="D845" s="18" t="s">
        <v>42</v>
      </c>
      <c r="E845" s="18">
        <v>3</v>
      </c>
      <c r="F845" s="18">
        <v>12</v>
      </c>
      <c r="G845" s="18" t="s">
        <v>32</v>
      </c>
      <c r="H845" s="18" t="s">
        <v>38</v>
      </c>
      <c r="I845" s="18">
        <v>2.8</v>
      </c>
      <c r="J845" s="18">
        <v>3</v>
      </c>
      <c r="K845" s="18" t="s">
        <v>36</v>
      </c>
      <c r="L845" s="18">
        <v>3</v>
      </c>
      <c r="M845" s="18" t="s">
        <v>35</v>
      </c>
      <c r="N845" s="18">
        <v>2</v>
      </c>
      <c r="O845" s="18">
        <v>0</v>
      </c>
      <c r="P845" s="18">
        <v>16.2</v>
      </c>
      <c r="Q845" s="18">
        <v>2</v>
      </c>
      <c r="R845" s="18">
        <v>9</v>
      </c>
      <c r="S845" s="18">
        <v>6</v>
      </c>
      <c r="T845" s="18">
        <v>272.95</v>
      </c>
    </row>
    <row r="846" spans="1:20" x14ac:dyDescent="0.3">
      <c r="A846" s="18">
        <v>50845</v>
      </c>
      <c r="B846" s="18">
        <v>0</v>
      </c>
      <c r="C846" s="18">
        <v>7</v>
      </c>
      <c r="D846" s="18" t="s">
        <v>36</v>
      </c>
      <c r="E846" s="18">
        <v>2</v>
      </c>
      <c r="F846" s="18">
        <v>10</v>
      </c>
      <c r="G846" s="18" t="s">
        <v>39</v>
      </c>
      <c r="H846" s="18" t="s">
        <v>33</v>
      </c>
      <c r="I846" s="18">
        <v>2.9</v>
      </c>
      <c r="J846" s="18">
        <v>5</v>
      </c>
      <c r="K846" s="18" t="s">
        <v>44</v>
      </c>
      <c r="L846" s="18">
        <v>1</v>
      </c>
      <c r="M846" s="18" t="s">
        <v>35</v>
      </c>
      <c r="N846" s="18">
        <v>6</v>
      </c>
      <c r="O846" s="18">
        <v>0</v>
      </c>
      <c r="P846" s="18">
        <v>11.3</v>
      </c>
      <c r="Q846" s="18">
        <v>2</v>
      </c>
      <c r="R846" s="18">
        <v>3</v>
      </c>
      <c r="S846" s="18">
        <v>6</v>
      </c>
      <c r="T846" s="18">
        <v>285.48</v>
      </c>
    </row>
    <row r="847" spans="1:20" x14ac:dyDescent="0.3">
      <c r="A847" s="18">
        <v>50846</v>
      </c>
      <c r="B847" s="18">
        <v>0</v>
      </c>
      <c r="C847" s="18">
        <v>9</v>
      </c>
      <c r="D847" s="18" t="s">
        <v>31</v>
      </c>
      <c r="E847" s="18">
        <v>2</v>
      </c>
      <c r="F847" s="18">
        <v>9</v>
      </c>
      <c r="G847" s="18" t="s">
        <v>43</v>
      </c>
      <c r="H847" s="18" t="s">
        <v>33</v>
      </c>
      <c r="I847" s="18">
        <v>2.7</v>
      </c>
      <c r="J847" s="18">
        <v>4</v>
      </c>
      <c r="K847" s="18" t="s">
        <v>36</v>
      </c>
      <c r="L847" s="18">
        <v>4</v>
      </c>
      <c r="M847" s="18" t="s">
        <v>41</v>
      </c>
      <c r="N847" s="18">
        <v>3</v>
      </c>
      <c r="O847" s="18">
        <v>1</v>
      </c>
      <c r="P847" s="18">
        <v>17.399999999999999</v>
      </c>
      <c r="Q847" s="18">
        <v>3</v>
      </c>
      <c r="R847" s="18">
        <v>3</v>
      </c>
      <c r="S847" s="18">
        <v>0</v>
      </c>
      <c r="T847" s="18">
        <v>193.04</v>
      </c>
    </row>
    <row r="848" spans="1:20" x14ac:dyDescent="0.3">
      <c r="A848" s="18">
        <v>50847</v>
      </c>
      <c r="B848" s="18">
        <v>0</v>
      </c>
      <c r="C848" s="18">
        <v>0</v>
      </c>
      <c r="D848" s="18" t="s">
        <v>36</v>
      </c>
      <c r="E848" s="18">
        <v>1</v>
      </c>
      <c r="F848" s="18">
        <v>22</v>
      </c>
      <c r="G848" s="18" t="s">
        <v>43</v>
      </c>
      <c r="H848" s="18" t="s">
        <v>33</v>
      </c>
      <c r="I848" s="18">
        <v>2.7</v>
      </c>
      <c r="J848" s="18">
        <v>1</v>
      </c>
      <c r="K848" s="18" t="s">
        <v>44</v>
      </c>
      <c r="L848" s="18">
        <v>4</v>
      </c>
      <c r="M848" s="18" t="s">
        <v>45</v>
      </c>
      <c r="N848" s="18">
        <v>5</v>
      </c>
      <c r="O848" s="18">
        <v>0</v>
      </c>
      <c r="P848" s="18">
        <v>22.5</v>
      </c>
      <c r="Q848" s="18">
        <v>2</v>
      </c>
      <c r="R848" s="18">
        <v>5</v>
      </c>
      <c r="S848" s="18">
        <v>0</v>
      </c>
      <c r="T848" s="18">
        <v>209.78</v>
      </c>
    </row>
    <row r="849" spans="1:20" x14ac:dyDescent="0.3">
      <c r="A849" s="18">
        <v>50848</v>
      </c>
      <c r="B849" s="18">
        <v>1</v>
      </c>
      <c r="C849" s="18">
        <v>14</v>
      </c>
      <c r="D849" s="18" t="s">
        <v>42</v>
      </c>
      <c r="E849" s="18">
        <v>1</v>
      </c>
      <c r="F849" s="18">
        <v>5</v>
      </c>
      <c r="G849" s="18" t="s">
        <v>39</v>
      </c>
      <c r="H849" s="18" t="s">
        <v>33</v>
      </c>
      <c r="I849" s="18"/>
      <c r="J849" s="18">
        <v>4</v>
      </c>
      <c r="K849" s="18" t="s">
        <v>36</v>
      </c>
      <c r="L849" s="18">
        <v>4</v>
      </c>
      <c r="M849" s="18" t="s">
        <v>41</v>
      </c>
      <c r="N849" s="18">
        <v>5</v>
      </c>
      <c r="O849" s="18">
        <v>1</v>
      </c>
      <c r="P849" s="18">
        <v>16.100000000000001</v>
      </c>
      <c r="Q849" s="18">
        <v>1</v>
      </c>
      <c r="R849" s="18">
        <v>5</v>
      </c>
      <c r="S849" s="18">
        <v>12</v>
      </c>
      <c r="T849" s="18">
        <v>238.34</v>
      </c>
    </row>
    <row r="850" spans="1:20" x14ac:dyDescent="0.3">
      <c r="A850" s="18">
        <v>50849</v>
      </c>
      <c r="B850" s="18">
        <v>0</v>
      </c>
      <c r="C850" s="18">
        <v>1</v>
      </c>
      <c r="D850" s="18" t="s">
        <v>42</v>
      </c>
      <c r="E850" s="18">
        <v>3</v>
      </c>
      <c r="F850" s="18">
        <v>27</v>
      </c>
      <c r="G850" s="18" t="s">
        <v>39</v>
      </c>
      <c r="H850" s="18" t="s">
        <v>33</v>
      </c>
      <c r="I850" s="18">
        <v>2.2000000000000002</v>
      </c>
      <c r="J850" s="18">
        <v>4</v>
      </c>
      <c r="K850" s="18" t="s">
        <v>46</v>
      </c>
      <c r="L850" s="18">
        <v>3</v>
      </c>
      <c r="M850" s="18" t="s">
        <v>45</v>
      </c>
      <c r="N850" s="18">
        <v>1</v>
      </c>
      <c r="O850" s="18">
        <v>1</v>
      </c>
      <c r="P850" s="18"/>
      <c r="Q850" s="18">
        <v>1</v>
      </c>
      <c r="R850" s="18">
        <v>2</v>
      </c>
      <c r="S850" s="18">
        <v>10</v>
      </c>
      <c r="T850" s="18">
        <v>209.94</v>
      </c>
    </row>
    <row r="851" spans="1:20" x14ac:dyDescent="0.3">
      <c r="A851" s="18">
        <v>50850</v>
      </c>
      <c r="B851" s="18">
        <v>0</v>
      </c>
      <c r="C851" s="18">
        <v>17</v>
      </c>
      <c r="D851" s="18" t="s">
        <v>36</v>
      </c>
      <c r="E851" s="18">
        <v>2</v>
      </c>
      <c r="F851" s="18">
        <v>21</v>
      </c>
      <c r="G851" s="18" t="s">
        <v>47</v>
      </c>
      <c r="H851" s="18" t="s">
        <v>33</v>
      </c>
      <c r="I851" s="18">
        <v>2.1</v>
      </c>
      <c r="J851" s="18">
        <v>3</v>
      </c>
      <c r="K851" s="18" t="s">
        <v>46</v>
      </c>
      <c r="L851" s="18">
        <v>3</v>
      </c>
      <c r="M851" s="18" t="s">
        <v>41</v>
      </c>
      <c r="N851" s="18">
        <v>3</v>
      </c>
      <c r="O851" s="18">
        <v>1</v>
      </c>
      <c r="P851" s="18">
        <v>16.100000000000001</v>
      </c>
      <c r="Q851" s="18">
        <v>2</v>
      </c>
      <c r="R851" s="18">
        <v>1</v>
      </c>
      <c r="S851" s="18">
        <v>3</v>
      </c>
      <c r="T851" s="18">
        <v>204.05</v>
      </c>
    </row>
    <row r="852" spans="1:20" x14ac:dyDescent="0.3">
      <c r="A852" s="18">
        <v>50851</v>
      </c>
      <c r="B852" s="18">
        <v>1</v>
      </c>
      <c r="C852" s="18">
        <v>15</v>
      </c>
      <c r="D852" s="18" t="s">
        <v>36</v>
      </c>
      <c r="E852" s="18">
        <v>3</v>
      </c>
      <c r="F852" s="18">
        <v>23</v>
      </c>
      <c r="G852" s="18" t="s">
        <v>37</v>
      </c>
      <c r="H852" s="18" t="s">
        <v>33</v>
      </c>
      <c r="I852" s="18">
        <v>2.1</v>
      </c>
      <c r="J852" s="18">
        <v>4</v>
      </c>
      <c r="K852" s="18" t="s">
        <v>36</v>
      </c>
      <c r="L852" s="18">
        <v>3</v>
      </c>
      <c r="M852" s="18" t="s">
        <v>35</v>
      </c>
      <c r="N852" s="18">
        <v>1</v>
      </c>
      <c r="O852" s="18">
        <v>1</v>
      </c>
      <c r="P852" s="18">
        <v>11.8</v>
      </c>
      <c r="Q852" s="18">
        <v>2</v>
      </c>
      <c r="R852" s="18">
        <v>4</v>
      </c>
      <c r="S852" s="18">
        <v>3</v>
      </c>
      <c r="T852" s="18">
        <v>151.18</v>
      </c>
    </row>
    <row r="853" spans="1:20" x14ac:dyDescent="0.3">
      <c r="A853" s="18">
        <v>50852</v>
      </c>
      <c r="B853" s="18">
        <v>0</v>
      </c>
      <c r="C853" s="18">
        <v>12</v>
      </c>
      <c r="D853" s="18" t="s">
        <v>36</v>
      </c>
      <c r="E853" s="18">
        <v>1</v>
      </c>
      <c r="F853" s="18">
        <v>11</v>
      </c>
      <c r="G853" s="18" t="s">
        <v>39</v>
      </c>
      <c r="H853" s="18" t="s">
        <v>33</v>
      </c>
      <c r="I853" s="18">
        <v>4.3</v>
      </c>
      <c r="J853" s="18">
        <v>2</v>
      </c>
      <c r="K853" s="18" t="s">
        <v>34</v>
      </c>
      <c r="L853" s="18">
        <v>1</v>
      </c>
      <c r="M853" s="18" t="s">
        <v>41</v>
      </c>
      <c r="N853" s="18">
        <v>3</v>
      </c>
      <c r="O853" s="18">
        <v>0</v>
      </c>
      <c r="P853" s="18">
        <v>19</v>
      </c>
      <c r="Q853" s="18">
        <v>2</v>
      </c>
      <c r="R853" s="18">
        <v>3</v>
      </c>
      <c r="S853" s="18">
        <v>8</v>
      </c>
      <c r="T853" s="18">
        <v>87.2</v>
      </c>
    </row>
    <row r="854" spans="1:20" x14ac:dyDescent="0.3">
      <c r="A854" s="18">
        <v>50853</v>
      </c>
      <c r="B854" s="18">
        <v>0</v>
      </c>
      <c r="C854" s="18">
        <v>0</v>
      </c>
      <c r="D854" s="18" t="s">
        <v>31</v>
      </c>
      <c r="E854" s="18">
        <v>2</v>
      </c>
      <c r="F854" s="18">
        <v>13</v>
      </c>
      <c r="G854" s="18" t="s">
        <v>47</v>
      </c>
      <c r="H854" s="18" t="s">
        <v>33</v>
      </c>
      <c r="I854" s="18">
        <v>3.3</v>
      </c>
      <c r="J854" s="18">
        <v>3</v>
      </c>
      <c r="K854" s="18" t="s">
        <v>36</v>
      </c>
      <c r="L854" s="18">
        <v>4</v>
      </c>
      <c r="M854" s="18" t="s">
        <v>41</v>
      </c>
      <c r="N854" s="18">
        <v>3</v>
      </c>
      <c r="O854" s="18">
        <v>0</v>
      </c>
      <c r="P854" s="18">
        <v>17.8</v>
      </c>
      <c r="Q854" s="18">
        <v>2</v>
      </c>
      <c r="R854" s="18">
        <v>7</v>
      </c>
      <c r="S854" s="18">
        <v>0</v>
      </c>
      <c r="T854" s="18">
        <v>103.54</v>
      </c>
    </row>
    <row r="855" spans="1:20" x14ac:dyDescent="0.3">
      <c r="A855" s="18">
        <v>50854</v>
      </c>
      <c r="B855" s="18">
        <v>0</v>
      </c>
      <c r="C855" s="18">
        <v>3</v>
      </c>
      <c r="D855" s="18" t="s">
        <v>36</v>
      </c>
      <c r="E855" s="18">
        <v>1</v>
      </c>
      <c r="F855" s="18">
        <v>5</v>
      </c>
      <c r="G855" s="18" t="s">
        <v>39</v>
      </c>
      <c r="H855" s="18" t="s">
        <v>33</v>
      </c>
      <c r="I855" s="18">
        <v>3.1</v>
      </c>
      <c r="J855" s="18">
        <v>5</v>
      </c>
      <c r="K855" s="18" t="s">
        <v>36</v>
      </c>
      <c r="L855" s="18">
        <v>2</v>
      </c>
      <c r="M855" s="18" t="s">
        <v>35</v>
      </c>
      <c r="N855" s="18">
        <v>20</v>
      </c>
      <c r="O855" s="18">
        <v>0</v>
      </c>
      <c r="P855" s="18">
        <v>15.4</v>
      </c>
      <c r="Q855" s="18">
        <v>4</v>
      </c>
      <c r="R855" s="18">
        <v>3</v>
      </c>
      <c r="S855" s="18">
        <v>5</v>
      </c>
      <c r="T855" s="18">
        <v>311.02999999999997</v>
      </c>
    </row>
    <row r="856" spans="1:20" x14ac:dyDescent="0.3">
      <c r="A856" s="18">
        <v>50855</v>
      </c>
      <c r="B856" s="18">
        <v>1</v>
      </c>
      <c r="C856" s="18">
        <v>3</v>
      </c>
      <c r="D856" s="18" t="s">
        <v>36</v>
      </c>
      <c r="E856" s="18">
        <v>3</v>
      </c>
      <c r="F856" s="18">
        <v>10</v>
      </c>
      <c r="G856" s="18" t="s">
        <v>32</v>
      </c>
      <c r="H856" s="18" t="s">
        <v>33</v>
      </c>
      <c r="I856" s="18">
        <v>2.2000000000000002</v>
      </c>
      <c r="J856" s="18">
        <v>3</v>
      </c>
      <c r="K856" s="18" t="s">
        <v>46</v>
      </c>
      <c r="L856" s="18">
        <v>1</v>
      </c>
      <c r="M856" s="18" t="s">
        <v>35</v>
      </c>
      <c r="N856" s="18">
        <v>1</v>
      </c>
      <c r="O856" s="18">
        <v>0</v>
      </c>
      <c r="P856" s="18">
        <v>14.8</v>
      </c>
      <c r="Q856" s="18">
        <v>3</v>
      </c>
      <c r="R856" s="18">
        <v>3</v>
      </c>
      <c r="S856" s="18">
        <v>3</v>
      </c>
      <c r="T856" s="18">
        <v>197.74</v>
      </c>
    </row>
    <row r="857" spans="1:20" x14ac:dyDescent="0.3">
      <c r="A857" s="18">
        <v>50856</v>
      </c>
      <c r="B857" s="18">
        <v>0</v>
      </c>
      <c r="C857" s="18">
        <v>4</v>
      </c>
      <c r="D857" s="18" t="s">
        <v>36</v>
      </c>
      <c r="E857" s="18">
        <v>1</v>
      </c>
      <c r="F857" s="18">
        <v>18</v>
      </c>
      <c r="G857" s="18" t="s">
        <v>39</v>
      </c>
      <c r="H857" s="18" t="s">
        <v>38</v>
      </c>
      <c r="I857" s="18">
        <v>3.3</v>
      </c>
      <c r="J857" s="18">
        <v>1</v>
      </c>
      <c r="K857" s="18" t="s">
        <v>40</v>
      </c>
      <c r="L857" s="18">
        <v>4</v>
      </c>
      <c r="M857" s="18" t="s">
        <v>45</v>
      </c>
      <c r="N857" s="18">
        <v>1</v>
      </c>
      <c r="O857" s="18">
        <v>0</v>
      </c>
      <c r="P857" s="18">
        <v>15.3</v>
      </c>
      <c r="Q857" s="18">
        <v>4</v>
      </c>
      <c r="R857" s="18">
        <v>4</v>
      </c>
      <c r="S857" s="18">
        <v>6</v>
      </c>
      <c r="T857" s="18">
        <v>166.49</v>
      </c>
    </row>
    <row r="858" spans="1:20" x14ac:dyDescent="0.3">
      <c r="A858" s="18">
        <v>50857</v>
      </c>
      <c r="B858" s="18">
        <v>0</v>
      </c>
      <c r="C858" s="18">
        <v>0</v>
      </c>
      <c r="D858" s="18" t="s">
        <v>36</v>
      </c>
      <c r="E858" s="18">
        <v>1</v>
      </c>
      <c r="F858" s="18">
        <v>25</v>
      </c>
      <c r="G858" s="18" t="s">
        <v>39</v>
      </c>
      <c r="H858" s="18" t="s">
        <v>33</v>
      </c>
      <c r="I858" s="18">
        <v>2.8</v>
      </c>
      <c r="J858" s="18">
        <v>3</v>
      </c>
      <c r="K858" s="18" t="s">
        <v>40</v>
      </c>
      <c r="L858" s="18">
        <v>1</v>
      </c>
      <c r="M858" s="18" t="s">
        <v>35</v>
      </c>
      <c r="N858" s="18">
        <v>1</v>
      </c>
      <c r="O858" s="18">
        <v>0</v>
      </c>
      <c r="P858" s="18"/>
      <c r="Q858" s="18">
        <v>2</v>
      </c>
      <c r="R858" s="18">
        <v>5</v>
      </c>
      <c r="S858" s="18">
        <v>0</v>
      </c>
      <c r="T858" s="18">
        <v>249.48</v>
      </c>
    </row>
    <row r="859" spans="1:20" x14ac:dyDescent="0.3">
      <c r="A859" s="18">
        <v>50858</v>
      </c>
      <c r="B859" s="18">
        <v>0</v>
      </c>
      <c r="C859" s="18">
        <v>27</v>
      </c>
      <c r="D859" s="18" t="s">
        <v>36</v>
      </c>
      <c r="E859" s="18">
        <v>2</v>
      </c>
      <c r="F859" s="18">
        <v>6</v>
      </c>
      <c r="G859" s="18" t="s">
        <v>39</v>
      </c>
      <c r="H859" s="18" t="s">
        <v>38</v>
      </c>
      <c r="I859" s="18">
        <v>3</v>
      </c>
      <c r="J859" s="18">
        <v>3</v>
      </c>
      <c r="K859" s="18" t="s">
        <v>44</v>
      </c>
      <c r="L859" s="18">
        <v>5</v>
      </c>
      <c r="M859" s="18" t="s">
        <v>35</v>
      </c>
      <c r="N859" s="18">
        <v>1</v>
      </c>
      <c r="O859" s="18">
        <v>1</v>
      </c>
      <c r="P859" s="18">
        <v>13.3</v>
      </c>
      <c r="Q859" s="18">
        <v>1</v>
      </c>
      <c r="R859" s="18">
        <v>5</v>
      </c>
      <c r="S859" s="18">
        <v>4</v>
      </c>
      <c r="T859" s="18">
        <v>138.78</v>
      </c>
    </row>
    <row r="860" spans="1:20" x14ac:dyDescent="0.3">
      <c r="A860" s="18">
        <v>50859</v>
      </c>
      <c r="B860" s="18">
        <v>0</v>
      </c>
      <c r="C860" s="18">
        <v>8</v>
      </c>
      <c r="D860" s="18" t="s">
        <v>31</v>
      </c>
      <c r="E860" s="18">
        <v>3</v>
      </c>
      <c r="F860" s="18">
        <v>12</v>
      </c>
      <c r="G860" s="18" t="s">
        <v>43</v>
      </c>
      <c r="H860" s="18" t="s">
        <v>38</v>
      </c>
      <c r="I860" s="18">
        <v>2.2000000000000002</v>
      </c>
      <c r="J860" s="18">
        <v>4</v>
      </c>
      <c r="K860" s="18" t="s">
        <v>36</v>
      </c>
      <c r="L860" s="18">
        <v>3</v>
      </c>
      <c r="M860" s="18" t="s">
        <v>41</v>
      </c>
      <c r="N860" s="18">
        <v>6</v>
      </c>
      <c r="O860" s="18">
        <v>1</v>
      </c>
      <c r="P860" s="18">
        <v>11.1</v>
      </c>
      <c r="Q860" s="18">
        <v>2</v>
      </c>
      <c r="R860" s="18">
        <v>2</v>
      </c>
      <c r="S860" s="18"/>
      <c r="T860" s="18">
        <v>212.07</v>
      </c>
    </row>
    <row r="861" spans="1:20" x14ac:dyDescent="0.3">
      <c r="A861" s="18">
        <v>50860</v>
      </c>
      <c r="B861" s="18">
        <v>0</v>
      </c>
      <c r="C861" s="18">
        <v>3</v>
      </c>
      <c r="D861" s="18" t="s">
        <v>36</v>
      </c>
      <c r="E861" s="18">
        <v>1</v>
      </c>
      <c r="F861" s="18">
        <v>13</v>
      </c>
      <c r="G861" s="18" t="s">
        <v>47</v>
      </c>
      <c r="H861" s="18" t="s">
        <v>38</v>
      </c>
      <c r="I861" s="18">
        <v>3</v>
      </c>
      <c r="J861" s="18">
        <v>3</v>
      </c>
      <c r="K861" s="18" t="s">
        <v>46</v>
      </c>
      <c r="L861" s="18">
        <v>5</v>
      </c>
      <c r="M861" s="18" t="s">
        <v>45</v>
      </c>
      <c r="N861" s="18">
        <v>6</v>
      </c>
      <c r="O861" s="18">
        <v>0</v>
      </c>
      <c r="P861" s="18">
        <v>20</v>
      </c>
      <c r="Q861" s="18">
        <v>2</v>
      </c>
      <c r="R861" s="18">
        <v>3</v>
      </c>
      <c r="S861" s="18">
        <v>9</v>
      </c>
      <c r="T861" s="18">
        <v>184.25</v>
      </c>
    </row>
    <row r="862" spans="1:20" x14ac:dyDescent="0.3">
      <c r="A862" s="18">
        <v>50861</v>
      </c>
      <c r="B862" s="18">
        <v>0</v>
      </c>
      <c r="C862" s="18">
        <v>5</v>
      </c>
      <c r="D862" s="18" t="s">
        <v>31</v>
      </c>
      <c r="E862" s="18">
        <v>3</v>
      </c>
      <c r="F862" s="18">
        <v>5</v>
      </c>
      <c r="G862" s="18" t="s">
        <v>32</v>
      </c>
      <c r="H862" s="18" t="s">
        <v>38</v>
      </c>
      <c r="I862" s="18">
        <v>2.6</v>
      </c>
      <c r="J862" s="18">
        <v>3</v>
      </c>
      <c r="K862" s="18" t="s">
        <v>36</v>
      </c>
      <c r="L862" s="18">
        <v>1</v>
      </c>
      <c r="M862" s="18" t="s">
        <v>35</v>
      </c>
      <c r="N862" s="18">
        <v>4</v>
      </c>
      <c r="O862" s="18">
        <v>0</v>
      </c>
      <c r="P862" s="18">
        <v>14.7</v>
      </c>
      <c r="Q862" s="18">
        <v>2</v>
      </c>
      <c r="R862" s="18">
        <v>9</v>
      </c>
      <c r="S862" s="18">
        <v>5</v>
      </c>
      <c r="T862" s="18">
        <v>205.3</v>
      </c>
    </row>
    <row r="863" spans="1:20" x14ac:dyDescent="0.3">
      <c r="A863" s="18">
        <v>50862</v>
      </c>
      <c r="B863" s="18">
        <v>0</v>
      </c>
      <c r="C863" s="18">
        <v>5</v>
      </c>
      <c r="D863" s="18" t="s">
        <v>31</v>
      </c>
      <c r="E863" s="18">
        <v>1</v>
      </c>
      <c r="F863" s="18">
        <v>19</v>
      </c>
      <c r="G863" s="18" t="s">
        <v>37</v>
      </c>
      <c r="H863" s="18" t="s">
        <v>38</v>
      </c>
      <c r="I863" s="18">
        <v>2.4</v>
      </c>
      <c r="J863" s="18">
        <v>4</v>
      </c>
      <c r="K863" s="18" t="s">
        <v>40</v>
      </c>
      <c r="L863" s="18">
        <v>4</v>
      </c>
      <c r="M863" s="18" t="s">
        <v>35</v>
      </c>
      <c r="N863" s="18">
        <v>7</v>
      </c>
      <c r="O863" s="18">
        <v>0</v>
      </c>
      <c r="P863" s="18">
        <v>16.600000000000001</v>
      </c>
      <c r="Q863" s="18">
        <v>2</v>
      </c>
      <c r="R863" s="18">
        <v>4</v>
      </c>
      <c r="S863" s="18">
        <v>10</v>
      </c>
      <c r="T863" s="18">
        <v>161.5</v>
      </c>
    </row>
    <row r="864" spans="1:20" x14ac:dyDescent="0.3">
      <c r="A864" s="18">
        <v>50863</v>
      </c>
      <c r="B864" s="18">
        <v>0</v>
      </c>
      <c r="C864" s="18">
        <v>9</v>
      </c>
      <c r="D864" s="18" t="s">
        <v>36</v>
      </c>
      <c r="E864" s="18">
        <v>1</v>
      </c>
      <c r="F864" s="18">
        <v>9</v>
      </c>
      <c r="G864" s="18" t="s">
        <v>39</v>
      </c>
      <c r="H864" s="18" t="s">
        <v>33</v>
      </c>
      <c r="I864" s="18">
        <v>3.4</v>
      </c>
      <c r="J864" s="18">
        <v>3</v>
      </c>
      <c r="K864" s="18" t="s">
        <v>36</v>
      </c>
      <c r="L864" s="18">
        <v>3</v>
      </c>
      <c r="M864" s="18" t="s">
        <v>35</v>
      </c>
      <c r="N864" s="18">
        <v>1</v>
      </c>
      <c r="O864" s="18">
        <v>1</v>
      </c>
      <c r="P864" s="18">
        <v>17</v>
      </c>
      <c r="Q864" s="18">
        <v>3</v>
      </c>
      <c r="R864" s="18">
        <v>4</v>
      </c>
      <c r="S864" s="18">
        <v>10</v>
      </c>
      <c r="T864" s="18">
        <v>126.94</v>
      </c>
    </row>
    <row r="865" spans="1:20" x14ac:dyDescent="0.3">
      <c r="A865" s="18">
        <v>50864</v>
      </c>
      <c r="B865" s="18">
        <v>0</v>
      </c>
      <c r="C865" s="18">
        <v>7</v>
      </c>
      <c r="D865" s="18" t="s">
        <v>36</v>
      </c>
      <c r="E865" s="18">
        <v>1</v>
      </c>
      <c r="F865" s="18">
        <v>13</v>
      </c>
      <c r="G865" s="18" t="s">
        <v>39</v>
      </c>
      <c r="H865" s="18" t="s">
        <v>33</v>
      </c>
      <c r="I865" s="18">
        <v>1.8</v>
      </c>
      <c r="J865" s="18">
        <v>2</v>
      </c>
      <c r="K865" s="18" t="s">
        <v>46</v>
      </c>
      <c r="L865" s="18">
        <v>5</v>
      </c>
      <c r="M865" s="18" t="s">
        <v>35</v>
      </c>
      <c r="N865" s="18">
        <v>1</v>
      </c>
      <c r="O865" s="18">
        <v>0</v>
      </c>
      <c r="P865" s="18">
        <v>17.100000000000001</v>
      </c>
      <c r="Q865" s="18">
        <v>1</v>
      </c>
      <c r="R865" s="18">
        <v>4</v>
      </c>
      <c r="S865" s="18">
        <v>2</v>
      </c>
      <c r="T865" s="18">
        <v>134.74</v>
      </c>
    </row>
    <row r="866" spans="1:20" x14ac:dyDescent="0.3">
      <c r="A866" s="18">
        <v>50865</v>
      </c>
      <c r="B866" s="18">
        <v>0</v>
      </c>
      <c r="C866" s="18">
        <v>25</v>
      </c>
      <c r="D866" s="18" t="s">
        <v>31</v>
      </c>
      <c r="E866" s="18">
        <v>1</v>
      </c>
      <c r="F866" s="18"/>
      <c r="G866" s="18" t="s">
        <v>37</v>
      </c>
      <c r="H866" s="18" t="s">
        <v>38</v>
      </c>
      <c r="I866" s="18">
        <v>3.3</v>
      </c>
      <c r="J866" s="18">
        <v>4</v>
      </c>
      <c r="K866" s="18" t="s">
        <v>44</v>
      </c>
      <c r="L866" s="18">
        <v>3</v>
      </c>
      <c r="M866" s="18" t="s">
        <v>45</v>
      </c>
      <c r="N866" s="18">
        <v>1</v>
      </c>
      <c r="O866" s="18">
        <v>0</v>
      </c>
      <c r="P866" s="18"/>
      <c r="Q866" s="18">
        <v>3</v>
      </c>
      <c r="R866" s="18">
        <v>3</v>
      </c>
      <c r="S866" s="18">
        <v>0</v>
      </c>
      <c r="T866" s="18">
        <v>136.88999999999999</v>
      </c>
    </row>
    <row r="867" spans="1:20" x14ac:dyDescent="0.3">
      <c r="A867" s="18">
        <v>50866</v>
      </c>
      <c r="B867" s="18">
        <v>0</v>
      </c>
      <c r="C867" s="18">
        <v>6</v>
      </c>
      <c r="D867" s="18" t="s">
        <v>42</v>
      </c>
      <c r="E867" s="18">
        <v>2</v>
      </c>
      <c r="F867" s="18">
        <v>8</v>
      </c>
      <c r="G867" s="18" t="s">
        <v>37</v>
      </c>
      <c r="H867" s="18" t="s">
        <v>33</v>
      </c>
      <c r="I867" s="18"/>
      <c r="J867" s="18">
        <v>3</v>
      </c>
      <c r="K867" s="18" t="s">
        <v>36</v>
      </c>
      <c r="L867" s="18">
        <v>3</v>
      </c>
      <c r="M867" s="18" t="s">
        <v>41</v>
      </c>
      <c r="N867" s="18">
        <v>6</v>
      </c>
      <c r="O867" s="18">
        <v>0</v>
      </c>
      <c r="P867" s="18">
        <v>11</v>
      </c>
      <c r="Q867" s="18">
        <v>3</v>
      </c>
      <c r="R867" s="18">
        <v>3</v>
      </c>
      <c r="S867" s="18">
        <v>4</v>
      </c>
      <c r="T867" s="18">
        <v>179.84</v>
      </c>
    </row>
    <row r="868" spans="1:20" x14ac:dyDescent="0.3">
      <c r="A868" s="18">
        <v>50867</v>
      </c>
      <c r="B868" s="18">
        <v>0</v>
      </c>
      <c r="C868" s="18">
        <v>48</v>
      </c>
      <c r="D868" s="18" t="s">
        <v>36</v>
      </c>
      <c r="E868" s="18">
        <v>1</v>
      </c>
      <c r="F868" s="18">
        <v>14</v>
      </c>
      <c r="G868" s="18" t="s">
        <v>47</v>
      </c>
      <c r="H868" s="18" t="s">
        <v>38</v>
      </c>
      <c r="I868" s="18">
        <v>2.2999999999999998</v>
      </c>
      <c r="J868" s="18">
        <v>3</v>
      </c>
      <c r="K868" s="18" t="s">
        <v>44</v>
      </c>
      <c r="L868" s="18">
        <v>5</v>
      </c>
      <c r="M868" s="18" t="s">
        <v>41</v>
      </c>
      <c r="N868" s="18">
        <v>4</v>
      </c>
      <c r="O868" s="18">
        <v>0</v>
      </c>
      <c r="P868" s="18">
        <v>13.9</v>
      </c>
      <c r="Q868" s="18">
        <v>3</v>
      </c>
      <c r="R868" s="18">
        <v>3</v>
      </c>
      <c r="S868" s="18">
        <v>10</v>
      </c>
      <c r="T868" s="18">
        <v>94.41</v>
      </c>
    </row>
    <row r="869" spans="1:20" x14ac:dyDescent="0.3">
      <c r="A869" s="18">
        <v>50868</v>
      </c>
      <c r="B869" s="18">
        <v>0</v>
      </c>
      <c r="C869" s="18">
        <v>19</v>
      </c>
      <c r="D869" s="18" t="s">
        <v>36</v>
      </c>
      <c r="E869" s="18">
        <v>1</v>
      </c>
      <c r="F869" s="18">
        <v>13</v>
      </c>
      <c r="G869" s="18" t="s">
        <v>39</v>
      </c>
      <c r="H869" s="18" t="s">
        <v>33</v>
      </c>
      <c r="I869" s="18">
        <v>2.2999999999999998</v>
      </c>
      <c r="J869" s="18">
        <v>3</v>
      </c>
      <c r="K869" s="18" t="s">
        <v>40</v>
      </c>
      <c r="L869" s="18">
        <v>3</v>
      </c>
      <c r="M869" s="18" t="s">
        <v>41</v>
      </c>
      <c r="N869" s="18">
        <v>4</v>
      </c>
      <c r="O869" s="18">
        <v>1</v>
      </c>
      <c r="P869" s="18">
        <v>17.399999999999999</v>
      </c>
      <c r="Q869" s="18">
        <v>2</v>
      </c>
      <c r="R869" s="18">
        <v>2</v>
      </c>
      <c r="S869" s="18">
        <v>0</v>
      </c>
      <c r="T869" s="18">
        <v>111.39</v>
      </c>
    </row>
    <row r="870" spans="1:20" x14ac:dyDescent="0.3">
      <c r="A870" s="18">
        <v>50869</v>
      </c>
      <c r="B870" s="18">
        <v>0</v>
      </c>
      <c r="C870" s="18">
        <v>2</v>
      </c>
      <c r="D870" s="18" t="s">
        <v>36</v>
      </c>
      <c r="E870" s="18">
        <v>3</v>
      </c>
      <c r="F870" s="18">
        <v>12</v>
      </c>
      <c r="G870" s="18" t="s">
        <v>43</v>
      </c>
      <c r="H870" s="18" t="s">
        <v>38</v>
      </c>
      <c r="I870" s="18">
        <v>2.7</v>
      </c>
      <c r="J870" s="18">
        <v>2</v>
      </c>
      <c r="K870" s="18" t="s">
        <v>40</v>
      </c>
      <c r="L870" s="18">
        <v>1</v>
      </c>
      <c r="M870" s="18" t="s">
        <v>35</v>
      </c>
      <c r="N870" s="18">
        <v>1</v>
      </c>
      <c r="O870" s="18">
        <v>0</v>
      </c>
      <c r="P870" s="18"/>
      <c r="Q870" s="18">
        <v>3</v>
      </c>
      <c r="R870" s="18">
        <v>6</v>
      </c>
      <c r="S870" s="18">
        <v>4</v>
      </c>
      <c r="T870" s="18">
        <v>187.45</v>
      </c>
    </row>
    <row r="871" spans="1:20" x14ac:dyDescent="0.3">
      <c r="A871" s="18">
        <v>50870</v>
      </c>
      <c r="B871" s="18">
        <v>0</v>
      </c>
      <c r="C871" s="18">
        <v>26</v>
      </c>
      <c r="D871" s="18" t="s">
        <v>31</v>
      </c>
      <c r="E871" s="18">
        <v>1</v>
      </c>
      <c r="F871" s="18">
        <v>9</v>
      </c>
      <c r="G871" s="18" t="s">
        <v>39</v>
      </c>
      <c r="H871" s="18" t="s">
        <v>33</v>
      </c>
      <c r="I871" s="18">
        <v>3.1</v>
      </c>
      <c r="J871" s="18">
        <v>3</v>
      </c>
      <c r="K871" s="18" t="s">
        <v>44</v>
      </c>
      <c r="L871" s="18">
        <v>3</v>
      </c>
      <c r="M871" s="18" t="s">
        <v>41</v>
      </c>
      <c r="N871" s="18">
        <v>1</v>
      </c>
      <c r="O871" s="18">
        <v>0</v>
      </c>
      <c r="P871" s="18">
        <v>14.8</v>
      </c>
      <c r="Q871" s="18">
        <v>2</v>
      </c>
      <c r="R871" s="18">
        <v>7</v>
      </c>
      <c r="S871" s="18">
        <v>0</v>
      </c>
      <c r="T871" s="18">
        <v>172.98</v>
      </c>
    </row>
    <row r="872" spans="1:20" x14ac:dyDescent="0.3">
      <c r="A872" s="18">
        <v>50871</v>
      </c>
      <c r="B872" s="18">
        <v>0</v>
      </c>
      <c r="C872" s="18">
        <v>1</v>
      </c>
      <c r="D872" s="18" t="s">
        <v>36</v>
      </c>
      <c r="E872" s="18">
        <v>3</v>
      </c>
      <c r="F872" s="18">
        <v>17</v>
      </c>
      <c r="G872" s="18" t="s">
        <v>43</v>
      </c>
      <c r="H872" s="18" t="s">
        <v>33</v>
      </c>
      <c r="I872" s="18">
        <v>2.8</v>
      </c>
      <c r="J872" s="18">
        <v>3</v>
      </c>
      <c r="K872" s="18" t="s">
        <v>40</v>
      </c>
      <c r="L872" s="18">
        <v>4</v>
      </c>
      <c r="M872" s="18" t="s">
        <v>41</v>
      </c>
      <c r="N872" s="18">
        <v>11</v>
      </c>
      <c r="O872" s="18">
        <v>1</v>
      </c>
      <c r="P872" s="18">
        <v>23.4</v>
      </c>
      <c r="Q872" s="18">
        <v>3</v>
      </c>
      <c r="R872" s="18">
        <v>4</v>
      </c>
      <c r="S872" s="18">
        <v>0</v>
      </c>
      <c r="T872" s="18">
        <v>190.46</v>
      </c>
    </row>
    <row r="873" spans="1:20" x14ac:dyDescent="0.3">
      <c r="A873" s="18">
        <v>50872</v>
      </c>
      <c r="B873" s="18">
        <v>0</v>
      </c>
      <c r="C873" s="18">
        <v>17</v>
      </c>
      <c r="D873" s="18" t="s">
        <v>36</v>
      </c>
      <c r="E873" s="18">
        <v>1</v>
      </c>
      <c r="F873" s="18">
        <v>28</v>
      </c>
      <c r="G873" s="18" t="s">
        <v>39</v>
      </c>
      <c r="H873" s="18" t="s">
        <v>33</v>
      </c>
      <c r="I873" s="18"/>
      <c r="J873" s="18">
        <v>3</v>
      </c>
      <c r="K873" s="18" t="s">
        <v>36</v>
      </c>
      <c r="L873" s="18">
        <v>3</v>
      </c>
      <c r="M873" s="18" t="s">
        <v>41</v>
      </c>
      <c r="N873" s="18">
        <v>1</v>
      </c>
      <c r="O873" s="18">
        <v>1</v>
      </c>
      <c r="P873" s="18">
        <v>11</v>
      </c>
      <c r="Q873" s="18">
        <v>1</v>
      </c>
      <c r="R873" s="18">
        <v>7</v>
      </c>
      <c r="S873" s="18">
        <v>5</v>
      </c>
      <c r="T873" s="18">
        <v>177.52</v>
      </c>
    </row>
    <row r="874" spans="1:20" x14ac:dyDescent="0.3">
      <c r="A874" s="18">
        <v>50873</v>
      </c>
      <c r="B874" s="18">
        <v>0</v>
      </c>
      <c r="C874" s="18">
        <v>4</v>
      </c>
      <c r="D874" s="18" t="s">
        <v>31</v>
      </c>
      <c r="E874" s="18">
        <v>2</v>
      </c>
      <c r="F874" s="18">
        <v>16</v>
      </c>
      <c r="G874" s="18" t="s">
        <v>37</v>
      </c>
      <c r="H874" s="18" t="s">
        <v>38</v>
      </c>
      <c r="I874" s="18">
        <v>4.0999999999999996</v>
      </c>
      <c r="J874" s="18">
        <v>4</v>
      </c>
      <c r="K874" s="18" t="s">
        <v>44</v>
      </c>
      <c r="L874" s="18">
        <v>3</v>
      </c>
      <c r="M874" s="18" t="s">
        <v>35</v>
      </c>
      <c r="N874" s="18">
        <v>5</v>
      </c>
      <c r="O874" s="18">
        <v>1</v>
      </c>
      <c r="P874" s="18">
        <v>13.4</v>
      </c>
      <c r="Q874" s="18">
        <v>1</v>
      </c>
      <c r="R874" s="18">
        <v>3</v>
      </c>
      <c r="S874" s="18">
        <v>5</v>
      </c>
      <c r="T874" s="18">
        <v>318.54000000000002</v>
      </c>
    </row>
    <row r="875" spans="1:20" x14ac:dyDescent="0.3">
      <c r="A875" s="18">
        <v>50874</v>
      </c>
      <c r="B875" s="18">
        <v>0</v>
      </c>
      <c r="C875" s="18">
        <v>21</v>
      </c>
      <c r="D875" s="18" t="s">
        <v>31</v>
      </c>
      <c r="E875" s="18">
        <v>1</v>
      </c>
      <c r="F875" s="18">
        <v>22</v>
      </c>
      <c r="G875" s="18" t="s">
        <v>39</v>
      </c>
      <c r="H875" s="18" t="s">
        <v>38</v>
      </c>
      <c r="I875" s="18">
        <v>2.5</v>
      </c>
      <c r="J875" s="18">
        <v>3</v>
      </c>
      <c r="K875" s="18" t="s">
        <v>36</v>
      </c>
      <c r="L875" s="18">
        <v>1</v>
      </c>
      <c r="M875" s="18" t="s">
        <v>35</v>
      </c>
      <c r="N875" s="18">
        <v>1</v>
      </c>
      <c r="O875" s="18">
        <v>0</v>
      </c>
      <c r="P875" s="18">
        <v>22.6</v>
      </c>
      <c r="Q875" s="18">
        <v>1</v>
      </c>
      <c r="R875" s="18">
        <v>4</v>
      </c>
      <c r="S875" s="18">
        <v>4</v>
      </c>
      <c r="T875" s="18">
        <v>186.97</v>
      </c>
    </row>
    <row r="876" spans="1:20" x14ac:dyDescent="0.3">
      <c r="A876" s="18">
        <v>50875</v>
      </c>
      <c r="B876" s="18">
        <v>0</v>
      </c>
      <c r="C876" s="18">
        <v>20</v>
      </c>
      <c r="D876" s="18" t="s">
        <v>36</v>
      </c>
      <c r="E876" s="18">
        <v>1</v>
      </c>
      <c r="F876" s="18">
        <v>5</v>
      </c>
      <c r="G876" s="18" t="s">
        <v>37</v>
      </c>
      <c r="H876" s="18" t="s">
        <v>33</v>
      </c>
      <c r="I876" s="18">
        <v>1.7</v>
      </c>
      <c r="J876" s="18">
        <v>4</v>
      </c>
      <c r="K876" s="18" t="s">
        <v>44</v>
      </c>
      <c r="L876" s="18">
        <v>4</v>
      </c>
      <c r="M876" s="18" t="s">
        <v>41</v>
      </c>
      <c r="N876" s="18">
        <v>1</v>
      </c>
      <c r="O876" s="18">
        <v>0</v>
      </c>
      <c r="P876" s="18">
        <v>15.8</v>
      </c>
      <c r="Q876" s="18">
        <v>2</v>
      </c>
      <c r="R876" s="18">
        <v>3</v>
      </c>
      <c r="S876" s="18"/>
      <c r="T876" s="18">
        <v>159.15</v>
      </c>
    </row>
    <row r="877" spans="1:20" x14ac:dyDescent="0.3">
      <c r="A877" s="18">
        <v>50876</v>
      </c>
      <c r="B877" s="18">
        <v>0</v>
      </c>
      <c r="C877" s="18">
        <v>16</v>
      </c>
      <c r="D877" s="18" t="s">
        <v>36</v>
      </c>
      <c r="E877" s="18">
        <v>1</v>
      </c>
      <c r="F877" s="18">
        <v>16</v>
      </c>
      <c r="G877" s="18" t="s">
        <v>37</v>
      </c>
      <c r="H877" s="18" t="s">
        <v>38</v>
      </c>
      <c r="I877" s="18">
        <v>3.5</v>
      </c>
      <c r="J877" s="18">
        <v>3</v>
      </c>
      <c r="K877" s="18" t="s">
        <v>36</v>
      </c>
      <c r="L877" s="18">
        <v>4</v>
      </c>
      <c r="M877" s="18" t="s">
        <v>45</v>
      </c>
      <c r="N877" s="18">
        <v>4</v>
      </c>
      <c r="O877" s="18">
        <v>0</v>
      </c>
      <c r="P877" s="18">
        <v>13.5</v>
      </c>
      <c r="Q877" s="18">
        <v>4</v>
      </c>
      <c r="R877" s="18">
        <v>4</v>
      </c>
      <c r="S877" s="18">
        <v>0</v>
      </c>
      <c r="T877" s="18">
        <v>185.56</v>
      </c>
    </row>
    <row r="878" spans="1:20" x14ac:dyDescent="0.3">
      <c r="A878" s="18">
        <v>50877</v>
      </c>
      <c r="B878" s="18">
        <v>0</v>
      </c>
      <c r="C878" s="18">
        <v>15</v>
      </c>
      <c r="D878" s="18" t="s">
        <v>31</v>
      </c>
      <c r="E878" s="18">
        <v>1</v>
      </c>
      <c r="F878" s="18">
        <v>6</v>
      </c>
      <c r="G878" s="18" t="s">
        <v>37</v>
      </c>
      <c r="H878" s="18" t="s">
        <v>33</v>
      </c>
      <c r="I878" s="18">
        <v>4.0999999999999996</v>
      </c>
      <c r="J878" s="18">
        <v>4</v>
      </c>
      <c r="K878" s="18" t="s">
        <v>36</v>
      </c>
      <c r="L878" s="18">
        <v>3</v>
      </c>
      <c r="M878" s="18" t="s">
        <v>45</v>
      </c>
      <c r="N878" s="18">
        <v>1</v>
      </c>
      <c r="O878" s="18">
        <v>0</v>
      </c>
      <c r="P878" s="18">
        <v>20.100000000000001</v>
      </c>
      <c r="Q878" s="18">
        <v>2</v>
      </c>
      <c r="R878" s="18">
        <v>6</v>
      </c>
      <c r="S878" s="18">
        <v>0</v>
      </c>
      <c r="T878" s="18">
        <v>236.1</v>
      </c>
    </row>
    <row r="879" spans="1:20" x14ac:dyDescent="0.3">
      <c r="A879" s="18">
        <v>50878</v>
      </c>
      <c r="B879" s="18">
        <v>0</v>
      </c>
      <c r="C879" s="18">
        <v>3</v>
      </c>
      <c r="D879" s="18" t="s">
        <v>36</v>
      </c>
      <c r="E879" s="18">
        <v>1</v>
      </c>
      <c r="F879" s="18">
        <v>5</v>
      </c>
      <c r="G879" s="18" t="s">
        <v>37</v>
      </c>
      <c r="H879" s="18" t="s">
        <v>33</v>
      </c>
      <c r="I879" s="18">
        <v>3.2</v>
      </c>
      <c r="J879" s="18">
        <v>4</v>
      </c>
      <c r="K879" s="18" t="s">
        <v>40</v>
      </c>
      <c r="L879" s="18">
        <v>3</v>
      </c>
      <c r="M879" s="18" t="s">
        <v>41</v>
      </c>
      <c r="N879" s="18">
        <v>4</v>
      </c>
      <c r="O879" s="18">
        <v>0</v>
      </c>
      <c r="P879" s="18">
        <v>16.2</v>
      </c>
      <c r="Q879" s="18">
        <v>4</v>
      </c>
      <c r="R879" s="18">
        <v>4</v>
      </c>
      <c r="S879" s="18">
        <v>9</v>
      </c>
      <c r="T879" s="18">
        <v>177.27</v>
      </c>
    </row>
    <row r="880" spans="1:20" x14ac:dyDescent="0.3">
      <c r="A880" s="18">
        <v>50879</v>
      </c>
      <c r="B880" s="18">
        <v>0</v>
      </c>
      <c r="C880" s="18">
        <v>0</v>
      </c>
      <c r="D880" s="18" t="s">
        <v>36</v>
      </c>
      <c r="E880" s="18">
        <v>2</v>
      </c>
      <c r="F880" s="18">
        <v>9</v>
      </c>
      <c r="G880" s="18" t="s">
        <v>47</v>
      </c>
      <c r="H880" s="18" t="s">
        <v>33</v>
      </c>
      <c r="I880" s="18">
        <v>2.1</v>
      </c>
      <c r="J880" s="18">
        <v>3</v>
      </c>
      <c r="K880" s="18" t="s">
        <v>40</v>
      </c>
      <c r="L880" s="18">
        <v>1</v>
      </c>
      <c r="M880" s="18" t="s">
        <v>35</v>
      </c>
      <c r="N880" s="18">
        <v>4</v>
      </c>
      <c r="O880" s="18">
        <v>0</v>
      </c>
      <c r="P880" s="18">
        <v>14.8</v>
      </c>
      <c r="Q880" s="18">
        <v>2</v>
      </c>
      <c r="R880" s="18">
        <v>4</v>
      </c>
      <c r="S880" s="18">
        <v>3</v>
      </c>
      <c r="T880" s="18">
        <v>217.66</v>
      </c>
    </row>
    <row r="881" spans="1:20" x14ac:dyDescent="0.3">
      <c r="A881" s="18">
        <v>50880</v>
      </c>
      <c r="B881" s="18">
        <v>0</v>
      </c>
      <c r="C881" s="18">
        <v>5</v>
      </c>
      <c r="D881" s="18" t="s">
        <v>42</v>
      </c>
      <c r="E881" s="18">
        <v>3</v>
      </c>
      <c r="F881" s="18">
        <v>24</v>
      </c>
      <c r="G881" s="18" t="s">
        <v>47</v>
      </c>
      <c r="H881" s="18" t="s">
        <v>33</v>
      </c>
      <c r="I881" s="18">
        <v>2.8</v>
      </c>
      <c r="J881" s="18">
        <v>3</v>
      </c>
      <c r="K881" s="18" t="s">
        <v>40</v>
      </c>
      <c r="L881" s="18">
        <v>2</v>
      </c>
      <c r="M881" s="18" t="s">
        <v>35</v>
      </c>
      <c r="N881" s="18">
        <v>2</v>
      </c>
      <c r="O881" s="18">
        <v>0</v>
      </c>
      <c r="P881" s="18">
        <v>16.7</v>
      </c>
      <c r="Q881" s="18">
        <v>1</v>
      </c>
      <c r="R881" s="18">
        <v>4</v>
      </c>
      <c r="S881" s="18">
        <v>1</v>
      </c>
      <c r="T881" s="18">
        <v>201.78</v>
      </c>
    </row>
    <row r="882" spans="1:20" x14ac:dyDescent="0.3">
      <c r="A882" s="18">
        <v>50881</v>
      </c>
      <c r="B882" s="18">
        <v>0</v>
      </c>
      <c r="C882" s="18">
        <v>1</v>
      </c>
      <c r="D882" s="18" t="s">
        <v>36</v>
      </c>
      <c r="E882" s="18">
        <v>3</v>
      </c>
      <c r="F882" s="18">
        <v>22</v>
      </c>
      <c r="G882" s="18" t="s">
        <v>32</v>
      </c>
      <c r="H882" s="18" t="s">
        <v>33</v>
      </c>
      <c r="I882" s="18">
        <v>2.1</v>
      </c>
      <c r="J882" s="18">
        <v>2</v>
      </c>
      <c r="K882" s="18" t="s">
        <v>44</v>
      </c>
      <c r="L882" s="18">
        <v>2</v>
      </c>
      <c r="M882" s="18" t="s">
        <v>41</v>
      </c>
      <c r="N882" s="18">
        <v>5</v>
      </c>
      <c r="O882" s="18">
        <v>1</v>
      </c>
      <c r="P882" s="18">
        <v>13.7</v>
      </c>
      <c r="Q882" s="18">
        <v>2</v>
      </c>
      <c r="R882" s="18">
        <v>6</v>
      </c>
      <c r="S882" s="18">
        <v>6</v>
      </c>
      <c r="T882" s="18">
        <v>164.03</v>
      </c>
    </row>
    <row r="883" spans="1:20" x14ac:dyDescent="0.3">
      <c r="A883" s="18">
        <v>50882</v>
      </c>
      <c r="B883" s="18">
        <v>1</v>
      </c>
      <c r="C883" s="18">
        <v>11</v>
      </c>
      <c r="D883" s="18" t="s">
        <v>31</v>
      </c>
      <c r="E883" s="18">
        <v>2</v>
      </c>
      <c r="F883" s="18">
        <v>16</v>
      </c>
      <c r="G883" s="18" t="s">
        <v>39</v>
      </c>
      <c r="H883" s="18" t="s">
        <v>33</v>
      </c>
      <c r="I883" s="18">
        <v>3.3</v>
      </c>
      <c r="J883" s="18">
        <v>4</v>
      </c>
      <c r="K883" s="18" t="s">
        <v>34</v>
      </c>
      <c r="L883" s="18">
        <v>3</v>
      </c>
      <c r="M883" s="18" t="s">
        <v>41</v>
      </c>
      <c r="N883" s="18">
        <v>3</v>
      </c>
      <c r="O883" s="18">
        <v>0</v>
      </c>
      <c r="P883" s="18">
        <v>12.4</v>
      </c>
      <c r="Q883" s="18">
        <v>2</v>
      </c>
      <c r="R883" s="18">
        <v>5</v>
      </c>
      <c r="S883" s="18">
        <v>11</v>
      </c>
      <c r="T883" s="18">
        <v>186.1</v>
      </c>
    </row>
    <row r="884" spans="1:20" x14ac:dyDescent="0.3">
      <c r="A884" s="18">
        <v>50883</v>
      </c>
      <c r="B884" s="18">
        <v>0</v>
      </c>
      <c r="C884" s="18">
        <v>4</v>
      </c>
      <c r="D884" s="18" t="s">
        <v>42</v>
      </c>
      <c r="E884" s="18">
        <v>1</v>
      </c>
      <c r="F884" s="18">
        <v>5</v>
      </c>
      <c r="G884" s="18" t="s">
        <v>47</v>
      </c>
      <c r="H884" s="18" t="s">
        <v>38</v>
      </c>
      <c r="I884" s="18">
        <v>2</v>
      </c>
      <c r="J884" s="18">
        <v>3</v>
      </c>
      <c r="K884" s="18" t="s">
        <v>40</v>
      </c>
      <c r="L884" s="18">
        <v>3</v>
      </c>
      <c r="M884" s="18" t="s">
        <v>35</v>
      </c>
      <c r="N884" s="18">
        <v>1</v>
      </c>
      <c r="O884" s="18">
        <v>1</v>
      </c>
      <c r="P884" s="18">
        <v>15.6</v>
      </c>
      <c r="Q884" s="18">
        <v>3</v>
      </c>
      <c r="R884" s="18">
        <v>4</v>
      </c>
      <c r="S884" s="18">
        <v>5</v>
      </c>
      <c r="T884" s="18">
        <v>267.94</v>
      </c>
    </row>
    <row r="885" spans="1:20" x14ac:dyDescent="0.3">
      <c r="A885" s="18">
        <v>50884</v>
      </c>
      <c r="B885" s="18">
        <v>0</v>
      </c>
      <c r="C885" s="18">
        <v>37</v>
      </c>
      <c r="D885" s="18" t="s">
        <v>36</v>
      </c>
      <c r="E885" s="18">
        <v>1</v>
      </c>
      <c r="F885" s="18">
        <v>13</v>
      </c>
      <c r="G885" s="18" t="s">
        <v>37</v>
      </c>
      <c r="H885" s="18" t="s">
        <v>38</v>
      </c>
      <c r="I885" s="18">
        <v>2.7</v>
      </c>
      <c r="J885" s="18">
        <v>3</v>
      </c>
      <c r="K885" s="18" t="s">
        <v>44</v>
      </c>
      <c r="L885" s="18">
        <v>5</v>
      </c>
      <c r="M885" s="18" t="s">
        <v>35</v>
      </c>
      <c r="N885" s="18">
        <v>4</v>
      </c>
      <c r="O885" s="18">
        <v>0</v>
      </c>
      <c r="P885" s="18">
        <v>12.5</v>
      </c>
      <c r="Q885" s="18">
        <v>0</v>
      </c>
      <c r="R885" s="18">
        <v>2</v>
      </c>
      <c r="S885" s="18">
        <v>7</v>
      </c>
      <c r="T885" s="18">
        <v>193.37</v>
      </c>
    </row>
    <row r="886" spans="1:20" x14ac:dyDescent="0.3">
      <c r="A886" s="18">
        <v>50885</v>
      </c>
      <c r="B886" s="18">
        <v>1</v>
      </c>
      <c r="C886" s="18">
        <v>10</v>
      </c>
      <c r="D886" s="18" t="s">
        <v>36</v>
      </c>
      <c r="E886" s="18">
        <v>1</v>
      </c>
      <c r="F886" s="18">
        <v>17</v>
      </c>
      <c r="G886" s="18" t="s">
        <v>37</v>
      </c>
      <c r="H886" s="18" t="s">
        <v>33</v>
      </c>
      <c r="I886" s="18">
        <v>2.2000000000000002</v>
      </c>
      <c r="J886" s="18">
        <v>4</v>
      </c>
      <c r="K886" s="18" t="s">
        <v>46</v>
      </c>
      <c r="L886" s="18">
        <v>1</v>
      </c>
      <c r="M886" s="18" t="s">
        <v>41</v>
      </c>
      <c r="N886" s="18">
        <v>3</v>
      </c>
      <c r="O886" s="18">
        <v>0</v>
      </c>
      <c r="P886" s="18">
        <v>16</v>
      </c>
      <c r="Q886" s="18">
        <v>1</v>
      </c>
      <c r="R886" s="18">
        <v>5</v>
      </c>
      <c r="S886" s="18">
        <v>1</v>
      </c>
      <c r="T886" s="18">
        <v>125.77</v>
      </c>
    </row>
    <row r="887" spans="1:20" x14ac:dyDescent="0.3">
      <c r="A887" s="18">
        <v>50886</v>
      </c>
      <c r="B887" s="18">
        <v>0</v>
      </c>
      <c r="C887" s="18">
        <v>17</v>
      </c>
      <c r="D887" s="18" t="s">
        <v>31</v>
      </c>
      <c r="E887" s="18">
        <v>1</v>
      </c>
      <c r="F887" s="18">
        <v>16</v>
      </c>
      <c r="G887" s="18" t="s">
        <v>37</v>
      </c>
      <c r="H887" s="18" t="s">
        <v>33</v>
      </c>
      <c r="I887" s="18">
        <v>3</v>
      </c>
      <c r="J887" s="18">
        <v>2</v>
      </c>
      <c r="K887" s="18" t="s">
        <v>44</v>
      </c>
      <c r="L887" s="18">
        <v>4</v>
      </c>
      <c r="M887" s="18" t="s">
        <v>35</v>
      </c>
      <c r="N887" s="18">
        <v>1</v>
      </c>
      <c r="O887" s="18">
        <v>0</v>
      </c>
      <c r="P887" s="18">
        <v>17.2</v>
      </c>
      <c r="Q887" s="18">
        <v>1</v>
      </c>
      <c r="R887" s="18">
        <v>2</v>
      </c>
      <c r="S887" s="18">
        <v>1</v>
      </c>
      <c r="T887" s="18">
        <v>162.43</v>
      </c>
    </row>
    <row r="888" spans="1:20" x14ac:dyDescent="0.3">
      <c r="A888" s="18">
        <v>50887</v>
      </c>
      <c r="B888" s="18">
        <v>1</v>
      </c>
      <c r="C888" s="18">
        <v>1</v>
      </c>
      <c r="D888" s="18" t="s">
        <v>42</v>
      </c>
      <c r="E888" s="18">
        <v>2</v>
      </c>
      <c r="F888" s="18">
        <v>5</v>
      </c>
      <c r="G888" s="18" t="s">
        <v>39</v>
      </c>
      <c r="H888" s="18" t="s">
        <v>33</v>
      </c>
      <c r="I888" s="18">
        <v>2.6</v>
      </c>
      <c r="J888" s="18">
        <v>3</v>
      </c>
      <c r="K888" s="18" t="s">
        <v>36</v>
      </c>
      <c r="L888" s="18">
        <v>3</v>
      </c>
      <c r="M888" s="18" t="s">
        <v>35</v>
      </c>
      <c r="N888" s="18">
        <v>8</v>
      </c>
      <c r="O888" s="18">
        <v>1</v>
      </c>
      <c r="P888" s="18">
        <v>19</v>
      </c>
      <c r="Q888" s="18">
        <v>1</v>
      </c>
      <c r="R888" s="18">
        <v>8</v>
      </c>
      <c r="S888" s="18">
        <v>9</v>
      </c>
      <c r="T888" s="18">
        <v>63.72</v>
      </c>
    </row>
    <row r="889" spans="1:20" x14ac:dyDescent="0.3">
      <c r="A889" s="18">
        <v>50888</v>
      </c>
      <c r="B889" s="18">
        <v>0</v>
      </c>
      <c r="C889" s="18">
        <v>19</v>
      </c>
      <c r="D889" s="18" t="s">
        <v>42</v>
      </c>
      <c r="E889" s="18">
        <v>2</v>
      </c>
      <c r="F889" s="18"/>
      <c r="G889" s="18" t="s">
        <v>39</v>
      </c>
      <c r="H889" s="18" t="s">
        <v>33</v>
      </c>
      <c r="I889" s="18">
        <v>3</v>
      </c>
      <c r="J889" s="18">
        <v>4</v>
      </c>
      <c r="K889" s="18" t="s">
        <v>36</v>
      </c>
      <c r="L889" s="18">
        <v>3</v>
      </c>
      <c r="M889" s="18" t="s">
        <v>35</v>
      </c>
      <c r="N889" s="18">
        <v>2</v>
      </c>
      <c r="O889" s="18">
        <v>0</v>
      </c>
      <c r="P889" s="18">
        <v>19.899999999999999</v>
      </c>
      <c r="Q889" s="18">
        <v>3</v>
      </c>
      <c r="R889" s="18">
        <v>6</v>
      </c>
      <c r="S889" s="18">
        <v>4</v>
      </c>
      <c r="T889" s="18">
        <v>187.56</v>
      </c>
    </row>
    <row r="890" spans="1:20" x14ac:dyDescent="0.3">
      <c r="A890" s="18">
        <v>50889</v>
      </c>
      <c r="B890" s="18">
        <v>0</v>
      </c>
      <c r="C890" s="18">
        <v>25</v>
      </c>
      <c r="D890" s="18" t="s">
        <v>31</v>
      </c>
      <c r="E890" s="18">
        <v>1</v>
      </c>
      <c r="F890" s="18">
        <v>14</v>
      </c>
      <c r="G890" s="18" t="s">
        <v>39</v>
      </c>
      <c r="H890" s="18" t="s">
        <v>33</v>
      </c>
      <c r="I890" s="18"/>
      <c r="J890" s="18">
        <v>4</v>
      </c>
      <c r="K890" s="18" t="s">
        <v>36</v>
      </c>
      <c r="L890" s="18">
        <v>5</v>
      </c>
      <c r="M890" s="18" t="s">
        <v>41</v>
      </c>
      <c r="N890" s="18">
        <v>7</v>
      </c>
      <c r="O890" s="18">
        <v>1</v>
      </c>
      <c r="P890" s="18">
        <v>14.6</v>
      </c>
      <c r="Q890" s="18">
        <v>1</v>
      </c>
      <c r="R890" s="18">
        <v>5</v>
      </c>
      <c r="S890" s="18">
        <v>1</v>
      </c>
      <c r="T890" s="18">
        <v>252.16</v>
      </c>
    </row>
    <row r="891" spans="1:20" x14ac:dyDescent="0.3">
      <c r="A891" s="18">
        <v>50890</v>
      </c>
      <c r="B891" s="18">
        <v>1</v>
      </c>
      <c r="C891" s="18">
        <v>6</v>
      </c>
      <c r="D891" s="18" t="s">
        <v>36</v>
      </c>
      <c r="E891" s="18">
        <v>1</v>
      </c>
      <c r="F891" s="18">
        <v>19</v>
      </c>
      <c r="G891" s="18" t="s">
        <v>39</v>
      </c>
      <c r="H891" s="18" t="s">
        <v>33</v>
      </c>
      <c r="I891" s="18">
        <v>2.2000000000000002</v>
      </c>
      <c r="J891" s="18">
        <v>3</v>
      </c>
      <c r="K891" s="18" t="s">
        <v>46</v>
      </c>
      <c r="L891" s="18">
        <v>2</v>
      </c>
      <c r="M891" s="18" t="s">
        <v>35</v>
      </c>
      <c r="N891" s="18">
        <v>7</v>
      </c>
      <c r="O891" s="18">
        <v>0</v>
      </c>
      <c r="P891" s="18">
        <v>17.7</v>
      </c>
      <c r="Q891" s="18">
        <v>1</v>
      </c>
      <c r="R891" s="18">
        <v>8</v>
      </c>
      <c r="S891" s="18">
        <v>3</v>
      </c>
      <c r="T891" s="18">
        <v>106.22</v>
      </c>
    </row>
    <row r="892" spans="1:20" x14ac:dyDescent="0.3">
      <c r="A892" s="18">
        <v>50891</v>
      </c>
      <c r="B892" s="18">
        <v>0</v>
      </c>
      <c r="C892" s="18">
        <v>9</v>
      </c>
      <c r="D892" s="18" t="s">
        <v>31</v>
      </c>
      <c r="E892" s="18">
        <v>3</v>
      </c>
      <c r="F892" s="18">
        <v>5</v>
      </c>
      <c r="G892" s="18" t="s">
        <v>47</v>
      </c>
      <c r="H892" s="18" t="s">
        <v>38</v>
      </c>
      <c r="I892" s="18">
        <v>3.3</v>
      </c>
      <c r="J892" s="18">
        <v>3</v>
      </c>
      <c r="K892" s="18" t="s">
        <v>36</v>
      </c>
      <c r="L892" s="18">
        <v>1</v>
      </c>
      <c r="M892" s="18" t="s">
        <v>41</v>
      </c>
      <c r="N892" s="18">
        <v>2</v>
      </c>
      <c r="O892" s="18">
        <v>1</v>
      </c>
      <c r="P892" s="18">
        <v>17.7</v>
      </c>
      <c r="Q892" s="18">
        <v>5</v>
      </c>
      <c r="R892" s="18">
        <v>5</v>
      </c>
      <c r="S892" s="18">
        <v>5</v>
      </c>
      <c r="T892" s="18">
        <v>188.24</v>
      </c>
    </row>
    <row r="893" spans="1:20" x14ac:dyDescent="0.3">
      <c r="A893" s="18">
        <v>50892</v>
      </c>
      <c r="B893" s="18">
        <v>0</v>
      </c>
      <c r="C893" s="18">
        <v>14</v>
      </c>
      <c r="D893" s="18" t="s">
        <v>36</v>
      </c>
      <c r="E893" s="18">
        <v>3</v>
      </c>
      <c r="F893" s="18">
        <v>13</v>
      </c>
      <c r="G893" s="18" t="s">
        <v>47</v>
      </c>
      <c r="H893" s="18" t="s">
        <v>38</v>
      </c>
      <c r="I893" s="18">
        <v>2.9</v>
      </c>
      <c r="J893" s="18">
        <v>3</v>
      </c>
      <c r="K893" s="18" t="s">
        <v>44</v>
      </c>
      <c r="L893" s="18">
        <v>4</v>
      </c>
      <c r="M893" s="18" t="s">
        <v>35</v>
      </c>
      <c r="N893" s="18">
        <v>2</v>
      </c>
      <c r="O893" s="18">
        <v>0</v>
      </c>
      <c r="P893" s="18">
        <v>17.100000000000001</v>
      </c>
      <c r="Q893" s="18">
        <v>2</v>
      </c>
      <c r="R893" s="18">
        <v>8</v>
      </c>
      <c r="S893" s="18">
        <v>1</v>
      </c>
      <c r="T893" s="18">
        <v>234.2</v>
      </c>
    </row>
    <row r="894" spans="1:20" x14ac:dyDescent="0.3">
      <c r="A894" s="18">
        <v>50893</v>
      </c>
      <c r="B894" s="18">
        <v>0</v>
      </c>
      <c r="C894" s="18">
        <v>1</v>
      </c>
      <c r="D894" s="18" t="s">
        <v>36</v>
      </c>
      <c r="E894" s="18">
        <v>1</v>
      </c>
      <c r="F894" s="18">
        <v>16</v>
      </c>
      <c r="G894" s="18" t="s">
        <v>43</v>
      </c>
      <c r="H894" s="18" t="s">
        <v>33</v>
      </c>
      <c r="I894" s="18">
        <v>2.2000000000000002</v>
      </c>
      <c r="J894" s="18">
        <v>2</v>
      </c>
      <c r="K894" s="18" t="s">
        <v>34</v>
      </c>
      <c r="L894" s="18">
        <v>3</v>
      </c>
      <c r="M894" s="18" t="s">
        <v>35</v>
      </c>
      <c r="N894" s="18">
        <v>1</v>
      </c>
      <c r="O894" s="18">
        <v>1</v>
      </c>
      <c r="P894" s="18">
        <v>14.3</v>
      </c>
      <c r="Q894" s="18">
        <v>0</v>
      </c>
      <c r="R894" s="18">
        <v>5</v>
      </c>
      <c r="S894" s="18">
        <v>5</v>
      </c>
      <c r="T894" s="18">
        <v>240.01</v>
      </c>
    </row>
    <row r="895" spans="1:20" x14ac:dyDescent="0.3">
      <c r="A895" s="18">
        <v>50894</v>
      </c>
      <c r="B895" s="18">
        <v>0</v>
      </c>
      <c r="C895" s="18">
        <v>6</v>
      </c>
      <c r="D895" s="18" t="s">
        <v>36</v>
      </c>
      <c r="E895" s="18">
        <v>3</v>
      </c>
      <c r="F895" s="18">
        <v>21</v>
      </c>
      <c r="G895" s="18" t="s">
        <v>47</v>
      </c>
      <c r="H895" s="18" t="s">
        <v>33</v>
      </c>
      <c r="I895" s="18">
        <v>4.5</v>
      </c>
      <c r="J895" s="18">
        <v>3</v>
      </c>
      <c r="K895" s="18" t="s">
        <v>34</v>
      </c>
      <c r="L895" s="18">
        <v>1</v>
      </c>
      <c r="M895" s="18" t="s">
        <v>35</v>
      </c>
      <c r="N895" s="18">
        <v>2</v>
      </c>
      <c r="O895" s="18">
        <v>0</v>
      </c>
      <c r="P895" s="18">
        <v>12.4</v>
      </c>
      <c r="Q895" s="18">
        <v>1</v>
      </c>
      <c r="R895" s="18">
        <v>4</v>
      </c>
      <c r="S895" s="18">
        <v>0</v>
      </c>
      <c r="T895" s="18">
        <v>250.39</v>
      </c>
    </row>
    <row r="896" spans="1:20" x14ac:dyDescent="0.3">
      <c r="A896" s="18">
        <v>50895</v>
      </c>
      <c r="B896" s="18">
        <v>0</v>
      </c>
      <c r="C896" s="18">
        <v>5</v>
      </c>
      <c r="D896" s="18" t="s">
        <v>36</v>
      </c>
      <c r="E896" s="18">
        <v>3</v>
      </c>
      <c r="F896" s="18">
        <v>20</v>
      </c>
      <c r="G896" s="18" t="s">
        <v>39</v>
      </c>
      <c r="H896" s="18" t="s">
        <v>33</v>
      </c>
      <c r="I896" s="18">
        <v>3.2</v>
      </c>
      <c r="J896" s="18">
        <v>5</v>
      </c>
      <c r="K896" s="18" t="s">
        <v>40</v>
      </c>
      <c r="L896" s="18">
        <v>3</v>
      </c>
      <c r="M896" s="18" t="s">
        <v>41</v>
      </c>
      <c r="N896" s="18">
        <v>7</v>
      </c>
      <c r="O896" s="18">
        <v>1</v>
      </c>
      <c r="P896" s="18">
        <v>17.8</v>
      </c>
      <c r="Q896" s="18">
        <v>1</v>
      </c>
      <c r="R896" s="18">
        <v>2</v>
      </c>
      <c r="S896" s="18">
        <v>1</v>
      </c>
      <c r="T896" s="18">
        <v>77.25</v>
      </c>
    </row>
    <row r="897" spans="1:20" x14ac:dyDescent="0.3">
      <c r="A897" s="18">
        <v>50896</v>
      </c>
      <c r="B897" s="18">
        <v>0</v>
      </c>
      <c r="C897" s="18">
        <v>1</v>
      </c>
      <c r="D897" s="18" t="s">
        <v>31</v>
      </c>
      <c r="E897" s="18">
        <v>1</v>
      </c>
      <c r="F897" s="18">
        <v>19</v>
      </c>
      <c r="G897" s="18" t="s">
        <v>32</v>
      </c>
      <c r="H897" s="18" t="s">
        <v>38</v>
      </c>
      <c r="I897" s="18">
        <v>2.8</v>
      </c>
      <c r="J897" s="18">
        <v>3</v>
      </c>
      <c r="K897" s="18" t="s">
        <v>36</v>
      </c>
      <c r="L897" s="18">
        <v>3</v>
      </c>
      <c r="M897" s="18" t="s">
        <v>35</v>
      </c>
      <c r="N897" s="18">
        <v>5</v>
      </c>
      <c r="O897" s="18">
        <v>0</v>
      </c>
      <c r="P897" s="18">
        <v>11</v>
      </c>
      <c r="Q897" s="18">
        <v>2</v>
      </c>
      <c r="R897" s="18">
        <v>4</v>
      </c>
      <c r="S897" s="18">
        <v>5</v>
      </c>
      <c r="T897" s="18">
        <v>207.77</v>
      </c>
    </row>
    <row r="898" spans="1:20" x14ac:dyDescent="0.3">
      <c r="A898" s="18">
        <v>50897</v>
      </c>
      <c r="B898" s="18">
        <v>0</v>
      </c>
      <c r="C898" s="18">
        <v>4</v>
      </c>
      <c r="D898" s="18" t="s">
        <v>36</v>
      </c>
      <c r="E898" s="18">
        <v>1</v>
      </c>
      <c r="F898" s="18">
        <v>8</v>
      </c>
      <c r="G898" s="18" t="s">
        <v>32</v>
      </c>
      <c r="H898" s="18" t="s">
        <v>33</v>
      </c>
      <c r="I898" s="18">
        <v>3.9</v>
      </c>
      <c r="J898" s="18">
        <v>3</v>
      </c>
      <c r="K898" s="18" t="s">
        <v>44</v>
      </c>
      <c r="L898" s="18">
        <v>4</v>
      </c>
      <c r="M898" s="18" t="s">
        <v>45</v>
      </c>
      <c r="N898" s="18">
        <v>1</v>
      </c>
      <c r="O898" s="18">
        <v>0</v>
      </c>
      <c r="P898" s="18">
        <v>15.1</v>
      </c>
      <c r="Q898" s="18">
        <v>1</v>
      </c>
      <c r="R898" s="18">
        <v>2</v>
      </c>
      <c r="S898" s="18">
        <v>0</v>
      </c>
      <c r="T898" s="18">
        <v>97.19</v>
      </c>
    </row>
    <row r="899" spans="1:20" x14ac:dyDescent="0.3">
      <c r="A899" s="18">
        <v>50898</v>
      </c>
      <c r="B899" s="18">
        <v>0</v>
      </c>
      <c r="C899" s="18">
        <v>0</v>
      </c>
      <c r="D899" s="18" t="s">
        <v>36</v>
      </c>
      <c r="E899" s="18">
        <v>2</v>
      </c>
      <c r="F899" s="18">
        <v>5</v>
      </c>
      <c r="G899" s="18" t="s">
        <v>37</v>
      </c>
      <c r="H899" s="18" t="s">
        <v>33</v>
      </c>
      <c r="I899" s="18">
        <v>4.2</v>
      </c>
      <c r="J899" s="18">
        <v>3</v>
      </c>
      <c r="K899" s="18" t="s">
        <v>46</v>
      </c>
      <c r="L899" s="18">
        <v>2</v>
      </c>
      <c r="M899" s="18" t="s">
        <v>35</v>
      </c>
      <c r="N899" s="18">
        <v>3</v>
      </c>
      <c r="O899" s="18">
        <v>1</v>
      </c>
      <c r="P899" s="18">
        <v>11</v>
      </c>
      <c r="Q899" s="18">
        <v>3</v>
      </c>
      <c r="R899" s="18">
        <v>5</v>
      </c>
      <c r="S899" s="18">
        <v>1</v>
      </c>
      <c r="T899" s="18">
        <v>125.09</v>
      </c>
    </row>
    <row r="900" spans="1:20" x14ac:dyDescent="0.3">
      <c r="A900" s="18">
        <v>50899</v>
      </c>
      <c r="B900" s="18">
        <v>0</v>
      </c>
      <c r="C900" s="18">
        <v>0</v>
      </c>
      <c r="D900" s="18" t="s">
        <v>36</v>
      </c>
      <c r="E900" s="18">
        <v>3</v>
      </c>
      <c r="F900" s="18">
        <v>11</v>
      </c>
      <c r="G900" s="18" t="s">
        <v>37</v>
      </c>
      <c r="H900" s="18" t="s">
        <v>38</v>
      </c>
      <c r="I900" s="18">
        <v>2.8</v>
      </c>
      <c r="J900" s="18">
        <v>3</v>
      </c>
      <c r="K900" s="18" t="s">
        <v>44</v>
      </c>
      <c r="L900" s="18">
        <v>3</v>
      </c>
      <c r="M900" s="18" t="s">
        <v>41</v>
      </c>
      <c r="N900" s="18">
        <v>19</v>
      </c>
      <c r="O900" s="18">
        <v>0</v>
      </c>
      <c r="P900" s="18"/>
      <c r="Q900" s="18">
        <v>2</v>
      </c>
      <c r="R900" s="18">
        <v>4</v>
      </c>
      <c r="S900" s="18">
        <v>10</v>
      </c>
      <c r="T900" s="18">
        <v>225.16</v>
      </c>
    </row>
    <row r="901" spans="1:20" x14ac:dyDescent="0.3">
      <c r="A901" s="18">
        <v>50900</v>
      </c>
      <c r="B901" s="18">
        <v>1</v>
      </c>
      <c r="C901" s="18">
        <v>1</v>
      </c>
      <c r="D901" s="18" t="s">
        <v>42</v>
      </c>
      <c r="E901" s="18">
        <v>3</v>
      </c>
      <c r="F901" s="18">
        <v>23</v>
      </c>
      <c r="G901" s="18" t="s">
        <v>43</v>
      </c>
      <c r="H901" s="18" t="s">
        <v>33</v>
      </c>
      <c r="I901" s="18">
        <v>3.1</v>
      </c>
      <c r="J901" s="18">
        <v>3</v>
      </c>
      <c r="K901" s="18" t="s">
        <v>44</v>
      </c>
      <c r="L901" s="18">
        <v>3</v>
      </c>
      <c r="M901" s="18" t="s">
        <v>35</v>
      </c>
      <c r="N901" s="18">
        <v>3</v>
      </c>
      <c r="O901" s="18">
        <v>0</v>
      </c>
      <c r="P901" s="18">
        <v>12.9</v>
      </c>
      <c r="Q901" s="18">
        <v>3</v>
      </c>
      <c r="R901" s="18">
        <v>4</v>
      </c>
      <c r="S901" s="18">
        <v>5</v>
      </c>
      <c r="T901" s="18">
        <v>188.69</v>
      </c>
    </row>
    <row r="902" spans="1:20" x14ac:dyDescent="0.3">
      <c r="A902" s="18">
        <v>50901</v>
      </c>
      <c r="B902" s="18">
        <v>0</v>
      </c>
      <c r="C902" s="18">
        <v>32</v>
      </c>
      <c r="D902" s="18" t="s">
        <v>31</v>
      </c>
      <c r="E902" s="18">
        <v>1</v>
      </c>
      <c r="F902" s="18">
        <v>26</v>
      </c>
      <c r="G902" s="18" t="s">
        <v>37</v>
      </c>
      <c r="H902" s="18" t="s">
        <v>33</v>
      </c>
      <c r="I902" s="18">
        <v>2.2000000000000002</v>
      </c>
      <c r="J902" s="18">
        <v>4</v>
      </c>
      <c r="K902" s="18" t="s">
        <v>36</v>
      </c>
      <c r="L902" s="18">
        <v>3</v>
      </c>
      <c r="M902" s="18" t="s">
        <v>41</v>
      </c>
      <c r="N902" s="18">
        <v>5</v>
      </c>
      <c r="O902" s="18">
        <v>1</v>
      </c>
      <c r="P902" s="18">
        <v>19.8</v>
      </c>
      <c r="Q902" s="18">
        <v>4</v>
      </c>
      <c r="R902" s="18">
        <v>4</v>
      </c>
      <c r="S902" s="18">
        <v>3</v>
      </c>
      <c r="T902" s="18">
        <v>219.95</v>
      </c>
    </row>
    <row r="903" spans="1:20" x14ac:dyDescent="0.3">
      <c r="A903" s="18">
        <v>50902</v>
      </c>
      <c r="B903" s="18">
        <v>0</v>
      </c>
      <c r="C903" s="18">
        <v>7</v>
      </c>
      <c r="D903" s="18" t="s">
        <v>36</v>
      </c>
      <c r="E903" s="18">
        <v>1</v>
      </c>
      <c r="F903" s="18">
        <v>20</v>
      </c>
      <c r="G903" s="18" t="s">
        <v>43</v>
      </c>
      <c r="H903" s="18" t="s">
        <v>33</v>
      </c>
      <c r="I903" s="18">
        <v>2.8</v>
      </c>
      <c r="J903" s="18">
        <v>3</v>
      </c>
      <c r="K903" s="18" t="s">
        <v>44</v>
      </c>
      <c r="L903" s="18">
        <v>5</v>
      </c>
      <c r="M903" s="18" t="s">
        <v>35</v>
      </c>
      <c r="N903" s="18">
        <v>5</v>
      </c>
      <c r="O903" s="18">
        <v>0</v>
      </c>
      <c r="P903" s="18">
        <v>18.399999999999999</v>
      </c>
      <c r="Q903" s="18">
        <v>3</v>
      </c>
      <c r="R903" s="18">
        <v>3</v>
      </c>
      <c r="S903" s="18">
        <v>1</v>
      </c>
      <c r="T903" s="18">
        <v>128.9</v>
      </c>
    </row>
    <row r="904" spans="1:20" x14ac:dyDescent="0.3">
      <c r="A904" s="18">
        <v>50903</v>
      </c>
      <c r="B904" s="18">
        <v>0</v>
      </c>
      <c r="C904" s="18">
        <v>33</v>
      </c>
      <c r="D904" s="18" t="s">
        <v>36</v>
      </c>
      <c r="E904" s="18">
        <v>2</v>
      </c>
      <c r="F904" s="18">
        <v>18</v>
      </c>
      <c r="G904" s="18" t="s">
        <v>39</v>
      </c>
      <c r="H904" s="18" t="s">
        <v>33</v>
      </c>
      <c r="I904" s="18"/>
      <c r="J904" s="18">
        <v>4</v>
      </c>
      <c r="K904" s="18" t="s">
        <v>44</v>
      </c>
      <c r="L904" s="18">
        <v>1</v>
      </c>
      <c r="M904" s="18" t="s">
        <v>35</v>
      </c>
      <c r="N904" s="18">
        <v>1</v>
      </c>
      <c r="O904" s="18">
        <v>0</v>
      </c>
      <c r="P904" s="18">
        <v>14.1</v>
      </c>
      <c r="Q904" s="18">
        <v>1</v>
      </c>
      <c r="R904" s="18">
        <v>5</v>
      </c>
      <c r="S904" s="18">
        <v>2</v>
      </c>
      <c r="T904" s="18">
        <v>261.05</v>
      </c>
    </row>
    <row r="905" spans="1:20" x14ac:dyDescent="0.3">
      <c r="A905" s="18">
        <v>50904</v>
      </c>
      <c r="B905" s="18">
        <v>0</v>
      </c>
      <c r="C905" s="18">
        <v>5</v>
      </c>
      <c r="D905" s="18" t="s">
        <v>36</v>
      </c>
      <c r="E905" s="18">
        <v>2</v>
      </c>
      <c r="F905" s="18">
        <v>18</v>
      </c>
      <c r="G905" s="18" t="s">
        <v>39</v>
      </c>
      <c r="H905" s="18" t="s">
        <v>33</v>
      </c>
      <c r="I905" s="18">
        <v>3</v>
      </c>
      <c r="J905" s="18">
        <v>2</v>
      </c>
      <c r="K905" s="18" t="s">
        <v>36</v>
      </c>
      <c r="L905" s="18">
        <v>5</v>
      </c>
      <c r="M905" s="18" t="s">
        <v>41</v>
      </c>
      <c r="N905" s="18">
        <v>1</v>
      </c>
      <c r="O905" s="18">
        <v>0</v>
      </c>
      <c r="P905" s="18">
        <v>18.600000000000001</v>
      </c>
      <c r="Q905" s="18">
        <v>1</v>
      </c>
      <c r="R905" s="18">
        <v>7</v>
      </c>
      <c r="S905" s="18">
        <v>4</v>
      </c>
      <c r="T905" s="18">
        <v>217.86</v>
      </c>
    </row>
    <row r="906" spans="1:20" x14ac:dyDescent="0.3">
      <c r="A906" s="18">
        <v>50905</v>
      </c>
      <c r="B906" s="18">
        <v>0</v>
      </c>
      <c r="C906" s="18">
        <v>3</v>
      </c>
      <c r="D906" s="18" t="s">
        <v>42</v>
      </c>
      <c r="E906" s="18">
        <v>1</v>
      </c>
      <c r="F906" s="18">
        <v>10</v>
      </c>
      <c r="G906" s="18" t="s">
        <v>37</v>
      </c>
      <c r="H906" s="18" t="s">
        <v>33</v>
      </c>
      <c r="I906" s="18">
        <v>3.1</v>
      </c>
      <c r="J906" s="18">
        <v>3</v>
      </c>
      <c r="K906" s="18" t="s">
        <v>44</v>
      </c>
      <c r="L906" s="18">
        <v>4</v>
      </c>
      <c r="M906" s="18" t="s">
        <v>41</v>
      </c>
      <c r="N906" s="18">
        <v>4</v>
      </c>
      <c r="O906" s="18">
        <v>1</v>
      </c>
      <c r="P906" s="18">
        <v>19.100000000000001</v>
      </c>
      <c r="Q906" s="18">
        <v>5</v>
      </c>
      <c r="R906" s="18">
        <v>2</v>
      </c>
      <c r="S906" s="18">
        <v>0</v>
      </c>
      <c r="T906" s="18">
        <v>228.91</v>
      </c>
    </row>
    <row r="907" spans="1:20" x14ac:dyDescent="0.3">
      <c r="A907" s="18">
        <v>50906</v>
      </c>
      <c r="B907" s="18">
        <v>1</v>
      </c>
      <c r="C907" s="18">
        <v>7</v>
      </c>
      <c r="D907" s="18" t="s">
        <v>31</v>
      </c>
      <c r="E907" s="18">
        <v>3</v>
      </c>
      <c r="F907" s="18">
        <v>13</v>
      </c>
      <c r="G907" s="18" t="s">
        <v>37</v>
      </c>
      <c r="H907" s="18" t="s">
        <v>33</v>
      </c>
      <c r="I907" s="18">
        <v>3.3</v>
      </c>
      <c r="J907" s="18">
        <v>3</v>
      </c>
      <c r="K907" s="18" t="s">
        <v>44</v>
      </c>
      <c r="L907" s="18">
        <v>4</v>
      </c>
      <c r="M907" s="18" t="s">
        <v>41</v>
      </c>
      <c r="N907" s="18">
        <v>2</v>
      </c>
      <c r="O907" s="18">
        <v>0</v>
      </c>
      <c r="P907" s="18">
        <v>15.4</v>
      </c>
      <c r="Q907" s="18">
        <v>1</v>
      </c>
      <c r="R907" s="18">
        <v>7</v>
      </c>
      <c r="S907" s="18">
        <v>3</v>
      </c>
      <c r="T907" s="18">
        <v>120.59</v>
      </c>
    </row>
    <row r="908" spans="1:20" x14ac:dyDescent="0.3">
      <c r="A908" s="18">
        <v>50907</v>
      </c>
      <c r="B908" s="18">
        <v>1</v>
      </c>
      <c r="C908" s="18">
        <v>5</v>
      </c>
      <c r="D908" s="18" t="s">
        <v>36</v>
      </c>
      <c r="E908" s="18">
        <v>2</v>
      </c>
      <c r="F908" s="18">
        <v>28</v>
      </c>
      <c r="G908" s="18" t="s">
        <v>32</v>
      </c>
      <c r="H908" s="18" t="s">
        <v>33</v>
      </c>
      <c r="I908" s="18">
        <v>3.1</v>
      </c>
      <c r="J908" s="18">
        <v>4</v>
      </c>
      <c r="K908" s="18" t="s">
        <v>44</v>
      </c>
      <c r="L908" s="18">
        <v>3</v>
      </c>
      <c r="M908" s="18" t="s">
        <v>45</v>
      </c>
      <c r="N908" s="18">
        <v>2</v>
      </c>
      <c r="O908" s="18">
        <v>0</v>
      </c>
      <c r="P908" s="18">
        <v>11.2</v>
      </c>
      <c r="Q908" s="18">
        <v>1</v>
      </c>
      <c r="R908" s="18">
        <v>8</v>
      </c>
      <c r="S908" s="18">
        <v>2</v>
      </c>
      <c r="T908" s="18">
        <v>244.43</v>
      </c>
    </row>
    <row r="909" spans="1:20" x14ac:dyDescent="0.3">
      <c r="A909" s="18">
        <v>50908</v>
      </c>
      <c r="B909" s="18">
        <v>0</v>
      </c>
      <c r="C909" s="18">
        <v>1</v>
      </c>
      <c r="D909" s="18" t="s">
        <v>31</v>
      </c>
      <c r="E909" s="18">
        <v>3</v>
      </c>
      <c r="F909" s="18">
        <v>7</v>
      </c>
      <c r="G909" s="18" t="s">
        <v>43</v>
      </c>
      <c r="H909" s="18" t="s">
        <v>38</v>
      </c>
      <c r="I909" s="18">
        <v>2.1</v>
      </c>
      <c r="J909" s="18">
        <v>2</v>
      </c>
      <c r="K909" s="18" t="s">
        <v>44</v>
      </c>
      <c r="L909" s="18">
        <v>3</v>
      </c>
      <c r="M909" s="18" t="s">
        <v>41</v>
      </c>
      <c r="N909" s="18">
        <v>4</v>
      </c>
      <c r="O909" s="18">
        <v>0</v>
      </c>
      <c r="P909" s="18">
        <v>15.3</v>
      </c>
      <c r="Q909" s="18">
        <v>3</v>
      </c>
      <c r="R909" s="18">
        <v>3</v>
      </c>
      <c r="S909" s="18">
        <v>3</v>
      </c>
      <c r="T909" s="18">
        <v>162.61000000000001</v>
      </c>
    </row>
    <row r="910" spans="1:20" x14ac:dyDescent="0.3">
      <c r="A910" s="18">
        <v>50909</v>
      </c>
      <c r="B910" s="18">
        <v>0</v>
      </c>
      <c r="C910" s="18">
        <v>10</v>
      </c>
      <c r="D910" s="18" t="s">
        <v>36</v>
      </c>
      <c r="E910" s="18">
        <v>3</v>
      </c>
      <c r="F910" s="18">
        <v>27</v>
      </c>
      <c r="G910" s="18" t="s">
        <v>37</v>
      </c>
      <c r="H910" s="18" t="s">
        <v>33</v>
      </c>
      <c r="I910" s="18">
        <v>2.2000000000000002</v>
      </c>
      <c r="J910" s="18">
        <v>4</v>
      </c>
      <c r="K910" s="18" t="s">
        <v>40</v>
      </c>
      <c r="L910" s="18">
        <v>5</v>
      </c>
      <c r="M910" s="18" t="s">
        <v>35</v>
      </c>
      <c r="N910" s="18">
        <v>5</v>
      </c>
      <c r="O910" s="18">
        <v>1</v>
      </c>
      <c r="P910" s="18">
        <v>15.7</v>
      </c>
      <c r="Q910" s="18">
        <v>2</v>
      </c>
      <c r="R910" s="18">
        <v>4</v>
      </c>
      <c r="S910" s="18">
        <v>0</v>
      </c>
      <c r="T910" s="18">
        <v>146.38</v>
      </c>
    </row>
    <row r="911" spans="1:20" x14ac:dyDescent="0.3">
      <c r="A911" s="18">
        <v>50910</v>
      </c>
      <c r="B911" s="18">
        <v>0</v>
      </c>
      <c r="C911" s="18">
        <v>2</v>
      </c>
      <c r="D911" s="18" t="s">
        <v>42</v>
      </c>
      <c r="E911" s="18">
        <v>3</v>
      </c>
      <c r="F911" s="18">
        <v>12</v>
      </c>
      <c r="G911" s="18" t="s">
        <v>39</v>
      </c>
      <c r="H911" s="18" t="s">
        <v>33</v>
      </c>
      <c r="I911" s="18">
        <v>2.5</v>
      </c>
      <c r="J911" s="18">
        <v>4</v>
      </c>
      <c r="K911" s="18" t="s">
        <v>46</v>
      </c>
      <c r="L911" s="18">
        <v>5</v>
      </c>
      <c r="M911" s="18" t="s">
        <v>45</v>
      </c>
      <c r="N911" s="18">
        <v>1</v>
      </c>
      <c r="O911" s="18">
        <v>1</v>
      </c>
      <c r="P911" s="18">
        <v>11.7</v>
      </c>
      <c r="Q911" s="18">
        <v>6</v>
      </c>
      <c r="R911" s="18">
        <v>2</v>
      </c>
      <c r="S911" s="18">
        <v>0</v>
      </c>
      <c r="T911" s="18">
        <v>214.4</v>
      </c>
    </row>
    <row r="912" spans="1:20" x14ac:dyDescent="0.3">
      <c r="A912" s="18">
        <v>50911</v>
      </c>
      <c r="B912" s="18">
        <v>0</v>
      </c>
      <c r="C912" s="18">
        <v>9</v>
      </c>
      <c r="D912" s="18" t="s">
        <v>36</v>
      </c>
      <c r="E912" s="18">
        <v>1</v>
      </c>
      <c r="F912" s="18">
        <v>25</v>
      </c>
      <c r="G912" s="18" t="s">
        <v>32</v>
      </c>
      <c r="H912" s="18" t="s">
        <v>38</v>
      </c>
      <c r="I912" s="18">
        <v>2.7</v>
      </c>
      <c r="J912" s="18">
        <v>2</v>
      </c>
      <c r="K912" s="18" t="s">
        <v>36</v>
      </c>
      <c r="L912" s="18">
        <v>2</v>
      </c>
      <c r="M912" s="18" t="s">
        <v>41</v>
      </c>
      <c r="N912" s="18">
        <v>1</v>
      </c>
      <c r="O912" s="18">
        <v>1</v>
      </c>
      <c r="P912" s="18">
        <v>17.3</v>
      </c>
      <c r="Q912" s="18"/>
      <c r="R912" s="18">
        <v>3</v>
      </c>
      <c r="S912" s="18">
        <v>16</v>
      </c>
      <c r="T912" s="18">
        <v>212.08</v>
      </c>
    </row>
    <row r="913" spans="1:20" x14ac:dyDescent="0.3">
      <c r="A913" s="18">
        <v>50912</v>
      </c>
      <c r="B913" s="18">
        <v>0</v>
      </c>
      <c r="C913" s="18">
        <v>10</v>
      </c>
      <c r="D913" s="18" t="s">
        <v>36</v>
      </c>
      <c r="E913" s="18">
        <v>2</v>
      </c>
      <c r="F913" s="18">
        <v>5</v>
      </c>
      <c r="G913" s="18" t="s">
        <v>47</v>
      </c>
      <c r="H913" s="18" t="s">
        <v>38</v>
      </c>
      <c r="I913" s="18"/>
      <c r="J913" s="18">
        <v>3</v>
      </c>
      <c r="K913" s="18" t="s">
        <v>36</v>
      </c>
      <c r="L913" s="18">
        <v>2</v>
      </c>
      <c r="M913" s="18" t="s">
        <v>35</v>
      </c>
      <c r="N913" s="18">
        <v>1</v>
      </c>
      <c r="O913" s="18">
        <v>0</v>
      </c>
      <c r="P913" s="18">
        <v>17</v>
      </c>
      <c r="Q913" s="18">
        <v>4</v>
      </c>
      <c r="R913" s="18">
        <v>3</v>
      </c>
      <c r="S913" s="18">
        <v>19</v>
      </c>
      <c r="T913" s="18">
        <v>133.41999999999999</v>
      </c>
    </row>
    <row r="914" spans="1:20" x14ac:dyDescent="0.3">
      <c r="A914" s="18">
        <v>50913</v>
      </c>
      <c r="B914" s="18">
        <v>0</v>
      </c>
      <c r="C914" s="18">
        <v>1</v>
      </c>
      <c r="D914" s="18" t="s">
        <v>36</v>
      </c>
      <c r="E914" s="18">
        <v>1</v>
      </c>
      <c r="F914" s="18">
        <v>19</v>
      </c>
      <c r="G914" s="18" t="s">
        <v>39</v>
      </c>
      <c r="H914" s="18" t="s">
        <v>38</v>
      </c>
      <c r="I914" s="18"/>
      <c r="J914" s="18">
        <v>3</v>
      </c>
      <c r="K914" s="18" t="s">
        <v>44</v>
      </c>
      <c r="L914" s="18">
        <v>3</v>
      </c>
      <c r="M914" s="18" t="s">
        <v>35</v>
      </c>
      <c r="N914" s="18">
        <v>2</v>
      </c>
      <c r="O914" s="18">
        <v>0</v>
      </c>
      <c r="P914" s="18">
        <v>17.600000000000001</v>
      </c>
      <c r="Q914" s="18">
        <v>1</v>
      </c>
      <c r="R914" s="18">
        <v>4</v>
      </c>
      <c r="S914" s="18">
        <v>2</v>
      </c>
      <c r="T914" s="18">
        <v>293.10000000000002</v>
      </c>
    </row>
    <row r="915" spans="1:20" x14ac:dyDescent="0.3">
      <c r="A915" s="18">
        <v>50914</v>
      </c>
      <c r="B915" s="18">
        <v>0</v>
      </c>
      <c r="C915" s="18">
        <v>0</v>
      </c>
      <c r="D915" s="18" t="s">
        <v>36</v>
      </c>
      <c r="E915" s="18">
        <v>2</v>
      </c>
      <c r="F915" s="18">
        <v>9</v>
      </c>
      <c r="G915" s="18" t="s">
        <v>37</v>
      </c>
      <c r="H915" s="18" t="s">
        <v>33</v>
      </c>
      <c r="I915" s="18">
        <v>2.6</v>
      </c>
      <c r="J915" s="18">
        <v>6</v>
      </c>
      <c r="K915" s="18" t="s">
        <v>44</v>
      </c>
      <c r="L915" s="18">
        <v>5</v>
      </c>
      <c r="M915" s="18" t="s">
        <v>35</v>
      </c>
      <c r="N915" s="18">
        <v>1</v>
      </c>
      <c r="O915" s="18">
        <v>0</v>
      </c>
      <c r="P915" s="18">
        <v>17</v>
      </c>
      <c r="Q915" s="18">
        <v>2</v>
      </c>
      <c r="R915" s="18">
        <v>4</v>
      </c>
      <c r="S915" s="18">
        <v>7</v>
      </c>
      <c r="T915" s="18">
        <v>279.79000000000002</v>
      </c>
    </row>
    <row r="916" spans="1:20" x14ac:dyDescent="0.3">
      <c r="A916" s="18">
        <v>50915</v>
      </c>
      <c r="B916" s="18">
        <v>0</v>
      </c>
      <c r="C916" s="18">
        <v>15</v>
      </c>
      <c r="D916" s="18" t="s">
        <v>42</v>
      </c>
      <c r="E916" s="18">
        <v>1</v>
      </c>
      <c r="F916" s="18">
        <v>5</v>
      </c>
      <c r="G916" s="18" t="s">
        <v>47</v>
      </c>
      <c r="H916" s="18" t="s">
        <v>33</v>
      </c>
      <c r="I916" s="18">
        <v>3.6</v>
      </c>
      <c r="J916" s="18">
        <v>3</v>
      </c>
      <c r="K916" s="18" t="s">
        <v>44</v>
      </c>
      <c r="L916" s="18">
        <v>3</v>
      </c>
      <c r="M916" s="18" t="s">
        <v>41</v>
      </c>
      <c r="N916" s="18">
        <v>2</v>
      </c>
      <c r="O916" s="18">
        <v>0</v>
      </c>
      <c r="P916" s="18">
        <v>18.600000000000001</v>
      </c>
      <c r="Q916" s="18">
        <v>1</v>
      </c>
      <c r="R916" s="18">
        <v>5</v>
      </c>
      <c r="S916" s="18">
        <v>5</v>
      </c>
      <c r="T916" s="18">
        <v>213.28</v>
      </c>
    </row>
    <row r="917" spans="1:20" x14ac:dyDescent="0.3">
      <c r="A917" s="18">
        <v>50916</v>
      </c>
      <c r="B917" s="18">
        <v>0</v>
      </c>
      <c r="C917" s="18">
        <v>6</v>
      </c>
      <c r="D917" s="18" t="s">
        <v>36</v>
      </c>
      <c r="E917" s="18">
        <v>2</v>
      </c>
      <c r="F917" s="18">
        <v>16</v>
      </c>
      <c r="G917" s="18" t="s">
        <v>32</v>
      </c>
      <c r="H917" s="18" t="s">
        <v>38</v>
      </c>
      <c r="I917" s="18">
        <v>2.7</v>
      </c>
      <c r="J917" s="18">
        <v>5</v>
      </c>
      <c r="K917" s="18" t="s">
        <v>36</v>
      </c>
      <c r="L917" s="18">
        <v>4</v>
      </c>
      <c r="M917" s="18" t="s">
        <v>41</v>
      </c>
      <c r="N917" s="18">
        <v>1</v>
      </c>
      <c r="O917" s="18">
        <v>1</v>
      </c>
      <c r="P917" s="18">
        <v>15.4</v>
      </c>
      <c r="Q917" s="18">
        <v>4</v>
      </c>
      <c r="R917" s="18">
        <v>1</v>
      </c>
      <c r="S917" s="18"/>
      <c r="T917" s="18">
        <v>203.67</v>
      </c>
    </row>
    <row r="918" spans="1:20" x14ac:dyDescent="0.3">
      <c r="A918" s="18">
        <v>50917</v>
      </c>
      <c r="B918" s="18">
        <v>1</v>
      </c>
      <c r="C918" s="18">
        <v>0</v>
      </c>
      <c r="D918" s="18" t="s">
        <v>42</v>
      </c>
      <c r="E918" s="18">
        <v>1</v>
      </c>
      <c r="F918" s="18">
        <v>23</v>
      </c>
      <c r="G918" s="18" t="s">
        <v>37</v>
      </c>
      <c r="H918" s="18" t="s">
        <v>38</v>
      </c>
      <c r="I918" s="18">
        <v>3.2</v>
      </c>
      <c r="J918" s="18">
        <v>2</v>
      </c>
      <c r="K918" s="18" t="s">
        <v>40</v>
      </c>
      <c r="L918" s="18">
        <v>4</v>
      </c>
      <c r="M918" s="18" t="s">
        <v>35</v>
      </c>
      <c r="N918" s="18">
        <v>2</v>
      </c>
      <c r="O918" s="18">
        <v>1</v>
      </c>
      <c r="P918" s="18"/>
      <c r="Q918" s="18">
        <v>0</v>
      </c>
      <c r="R918" s="18">
        <v>3</v>
      </c>
      <c r="S918" s="18">
        <v>1</v>
      </c>
      <c r="T918" s="18">
        <v>198.14</v>
      </c>
    </row>
    <row r="919" spans="1:20" x14ac:dyDescent="0.3">
      <c r="A919" s="18">
        <v>50918</v>
      </c>
      <c r="B919" s="18">
        <v>0</v>
      </c>
      <c r="C919" s="18">
        <v>52</v>
      </c>
      <c r="D919" s="18" t="s">
        <v>31</v>
      </c>
      <c r="E919" s="18">
        <v>1</v>
      </c>
      <c r="F919" s="18"/>
      <c r="G919" s="18" t="s">
        <v>39</v>
      </c>
      <c r="H919" s="18" t="s">
        <v>33</v>
      </c>
      <c r="I919" s="18">
        <v>2.8</v>
      </c>
      <c r="J919" s="18">
        <v>2</v>
      </c>
      <c r="K919" s="18" t="s">
        <v>40</v>
      </c>
      <c r="L919" s="18">
        <v>4</v>
      </c>
      <c r="M919" s="18" t="s">
        <v>45</v>
      </c>
      <c r="N919" s="18">
        <v>1</v>
      </c>
      <c r="O919" s="18">
        <v>0</v>
      </c>
      <c r="P919" s="18">
        <v>14.6</v>
      </c>
      <c r="Q919" s="18">
        <v>1</v>
      </c>
      <c r="R919" s="18">
        <v>4</v>
      </c>
      <c r="S919" s="18">
        <v>1</v>
      </c>
      <c r="T919" s="18">
        <v>94.75</v>
      </c>
    </row>
    <row r="920" spans="1:20" x14ac:dyDescent="0.3">
      <c r="A920" s="18">
        <v>50919</v>
      </c>
      <c r="B920" s="18">
        <v>0</v>
      </c>
      <c r="C920" s="18">
        <v>0</v>
      </c>
      <c r="D920" s="18" t="s">
        <v>36</v>
      </c>
      <c r="E920" s="18">
        <v>1</v>
      </c>
      <c r="F920" s="18">
        <v>5</v>
      </c>
      <c r="G920" s="18" t="s">
        <v>43</v>
      </c>
      <c r="H920" s="18" t="s">
        <v>38</v>
      </c>
      <c r="I920" s="18">
        <v>3.1</v>
      </c>
      <c r="J920" s="18">
        <v>3</v>
      </c>
      <c r="K920" s="18" t="s">
        <v>36</v>
      </c>
      <c r="L920" s="18">
        <v>4</v>
      </c>
      <c r="M920" s="18" t="s">
        <v>41</v>
      </c>
      <c r="N920" s="18">
        <v>2</v>
      </c>
      <c r="O920" s="18">
        <v>0</v>
      </c>
      <c r="P920" s="18">
        <v>14</v>
      </c>
      <c r="Q920" s="18">
        <v>1</v>
      </c>
      <c r="R920" s="18">
        <v>5</v>
      </c>
      <c r="S920" s="18">
        <v>4</v>
      </c>
      <c r="T920" s="18">
        <v>186.2</v>
      </c>
    </row>
    <row r="921" spans="1:20" x14ac:dyDescent="0.3">
      <c r="A921" s="18">
        <v>50920</v>
      </c>
      <c r="B921" s="18">
        <v>0</v>
      </c>
      <c r="C921" s="18">
        <v>11</v>
      </c>
      <c r="D921" s="18" t="s">
        <v>36</v>
      </c>
      <c r="E921" s="18">
        <v>1</v>
      </c>
      <c r="F921" s="18">
        <v>14</v>
      </c>
      <c r="G921" s="18" t="s">
        <v>47</v>
      </c>
      <c r="H921" s="18" t="s">
        <v>33</v>
      </c>
      <c r="I921" s="18">
        <v>2.7</v>
      </c>
      <c r="J921" s="18">
        <v>2</v>
      </c>
      <c r="K921" s="18" t="s">
        <v>44</v>
      </c>
      <c r="L921" s="18">
        <v>3</v>
      </c>
      <c r="M921" s="18" t="s">
        <v>41</v>
      </c>
      <c r="N921" s="18">
        <v>1</v>
      </c>
      <c r="O921" s="18">
        <v>0</v>
      </c>
      <c r="P921" s="18">
        <v>20.7</v>
      </c>
      <c r="Q921" s="18">
        <v>1</v>
      </c>
      <c r="R921" s="18">
        <v>2</v>
      </c>
      <c r="S921" s="18">
        <v>4</v>
      </c>
      <c r="T921" s="18">
        <v>185.47</v>
      </c>
    </row>
    <row r="922" spans="1:20" x14ac:dyDescent="0.3">
      <c r="A922" s="18">
        <v>50921</v>
      </c>
      <c r="B922" s="18">
        <v>0</v>
      </c>
      <c r="C922" s="18">
        <v>41</v>
      </c>
      <c r="D922" s="18" t="s">
        <v>36</v>
      </c>
      <c r="E922" s="18">
        <v>3</v>
      </c>
      <c r="F922" s="18">
        <v>14</v>
      </c>
      <c r="G922" s="18" t="s">
        <v>37</v>
      </c>
      <c r="H922" s="18" t="s">
        <v>38</v>
      </c>
      <c r="I922" s="18">
        <v>3.4</v>
      </c>
      <c r="J922" s="18">
        <v>3</v>
      </c>
      <c r="K922" s="18" t="s">
        <v>46</v>
      </c>
      <c r="L922" s="18">
        <v>5</v>
      </c>
      <c r="M922" s="18" t="s">
        <v>41</v>
      </c>
      <c r="N922" s="18">
        <v>1</v>
      </c>
      <c r="O922" s="18">
        <v>0</v>
      </c>
      <c r="P922" s="18">
        <v>11</v>
      </c>
      <c r="Q922" s="18"/>
      <c r="R922" s="18">
        <v>2</v>
      </c>
      <c r="S922" s="18">
        <v>12</v>
      </c>
      <c r="T922" s="18">
        <v>148.32</v>
      </c>
    </row>
    <row r="923" spans="1:20" x14ac:dyDescent="0.3">
      <c r="A923" s="18">
        <v>50922</v>
      </c>
      <c r="B923" s="18">
        <v>0</v>
      </c>
      <c r="C923" s="18">
        <v>2</v>
      </c>
      <c r="D923" s="18" t="s">
        <v>31</v>
      </c>
      <c r="E923" s="18">
        <v>3</v>
      </c>
      <c r="F923" s="18">
        <v>19</v>
      </c>
      <c r="G923" s="18" t="s">
        <v>39</v>
      </c>
      <c r="H923" s="18" t="s">
        <v>38</v>
      </c>
      <c r="I923" s="18">
        <v>1.8</v>
      </c>
      <c r="J923" s="18">
        <v>2</v>
      </c>
      <c r="K923" s="18" t="s">
        <v>36</v>
      </c>
      <c r="L923" s="18">
        <v>4</v>
      </c>
      <c r="M923" s="18" t="s">
        <v>35</v>
      </c>
      <c r="N923" s="18">
        <v>8</v>
      </c>
      <c r="O923" s="18">
        <v>0</v>
      </c>
      <c r="P923" s="18">
        <v>19.100000000000001</v>
      </c>
      <c r="Q923" s="18">
        <v>0</v>
      </c>
      <c r="R923" s="18">
        <v>4</v>
      </c>
      <c r="S923" s="18">
        <v>7</v>
      </c>
      <c r="T923" s="18">
        <v>162.99</v>
      </c>
    </row>
    <row r="924" spans="1:20" x14ac:dyDescent="0.3">
      <c r="A924" s="18">
        <v>50923</v>
      </c>
      <c r="B924" s="18">
        <v>0</v>
      </c>
      <c r="C924" s="18">
        <v>1</v>
      </c>
      <c r="D924" s="18" t="s">
        <v>36</v>
      </c>
      <c r="E924" s="18">
        <v>2</v>
      </c>
      <c r="F924" s="18">
        <v>22</v>
      </c>
      <c r="G924" s="18" t="s">
        <v>47</v>
      </c>
      <c r="H924" s="18" t="s">
        <v>38</v>
      </c>
      <c r="I924" s="18">
        <v>2.6</v>
      </c>
      <c r="J924" s="18">
        <v>2</v>
      </c>
      <c r="K924" s="18" t="s">
        <v>40</v>
      </c>
      <c r="L924" s="18">
        <v>4</v>
      </c>
      <c r="M924" s="18" t="s">
        <v>41</v>
      </c>
      <c r="N924" s="18">
        <v>1</v>
      </c>
      <c r="O924" s="18">
        <v>0</v>
      </c>
      <c r="P924" s="18">
        <v>13.8</v>
      </c>
      <c r="Q924" s="18">
        <v>2</v>
      </c>
      <c r="R924" s="18">
        <v>4</v>
      </c>
      <c r="S924" s="18">
        <v>9</v>
      </c>
      <c r="T924" s="18">
        <v>49.03</v>
      </c>
    </row>
    <row r="925" spans="1:20" x14ac:dyDescent="0.3">
      <c r="A925" s="18">
        <v>50924</v>
      </c>
      <c r="B925" s="18">
        <v>1</v>
      </c>
      <c r="C925" s="18">
        <v>1</v>
      </c>
      <c r="D925" s="18" t="s">
        <v>36</v>
      </c>
      <c r="E925" s="18">
        <v>1</v>
      </c>
      <c r="F925" s="18">
        <v>14</v>
      </c>
      <c r="G925" s="18" t="s">
        <v>39</v>
      </c>
      <c r="H925" s="18" t="s">
        <v>38</v>
      </c>
      <c r="I925" s="18">
        <v>3.1</v>
      </c>
      <c r="J925" s="18">
        <v>4</v>
      </c>
      <c r="K925" s="18" t="s">
        <v>36</v>
      </c>
      <c r="L925" s="18">
        <v>3</v>
      </c>
      <c r="M925" s="18" t="s">
        <v>45</v>
      </c>
      <c r="N925" s="18">
        <v>4</v>
      </c>
      <c r="O925" s="18">
        <v>0</v>
      </c>
      <c r="P925" s="18">
        <v>13.4</v>
      </c>
      <c r="Q925" s="18">
        <v>2</v>
      </c>
      <c r="R925" s="18">
        <v>4</v>
      </c>
      <c r="S925" s="18">
        <v>11</v>
      </c>
      <c r="T925" s="18">
        <v>119.65</v>
      </c>
    </row>
    <row r="926" spans="1:20" x14ac:dyDescent="0.3">
      <c r="A926" s="18">
        <v>50925</v>
      </c>
      <c r="B926" s="18">
        <v>0</v>
      </c>
      <c r="C926" s="18">
        <v>3</v>
      </c>
      <c r="D926" s="18" t="s">
        <v>36</v>
      </c>
      <c r="E926" s="18">
        <v>1</v>
      </c>
      <c r="F926" s="18">
        <v>29</v>
      </c>
      <c r="G926" s="18" t="s">
        <v>39</v>
      </c>
      <c r="H926" s="18" t="s">
        <v>38</v>
      </c>
      <c r="I926" s="18">
        <v>3.3</v>
      </c>
      <c r="J926" s="18">
        <v>4</v>
      </c>
      <c r="K926" s="18" t="s">
        <v>40</v>
      </c>
      <c r="L926" s="18">
        <v>4</v>
      </c>
      <c r="M926" s="18" t="s">
        <v>41</v>
      </c>
      <c r="N926" s="18">
        <v>9</v>
      </c>
      <c r="O926" s="18">
        <v>1</v>
      </c>
      <c r="P926" s="18">
        <v>16.899999999999999</v>
      </c>
      <c r="Q926" s="18">
        <v>3</v>
      </c>
      <c r="R926" s="18">
        <v>5</v>
      </c>
      <c r="S926" s="18">
        <v>8</v>
      </c>
      <c r="T926" s="18">
        <v>230.7</v>
      </c>
    </row>
    <row r="927" spans="1:20" x14ac:dyDescent="0.3">
      <c r="A927" s="18">
        <v>50926</v>
      </c>
      <c r="B927" s="18">
        <v>1</v>
      </c>
      <c r="C927" s="18">
        <v>1</v>
      </c>
      <c r="D927" s="18" t="s">
        <v>31</v>
      </c>
      <c r="E927" s="18">
        <v>1</v>
      </c>
      <c r="F927" s="18">
        <v>16</v>
      </c>
      <c r="G927" s="18" t="s">
        <v>37</v>
      </c>
      <c r="H927" s="18" t="s">
        <v>33</v>
      </c>
      <c r="I927" s="18">
        <v>3.9</v>
      </c>
      <c r="J927" s="18">
        <v>4</v>
      </c>
      <c r="K927" s="18" t="s">
        <v>34</v>
      </c>
      <c r="L927" s="18">
        <v>3</v>
      </c>
      <c r="M927" s="18" t="s">
        <v>45</v>
      </c>
      <c r="N927" s="18">
        <v>2</v>
      </c>
      <c r="O927" s="18">
        <v>0</v>
      </c>
      <c r="P927" s="18">
        <v>11</v>
      </c>
      <c r="Q927" s="18">
        <v>2</v>
      </c>
      <c r="R927" s="18">
        <v>3</v>
      </c>
      <c r="S927" s="18">
        <v>2</v>
      </c>
      <c r="T927" s="18">
        <v>275.22000000000003</v>
      </c>
    </row>
    <row r="928" spans="1:20" x14ac:dyDescent="0.3">
      <c r="A928" s="18">
        <v>50927</v>
      </c>
      <c r="B928" s="18">
        <v>0</v>
      </c>
      <c r="C928" s="18">
        <v>11</v>
      </c>
      <c r="D928" s="18" t="s">
        <v>36</v>
      </c>
      <c r="E928" s="18">
        <v>1</v>
      </c>
      <c r="F928" s="18">
        <v>12</v>
      </c>
      <c r="G928" s="18" t="s">
        <v>39</v>
      </c>
      <c r="H928" s="18" t="s">
        <v>33</v>
      </c>
      <c r="I928" s="18">
        <v>2.6</v>
      </c>
      <c r="J928" s="18">
        <v>4</v>
      </c>
      <c r="K928" s="18" t="s">
        <v>34</v>
      </c>
      <c r="L928" s="18">
        <v>2</v>
      </c>
      <c r="M928" s="18" t="s">
        <v>35</v>
      </c>
      <c r="N928" s="18">
        <v>7</v>
      </c>
      <c r="O928" s="18">
        <v>0</v>
      </c>
      <c r="P928" s="18">
        <v>13.1</v>
      </c>
      <c r="Q928" s="18">
        <v>0</v>
      </c>
      <c r="R928" s="18">
        <v>5</v>
      </c>
      <c r="S928" s="18">
        <v>1</v>
      </c>
      <c r="T928" s="18">
        <v>128.11000000000001</v>
      </c>
    </row>
    <row r="929" spans="1:20" x14ac:dyDescent="0.3">
      <c r="A929" s="18">
        <v>50928</v>
      </c>
      <c r="B929" s="18">
        <v>1</v>
      </c>
      <c r="C929" s="18">
        <v>0</v>
      </c>
      <c r="D929" s="18" t="s">
        <v>36</v>
      </c>
      <c r="E929" s="18">
        <v>3</v>
      </c>
      <c r="F929" s="18">
        <v>5</v>
      </c>
      <c r="G929" s="18" t="s">
        <v>47</v>
      </c>
      <c r="H929" s="18" t="s">
        <v>33</v>
      </c>
      <c r="I929" s="18">
        <v>3.9</v>
      </c>
      <c r="J929" s="18">
        <v>3</v>
      </c>
      <c r="K929" s="18" t="s">
        <v>36</v>
      </c>
      <c r="L929" s="18">
        <v>4</v>
      </c>
      <c r="M929" s="18" t="s">
        <v>35</v>
      </c>
      <c r="N929" s="18">
        <v>1</v>
      </c>
      <c r="O929" s="18">
        <v>0</v>
      </c>
      <c r="P929" s="18">
        <v>13</v>
      </c>
      <c r="Q929" s="18">
        <v>0</v>
      </c>
      <c r="R929" s="18">
        <v>6</v>
      </c>
      <c r="S929" s="18">
        <v>4</v>
      </c>
      <c r="T929" s="18">
        <v>190.06</v>
      </c>
    </row>
    <row r="930" spans="1:20" x14ac:dyDescent="0.3">
      <c r="A930" s="18">
        <v>50929</v>
      </c>
      <c r="B930" s="18">
        <v>0</v>
      </c>
      <c r="C930" s="18">
        <v>7</v>
      </c>
      <c r="D930" s="18" t="s">
        <v>36</v>
      </c>
      <c r="E930" s="18">
        <v>1</v>
      </c>
      <c r="F930" s="18">
        <v>12</v>
      </c>
      <c r="G930" s="18" t="s">
        <v>39</v>
      </c>
      <c r="H930" s="18" t="s">
        <v>33</v>
      </c>
      <c r="I930" s="18">
        <v>2.4</v>
      </c>
      <c r="J930" s="18">
        <v>3</v>
      </c>
      <c r="K930" s="18" t="s">
        <v>36</v>
      </c>
      <c r="L930" s="18">
        <v>3</v>
      </c>
      <c r="M930" s="18" t="s">
        <v>41</v>
      </c>
      <c r="N930" s="18">
        <v>2</v>
      </c>
      <c r="O930" s="18">
        <v>1</v>
      </c>
      <c r="P930" s="18">
        <v>15.2</v>
      </c>
      <c r="Q930" s="18">
        <v>0</v>
      </c>
      <c r="R930" s="18">
        <v>6</v>
      </c>
      <c r="S930" s="18">
        <v>5</v>
      </c>
      <c r="T930" s="18">
        <v>240.41</v>
      </c>
    </row>
    <row r="931" spans="1:20" x14ac:dyDescent="0.3">
      <c r="A931" s="18">
        <v>50930</v>
      </c>
      <c r="B931" s="18">
        <v>0</v>
      </c>
      <c r="C931" s="18">
        <v>57</v>
      </c>
      <c r="D931" s="18" t="s">
        <v>36</v>
      </c>
      <c r="E931" s="18">
        <v>1</v>
      </c>
      <c r="F931" s="18">
        <v>12</v>
      </c>
      <c r="G931" s="18" t="s">
        <v>47</v>
      </c>
      <c r="H931" s="18" t="s">
        <v>38</v>
      </c>
      <c r="I931" s="18">
        <v>3.8</v>
      </c>
      <c r="J931" s="18">
        <v>2</v>
      </c>
      <c r="K931" s="18" t="s">
        <v>44</v>
      </c>
      <c r="L931" s="18">
        <v>4</v>
      </c>
      <c r="M931" s="18" t="s">
        <v>35</v>
      </c>
      <c r="N931" s="18">
        <v>2</v>
      </c>
      <c r="O931" s="18">
        <v>1</v>
      </c>
      <c r="P931" s="18">
        <v>13.2</v>
      </c>
      <c r="Q931" s="18">
        <v>1</v>
      </c>
      <c r="R931" s="18">
        <v>6</v>
      </c>
      <c r="S931" s="18">
        <v>2</v>
      </c>
      <c r="T931" s="18">
        <v>151.38999999999999</v>
      </c>
    </row>
    <row r="932" spans="1:20" x14ac:dyDescent="0.3">
      <c r="A932" s="18">
        <v>50931</v>
      </c>
      <c r="B932" s="18">
        <v>0</v>
      </c>
      <c r="C932" s="18">
        <v>16</v>
      </c>
      <c r="D932" s="18" t="s">
        <v>42</v>
      </c>
      <c r="E932" s="18">
        <v>1</v>
      </c>
      <c r="F932" s="18">
        <v>22</v>
      </c>
      <c r="G932" s="18" t="s">
        <v>39</v>
      </c>
      <c r="H932" s="18" t="s">
        <v>33</v>
      </c>
      <c r="I932" s="18">
        <v>3.5</v>
      </c>
      <c r="J932" s="18">
        <v>4</v>
      </c>
      <c r="K932" s="18" t="s">
        <v>34</v>
      </c>
      <c r="L932" s="18">
        <v>3</v>
      </c>
      <c r="M932" s="18" t="s">
        <v>41</v>
      </c>
      <c r="N932" s="18">
        <v>1</v>
      </c>
      <c r="O932" s="18">
        <v>0</v>
      </c>
      <c r="P932" s="18">
        <v>21.6</v>
      </c>
      <c r="Q932" s="18">
        <v>4</v>
      </c>
      <c r="R932" s="18">
        <v>2</v>
      </c>
      <c r="S932" s="18">
        <v>9</v>
      </c>
      <c r="T932" s="18">
        <v>217.19</v>
      </c>
    </row>
    <row r="933" spans="1:20" x14ac:dyDescent="0.3">
      <c r="A933" s="18">
        <v>50932</v>
      </c>
      <c r="B933" s="18">
        <v>0</v>
      </c>
      <c r="C933" s="18">
        <v>9</v>
      </c>
      <c r="D933" s="18" t="s">
        <v>36</v>
      </c>
      <c r="E933" s="18">
        <v>1</v>
      </c>
      <c r="F933" s="18">
        <v>18</v>
      </c>
      <c r="G933" s="18" t="s">
        <v>39</v>
      </c>
      <c r="H933" s="18" t="s">
        <v>33</v>
      </c>
      <c r="I933" s="18">
        <v>2.2999999999999998</v>
      </c>
      <c r="J933" s="18">
        <v>2</v>
      </c>
      <c r="K933" s="18" t="s">
        <v>36</v>
      </c>
      <c r="L933" s="18">
        <v>4</v>
      </c>
      <c r="M933" s="18" t="s">
        <v>41</v>
      </c>
      <c r="N933" s="18">
        <v>2</v>
      </c>
      <c r="O933" s="18">
        <v>0</v>
      </c>
      <c r="P933" s="18">
        <v>22.3</v>
      </c>
      <c r="Q933" s="18">
        <v>0</v>
      </c>
      <c r="R933" s="18">
        <v>2</v>
      </c>
      <c r="S933" s="18">
        <v>16</v>
      </c>
      <c r="T933" s="18">
        <v>178.14</v>
      </c>
    </row>
    <row r="934" spans="1:20" x14ac:dyDescent="0.3">
      <c r="A934" s="18">
        <v>50933</v>
      </c>
      <c r="B934" s="18">
        <v>0</v>
      </c>
      <c r="C934" s="18">
        <v>3</v>
      </c>
      <c r="D934" s="18" t="s">
        <v>42</v>
      </c>
      <c r="E934" s="18">
        <v>2</v>
      </c>
      <c r="F934" s="18">
        <v>5</v>
      </c>
      <c r="G934" s="18" t="s">
        <v>39</v>
      </c>
      <c r="H934" s="18" t="s">
        <v>33</v>
      </c>
      <c r="I934" s="18">
        <v>3.1</v>
      </c>
      <c r="J934" s="18">
        <v>2</v>
      </c>
      <c r="K934" s="18" t="s">
        <v>44</v>
      </c>
      <c r="L934" s="18">
        <v>3</v>
      </c>
      <c r="M934" s="18" t="s">
        <v>41</v>
      </c>
      <c r="N934" s="18">
        <v>1</v>
      </c>
      <c r="O934" s="18">
        <v>0</v>
      </c>
      <c r="P934" s="18">
        <v>11</v>
      </c>
      <c r="Q934" s="18">
        <v>2</v>
      </c>
      <c r="R934" s="18">
        <v>2</v>
      </c>
      <c r="S934" s="18">
        <v>4</v>
      </c>
      <c r="T934" s="18">
        <v>245.47</v>
      </c>
    </row>
    <row r="935" spans="1:20" x14ac:dyDescent="0.3">
      <c r="A935" s="18">
        <v>50934</v>
      </c>
      <c r="B935" s="18">
        <v>1</v>
      </c>
      <c r="C935" s="18">
        <v>9</v>
      </c>
      <c r="D935" s="18" t="s">
        <v>31</v>
      </c>
      <c r="E935" s="18">
        <v>2</v>
      </c>
      <c r="F935" s="18">
        <v>16</v>
      </c>
      <c r="G935" s="18" t="s">
        <v>43</v>
      </c>
      <c r="H935" s="18" t="s">
        <v>38</v>
      </c>
      <c r="I935" s="18">
        <v>2.9</v>
      </c>
      <c r="J935" s="18">
        <v>4</v>
      </c>
      <c r="K935" s="18" t="s">
        <v>36</v>
      </c>
      <c r="L935" s="18">
        <v>4</v>
      </c>
      <c r="M935" s="18" t="s">
        <v>35</v>
      </c>
      <c r="N935" s="18">
        <v>3</v>
      </c>
      <c r="O935" s="18">
        <v>0</v>
      </c>
      <c r="P935" s="18">
        <v>17.899999999999999</v>
      </c>
      <c r="Q935" s="18">
        <v>0</v>
      </c>
      <c r="R935" s="18">
        <v>6</v>
      </c>
      <c r="S935" s="18">
        <v>3</v>
      </c>
      <c r="T935" s="18">
        <v>109.47</v>
      </c>
    </row>
    <row r="936" spans="1:20" x14ac:dyDescent="0.3">
      <c r="A936" s="18">
        <v>50935</v>
      </c>
      <c r="B936" s="18">
        <v>1</v>
      </c>
      <c r="C936" s="18">
        <v>7</v>
      </c>
      <c r="D936" s="18" t="s">
        <v>31</v>
      </c>
      <c r="E936" s="18">
        <v>1</v>
      </c>
      <c r="F936" s="18">
        <v>20</v>
      </c>
      <c r="G936" s="18" t="s">
        <v>32</v>
      </c>
      <c r="H936" s="18" t="s">
        <v>33</v>
      </c>
      <c r="I936" s="18">
        <v>3.3</v>
      </c>
      <c r="J936" s="18">
        <v>5</v>
      </c>
      <c r="K936" s="18" t="s">
        <v>44</v>
      </c>
      <c r="L936" s="18">
        <v>3</v>
      </c>
      <c r="M936" s="18" t="s">
        <v>35</v>
      </c>
      <c r="N936" s="18">
        <v>9</v>
      </c>
      <c r="O936" s="18">
        <v>0</v>
      </c>
      <c r="P936" s="18"/>
      <c r="Q936" s="18">
        <v>1</v>
      </c>
      <c r="R936" s="18">
        <v>6</v>
      </c>
      <c r="S936" s="18">
        <v>9</v>
      </c>
      <c r="T936" s="18">
        <v>119.25</v>
      </c>
    </row>
    <row r="937" spans="1:20" x14ac:dyDescent="0.3">
      <c r="A937" s="18">
        <v>50936</v>
      </c>
      <c r="B937" s="18">
        <v>0</v>
      </c>
      <c r="C937" s="18">
        <v>5</v>
      </c>
      <c r="D937" s="18" t="s">
        <v>31</v>
      </c>
      <c r="E937" s="18">
        <v>1</v>
      </c>
      <c r="F937" s="18">
        <v>27</v>
      </c>
      <c r="G937" s="18" t="s">
        <v>39</v>
      </c>
      <c r="H937" s="18" t="s">
        <v>33</v>
      </c>
      <c r="I937" s="18">
        <v>2.7</v>
      </c>
      <c r="J937" s="18">
        <v>4</v>
      </c>
      <c r="K937" s="18" t="s">
        <v>36</v>
      </c>
      <c r="L937" s="18">
        <v>4</v>
      </c>
      <c r="M937" s="18" t="s">
        <v>35</v>
      </c>
      <c r="N937" s="18">
        <v>1</v>
      </c>
      <c r="O937" s="18">
        <v>0</v>
      </c>
      <c r="P937" s="18">
        <v>17.899999999999999</v>
      </c>
      <c r="Q937" s="18">
        <v>1</v>
      </c>
      <c r="R937" s="18">
        <v>6</v>
      </c>
      <c r="S937" s="18">
        <v>0</v>
      </c>
      <c r="T937" s="18">
        <v>195.37</v>
      </c>
    </row>
    <row r="938" spans="1:20" x14ac:dyDescent="0.3">
      <c r="A938" s="18">
        <v>50937</v>
      </c>
      <c r="B938" s="18">
        <v>1</v>
      </c>
      <c r="C938" s="18">
        <v>1</v>
      </c>
      <c r="D938" s="18" t="s">
        <v>36</v>
      </c>
      <c r="E938" s="18">
        <v>1</v>
      </c>
      <c r="F938" s="18">
        <v>22</v>
      </c>
      <c r="G938" s="18" t="s">
        <v>32</v>
      </c>
      <c r="H938" s="18" t="s">
        <v>33</v>
      </c>
      <c r="I938" s="18">
        <v>2.7</v>
      </c>
      <c r="J938" s="18">
        <v>4</v>
      </c>
      <c r="K938" s="18" t="s">
        <v>36</v>
      </c>
      <c r="L938" s="18">
        <v>4</v>
      </c>
      <c r="M938" s="18" t="s">
        <v>35</v>
      </c>
      <c r="N938" s="18">
        <v>1</v>
      </c>
      <c r="O938" s="18">
        <v>0</v>
      </c>
      <c r="P938" s="18">
        <v>13.7</v>
      </c>
      <c r="Q938" s="18">
        <v>2</v>
      </c>
      <c r="R938" s="18">
        <v>2</v>
      </c>
      <c r="S938" s="18">
        <v>0</v>
      </c>
      <c r="T938" s="18">
        <v>185.29</v>
      </c>
    </row>
    <row r="939" spans="1:20" x14ac:dyDescent="0.3">
      <c r="A939" s="18">
        <v>50938</v>
      </c>
      <c r="B939" s="18">
        <v>0</v>
      </c>
      <c r="C939" s="18">
        <v>21</v>
      </c>
      <c r="D939" s="18" t="s">
        <v>36</v>
      </c>
      <c r="E939" s="18">
        <v>1</v>
      </c>
      <c r="F939" s="18">
        <v>21</v>
      </c>
      <c r="G939" s="18" t="s">
        <v>47</v>
      </c>
      <c r="H939" s="18" t="s">
        <v>38</v>
      </c>
      <c r="I939" s="18">
        <v>3.9</v>
      </c>
      <c r="J939" s="18">
        <v>3</v>
      </c>
      <c r="K939" s="18" t="s">
        <v>36</v>
      </c>
      <c r="L939" s="18">
        <v>3</v>
      </c>
      <c r="M939" s="18" t="s">
        <v>41</v>
      </c>
      <c r="N939" s="18">
        <v>2</v>
      </c>
      <c r="O939" s="18">
        <v>0</v>
      </c>
      <c r="P939" s="18">
        <v>15.1</v>
      </c>
      <c r="Q939" s="18"/>
      <c r="R939" s="18">
        <v>3</v>
      </c>
      <c r="S939" s="18">
        <v>9</v>
      </c>
      <c r="T939" s="18">
        <v>176.9</v>
      </c>
    </row>
    <row r="940" spans="1:20" x14ac:dyDescent="0.3">
      <c r="A940" s="18">
        <v>50939</v>
      </c>
      <c r="B940" s="18">
        <v>1</v>
      </c>
      <c r="C940" s="18">
        <v>5</v>
      </c>
      <c r="D940" s="18" t="s">
        <v>31</v>
      </c>
      <c r="E940" s="18">
        <v>1</v>
      </c>
      <c r="F940" s="18">
        <v>15</v>
      </c>
      <c r="G940" s="18" t="s">
        <v>43</v>
      </c>
      <c r="H940" s="18" t="s">
        <v>33</v>
      </c>
      <c r="I940" s="18"/>
      <c r="J940" s="18">
        <v>2</v>
      </c>
      <c r="K940" s="18" t="s">
        <v>44</v>
      </c>
      <c r="L940" s="18">
        <v>3</v>
      </c>
      <c r="M940" s="18" t="s">
        <v>35</v>
      </c>
      <c r="N940" s="18">
        <v>2</v>
      </c>
      <c r="O940" s="18">
        <v>0</v>
      </c>
      <c r="P940" s="18">
        <v>13.4</v>
      </c>
      <c r="Q940" s="18">
        <v>1</v>
      </c>
      <c r="R940" s="18">
        <v>4</v>
      </c>
      <c r="S940" s="18">
        <v>6</v>
      </c>
      <c r="T940" s="18">
        <v>211.67</v>
      </c>
    </row>
    <row r="941" spans="1:20" x14ac:dyDescent="0.3">
      <c r="A941" s="18">
        <v>50940</v>
      </c>
      <c r="B941" s="18">
        <v>0</v>
      </c>
      <c r="C941" s="18">
        <v>2</v>
      </c>
      <c r="D941" s="18" t="s">
        <v>36</v>
      </c>
      <c r="E941" s="18">
        <v>3</v>
      </c>
      <c r="F941" s="18">
        <v>18</v>
      </c>
      <c r="G941" s="18" t="s">
        <v>37</v>
      </c>
      <c r="H941" s="18" t="s">
        <v>38</v>
      </c>
      <c r="I941" s="18">
        <v>3.5</v>
      </c>
      <c r="J941" s="18">
        <v>4</v>
      </c>
      <c r="K941" s="18" t="s">
        <v>34</v>
      </c>
      <c r="L941" s="18">
        <v>4</v>
      </c>
      <c r="M941" s="18" t="s">
        <v>35</v>
      </c>
      <c r="N941" s="18">
        <v>5</v>
      </c>
      <c r="O941" s="18">
        <v>0</v>
      </c>
      <c r="P941" s="18">
        <v>14.5</v>
      </c>
      <c r="Q941" s="18"/>
      <c r="R941" s="18">
        <v>4</v>
      </c>
      <c r="S941" s="18">
        <v>2</v>
      </c>
      <c r="T941" s="18">
        <v>128.81</v>
      </c>
    </row>
    <row r="942" spans="1:20" x14ac:dyDescent="0.3">
      <c r="A942" s="18">
        <v>50941</v>
      </c>
      <c r="B942" s="18">
        <v>0</v>
      </c>
      <c r="C942" s="18">
        <v>4</v>
      </c>
      <c r="D942" s="18" t="s">
        <v>31</v>
      </c>
      <c r="E942" s="18">
        <v>2</v>
      </c>
      <c r="F942" s="18">
        <v>24</v>
      </c>
      <c r="G942" s="18" t="s">
        <v>47</v>
      </c>
      <c r="H942" s="18" t="s">
        <v>33</v>
      </c>
      <c r="I942" s="18">
        <v>2.7</v>
      </c>
      <c r="J942" s="18">
        <v>4</v>
      </c>
      <c r="K942" s="18" t="s">
        <v>40</v>
      </c>
      <c r="L942" s="18">
        <v>4</v>
      </c>
      <c r="M942" s="18" t="s">
        <v>35</v>
      </c>
      <c r="N942" s="18">
        <v>2</v>
      </c>
      <c r="O942" s="18">
        <v>0</v>
      </c>
      <c r="P942" s="18">
        <v>11.8</v>
      </c>
      <c r="Q942" s="18">
        <v>1</v>
      </c>
      <c r="R942" s="18">
        <v>4</v>
      </c>
      <c r="S942" s="18">
        <v>10</v>
      </c>
      <c r="T942" s="18">
        <v>104.68</v>
      </c>
    </row>
    <row r="943" spans="1:20" x14ac:dyDescent="0.3">
      <c r="A943" s="18">
        <v>50942</v>
      </c>
      <c r="B943" s="18">
        <v>0</v>
      </c>
      <c r="C943" s="18">
        <v>5</v>
      </c>
      <c r="D943" s="18" t="s">
        <v>36</v>
      </c>
      <c r="E943" s="18">
        <v>2</v>
      </c>
      <c r="F943" s="18">
        <v>5</v>
      </c>
      <c r="G943" s="18" t="s">
        <v>39</v>
      </c>
      <c r="H943" s="18" t="s">
        <v>33</v>
      </c>
      <c r="I943" s="18">
        <v>4.0999999999999996</v>
      </c>
      <c r="J943" s="18">
        <v>3</v>
      </c>
      <c r="K943" s="18" t="s">
        <v>46</v>
      </c>
      <c r="L943" s="18">
        <v>4</v>
      </c>
      <c r="M943" s="18" t="s">
        <v>35</v>
      </c>
      <c r="N943" s="18">
        <v>1</v>
      </c>
      <c r="O943" s="18">
        <v>0</v>
      </c>
      <c r="P943" s="18">
        <v>15.6</v>
      </c>
      <c r="Q943" s="18">
        <v>0</v>
      </c>
      <c r="R943" s="18">
        <v>4</v>
      </c>
      <c r="S943" s="18">
        <v>2</v>
      </c>
      <c r="T943" s="18">
        <v>152.49</v>
      </c>
    </row>
    <row r="944" spans="1:20" x14ac:dyDescent="0.3">
      <c r="A944" s="18">
        <v>50943</v>
      </c>
      <c r="B944" s="18">
        <v>0</v>
      </c>
      <c r="C944" s="18">
        <v>17</v>
      </c>
      <c r="D944" s="18" t="s">
        <v>42</v>
      </c>
      <c r="E944" s="18">
        <v>1</v>
      </c>
      <c r="F944" s="18">
        <v>12</v>
      </c>
      <c r="G944" s="18" t="s">
        <v>37</v>
      </c>
      <c r="H944" s="18" t="s">
        <v>38</v>
      </c>
      <c r="I944" s="18">
        <v>2.4</v>
      </c>
      <c r="J944" s="18">
        <v>3</v>
      </c>
      <c r="K944" s="18" t="s">
        <v>36</v>
      </c>
      <c r="L944" s="18">
        <v>4</v>
      </c>
      <c r="M944" s="18" t="s">
        <v>45</v>
      </c>
      <c r="N944" s="18">
        <v>4</v>
      </c>
      <c r="O944" s="18">
        <v>0</v>
      </c>
      <c r="P944" s="18">
        <v>11</v>
      </c>
      <c r="Q944" s="18">
        <v>2</v>
      </c>
      <c r="R944" s="18">
        <v>2</v>
      </c>
      <c r="S944" s="18">
        <v>5</v>
      </c>
      <c r="T944" s="18">
        <v>158.63999999999999</v>
      </c>
    </row>
    <row r="945" spans="1:20" x14ac:dyDescent="0.3">
      <c r="A945" s="18">
        <v>50944</v>
      </c>
      <c r="B945" s="18">
        <v>0</v>
      </c>
      <c r="C945" s="18">
        <v>13</v>
      </c>
      <c r="D945" s="18" t="s">
        <v>31</v>
      </c>
      <c r="E945" s="18">
        <v>1</v>
      </c>
      <c r="F945" s="18">
        <v>8</v>
      </c>
      <c r="G945" s="18" t="s">
        <v>43</v>
      </c>
      <c r="H945" s="18" t="s">
        <v>33</v>
      </c>
      <c r="I945" s="18">
        <v>2.5</v>
      </c>
      <c r="J945" s="18">
        <v>4</v>
      </c>
      <c r="K945" s="18" t="s">
        <v>40</v>
      </c>
      <c r="L945" s="18">
        <v>3</v>
      </c>
      <c r="M945" s="18" t="s">
        <v>35</v>
      </c>
      <c r="N945" s="18">
        <v>7</v>
      </c>
      <c r="O945" s="18">
        <v>0</v>
      </c>
      <c r="P945" s="18">
        <v>15.3</v>
      </c>
      <c r="Q945" s="18">
        <v>4</v>
      </c>
      <c r="R945" s="18">
        <v>3</v>
      </c>
      <c r="S945" s="18"/>
      <c r="T945" s="18">
        <v>164.39</v>
      </c>
    </row>
    <row r="946" spans="1:20" x14ac:dyDescent="0.3">
      <c r="A946" s="18">
        <v>50945</v>
      </c>
      <c r="B946" s="18">
        <v>1</v>
      </c>
      <c r="C946" s="18">
        <v>14</v>
      </c>
      <c r="D946" s="18" t="s">
        <v>36</v>
      </c>
      <c r="E946" s="18">
        <v>2</v>
      </c>
      <c r="F946" s="18">
        <v>18</v>
      </c>
      <c r="G946" s="18" t="s">
        <v>37</v>
      </c>
      <c r="H946" s="18" t="s">
        <v>33</v>
      </c>
      <c r="I946" s="18">
        <v>4</v>
      </c>
      <c r="J946" s="18">
        <v>2</v>
      </c>
      <c r="K946" s="18" t="s">
        <v>36</v>
      </c>
      <c r="L946" s="18">
        <v>3</v>
      </c>
      <c r="M946" s="18" t="s">
        <v>35</v>
      </c>
      <c r="N946" s="18">
        <v>2</v>
      </c>
      <c r="O946" s="18">
        <v>1</v>
      </c>
      <c r="P946" s="18">
        <v>11.6</v>
      </c>
      <c r="Q946" s="18">
        <v>3</v>
      </c>
      <c r="R946" s="18">
        <v>2</v>
      </c>
      <c r="S946" s="18">
        <v>1</v>
      </c>
      <c r="T946" s="18">
        <v>249.8</v>
      </c>
    </row>
    <row r="947" spans="1:20" x14ac:dyDescent="0.3">
      <c r="A947" s="18">
        <v>50946</v>
      </c>
      <c r="B947" s="18">
        <v>0</v>
      </c>
      <c r="C947" s="18">
        <v>0</v>
      </c>
      <c r="D947" s="18" t="s">
        <v>36</v>
      </c>
      <c r="E947" s="18">
        <v>2</v>
      </c>
      <c r="F947" s="18">
        <v>24</v>
      </c>
      <c r="G947" s="18" t="s">
        <v>39</v>
      </c>
      <c r="H947" s="18" t="s">
        <v>33</v>
      </c>
      <c r="I947" s="18">
        <v>2.6</v>
      </c>
      <c r="J947" s="18">
        <v>2</v>
      </c>
      <c r="K947" s="18" t="s">
        <v>44</v>
      </c>
      <c r="L947" s="18">
        <v>3</v>
      </c>
      <c r="M947" s="18" t="s">
        <v>41</v>
      </c>
      <c r="N947" s="18">
        <v>3</v>
      </c>
      <c r="O947" s="18">
        <v>1</v>
      </c>
      <c r="P947" s="18">
        <v>16.7</v>
      </c>
      <c r="Q947" s="18">
        <v>3</v>
      </c>
      <c r="R947" s="18">
        <v>4</v>
      </c>
      <c r="S947" s="18">
        <v>1</v>
      </c>
      <c r="T947" s="18">
        <v>222.37</v>
      </c>
    </row>
    <row r="948" spans="1:20" x14ac:dyDescent="0.3">
      <c r="A948" s="18">
        <v>50947</v>
      </c>
      <c r="B948" s="18">
        <v>0</v>
      </c>
      <c r="C948" s="18">
        <v>5</v>
      </c>
      <c r="D948" s="18" t="s">
        <v>31</v>
      </c>
      <c r="E948" s="18">
        <v>3</v>
      </c>
      <c r="F948" s="18">
        <v>10</v>
      </c>
      <c r="G948" s="18" t="s">
        <v>39</v>
      </c>
      <c r="H948" s="18" t="s">
        <v>33</v>
      </c>
      <c r="I948" s="18">
        <v>4</v>
      </c>
      <c r="J948" s="18">
        <v>2</v>
      </c>
      <c r="K948" s="18" t="s">
        <v>44</v>
      </c>
      <c r="L948" s="18">
        <v>2</v>
      </c>
      <c r="M948" s="18" t="s">
        <v>35</v>
      </c>
      <c r="N948" s="18">
        <v>1</v>
      </c>
      <c r="O948" s="18">
        <v>1</v>
      </c>
      <c r="P948" s="18">
        <v>13.6</v>
      </c>
      <c r="Q948" s="18">
        <v>2</v>
      </c>
      <c r="R948" s="18">
        <v>7</v>
      </c>
      <c r="S948" s="18">
        <v>12</v>
      </c>
      <c r="T948" s="18">
        <v>209.33</v>
      </c>
    </row>
    <row r="949" spans="1:20" x14ac:dyDescent="0.3">
      <c r="A949" s="18">
        <v>50948</v>
      </c>
      <c r="B949" s="18">
        <v>0</v>
      </c>
      <c r="C949" s="18">
        <v>6</v>
      </c>
      <c r="D949" s="18" t="s">
        <v>31</v>
      </c>
      <c r="E949" s="18">
        <v>1</v>
      </c>
      <c r="F949" s="18">
        <v>5</v>
      </c>
      <c r="G949" s="18" t="s">
        <v>47</v>
      </c>
      <c r="H949" s="18" t="s">
        <v>33</v>
      </c>
      <c r="I949" s="18">
        <v>3.5</v>
      </c>
      <c r="J949" s="18">
        <v>3</v>
      </c>
      <c r="K949" s="18" t="s">
        <v>36</v>
      </c>
      <c r="L949" s="18">
        <v>4</v>
      </c>
      <c r="M949" s="18" t="s">
        <v>35</v>
      </c>
      <c r="N949" s="18">
        <v>1</v>
      </c>
      <c r="O949" s="18">
        <v>0</v>
      </c>
      <c r="P949" s="18">
        <v>17</v>
      </c>
      <c r="Q949" s="18">
        <v>1</v>
      </c>
      <c r="R949" s="18">
        <v>5</v>
      </c>
      <c r="S949" s="18">
        <v>1</v>
      </c>
      <c r="T949" s="18">
        <v>192.21</v>
      </c>
    </row>
    <row r="950" spans="1:20" x14ac:dyDescent="0.3">
      <c r="A950" s="18">
        <v>50949</v>
      </c>
      <c r="B950" s="18">
        <v>0</v>
      </c>
      <c r="C950" s="18">
        <v>0</v>
      </c>
      <c r="D950" s="18" t="s">
        <v>36</v>
      </c>
      <c r="E950" s="18">
        <v>2</v>
      </c>
      <c r="F950" s="18">
        <v>11</v>
      </c>
      <c r="G950" s="18" t="s">
        <v>47</v>
      </c>
      <c r="H950" s="18" t="s">
        <v>33</v>
      </c>
      <c r="I950" s="18"/>
      <c r="J950" s="18">
        <v>2</v>
      </c>
      <c r="K950" s="18" t="s">
        <v>44</v>
      </c>
      <c r="L950" s="18">
        <v>1</v>
      </c>
      <c r="M950" s="18" t="s">
        <v>41</v>
      </c>
      <c r="N950" s="18">
        <v>1</v>
      </c>
      <c r="O950" s="18">
        <v>1</v>
      </c>
      <c r="P950" s="18">
        <v>19.8</v>
      </c>
      <c r="Q950" s="18">
        <v>3</v>
      </c>
      <c r="R950" s="18">
        <v>6</v>
      </c>
      <c r="S950" s="18">
        <v>0</v>
      </c>
      <c r="T950" s="18">
        <v>156.12</v>
      </c>
    </row>
    <row r="951" spans="1:20" x14ac:dyDescent="0.3">
      <c r="A951" s="18">
        <v>50950</v>
      </c>
      <c r="B951" s="18">
        <v>0</v>
      </c>
      <c r="C951" s="18">
        <v>3</v>
      </c>
      <c r="D951" s="18" t="s">
        <v>42</v>
      </c>
      <c r="E951" s="18">
        <v>1</v>
      </c>
      <c r="F951" s="18">
        <v>22</v>
      </c>
      <c r="G951" s="18" t="s">
        <v>37</v>
      </c>
      <c r="H951" s="18" t="s">
        <v>33</v>
      </c>
      <c r="I951" s="18">
        <v>1.6</v>
      </c>
      <c r="J951" s="18">
        <v>3</v>
      </c>
      <c r="K951" s="18" t="s">
        <v>34</v>
      </c>
      <c r="L951" s="18">
        <v>5</v>
      </c>
      <c r="M951" s="18" t="s">
        <v>41</v>
      </c>
      <c r="N951" s="18">
        <v>1</v>
      </c>
      <c r="O951" s="18">
        <v>0</v>
      </c>
      <c r="P951" s="18">
        <v>21.6</v>
      </c>
      <c r="Q951" s="18">
        <v>0</v>
      </c>
      <c r="R951" s="18">
        <v>4</v>
      </c>
      <c r="S951" s="18">
        <v>3</v>
      </c>
      <c r="T951" s="18">
        <v>133.03</v>
      </c>
    </row>
    <row r="952" spans="1:20" x14ac:dyDescent="0.3">
      <c r="A952" s="18">
        <v>50951</v>
      </c>
      <c r="B952" s="18">
        <v>1</v>
      </c>
      <c r="C952" s="18">
        <v>14</v>
      </c>
      <c r="D952" s="18" t="s">
        <v>36</v>
      </c>
      <c r="E952" s="18">
        <v>3</v>
      </c>
      <c r="F952" s="18">
        <v>19</v>
      </c>
      <c r="G952" s="18" t="s">
        <v>43</v>
      </c>
      <c r="H952" s="18" t="s">
        <v>33</v>
      </c>
      <c r="I952" s="18">
        <v>2.9</v>
      </c>
      <c r="J952" s="18">
        <v>2</v>
      </c>
      <c r="K952" s="18" t="s">
        <v>44</v>
      </c>
      <c r="L952" s="18">
        <v>4</v>
      </c>
      <c r="M952" s="18" t="s">
        <v>35</v>
      </c>
      <c r="N952" s="18">
        <v>9</v>
      </c>
      <c r="O952" s="18">
        <v>1</v>
      </c>
      <c r="P952" s="18">
        <v>11</v>
      </c>
      <c r="Q952" s="18">
        <v>2</v>
      </c>
      <c r="R952" s="18">
        <v>2</v>
      </c>
      <c r="S952" s="18">
        <v>0</v>
      </c>
      <c r="T952" s="18">
        <v>114.16</v>
      </c>
    </row>
    <row r="953" spans="1:20" x14ac:dyDescent="0.3">
      <c r="A953" s="18">
        <v>50952</v>
      </c>
      <c r="B953" s="18">
        <v>0</v>
      </c>
      <c r="C953" s="18">
        <v>1</v>
      </c>
      <c r="D953" s="18" t="s">
        <v>36</v>
      </c>
      <c r="E953" s="18">
        <v>2</v>
      </c>
      <c r="F953" s="18">
        <v>18</v>
      </c>
      <c r="G953" s="18" t="s">
        <v>39</v>
      </c>
      <c r="H953" s="18" t="s">
        <v>38</v>
      </c>
      <c r="I953" s="18">
        <v>3</v>
      </c>
      <c r="J953" s="18">
        <v>3</v>
      </c>
      <c r="K953" s="18" t="s">
        <v>36</v>
      </c>
      <c r="L953" s="18">
        <v>5</v>
      </c>
      <c r="M953" s="18" t="s">
        <v>35</v>
      </c>
      <c r="N953" s="18">
        <v>2</v>
      </c>
      <c r="O953" s="18">
        <v>0</v>
      </c>
      <c r="P953" s="18">
        <v>13.1</v>
      </c>
      <c r="Q953" s="18">
        <v>0</v>
      </c>
      <c r="R953" s="18">
        <v>3</v>
      </c>
      <c r="S953" s="18">
        <v>11</v>
      </c>
      <c r="T953" s="18">
        <v>141.80000000000001</v>
      </c>
    </row>
    <row r="954" spans="1:20" x14ac:dyDescent="0.3">
      <c r="A954" s="18">
        <v>50953</v>
      </c>
      <c r="B954" s="18">
        <v>0</v>
      </c>
      <c r="C954" s="18">
        <v>7</v>
      </c>
      <c r="D954" s="18" t="s">
        <v>42</v>
      </c>
      <c r="E954" s="18">
        <v>2</v>
      </c>
      <c r="F954" s="18">
        <v>12</v>
      </c>
      <c r="G954" s="18" t="s">
        <v>39</v>
      </c>
      <c r="H954" s="18" t="s">
        <v>38</v>
      </c>
      <c r="I954" s="18"/>
      <c r="J954" s="18">
        <v>2</v>
      </c>
      <c r="K954" s="18" t="s">
        <v>36</v>
      </c>
      <c r="L954" s="18">
        <v>5</v>
      </c>
      <c r="M954" s="18" t="s">
        <v>35</v>
      </c>
      <c r="N954" s="18">
        <v>1</v>
      </c>
      <c r="O954" s="18">
        <v>0</v>
      </c>
      <c r="P954" s="18">
        <v>14.9</v>
      </c>
      <c r="Q954" s="18">
        <v>2</v>
      </c>
      <c r="R954" s="18">
        <v>6</v>
      </c>
      <c r="S954" s="18"/>
      <c r="T954" s="18">
        <v>177.64</v>
      </c>
    </row>
    <row r="955" spans="1:20" x14ac:dyDescent="0.3">
      <c r="A955" s="18">
        <v>50954</v>
      </c>
      <c r="B955" s="18">
        <v>1</v>
      </c>
      <c r="C955" s="18">
        <v>2</v>
      </c>
      <c r="D955" s="18" t="s">
        <v>42</v>
      </c>
      <c r="E955" s="18">
        <v>1</v>
      </c>
      <c r="F955" s="18">
        <v>5</v>
      </c>
      <c r="G955" s="18" t="s">
        <v>43</v>
      </c>
      <c r="H955" s="18" t="s">
        <v>33</v>
      </c>
      <c r="I955" s="18">
        <v>4</v>
      </c>
      <c r="J955" s="18">
        <v>3</v>
      </c>
      <c r="K955" s="18" t="s">
        <v>44</v>
      </c>
      <c r="L955" s="18">
        <v>3</v>
      </c>
      <c r="M955" s="18" t="s">
        <v>41</v>
      </c>
      <c r="N955" s="18">
        <v>1</v>
      </c>
      <c r="O955" s="18">
        <v>0</v>
      </c>
      <c r="P955" s="18">
        <v>17.600000000000001</v>
      </c>
      <c r="Q955" s="18">
        <v>2</v>
      </c>
      <c r="R955" s="18">
        <v>8</v>
      </c>
      <c r="S955" s="18">
        <v>4</v>
      </c>
      <c r="T955" s="18">
        <v>116.48</v>
      </c>
    </row>
    <row r="956" spans="1:20" x14ac:dyDescent="0.3">
      <c r="A956" s="18">
        <v>50955</v>
      </c>
      <c r="B956" s="18">
        <v>0</v>
      </c>
      <c r="C956" s="18">
        <v>0</v>
      </c>
      <c r="D956" s="18" t="s">
        <v>31</v>
      </c>
      <c r="E956" s="18">
        <v>2</v>
      </c>
      <c r="F956" s="18">
        <v>19</v>
      </c>
      <c r="G956" s="18" t="s">
        <v>39</v>
      </c>
      <c r="H956" s="18" t="s">
        <v>33</v>
      </c>
      <c r="I956" s="18">
        <v>2.4</v>
      </c>
      <c r="J956" s="18">
        <v>4</v>
      </c>
      <c r="K956" s="18" t="s">
        <v>36</v>
      </c>
      <c r="L956" s="18">
        <v>5</v>
      </c>
      <c r="M956" s="18" t="s">
        <v>35</v>
      </c>
      <c r="N956" s="18">
        <v>1</v>
      </c>
      <c r="O956" s="18">
        <v>1</v>
      </c>
      <c r="P956" s="18">
        <v>11</v>
      </c>
      <c r="Q956" s="18">
        <v>3</v>
      </c>
      <c r="R956" s="18">
        <v>6</v>
      </c>
      <c r="S956" s="18"/>
      <c r="T956" s="18">
        <v>189.32</v>
      </c>
    </row>
    <row r="957" spans="1:20" x14ac:dyDescent="0.3">
      <c r="A957" s="18">
        <v>50956</v>
      </c>
      <c r="B957" s="18">
        <v>0</v>
      </c>
      <c r="C957" s="18">
        <v>2</v>
      </c>
      <c r="D957" s="18" t="s">
        <v>42</v>
      </c>
      <c r="E957" s="18">
        <v>1</v>
      </c>
      <c r="F957" s="18">
        <v>8</v>
      </c>
      <c r="G957" s="18" t="s">
        <v>39</v>
      </c>
      <c r="H957" s="18" t="s">
        <v>33</v>
      </c>
      <c r="I957" s="18">
        <v>3.5</v>
      </c>
      <c r="J957" s="18">
        <v>3</v>
      </c>
      <c r="K957" s="18" t="s">
        <v>44</v>
      </c>
      <c r="L957" s="18">
        <v>2</v>
      </c>
      <c r="M957" s="18" t="s">
        <v>35</v>
      </c>
      <c r="N957" s="18">
        <v>3</v>
      </c>
      <c r="O957" s="18">
        <v>1</v>
      </c>
      <c r="P957" s="18"/>
      <c r="Q957" s="18">
        <v>2</v>
      </c>
      <c r="R957" s="18">
        <v>4</v>
      </c>
      <c r="S957" s="18">
        <v>8</v>
      </c>
      <c r="T957" s="18">
        <v>169.31</v>
      </c>
    </row>
    <row r="958" spans="1:20" x14ac:dyDescent="0.3">
      <c r="A958" s="18">
        <v>50957</v>
      </c>
      <c r="B958" s="18">
        <v>0</v>
      </c>
      <c r="C958" s="18">
        <v>37</v>
      </c>
      <c r="D958" s="18" t="s">
        <v>36</v>
      </c>
      <c r="E958" s="18">
        <v>1</v>
      </c>
      <c r="F958" s="18">
        <v>32</v>
      </c>
      <c r="G958" s="18" t="s">
        <v>37</v>
      </c>
      <c r="H958" s="18" t="s">
        <v>33</v>
      </c>
      <c r="I958" s="18">
        <v>3.4</v>
      </c>
      <c r="J958" s="18">
        <v>5</v>
      </c>
      <c r="K958" s="18" t="s">
        <v>46</v>
      </c>
      <c r="L958" s="18">
        <v>1</v>
      </c>
      <c r="M958" s="18" t="s">
        <v>41</v>
      </c>
      <c r="N958" s="18">
        <v>2</v>
      </c>
      <c r="O958" s="18">
        <v>1</v>
      </c>
      <c r="P958" s="18">
        <v>16.5</v>
      </c>
      <c r="Q958" s="18">
        <v>2</v>
      </c>
      <c r="R958" s="18">
        <v>5</v>
      </c>
      <c r="S958" s="18">
        <v>4</v>
      </c>
      <c r="T958" s="18">
        <v>158.15</v>
      </c>
    </row>
    <row r="959" spans="1:20" x14ac:dyDescent="0.3">
      <c r="A959" s="18">
        <v>50958</v>
      </c>
      <c r="B959" s="18">
        <v>0</v>
      </c>
      <c r="C959" s="18">
        <v>16</v>
      </c>
      <c r="D959" s="18" t="s">
        <v>42</v>
      </c>
      <c r="E959" s="18">
        <v>1</v>
      </c>
      <c r="F959" s="18">
        <v>19</v>
      </c>
      <c r="G959" s="18" t="s">
        <v>32</v>
      </c>
      <c r="H959" s="18" t="s">
        <v>33</v>
      </c>
      <c r="I959" s="18">
        <v>3.7</v>
      </c>
      <c r="J959" s="18">
        <v>5</v>
      </c>
      <c r="K959" s="18" t="s">
        <v>36</v>
      </c>
      <c r="L959" s="18">
        <v>4</v>
      </c>
      <c r="M959" s="18" t="s">
        <v>41</v>
      </c>
      <c r="N959" s="18">
        <v>1</v>
      </c>
      <c r="O959" s="18">
        <v>0</v>
      </c>
      <c r="P959" s="18">
        <v>16.3</v>
      </c>
      <c r="Q959" s="18">
        <v>2</v>
      </c>
      <c r="R959" s="18">
        <v>3</v>
      </c>
      <c r="S959" s="18">
        <v>2</v>
      </c>
      <c r="T959" s="18">
        <v>243.88</v>
      </c>
    </row>
    <row r="960" spans="1:20" x14ac:dyDescent="0.3">
      <c r="A960" s="18">
        <v>50959</v>
      </c>
      <c r="B960" s="18">
        <v>0</v>
      </c>
      <c r="C960" s="18">
        <v>32</v>
      </c>
      <c r="D960" s="18" t="s">
        <v>36</v>
      </c>
      <c r="E960" s="18">
        <v>2</v>
      </c>
      <c r="F960" s="18">
        <v>10</v>
      </c>
      <c r="G960" s="18" t="s">
        <v>39</v>
      </c>
      <c r="H960" s="18" t="s">
        <v>33</v>
      </c>
      <c r="I960" s="18">
        <v>3.2</v>
      </c>
      <c r="J960" s="18">
        <v>4</v>
      </c>
      <c r="K960" s="18" t="s">
        <v>36</v>
      </c>
      <c r="L960" s="18">
        <v>1</v>
      </c>
      <c r="M960" s="18" t="s">
        <v>45</v>
      </c>
      <c r="N960" s="18">
        <v>2</v>
      </c>
      <c r="O960" s="18">
        <v>0</v>
      </c>
      <c r="P960" s="18">
        <v>17.3</v>
      </c>
      <c r="Q960" s="18">
        <v>0</v>
      </c>
      <c r="R960" s="18">
        <v>4</v>
      </c>
      <c r="S960" s="18">
        <v>20</v>
      </c>
      <c r="T960" s="18">
        <v>44.67</v>
      </c>
    </row>
    <row r="961" spans="1:20" x14ac:dyDescent="0.3">
      <c r="A961" s="18">
        <v>50960</v>
      </c>
      <c r="B961" s="18">
        <v>0</v>
      </c>
      <c r="C961" s="18">
        <v>6</v>
      </c>
      <c r="D961" s="18" t="s">
        <v>36</v>
      </c>
      <c r="E961" s="18">
        <v>1</v>
      </c>
      <c r="F961" s="18">
        <v>10</v>
      </c>
      <c r="G961" s="18" t="s">
        <v>43</v>
      </c>
      <c r="H961" s="18" t="s">
        <v>33</v>
      </c>
      <c r="I961" s="18">
        <v>1.5</v>
      </c>
      <c r="J961" s="18">
        <v>3</v>
      </c>
      <c r="K961" s="18" t="s">
        <v>40</v>
      </c>
      <c r="L961" s="18">
        <v>5</v>
      </c>
      <c r="M961" s="18" t="s">
        <v>35</v>
      </c>
      <c r="N961" s="18">
        <v>1</v>
      </c>
      <c r="O961" s="18">
        <v>1</v>
      </c>
      <c r="P961" s="18">
        <v>17.600000000000001</v>
      </c>
      <c r="Q961" s="18">
        <v>2</v>
      </c>
      <c r="R961" s="18">
        <v>5</v>
      </c>
      <c r="S961" s="18">
        <v>0</v>
      </c>
      <c r="T961" s="18">
        <v>158.88999999999999</v>
      </c>
    </row>
    <row r="962" spans="1:20" x14ac:dyDescent="0.3">
      <c r="A962" s="18">
        <v>50961</v>
      </c>
      <c r="B962" s="18">
        <v>0</v>
      </c>
      <c r="C962" s="18">
        <v>1</v>
      </c>
      <c r="D962" s="18" t="s">
        <v>36</v>
      </c>
      <c r="E962" s="18">
        <v>1</v>
      </c>
      <c r="F962" s="18">
        <v>14</v>
      </c>
      <c r="G962" s="18" t="s">
        <v>32</v>
      </c>
      <c r="H962" s="18" t="s">
        <v>33</v>
      </c>
      <c r="I962" s="18">
        <v>2.8</v>
      </c>
      <c r="J962" s="18">
        <v>3</v>
      </c>
      <c r="K962" s="18" t="s">
        <v>46</v>
      </c>
      <c r="L962" s="18">
        <v>4</v>
      </c>
      <c r="M962" s="18" t="s">
        <v>41</v>
      </c>
      <c r="N962" s="18">
        <v>1</v>
      </c>
      <c r="O962" s="18">
        <v>0</v>
      </c>
      <c r="P962" s="18">
        <v>17.2</v>
      </c>
      <c r="Q962" s="18">
        <v>4</v>
      </c>
      <c r="R962" s="18">
        <v>2</v>
      </c>
      <c r="S962" s="18">
        <v>4</v>
      </c>
      <c r="T962" s="18">
        <v>50.62</v>
      </c>
    </row>
    <row r="963" spans="1:20" x14ac:dyDescent="0.3">
      <c r="A963" s="18">
        <v>50962</v>
      </c>
      <c r="B963" s="18">
        <v>0</v>
      </c>
      <c r="C963" s="18">
        <v>7</v>
      </c>
      <c r="D963" s="18" t="s">
        <v>36</v>
      </c>
      <c r="E963" s="18">
        <v>3</v>
      </c>
      <c r="F963" s="18">
        <v>13</v>
      </c>
      <c r="G963" s="18" t="s">
        <v>39</v>
      </c>
      <c r="H963" s="18" t="s">
        <v>33</v>
      </c>
      <c r="I963" s="18">
        <v>2.1</v>
      </c>
      <c r="J963" s="18">
        <v>4</v>
      </c>
      <c r="K963" s="18" t="s">
        <v>46</v>
      </c>
      <c r="L963" s="18">
        <v>4</v>
      </c>
      <c r="M963" s="18" t="s">
        <v>45</v>
      </c>
      <c r="N963" s="18">
        <v>1</v>
      </c>
      <c r="O963" s="18">
        <v>1</v>
      </c>
      <c r="P963" s="18">
        <v>16.7</v>
      </c>
      <c r="Q963" s="18">
        <v>0</v>
      </c>
      <c r="R963" s="18">
        <v>5</v>
      </c>
      <c r="S963" s="18">
        <v>22</v>
      </c>
      <c r="T963" s="18">
        <v>193.12</v>
      </c>
    </row>
    <row r="964" spans="1:20" x14ac:dyDescent="0.3">
      <c r="A964" s="18">
        <v>50963</v>
      </c>
      <c r="B964" s="18">
        <v>0</v>
      </c>
      <c r="C964" s="18">
        <v>6</v>
      </c>
      <c r="D964" s="18" t="s">
        <v>36</v>
      </c>
      <c r="E964" s="18">
        <v>1</v>
      </c>
      <c r="F964" s="18">
        <v>23</v>
      </c>
      <c r="G964" s="18" t="s">
        <v>47</v>
      </c>
      <c r="H964" s="18" t="s">
        <v>38</v>
      </c>
      <c r="I964" s="18">
        <v>2.8</v>
      </c>
      <c r="J964" s="18">
        <v>3</v>
      </c>
      <c r="K964" s="18" t="s">
        <v>40</v>
      </c>
      <c r="L964" s="18">
        <v>2</v>
      </c>
      <c r="M964" s="18" t="s">
        <v>41</v>
      </c>
      <c r="N964" s="18">
        <v>1</v>
      </c>
      <c r="O964" s="18">
        <v>0</v>
      </c>
      <c r="P964" s="18">
        <v>16.2</v>
      </c>
      <c r="Q964" s="18">
        <v>0</v>
      </c>
      <c r="R964" s="18">
        <v>5</v>
      </c>
      <c r="S964" s="18">
        <v>5</v>
      </c>
      <c r="T964" s="18">
        <v>221.92</v>
      </c>
    </row>
    <row r="965" spans="1:20" x14ac:dyDescent="0.3">
      <c r="A965" s="18">
        <v>50964</v>
      </c>
      <c r="B965" s="18">
        <v>0</v>
      </c>
      <c r="C965" s="18">
        <v>18</v>
      </c>
      <c r="D965" s="18" t="s">
        <v>36</v>
      </c>
      <c r="E965" s="18">
        <v>2</v>
      </c>
      <c r="F965" s="18">
        <v>16</v>
      </c>
      <c r="G965" s="18" t="s">
        <v>37</v>
      </c>
      <c r="H965" s="18" t="s">
        <v>33</v>
      </c>
      <c r="I965" s="18">
        <v>3.6</v>
      </c>
      <c r="J965" s="18">
        <v>1</v>
      </c>
      <c r="K965" s="18" t="s">
        <v>36</v>
      </c>
      <c r="L965" s="18">
        <v>4</v>
      </c>
      <c r="M965" s="18" t="s">
        <v>45</v>
      </c>
      <c r="N965" s="18">
        <v>1</v>
      </c>
      <c r="O965" s="18">
        <v>0</v>
      </c>
      <c r="P965" s="18">
        <v>18.3</v>
      </c>
      <c r="Q965" s="18">
        <v>1</v>
      </c>
      <c r="R965" s="18">
        <v>2</v>
      </c>
      <c r="S965" s="18">
        <v>6</v>
      </c>
      <c r="T965" s="18">
        <v>105.69</v>
      </c>
    </row>
    <row r="966" spans="1:20" x14ac:dyDescent="0.3">
      <c r="A966" s="18">
        <v>50965</v>
      </c>
      <c r="B966" s="18">
        <v>1</v>
      </c>
      <c r="C966" s="18">
        <v>1</v>
      </c>
      <c r="D966" s="18" t="s">
        <v>36</v>
      </c>
      <c r="E966" s="18">
        <v>1</v>
      </c>
      <c r="F966" s="18">
        <v>9</v>
      </c>
      <c r="G966" s="18" t="s">
        <v>37</v>
      </c>
      <c r="H966" s="18" t="s">
        <v>38</v>
      </c>
      <c r="I966" s="18">
        <v>3.1</v>
      </c>
      <c r="J966" s="18">
        <v>4</v>
      </c>
      <c r="K966" s="18" t="s">
        <v>36</v>
      </c>
      <c r="L966" s="18">
        <v>1</v>
      </c>
      <c r="M966" s="18" t="s">
        <v>41</v>
      </c>
      <c r="N966" s="18">
        <v>1</v>
      </c>
      <c r="O966" s="18">
        <v>1</v>
      </c>
      <c r="P966" s="18">
        <v>11</v>
      </c>
      <c r="Q966" s="18">
        <v>2</v>
      </c>
      <c r="R966" s="18">
        <v>1</v>
      </c>
      <c r="S966" s="18">
        <v>0</v>
      </c>
      <c r="T966" s="18">
        <v>112.73</v>
      </c>
    </row>
    <row r="967" spans="1:20" x14ac:dyDescent="0.3">
      <c r="A967" s="18">
        <v>50966</v>
      </c>
      <c r="B967" s="18">
        <v>0</v>
      </c>
      <c r="C967" s="18">
        <v>6</v>
      </c>
      <c r="D967" s="18" t="s">
        <v>36</v>
      </c>
      <c r="E967" s="18">
        <v>1</v>
      </c>
      <c r="F967" s="18">
        <v>30</v>
      </c>
      <c r="G967" s="18" t="s">
        <v>32</v>
      </c>
      <c r="H967" s="18" t="s">
        <v>38</v>
      </c>
      <c r="I967" s="18">
        <v>3.7</v>
      </c>
      <c r="J967" s="18">
        <v>2</v>
      </c>
      <c r="K967" s="18" t="s">
        <v>40</v>
      </c>
      <c r="L967" s="18">
        <v>5</v>
      </c>
      <c r="M967" s="18" t="s">
        <v>41</v>
      </c>
      <c r="N967" s="18">
        <v>5</v>
      </c>
      <c r="O967" s="18">
        <v>0</v>
      </c>
      <c r="P967" s="18">
        <v>21.4</v>
      </c>
      <c r="Q967" s="18">
        <v>2</v>
      </c>
      <c r="R967" s="18">
        <v>3</v>
      </c>
      <c r="S967" s="18">
        <v>0</v>
      </c>
      <c r="T967" s="18">
        <v>86.59</v>
      </c>
    </row>
    <row r="968" spans="1:20" x14ac:dyDescent="0.3">
      <c r="A968" s="18">
        <v>50967</v>
      </c>
      <c r="B968" s="18">
        <v>0</v>
      </c>
      <c r="C968" s="18">
        <v>1</v>
      </c>
      <c r="D968" s="18" t="s">
        <v>31</v>
      </c>
      <c r="E968" s="18">
        <v>3</v>
      </c>
      <c r="F968" s="18">
        <v>15</v>
      </c>
      <c r="G968" s="18" t="s">
        <v>43</v>
      </c>
      <c r="H968" s="18" t="s">
        <v>33</v>
      </c>
      <c r="I968" s="18">
        <v>3.1</v>
      </c>
      <c r="J968" s="18">
        <v>2</v>
      </c>
      <c r="K968" s="18" t="s">
        <v>46</v>
      </c>
      <c r="L968" s="18">
        <v>2</v>
      </c>
      <c r="M968" s="18" t="s">
        <v>35</v>
      </c>
      <c r="N968" s="18">
        <v>4</v>
      </c>
      <c r="O968" s="18">
        <v>1</v>
      </c>
      <c r="P968" s="18">
        <v>11</v>
      </c>
      <c r="Q968" s="18">
        <v>0</v>
      </c>
      <c r="R968" s="18">
        <v>4</v>
      </c>
      <c r="S968" s="18">
        <v>0</v>
      </c>
      <c r="T968" s="18">
        <v>183.5</v>
      </c>
    </row>
    <row r="969" spans="1:20" x14ac:dyDescent="0.3">
      <c r="A969" s="18">
        <v>50968</v>
      </c>
      <c r="B969" s="18">
        <v>0</v>
      </c>
      <c r="C969" s="18">
        <v>3</v>
      </c>
      <c r="D969" s="18" t="s">
        <v>36</v>
      </c>
      <c r="E969" s="18">
        <v>1</v>
      </c>
      <c r="F969" s="18">
        <v>21</v>
      </c>
      <c r="G969" s="18" t="s">
        <v>39</v>
      </c>
      <c r="H969" s="18" t="s">
        <v>33</v>
      </c>
      <c r="I969" s="18">
        <v>2</v>
      </c>
      <c r="J969" s="18">
        <v>3</v>
      </c>
      <c r="K969" s="18" t="s">
        <v>44</v>
      </c>
      <c r="L969" s="18">
        <v>4</v>
      </c>
      <c r="M969" s="18" t="s">
        <v>41</v>
      </c>
      <c r="N969" s="18">
        <v>3</v>
      </c>
      <c r="O969" s="18">
        <v>0</v>
      </c>
      <c r="P969" s="18">
        <v>12.2</v>
      </c>
      <c r="Q969" s="18"/>
      <c r="R969" s="18">
        <v>5</v>
      </c>
      <c r="S969" s="18">
        <v>23</v>
      </c>
      <c r="T969" s="18">
        <v>161.26</v>
      </c>
    </row>
    <row r="970" spans="1:20" x14ac:dyDescent="0.3">
      <c r="A970" s="18">
        <v>50969</v>
      </c>
      <c r="B970" s="18">
        <v>0</v>
      </c>
      <c r="C970" s="18">
        <v>13</v>
      </c>
      <c r="D970" s="18" t="s">
        <v>36</v>
      </c>
      <c r="E970" s="18">
        <v>1</v>
      </c>
      <c r="F970" s="18">
        <v>10</v>
      </c>
      <c r="G970" s="18" t="s">
        <v>37</v>
      </c>
      <c r="H970" s="18" t="s">
        <v>33</v>
      </c>
      <c r="I970" s="18">
        <v>1.1000000000000001</v>
      </c>
      <c r="J970" s="18">
        <v>3</v>
      </c>
      <c r="K970" s="18" t="s">
        <v>36</v>
      </c>
      <c r="L970" s="18">
        <v>2</v>
      </c>
      <c r="M970" s="18" t="s">
        <v>35</v>
      </c>
      <c r="N970" s="18">
        <v>6</v>
      </c>
      <c r="O970" s="18">
        <v>1</v>
      </c>
      <c r="P970" s="18">
        <v>15.2</v>
      </c>
      <c r="Q970" s="18">
        <v>3</v>
      </c>
      <c r="R970" s="18">
        <v>4</v>
      </c>
      <c r="S970" s="18">
        <v>19</v>
      </c>
      <c r="T970" s="18">
        <v>164.67</v>
      </c>
    </row>
    <row r="971" spans="1:20" x14ac:dyDescent="0.3">
      <c r="A971" s="18">
        <v>50970</v>
      </c>
      <c r="B971" s="18">
        <v>0</v>
      </c>
      <c r="C971" s="18">
        <v>6</v>
      </c>
      <c r="D971" s="18" t="s">
        <v>31</v>
      </c>
      <c r="E971" s="18">
        <v>2</v>
      </c>
      <c r="F971" s="18">
        <v>17</v>
      </c>
      <c r="G971" s="18" t="s">
        <v>37</v>
      </c>
      <c r="H971" s="18" t="s">
        <v>33</v>
      </c>
      <c r="I971" s="18">
        <v>3</v>
      </c>
      <c r="J971" s="18">
        <v>2</v>
      </c>
      <c r="K971" s="18" t="s">
        <v>40</v>
      </c>
      <c r="L971" s="18">
        <v>1</v>
      </c>
      <c r="M971" s="18" t="s">
        <v>35</v>
      </c>
      <c r="N971" s="18">
        <v>1</v>
      </c>
      <c r="O971" s="18">
        <v>0</v>
      </c>
      <c r="P971" s="18">
        <v>18.399999999999999</v>
      </c>
      <c r="Q971" s="18">
        <v>2</v>
      </c>
      <c r="R971" s="18">
        <v>4</v>
      </c>
      <c r="S971" s="18">
        <v>2</v>
      </c>
      <c r="T971" s="18">
        <v>159.76</v>
      </c>
    </row>
    <row r="972" spans="1:20" x14ac:dyDescent="0.3">
      <c r="A972" s="18">
        <v>50971</v>
      </c>
      <c r="B972" s="18">
        <v>0</v>
      </c>
      <c r="C972" s="18">
        <v>4</v>
      </c>
      <c r="D972" s="18" t="s">
        <v>42</v>
      </c>
      <c r="E972" s="18">
        <v>2</v>
      </c>
      <c r="F972" s="18">
        <v>17</v>
      </c>
      <c r="G972" s="18" t="s">
        <v>37</v>
      </c>
      <c r="H972" s="18" t="s">
        <v>33</v>
      </c>
      <c r="I972" s="18">
        <v>2.8</v>
      </c>
      <c r="J972" s="18">
        <v>3</v>
      </c>
      <c r="K972" s="18" t="s">
        <v>36</v>
      </c>
      <c r="L972" s="18">
        <v>3</v>
      </c>
      <c r="M972" s="18" t="s">
        <v>35</v>
      </c>
      <c r="N972" s="18">
        <v>7</v>
      </c>
      <c r="O972" s="18">
        <v>0</v>
      </c>
      <c r="P972" s="18"/>
      <c r="Q972" s="18">
        <v>3</v>
      </c>
      <c r="R972" s="18">
        <v>3</v>
      </c>
      <c r="S972" s="18">
        <v>1</v>
      </c>
      <c r="T972" s="18">
        <v>126.45</v>
      </c>
    </row>
    <row r="973" spans="1:20" x14ac:dyDescent="0.3">
      <c r="A973" s="18">
        <v>50972</v>
      </c>
      <c r="B973" s="18">
        <v>1</v>
      </c>
      <c r="C973" s="18">
        <v>5</v>
      </c>
      <c r="D973" s="18" t="s">
        <v>31</v>
      </c>
      <c r="E973" s="18">
        <v>2</v>
      </c>
      <c r="F973" s="18">
        <v>5</v>
      </c>
      <c r="G973" s="18" t="s">
        <v>37</v>
      </c>
      <c r="H973" s="18" t="s">
        <v>38</v>
      </c>
      <c r="I973" s="18">
        <v>2.2000000000000002</v>
      </c>
      <c r="J973" s="18">
        <v>4</v>
      </c>
      <c r="K973" s="18" t="s">
        <v>36</v>
      </c>
      <c r="L973" s="18">
        <v>2</v>
      </c>
      <c r="M973" s="18" t="s">
        <v>35</v>
      </c>
      <c r="N973" s="18">
        <v>1</v>
      </c>
      <c r="O973" s="18">
        <v>0</v>
      </c>
      <c r="P973" s="18">
        <v>15.9</v>
      </c>
      <c r="Q973" s="18"/>
      <c r="R973" s="18">
        <v>4</v>
      </c>
      <c r="S973" s="18">
        <v>0</v>
      </c>
      <c r="T973" s="18">
        <v>242.25</v>
      </c>
    </row>
    <row r="974" spans="1:20" x14ac:dyDescent="0.3">
      <c r="A974" s="18">
        <v>50973</v>
      </c>
      <c r="B974" s="18">
        <v>0</v>
      </c>
      <c r="C974" s="18">
        <v>6</v>
      </c>
      <c r="D974" s="18" t="s">
        <v>36</v>
      </c>
      <c r="E974" s="18">
        <v>1</v>
      </c>
      <c r="F974" s="18">
        <v>31</v>
      </c>
      <c r="G974" s="18" t="s">
        <v>39</v>
      </c>
      <c r="H974" s="18" t="s">
        <v>33</v>
      </c>
      <c r="I974" s="18">
        <v>1.7</v>
      </c>
      <c r="J974" s="18">
        <v>2</v>
      </c>
      <c r="K974" s="18" t="s">
        <v>36</v>
      </c>
      <c r="L974" s="18">
        <v>4</v>
      </c>
      <c r="M974" s="18" t="s">
        <v>35</v>
      </c>
      <c r="N974" s="18">
        <v>1</v>
      </c>
      <c r="O974" s="18">
        <v>0</v>
      </c>
      <c r="P974" s="18">
        <v>18.8</v>
      </c>
      <c r="Q974" s="18">
        <v>1</v>
      </c>
      <c r="R974" s="18">
        <v>5</v>
      </c>
      <c r="S974" s="18">
        <v>1</v>
      </c>
      <c r="T974" s="18">
        <v>194.98</v>
      </c>
    </row>
    <row r="975" spans="1:20" x14ac:dyDescent="0.3">
      <c r="A975" s="18">
        <v>50974</v>
      </c>
      <c r="B975" s="18">
        <v>0</v>
      </c>
      <c r="C975" s="18">
        <v>15</v>
      </c>
      <c r="D975" s="18" t="s">
        <v>31</v>
      </c>
      <c r="E975" s="18">
        <v>1</v>
      </c>
      <c r="F975" s="18">
        <v>25</v>
      </c>
      <c r="G975" s="18" t="s">
        <v>47</v>
      </c>
      <c r="H975" s="18" t="s">
        <v>33</v>
      </c>
      <c r="I975" s="18"/>
      <c r="J975" s="18">
        <v>4</v>
      </c>
      <c r="K975" s="18" t="s">
        <v>40</v>
      </c>
      <c r="L975" s="18">
        <v>2</v>
      </c>
      <c r="M975" s="18" t="s">
        <v>41</v>
      </c>
      <c r="N975" s="18">
        <v>1</v>
      </c>
      <c r="O975" s="18">
        <v>0</v>
      </c>
      <c r="P975" s="18">
        <v>19.5</v>
      </c>
      <c r="Q975" s="18">
        <v>3</v>
      </c>
      <c r="R975" s="18">
        <v>7</v>
      </c>
      <c r="S975" s="18">
        <v>2</v>
      </c>
      <c r="T975" s="18">
        <v>114.84</v>
      </c>
    </row>
    <row r="976" spans="1:20" x14ac:dyDescent="0.3">
      <c r="A976" s="18">
        <v>50975</v>
      </c>
      <c r="B976" s="18">
        <v>0</v>
      </c>
      <c r="C976" s="18">
        <v>22</v>
      </c>
      <c r="D976" s="18" t="s">
        <v>36</v>
      </c>
      <c r="E976" s="18">
        <v>3</v>
      </c>
      <c r="F976" s="18">
        <v>11</v>
      </c>
      <c r="G976" s="18" t="s">
        <v>37</v>
      </c>
      <c r="H976" s="18" t="s">
        <v>38</v>
      </c>
      <c r="I976" s="18">
        <v>2.8</v>
      </c>
      <c r="J976" s="18">
        <v>2</v>
      </c>
      <c r="K976" s="18" t="s">
        <v>34</v>
      </c>
      <c r="L976" s="18">
        <v>3</v>
      </c>
      <c r="M976" s="18" t="s">
        <v>41</v>
      </c>
      <c r="N976" s="18">
        <v>1</v>
      </c>
      <c r="O976" s="18">
        <v>1</v>
      </c>
      <c r="P976" s="18">
        <v>13.6</v>
      </c>
      <c r="Q976" s="18">
        <v>1</v>
      </c>
      <c r="R976" s="18">
        <v>4</v>
      </c>
      <c r="S976" s="18">
        <v>6</v>
      </c>
      <c r="T976" s="18">
        <v>141.47</v>
      </c>
    </row>
    <row r="977" spans="1:20" x14ac:dyDescent="0.3">
      <c r="A977" s="18">
        <v>50976</v>
      </c>
      <c r="B977" s="18">
        <v>0</v>
      </c>
      <c r="C977" s="18">
        <v>31</v>
      </c>
      <c r="D977" s="18" t="s">
        <v>36</v>
      </c>
      <c r="E977" s="18">
        <v>2</v>
      </c>
      <c r="F977" s="18">
        <v>6</v>
      </c>
      <c r="G977" s="18" t="s">
        <v>39</v>
      </c>
      <c r="H977" s="18" t="s">
        <v>38</v>
      </c>
      <c r="I977" s="18">
        <v>3.4</v>
      </c>
      <c r="J977" s="18">
        <v>5</v>
      </c>
      <c r="K977" s="18" t="s">
        <v>36</v>
      </c>
      <c r="L977" s="18">
        <v>4</v>
      </c>
      <c r="M977" s="18" t="s">
        <v>35</v>
      </c>
      <c r="N977" s="18">
        <v>12</v>
      </c>
      <c r="O977" s="18">
        <v>0</v>
      </c>
      <c r="P977" s="18">
        <v>14.9</v>
      </c>
      <c r="Q977" s="18">
        <v>3</v>
      </c>
      <c r="R977" s="18">
        <v>6</v>
      </c>
      <c r="S977" s="18">
        <v>10</v>
      </c>
      <c r="T977" s="18">
        <v>132.04</v>
      </c>
    </row>
    <row r="978" spans="1:20" x14ac:dyDescent="0.3">
      <c r="A978" s="18">
        <v>50977</v>
      </c>
      <c r="B978" s="18">
        <v>0</v>
      </c>
      <c r="C978" s="18">
        <v>15</v>
      </c>
      <c r="D978" s="18" t="s">
        <v>36</v>
      </c>
      <c r="E978" s="18">
        <v>3</v>
      </c>
      <c r="F978" s="18">
        <v>17</v>
      </c>
      <c r="G978" s="18" t="s">
        <v>32</v>
      </c>
      <c r="H978" s="18" t="s">
        <v>33</v>
      </c>
      <c r="I978" s="18">
        <v>3</v>
      </c>
      <c r="J978" s="18">
        <v>3</v>
      </c>
      <c r="K978" s="18" t="s">
        <v>44</v>
      </c>
      <c r="L978" s="18">
        <v>3</v>
      </c>
      <c r="M978" s="18" t="s">
        <v>41</v>
      </c>
      <c r="N978" s="18">
        <v>1</v>
      </c>
      <c r="O978" s="18">
        <v>0</v>
      </c>
      <c r="P978" s="18">
        <v>13.8</v>
      </c>
      <c r="Q978" s="18">
        <v>1</v>
      </c>
      <c r="R978" s="18">
        <v>4</v>
      </c>
      <c r="S978" s="18">
        <v>6</v>
      </c>
      <c r="T978" s="18">
        <v>257.33</v>
      </c>
    </row>
    <row r="979" spans="1:20" x14ac:dyDescent="0.3">
      <c r="A979" s="18">
        <v>50978</v>
      </c>
      <c r="B979" s="18">
        <v>1</v>
      </c>
      <c r="C979" s="18">
        <v>3</v>
      </c>
      <c r="D979" s="18" t="s">
        <v>42</v>
      </c>
      <c r="E979" s="18">
        <v>3</v>
      </c>
      <c r="F979" s="18">
        <v>15</v>
      </c>
      <c r="G979" s="18" t="s">
        <v>32</v>
      </c>
      <c r="H979" s="18" t="s">
        <v>38</v>
      </c>
      <c r="I979" s="18">
        <v>4</v>
      </c>
      <c r="J979" s="18">
        <v>3</v>
      </c>
      <c r="K979" s="18" t="s">
        <v>44</v>
      </c>
      <c r="L979" s="18">
        <v>3</v>
      </c>
      <c r="M979" s="18" t="s">
        <v>35</v>
      </c>
      <c r="N979" s="18">
        <v>1</v>
      </c>
      <c r="O979" s="18">
        <v>1</v>
      </c>
      <c r="P979" s="18">
        <v>14.6</v>
      </c>
      <c r="Q979" s="18">
        <v>1</v>
      </c>
      <c r="R979" s="18">
        <v>4</v>
      </c>
      <c r="S979" s="18">
        <v>5</v>
      </c>
      <c r="T979" s="18">
        <v>219.12</v>
      </c>
    </row>
    <row r="980" spans="1:20" x14ac:dyDescent="0.3">
      <c r="A980" s="18">
        <v>50979</v>
      </c>
      <c r="B980" s="18">
        <v>0</v>
      </c>
      <c r="C980" s="18">
        <v>11</v>
      </c>
      <c r="D980" s="18" t="s">
        <v>36</v>
      </c>
      <c r="E980" s="18">
        <v>3</v>
      </c>
      <c r="F980" s="18">
        <v>17</v>
      </c>
      <c r="G980" s="18" t="s">
        <v>37</v>
      </c>
      <c r="H980" s="18" t="s">
        <v>33</v>
      </c>
      <c r="I980" s="18">
        <v>2.2000000000000002</v>
      </c>
      <c r="J980" s="18">
        <v>1</v>
      </c>
      <c r="K980" s="18" t="s">
        <v>44</v>
      </c>
      <c r="L980" s="18">
        <v>4</v>
      </c>
      <c r="M980" s="18" t="s">
        <v>35</v>
      </c>
      <c r="N980" s="18">
        <v>1</v>
      </c>
      <c r="O980" s="18">
        <v>0</v>
      </c>
      <c r="P980" s="18">
        <v>12.4</v>
      </c>
      <c r="Q980" s="18">
        <v>1</v>
      </c>
      <c r="R980" s="18">
        <v>3</v>
      </c>
      <c r="S980" s="18">
        <v>7</v>
      </c>
      <c r="T980" s="18">
        <v>173.04</v>
      </c>
    </row>
    <row r="981" spans="1:20" x14ac:dyDescent="0.3">
      <c r="A981" s="18">
        <v>50980</v>
      </c>
      <c r="B981" s="18">
        <v>0</v>
      </c>
      <c r="C981" s="18">
        <v>5</v>
      </c>
      <c r="D981" s="18" t="s">
        <v>36</v>
      </c>
      <c r="E981" s="18">
        <v>1</v>
      </c>
      <c r="F981" s="18">
        <v>16</v>
      </c>
      <c r="G981" s="18" t="s">
        <v>39</v>
      </c>
      <c r="H981" s="18" t="s">
        <v>33</v>
      </c>
      <c r="I981" s="18">
        <v>3.5</v>
      </c>
      <c r="J981" s="18">
        <v>3</v>
      </c>
      <c r="K981" s="18" t="s">
        <v>36</v>
      </c>
      <c r="L981" s="18">
        <v>2</v>
      </c>
      <c r="M981" s="18" t="s">
        <v>41</v>
      </c>
      <c r="N981" s="18">
        <v>1</v>
      </c>
      <c r="O981" s="18">
        <v>0</v>
      </c>
      <c r="P981" s="18">
        <v>12.9</v>
      </c>
      <c r="Q981" s="18">
        <v>3</v>
      </c>
      <c r="R981" s="18">
        <v>4</v>
      </c>
      <c r="S981" s="18">
        <v>6</v>
      </c>
      <c r="T981" s="18">
        <v>273.89999999999998</v>
      </c>
    </row>
    <row r="982" spans="1:20" x14ac:dyDescent="0.3">
      <c r="A982" s="18">
        <v>50981</v>
      </c>
      <c r="B982" s="18">
        <v>0</v>
      </c>
      <c r="C982" s="18">
        <v>2</v>
      </c>
      <c r="D982" s="18" t="s">
        <v>36</v>
      </c>
      <c r="E982" s="18">
        <v>1</v>
      </c>
      <c r="F982" s="18">
        <v>19</v>
      </c>
      <c r="G982" s="18" t="s">
        <v>47</v>
      </c>
      <c r="H982" s="18" t="s">
        <v>33</v>
      </c>
      <c r="I982" s="18">
        <v>2.9</v>
      </c>
      <c r="J982" s="18">
        <v>3</v>
      </c>
      <c r="K982" s="18" t="s">
        <v>36</v>
      </c>
      <c r="L982" s="18">
        <v>1</v>
      </c>
      <c r="M982" s="18" t="s">
        <v>35</v>
      </c>
      <c r="N982" s="18">
        <v>1</v>
      </c>
      <c r="O982" s="18">
        <v>0</v>
      </c>
      <c r="P982" s="18">
        <v>17.5</v>
      </c>
      <c r="Q982" s="18">
        <v>2</v>
      </c>
      <c r="R982" s="18">
        <v>3</v>
      </c>
      <c r="S982" s="18">
        <v>3</v>
      </c>
      <c r="T982" s="18">
        <v>259.86</v>
      </c>
    </row>
    <row r="983" spans="1:20" x14ac:dyDescent="0.3">
      <c r="A983" s="18">
        <v>50982</v>
      </c>
      <c r="B983" s="18">
        <v>0</v>
      </c>
      <c r="C983" s="18">
        <v>18</v>
      </c>
      <c r="D983" s="18" t="s">
        <v>42</v>
      </c>
      <c r="E983" s="18">
        <v>3</v>
      </c>
      <c r="F983" s="18">
        <v>26</v>
      </c>
      <c r="G983" s="18" t="s">
        <v>39</v>
      </c>
      <c r="H983" s="18" t="s">
        <v>33</v>
      </c>
      <c r="I983" s="18">
        <v>3.4</v>
      </c>
      <c r="J983" s="18">
        <v>3</v>
      </c>
      <c r="K983" s="18" t="s">
        <v>44</v>
      </c>
      <c r="L983" s="18">
        <v>3</v>
      </c>
      <c r="M983" s="18" t="s">
        <v>41</v>
      </c>
      <c r="N983" s="18">
        <v>1</v>
      </c>
      <c r="O983" s="18">
        <v>1</v>
      </c>
      <c r="P983" s="18">
        <v>16.5</v>
      </c>
      <c r="Q983" s="18">
        <v>2</v>
      </c>
      <c r="R983" s="18">
        <v>3</v>
      </c>
      <c r="S983" s="18">
        <v>2</v>
      </c>
      <c r="T983" s="18">
        <v>167.31</v>
      </c>
    </row>
    <row r="984" spans="1:20" x14ac:dyDescent="0.3">
      <c r="A984" s="18">
        <v>50983</v>
      </c>
      <c r="B984" s="18">
        <v>0</v>
      </c>
      <c r="C984" s="18">
        <v>0</v>
      </c>
      <c r="D984" s="18" t="s">
        <v>31</v>
      </c>
      <c r="E984" s="18">
        <v>1</v>
      </c>
      <c r="F984" s="18">
        <v>19</v>
      </c>
      <c r="G984" s="18" t="s">
        <v>39</v>
      </c>
      <c r="H984" s="18" t="s">
        <v>38</v>
      </c>
      <c r="I984" s="18">
        <v>2.6</v>
      </c>
      <c r="J984" s="18">
        <v>3</v>
      </c>
      <c r="K984" s="18" t="s">
        <v>40</v>
      </c>
      <c r="L984" s="18">
        <v>3</v>
      </c>
      <c r="M984" s="18" t="s">
        <v>35</v>
      </c>
      <c r="N984" s="18">
        <v>1</v>
      </c>
      <c r="O984" s="18">
        <v>0</v>
      </c>
      <c r="P984" s="18">
        <v>17.7</v>
      </c>
      <c r="Q984" s="18">
        <v>1</v>
      </c>
      <c r="R984" s="18">
        <v>6</v>
      </c>
      <c r="S984" s="18">
        <v>1</v>
      </c>
      <c r="T984" s="18">
        <v>157.41999999999999</v>
      </c>
    </row>
    <row r="985" spans="1:20" x14ac:dyDescent="0.3">
      <c r="A985" s="18">
        <v>50984</v>
      </c>
      <c r="B985" s="18">
        <v>0</v>
      </c>
      <c r="C985" s="18">
        <v>23</v>
      </c>
      <c r="D985" s="18" t="s">
        <v>36</v>
      </c>
      <c r="E985" s="18">
        <v>1</v>
      </c>
      <c r="F985" s="18">
        <v>6</v>
      </c>
      <c r="G985" s="18" t="s">
        <v>47</v>
      </c>
      <c r="H985" s="18" t="s">
        <v>33</v>
      </c>
      <c r="I985" s="18">
        <v>3.7</v>
      </c>
      <c r="J985" s="18">
        <v>2</v>
      </c>
      <c r="K985" s="18" t="s">
        <v>40</v>
      </c>
      <c r="L985" s="18">
        <v>3</v>
      </c>
      <c r="M985" s="18" t="s">
        <v>35</v>
      </c>
      <c r="N985" s="18">
        <v>7</v>
      </c>
      <c r="O985" s="18">
        <v>0</v>
      </c>
      <c r="P985" s="18">
        <v>16.7</v>
      </c>
      <c r="Q985" s="18">
        <v>0</v>
      </c>
      <c r="R985" s="18">
        <v>5</v>
      </c>
      <c r="S985" s="18">
        <v>5</v>
      </c>
      <c r="T985" s="18">
        <v>160.07</v>
      </c>
    </row>
    <row r="986" spans="1:20" x14ac:dyDescent="0.3">
      <c r="A986" s="18">
        <v>50985</v>
      </c>
      <c r="B986" s="18">
        <v>1</v>
      </c>
      <c r="C986" s="18">
        <v>6</v>
      </c>
      <c r="D986" s="18" t="s">
        <v>31</v>
      </c>
      <c r="E986" s="18">
        <v>3</v>
      </c>
      <c r="F986" s="18">
        <v>25</v>
      </c>
      <c r="G986" s="18" t="s">
        <v>39</v>
      </c>
      <c r="H986" s="18" t="s">
        <v>33</v>
      </c>
      <c r="I986" s="18">
        <v>3.1</v>
      </c>
      <c r="J986" s="18">
        <v>4</v>
      </c>
      <c r="K986" s="18" t="s">
        <v>44</v>
      </c>
      <c r="L986" s="18">
        <v>3</v>
      </c>
      <c r="M986" s="18" t="s">
        <v>35</v>
      </c>
      <c r="N986" s="18">
        <v>1</v>
      </c>
      <c r="O986" s="18">
        <v>1</v>
      </c>
      <c r="P986" s="18">
        <v>18.5</v>
      </c>
      <c r="Q986" s="18">
        <v>1</v>
      </c>
      <c r="R986" s="18">
        <v>1</v>
      </c>
      <c r="S986" s="18">
        <v>16</v>
      </c>
      <c r="T986" s="18">
        <v>127.6</v>
      </c>
    </row>
    <row r="987" spans="1:20" x14ac:dyDescent="0.3">
      <c r="A987" s="18">
        <v>50986</v>
      </c>
      <c r="B987" s="18">
        <v>1</v>
      </c>
      <c r="C987" s="18">
        <v>10</v>
      </c>
      <c r="D987" s="18" t="s">
        <v>36</v>
      </c>
      <c r="E987" s="18">
        <v>3</v>
      </c>
      <c r="F987" s="18">
        <v>28</v>
      </c>
      <c r="G987" s="18" t="s">
        <v>39</v>
      </c>
      <c r="H987" s="18" t="s">
        <v>33</v>
      </c>
      <c r="I987" s="18">
        <v>2.4</v>
      </c>
      <c r="J987" s="18">
        <v>3</v>
      </c>
      <c r="K987" s="18" t="s">
        <v>36</v>
      </c>
      <c r="L987" s="18">
        <v>4</v>
      </c>
      <c r="M987" s="18" t="s">
        <v>41</v>
      </c>
      <c r="N987" s="18">
        <v>1</v>
      </c>
      <c r="O987" s="18">
        <v>1</v>
      </c>
      <c r="P987" s="18"/>
      <c r="Q987" s="18">
        <v>3</v>
      </c>
      <c r="R987" s="18">
        <v>3</v>
      </c>
      <c r="S987" s="18">
        <v>4</v>
      </c>
      <c r="T987" s="18">
        <v>275.37</v>
      </c>
    </row>
    <row r="988" spans="1:20" x14ac:dyDescent="0.3">
      <c r="A988" s="18">
        <v>50987</v>
      </c>
      <c r="B988" s="18">
        <v>1</v>
      </c>
      <c r="C988" s="18">
        <v>10</v>
      </c>
      <c r="D988" s="18" t="s">
        <v>31</v>
      </c>
      <c r="E988" s="18">
        <v>1</v>
      </c>
      <c r="F988" s="18">
        <v>40</v>
      </c>
      <c r="G988" s="18" t="s">
        <v>39</v>
      </c>
      <c r="H988" s="18" t="s">
        <v>33</v>
      </c>
      <c r="I988" s="18">
        <v>2.9</v>
      </c>
      <c r="J988" s="18">
        <v>5</v>
      </c>
      <c r="K988" s="18" t="s">
        <v>34</v>
      </c>
      <c r="L988" s="18">
        <v>1</v>
      </c>
      <c r="M988" s="18" t="s">
        <v>35</v>
      </c>
      <c r="N988" s="18">
        <v>3</v>
      </c>
      <c r="O988" s="18">
        <v>0</v>
      </c>
      <c r="P988" s="18">
        <v>11</v>
      </c>
      <c r="Q988" s="18">
        <v>1</v>
      </c>
      <c r="R988" s="18">
        <v>5</v>
      </c>
      <c r="S988" s="18">
        <v>12</v>
      </c>
      <c r="T988" s="18">
        <v>124.65</v>
      </c>
    </row>
    <row r="989" spans="1:20" x14ac:dyDescent="0.3">
      <c r="A989" s="18">
        <v>50988</v>
      </c>
      <c r="B989" s="18">
        <v>1</v>
      </c>
      <c r="C989" s="18">
        <v>22</v>
      </c>
      <c r="D989" s="18" t="s">
        <v>36</v>
      </c>
      <c r="E989" s="18">
        <v>1</v>
      </c>
      <c r="F989" s="18">
        <v>6</v>
      </c>
      <c r="G989" s="18" t="s">
        <v>39</v>
      </c>
      <c r="H989" s="18" t="s">
        <v>33</v>
      </c>
      <c r="I989" s="18">
        <v>2.7</v>
      </c>
      <c r="J989" s="18">
        <v>3</v>
      </c>
      <c r="K989" s="18" t="s">
        <v>36</v>
      </c>
      <c r="L989" s="18">
        <v>3</v>
      </c>
      <c r="M989" s="18" t="s">
        <v>41</v>
      </c>
      <c r="N989" s="18">
        <v>19</v>
      </c>
      <c r="O989" s="18">
        <v>1</v>
      </c>
      <c r="P989" s="18">
        <v>13</v>
      </c>
      <c r="Q989" s="18">
        <v>4</v>
      </c>
      <c r="R989" s="18">
        <v>6</v>
      </c>
      <c r="S989" s="18">
        <v>0</v>
      </c>
      <c r="T989" s="18">
        <v>227.76</v>
      </c>
    </row>
    <row r="990" spans="1:20" x14ac:dyDescent="0.3">
      <c r="A990" s="18">
        <v>50989</v>
      </c>
      <c r="B990" s="18">
        <v>0</v>
      </c>
      <c r="C990" s="18">
        <v>10</v>
      </c>
      <c r="D990" s="18" t="s">
        <v>42</v>
      </c>
      <c r="E990" s="18">
        <v>1</v>
      </c>
      <c r="F990" s="18">
        <v>16</v>
      </c>
      <c r="G990" s="18" t="s">
        <v>39</v>
      </c>
      <c r="H990" s="18" t="s">
        <v>33</v>
      </c>
      <c r="I990" s="18">
        <v>3.2</v>
      </c>
      <c r="J990" s="18">
        <v>3</v>
      </c>
      <c r="K990" s="18" t="s">
        <v>40</v>
      </c>
      <c r="L990" s="18">
        <v>3</v>
      </c>
      <c r="M990" s="18" t="s">
        <v>35</v>
      </c>
      <c r="N990" s="18">
        <v>1</v>
      </c>
      <c r="O990" s="18">
        <v>1</v>
      </c>
      <c r="P990" s="18">
        <v>15.2</v>
      </c>
      <c r="Q990" s="18">
        <v>2</v>
      </c>
      <c r="R990" s="18">
        <v>3</v>
      </c>
      <c r="S990" s="18">
        <v>7</v>
      </c>
      <c r="T990" s="18">
        <v>217.98</v>
      </c>
    </row>
    <row r="991" spans="1:20" x14ac:dyDescent="0.3">
      <c r="A991" s="18">
        <v>50990</v>
      </c>
      <c r="B991" s="18">
        <v>0</v>
      </c>
      <c r="C991" s="18">
        <v>9</v>
      </c>
      <c r="D991" s="18" t="s">
        <v>36</v>
      </c>
      <c r="E991" s="18">
        <v>3</v>
      </c>
      <c r="F991" s="18">
        <v>5</v>
      </c>
      <c r="G991" s="18" t="s">
        <v>43</v>
      </c>
      <c r="H991" s="18" t="s">
        <v>38</v>
      </c>
      <c r="I991" s="18">
        <v>2.1</v>
      </c>
      <c r="J991" s="18">
        <v>4</v>
      </c>
      <c r="K991" s="18" t="s">
        <v>36</v>
      </c>
      <c r="L991" s="18">
        <v>4</v>
      </c>
      <c r="M991" s="18" t="s">
        <v>35</v>
      </c>
      <c r="N991" s="18">
        <v>1</v>
      </c>
      <c r="O991" s="18">
        <v>0</v>
      </c>
      <c r="P991" s="18">
        <v>15.9</v>
      </c>
      <c r="Q991" s="18">
        <v>2</v>
      </c>
      <c r="R991" s="18">
        <v>3</v>
      </c>
      <c r="S991" s="18">
        <v>9</v>
      </c>
      <c r="T991" s="18">
        <v>163.22999999999999</v>
      </c>
    </row>
    <row r="992" spans="1:20" x14ac:dyDescent="0.3">
      <c r="A992" s="18">
        <v>50991</v>
      </c>
      <c r="B992" s="18">
        <v>0</v>
      </c>
      <c r="C992" s="18">
        <v>0</v>
      </c>
      <c r="D992" s="18" t="s">
        <v>31</v>
      </c>
      <c r="E992" s="18">
        <v>3</v>
      </c>
      <c r="F992" s="18">
        <v>19</v>
      </c>
      <c r="G992" s="18" t="s">
        <v>39</v>
      </c>
      <c r="H992" s="18" t="s">
        <v>33</v>
      </c>
      <c r="I992" s="18">
        <v>2.9</v>
      </c>
      <c r="J992" s="18">
        <v>2</v>
      </c>
      <c r="K992" s="18" t="s">
        <v>46</v>
      </c>
      <c r="L992" s="18">
        <v>5</v>
      </c>
      <c r="M992" s="18" t="s">
        <v>35</v>
      </c>
      <c r="N992" s="18">
        <v>12</v>
      </c>
      <c r="O992" s="18">
        <v>1</v>
      </c>
      <c r="P992" s="18">
        <v>13.7</v>
      </c>
      <c r="Q992" s="18">
        <v>4</v>
      </c>
      <c r="R992" s="18">
        <v>5</v>
      </c>
      <c r="S992" s="18">
        <v>4</v>
      </c>
      <c r="T992" s="18">
        <v>279.55</v>
      </c>
    </row>
    <row r="993" spans="1:20" x14ac:dyDescent="0.3">
      <c r="A993" s="18">
        <v>50992</v>
      </c>
      <c r="B993" s="18">
        <v>0</v>
      </c>
      <c r="C993" s="18">
        <v>7</v>
      </c>
      <c r="D993" s="18" t="s">
        <v>36</v>
      </c>
      <c r="E993" s="18">
        <v>1</v>
      </c>
      <c r="F993" s="18">
        <v>10</v>
      </c>
      <c r="G993" s="18" t="s">
        <v>39</v>
      </c>
      <c r="H993" s="18" t="s">
        <v>33</v>
      </c>
      <c r="I993" s="18">
        <v>3.2</v>
      </c>
      <c r="J993" s="18">
        <v>2</v>
      </c>
      <c r="K993" s="18" t="s">
        <v>40</v>
      </c>
      <c r="L993" s="18">
        <v>3</v>
      </c>
      <c r="M993" s="18" t="s">
        <v>35</v>
      </c>
      <c r="N993" s="18">
        <v>1</v>
      </c>
      <c r="O993" s="18">
        <v>0</v>
      </c>
      <c r="P993" s="18">
        <v>19.2</v>
      </c>
      <c r="Q993" s="18">
        <v>4</v>
      </c>
      <c r="R993" s="18">
        <v>4</v>
      </c>
      <c r="S993" s="18">
        <v>13</v>
      </c>
      <c r="T993" s="18">
        <v>94.25</v>
      </c>
    </row>
    <row r="994" spans="1:20" x14ac:dyDescent="0.3">
      <c r="A994" s="18">
        <v>50993</v>
      </c>
      <c r="B994" s="18">
        <v>0</v>
      </c>
      <c r="C994" s="18">
        <v>1</v>
      </c>
      <c r="D994" s="18" t="s">
        <v>36</v>
      </c>
      <c r="E994" s="18">
        <v>1</v>
      </c>
      <c r="F994" s="18">
        <v>30</v>
      </c>
      <c r="G994" s="18" t="s">
        <v>39</v>
      </c>
      <c r="H994" s="18" t="s">
        <v>33</v>
      </c>
      <c r="I994" s="18">
        <v>2.9</v>
      </c>
      <c r="J994" s="18">
        <v>4</v>
      </c>
      <c r="K994" s="18" t="s">
        <v>40</v>
      </c>
      <c r="L994" s="18">
        <v>5</v>
      </c>
      <c r="M994" s="18" t="s">
        <v>35</v>
      </c>
      <c r="N994" s="18">
        <v>2</v>
      </c>
      <c r="O994" s="18">
        <v>0</v>
      </c>
      <c r="P994" s="18">
        <v>22.9</v>
      </c>
      <c r="Q994" s="18">
        <v>1</v>
      </c>
      <c r="R994" s="18">
        <v>5</v>
      </c>
      <c r="S994" s="18">
        <v>4</v>
      </c>
      <c r="T994" s="18">
        <v>175.62</v>
      </c>
    </row>
    <row r="995" spans="1:20" x14ac:dyDescent="0.3">
      <c r="A995" s="18">
        <v>50994</v>
      </c>
      <c r="B995" s="18">
        <v>0</v>
      </c>
      <c r="C995" s="18">
        <v>13</v>
      </c>
      <c r="D995" s="18" t="s">
        <v>36</v>
      </c>
      <c r="E995" s="18">
        <v>3</v>
      </c>
      <c r="F995" s="18">
        <v>8</v>
      </c>
      <c r="G995" s="18" t="s">
        <v>43</v>
      </c>
      <c r="H995" s="18" t="s">
        <v>33</v>
      </c>
      <c r="I995" s="18">
        <v>3.8</v>
      </c>
      <c r="J995" s="18">
        <v>2</v>
      </c>
      <c r="K995" s="18" t="s">
        <v>46</v>
      </c>
      <c r="L995" s="18">
        <v>3</v>
      </c>
      <c r="M995" s="18" t="s">
        <v>41</v>
      </c>
      <c r="N995" s="18">
        <v>1</v>
      </c>
      <c r="O995" s="18">
        <v>0</v>
      </c>
      <c r="P995" s="18">
        <v>16.7</v>
      </c>
      <c r="Q995" s="18">
        <v>3</v>
      </c>
      <c r="R995" s="18">
        <v>3</v>
      </c>
      <c r="S995" s="18">
        <v>1</v>
      </c>
      <c r="T995" s="18">
        <v>153.1</v>
      </c>
    </row>
    <row r="996" spans="1:20" x14ac:dyDescent="0.3">
      <c r="A996" s="18">
        <v>50995</v>
      </c>
      <c r="B996" s="18">
        <v>0</v>
      </c>
      <c r="C996" s="18">
        <v>7</v>
      </c>
      <c r="D996" s="18" t="s">
        <v>36</v>
      </c>
      <c r="E996" s="18">
        <v>1</v>
      </c>
      <c r="F996" s="18">
        <v>5</v>
      </c>
      <c r="G996" s="18" t="s">
        <v>37</v>
      </c>
      <c r="H996" s="18" t="s">
        <v>33</v>
      </c>
      <c r="I996" s="18">
        <v>3.4</v>
      </c>
      <c r="J996" s="18">
        <v>1</v>
      </c>
      <c r="K996" s="18" t="s">
        <v>34</v>
      </c>
      <c r="L996" s="18">
        <v>1</v>
      </c>
      <c r="M996" s="18" t="s">
        <v>41</v>
      </c>
      <c r="N996" s="18">
        <v>9</v>
      </c>
      <c r="O996" s="18">
        <v>0</v>
      </c>
      <c r="P996" s="18">
        <v>16.3</v>
      </c>
      <c r="Q996" s="18">
        <v>2</v>
      </c>
      <c r="R996" s="18">
        <v>5</v>
      </c>
      <c r="S996" s="18">
        <v>1</v>
      </c>
      <c r="T996" s="18">
        <v>232.83</v>
      </c>
    </row>
    <row r="997" spans="1:20" x14ac:dyDescent="0.3">
      <c r="A997" s="18">
        <v>50996</v>
      </c>
      <c r="B997" s="18">
        <v>1</v>
      </c>
      <c r="C997" s="18">
        <v>11</v>
      </c>
      <c r="D997" s="18" t="s">
        <v>36</v>
      </c>
      <c r="E997" s="18">
        <v>2</v>
      </c>
      <c r="F997" s="18"/>
      <c r="G997" s="18" t="s">
        <v>37</v>
      </c>
      <c r="H997" s="18" t="s">
        <v>38</v>
      </c>
      <c r="I997" s="18">
        <v>2.9</v>
      </c>
      <c r="J997" s="18">
        <v>5</v>
      </c>
      <c r="K997" s="18" t="s">
        <v>36</v>
      </c>
      <c r="L997" s="18">
        <v>2</v>
      </c>
      <c r="M997" s="18" t="s">
        <v>35</v>
      </c>
      <c r="N997" s="18">
        <v>13</v>
      </c>
      <c r="O997" s="18">
        <v>0</v>
      </c>
      <c r="P997" s="18">
        <v>19</v>
      </c>
      <c r="Q997" s="18">
        <v>3</v>
      </c>
      <c r="R997" s="18">
        <v>3</v>
      </c>
      <c r="S997" s="18">
        <v>4</v>
      </c>
      <c r="T997" s="18">
        <v>199.45</v>
      </c>
    </row>
    <row r="998" spans="1:20" x14ac:dyDescent="0.3">
      <c r="A998" s="18">
        <v>50997</v>
      </c>
      <c r="B998" s="18">
        <v>0</v>
      </c>
      <c r="C998" s="18">
        <v>0</v>
      </c>
      <c r="D998" s="18" t="s">
        <v>31</v>
      </c>
      <c r="E998" s="18">
        <v>3</v>
      </c>
      <c r="F998" s="18">
        <v>5</v>
      </c>
      <c r="G998" s="18" t="s">
        <v>32</v>
      </c>
      <c r="H998" s="18" t="s">
        <v>38</v>
      </c>
      <c r="I998" s="18">
        <v>3.1</v>
      </c>
      <c r="J998" s="18">
        <v>2</v>
      </c>
      <c r="K998" s="18" t="s">
        <v>44</v>
      </c>
      <c r="L998" s="18">
        <v>3</v>
      </c>
      <c r="M998" s="18" t="s">
        <v>41</v>
      </c>
      <c r="N998" s="18">
        <v>5</v>
      </c>
      <c r="O998" s="18">
        <v>1</v>
      </c>
      <c r="P998" s="18">
        <v>11</v>
      </c>
      <c r="Q998" s="18">
        <v>0</v>
      </c>
      <c r="R998" s="18">
        <v>1</v>
      </c>
      <c r="S998" s="18">
        <v>11</v>
      </c>
      <c r="T998" s="18">
        <v>85</v>
      </c>
    </row>
    <row r="999" spans="1:20" x14ac:dyDescent="0.3">
      <c r="A999" s="18">
        <v>50998</v>
      </c>
      <c r="B999" s="18">
        <v>0</v>
      </c>
      <c r="C999" s="18">
        <v>0</v>
      </c>
      <c r="D999" s="18" t="s">
        <v>36</v>
      </c>
      <c r="E999" s="18">
        <v>1</v>
      </c>
      <c r="F999" s="18">
        <v>21</v>
      </c>
      <c r="G999" s="18" t="s">
        <v>37</v>
      </c>
      <c r="H999" s="18" t="s">
        <v>33</v>
      </c>
      <c r="I999" s="18">
        <v>3.1</v>
      </c>
      <c r="J999" s="18">
        <v>3</v>
      </c>
      <c r="K999" s="18" t="s">
        <v>36</v>
      </c>
      <c r="L999" s="18">
        <v>3</v>
      </c>
      <c r="M999" s="18" t="s">
        <v>35</v>
      </c>
      <c r="N999" s="18">
        <v>1</v>
      </c>
      <c r="O999" s="18">
        <v>0</v>
      </c>
      <c r="P999" s="18">
        <v>16.100000000000001</v>
      </c>
      <c r="Q999" s="18">
        <v>2</v>
      </c>
      <c r="R999" s="18">
        <v>4</v>
      </c>
      <c r="S999" s="18">
        <v>0</v>
      </c>
      <c r="T999" s="18">
        <v>248.17</v>
      </c>
    </row>
    <row r="1000" spans="1:20" x14ac:dyDescent="0.3">
      <c r="A1000" s="18">
        <v>50999</v>
      </c>
      <c r="B1000" s="18">
        <v>0</v>
      </c>
      <c r="C1000" s="18">
        <v>12</v>
      </c>
      <c r="D1000" s="18" t="s">
        <v>31</v>
      </c>
      <c r="E1000" s="18">
        <v>2</v>
      </c>
      <c r="F1000" s="18">
        <v>5</v>
      </c>
      <c r="G1000" s="18" t="s">
        <v>39</v>
      </c>
      <c r="H1000" s="18" t="s">
        <v>33</v>
      </c>
      <c r="I1000" s="18"/>
      <c r="J1000" s="18">
        <v>3</v>
      </c>
      <c r="K1000" s="18" t="s">
        <v>40</v>
      </c>
      <c r="L1000" s="18">
        <v>1</v>
      </c>
      <c r="M1000" s="18" t="s">
        <v>35</v>
      </c>
      <c r="N1000" s="18">
        <v>1</v>
      </c>
      <c r="O1000" s="18">
        <v>0</v>
      </c>
      <c r="P1000" s="18">
        <v>19.399999999999999</v>
      </c>
      <c r="Q1000" s="18">
        <v>2</v>
      </c>
      <c r="R1000" s="18">
        <v>4</v>
      </c>
      <c r="S1000" s="18">
        <v>4</v>
      </c>
      <c r="T1000" s="18">
        <v>206.7</v>
      </c>
    </row>
    <row r="1001" spans="1:20" x14ac:dyDescent="0.3">
      <c r="A1001" s="18">
        <v>51000</v>
      </c>
      <c r="B1001" s="18">
        <v>1</v>
      </c>
      <c r="C1001" s="18">
        <v>0</v>
      </c>
      <c r="D1001" s="18" t="s">
        <v>42</v>
      </c>
      <c r="E1001" s="18">
        <v>1</v>
      </c>
      <c r="F1001" s="18">
        <v>15</v>
      </c>
      <c r="G1001" s="18" t="s">
        <v>39</v>
      </c>
      <c r="H1001" s="18" t="s">
        <v>38</v>
      </c>
      <c r="I1001" s="18">
        <v>1.6</v>
      </c>
      <c r="J1001" s="18">
        <v>1</v>
      </c>
      <c r="K1001" s="18" t="s">
        <v>40</v>
      </c>
      <c r="L1001" s="18">
        <v>3</v>
      </c>
      <c r="M1001" s="18" t="s">
        <v>35</v>
      </c>
      <c r="N1001" s="18">
        <v>1</v>
      </c>
      <c r="O1001" s="18">
        <v>0</v>
      </c>
      <c r="P1001" s="18">
        <v>13.7</v>
      </c>
      <c r="Q1001" s="18">
        <v>3</v>
      </c>
      <c r="R1001" s="18">
        <v>6</v>
      </c>
      <c r="S1001" s="18">
        <v>7</v>
      </c>
      <c r="T1001" s="18">
        <v>123.05</v>
      </c>
    </row>
    <row r="1002" spans="1:20" x14ac:dyDescent="0.3">
      <c r="A1002" s="18">
        <v>51001</v>
      </c>
      <c r="B1002" s="18">
        <v>1</v>
      </c>
      <c r="C1002" s="18">
        <v>0</v>
      </c>
      <c r="D1002" s="18" t="s">
        <v>31</v>
      </c>
      <c r="E1002" s="18">
        <v>1</v>
      </c>
      <c r="F1002" s="18">
        <v>5</v>
      </c>
      <c r="G1002" s="18" t="s">
        <v>37</v>
      </c>
      <c r="H1002" s="18" t="s">
        <v>33</v>
      </c>
      <c r="I1002" s="18">
        <v>2.7</v>
      </c>
      <c r="J1002" s="18">
        <v>3</v>
      </c>
      <c r="K1002" s="18" t="s">
        <v>44</v>
      </c>
      <c r="L1002" s="18">
        <v>3</v>
      </c>
      <c r="M1002" s="18" t="s">
        <v>35</v>
      </c>
      <c r="N1002" s="18">
        <v>7</v>
      </c>
      <c r="O1002" s="18">
        <v>1</v>
      </c>
      <c r="P1002" s="18">
        <v>11.7</v>
      </c>
      <c r="Q1002" s="18">
        <v>1</v>
      </c>
      <c r="R1002" s="18">
        <v>7</v>
      </c>
      <c r="S1002" s="18">
        <v>0</v>
      </c>
      <c r="T1002" s="18">
        <v>160.77000000000001</v>
      </c>
    </row>
    <row r="1003" spans="1:20" x14ac:dyDescent="0.3">
      <c r="A1003" s="18">
        <v>51002</v>
      </c>
      <c r="B1003" s="18">
        <v>0</v>
      </c>
      <c r="C1003" s="18">
        <v>0</v>
      </c>
      <c r="D1003" s="18" t="s">
        <v>31</v>
      </c>
      <c r="E1003" s="18">
        <v>3</v>
      </c>
      <c r="F1003" s="18">
        <v>12</v>
      </c>
      <c r="G1003" s="18" t="s">
        <v>39</v>
      </c>
      <c r="H1003" s="18" t="s">
        <v>33</v>
      </c>
      <c r="I1003" s="18">
        <v>1.9</v>
      </c>
      <c r="J1003" s="18">
        <v>4</v>
      </c>
      <c r="K1003" s="18" t="s">
        <v>44</v>
      </c>
      <c r="L1003" s="18">
        <v>2</v>
      </c>
      <c r="M1003" s="18" t="s">
        <v>35</v>
      </c>
      <c r="N1003" s="18">
        <v>8</v>
      </c>
      <c r="O1003" s="18">
        <v>0</v>
      </c>
      <c r="P1003" s="18"/>
      <c r="Q1003" s="18">
        <v>3</v>
      </c>
      <c r="R1003" s="18">
        <v>3</v>
      </c>
      <c r="S1003" s="18">
        <v>0</v>
      </c>
      <c r="T1003" s="18">
        <v>108.51</v>
      </c>
    </row>
    <row r="1004" spans="1:20" x14ac:dyDescent="0.3">
      <c r="A1004" s="18">
        <v>51003</v>
      </c>
      <c r="B1004" s="18">
        <v>0</v>
      </c>
      <c r="C1004" s="18">
        <v>31</v>
      </c>
      <c r="D1004" s="18" t="s">
        <v>31</v>
      </c>
      <c r="E1004" s="18">
        <v>1</v>
      </c>
      <c r="F1004" s="18"/>
      <c r="G1004" s="18" t="s">
        <v>47</v>
      </c>
      <c r="H1004" s="18" t="s">
        <v>33</v>
      </c>
      <c r="I1004" s="18">
        <v>3.8</v>
      </c>
      <c r="J1004" s="18">
        <v>4</v>
      </c>
      <c r="K1004" s="18" t="s">
        <v>40</v>
      </c>
      <c r="L1004" s="18">
        <v>3</v>
      </c>
      <c r="M1004" s="18" t="s">
        <v>35</v>
      </c>
      <c r="N1004" s="18">
        <v>1</v>
      </c>
      <c r="O1004" s="18">
        <v>0</v>
      </c>
      <c r="P1004" s="18">
        <v>15.8</v>
      </c>
      <c r="Q1004" s="18">
        <v>6</v>
      </c>
      <c r="R1004" s="18">
        <v>11</v>
      </c>
      <c r="S1004" s="18">
        <v>2</v>
      </c>
      <c r="T1004" s="18">
        <v>170.6</v>
      </c>
    </row>
    <row r="1005" spans="1:20" x14ac:dyDescent="0.3">
      <c r="A1005" s="18">
        <v>51004</v>
      </c>
      <c r="B1005" s="18">
        <v>0</v>
      </c>
      <c r="C1005" s="18">
        <v>13</v>
      </c>
      <c r="D1005" s="18" t="s">
        <v>36</v>
      </c>
      <c r="E1005" s="18">
        <v>3</v>
      </c>
      <c r="F1005" s="18">
        <v>17</v>
      </c>
      <c r="G1005" s="18" t="s">
        <v>39</v>
      </c>
      <c r="H1005" s="18" t="s">
        <v>38</v>
      </c>
      <c r="I1005" s="18">
        <v>2.9</v>
      </c>
      <c r="J1005" s="18">
        <v>4</v>
      </c>
      <c r="K1005" s="18" t="s">
        <v>44</v>
      </c>
      <c r="L1005" s="18">
        <v>5</v>
      </c>
      <c r="M1005" s="18" t="s">
        <v>35</v>
      </c>
      <c r="N1005" s="18">
        <v>3</v>
      </c>
      <c r="O1005" s="18">
        <v>0</v>
      </c>
      <c r="P1005" s="18">
        <v>12.8</v>
      </c>
      <c r="Q1005" s="18">
        <v>1</v>
      </c>
      <c r="R1005" s="18">
        <v>4</v>
      </c>
      <c r="S1005" s="18">
        <v>1</v>
      </c>
      <c r="T1005" s="18">
        <v>188.26</v>
      </c>
    </row>
    <row r="1006" spans="1:20" x14ac:dyDescent="0.3">
      <c r="A1006" s="18">
        <v>51005</v>
      </c>
      <c r="B1006" s="18">
        <v>0</v>
      </c>
      <c r="C1006" s="18">
        <v>4</v>
      </c>
      <c r="D1006" s="18" t="s">
        <v>42</v>
      </c>
      <c r="E1006" s="18">
        <v>2</v>
      </c>
      <c r="F1006" s="18">
        <v>8</v>
      </c>
      <c r="G1006" s="18" t="s">
        <v>37</v>
      </c>
      <c r="H1006" s="18" t="s">
        <v>33</v>
      </c>
      <c r="I1006" s="18">
        <v>2.8</v>
      </c>
      <c r="J1006" s="18">
        <v>3</v>
      </c>
      <c r="K1006" s="18" t="s">
        <v>36</v>
      </c>
      <c r="L1006" s="18">
        <v>3</v>
      </c>
      <c r="M1006" s="18" t="s">
        <v>35</v>
      </c>
      <c r="N1006" s="18">
        <v>1</v>
      </c>
      <c r="O1006" s="18">
        <v>1</v>
      </c>
      <c r="P1006" s="18">
        <v>23.3</v>
      </c>
      <c r="Q1006" s="18">
        <v>2</v>
      </c>
      <c r="R1006" s="18">
        <v>2</v>
      </c>
      <c r="S1006" s="18">
        <v>1</v>
      </c>
      <c r="T1006" s="18">
        <v>161.59</v>
      </c>
    </row>
    <row r="1007" spans="1:20" x14ac:dyDescent="0.3">
      <c r="A1007" s="18">
        <v>51006</v>
      </c>
      <c r="B1007" s="18">
        <v>0</v>
      </c>
      <c r="C1007" s="18">
        <v>3</v>
      </c>
      <c r="D1007" s="18" t="s">
        <v>36</v>
      </c>
      <c r="E1007" s="18">
        <v>1</v>
      </c>
      <c r="F1007" s="18">
        <v>14</v>
      </c>
      <c r="G1007" s="18" t="s">
        <v>39</v>
      </c>
      <c r="H1007" s="18" t="s">
        <v>38</v>
      </c>
      <c r="I1007" s="18">
        <v>3.5</v>
      </c>
      <c r="J1007" s="18">
        <v>4</v>
      </c>
      <c r="K1007" s="18" t="s">
        <v>40</v>
      </c>
      <c r="L1007" s="18">
        <v>4</v>
      </c>
      <c r="M1007" s="18" t="s">
        <v>35</v>
      </c>
      <c r="N1007" s="18">
        <v>1</v>
      </c>
      <c r="O1007" s="18">
        <v>0</v>
      </c>
      <c r="P1007" s="18">
        <v>14.3</v>
      </c>
      <c r="Q1007" s="18">
        <v>0</v>
      </c>
      <c r="R1007" s="18">
        <v>6</v>
      </c>
      <c r="S1007" s="18">
        <v>1</v>
      </c>
      <c r="T1007" s="18">
        <v>155.22</v>
      </c>
    </row>
    <row r="1008" spans="1:20" x14ac:dyDescent="0.3">
      <c r="A1008" s="18">
        <v>51007</v>
      </c>
      <c r="B1008" s="18">
        <v>1</v>
      </c>
      <c r="C1008" s="18">
        <v>4</v>
      </c>
      <c r="D1008" s="18" t="s">
        <v>31</v>
      </c>
      <c r="E1008" s="18">
        <v>1</v>
      </c>
      <c r="F1008" s="18">
        <v>15</v>
      </c>
      <c r="G1008" s="18" t="s">
        <v>39</v>
      </c>
      <c r="H1008" s="18" t="s">
        <v>38</v>
      </c>
      <c r="I1008" s="18">
        <v>3.2</v>
      </c>
      <c r="J1008" s="18">
        <v>3</v>
      </c>
      <c r="K1008" s="18" t="s">
        <v>36</v>
      </c>
      <c r="L1008" s="18">
        <v>4</v>
      </c>
      <c r="M1008" s="18" t="s">
        <v>35</v>
      </c>
      <c r="N1008" s="18">
        <v>3</v>
      </c>
      <c r="O1008" s="18">
        <v>1</v>
      </c>
      <c r="P1008" s="18">
        <v>12</v>
      </c>
      <c r="Q1008" s="18">
        <v>1</v>
      </c>
      <c r="R1008" s="18">
        <v>4</v>
      </c>
      <c r="S1008" s="18">
        <v>0</v>
      </c>
      <c r="T1008" s="18">
        <v>91.3</v>
      </c>
    </row>
    <row r="1009" spans="1:20" x14ac:dyDescent="0.3">
      <c r="A1009" s="18">
        <v>51008</v>
      </c>
      <c r="B1009" s="18">
        <v>0</v>
      </c>
      <c r="C1009" s="18">
        <v>14</v>
      </c>
      <c r="D1009" s="18" t="s">
        <v>31</v>
      </c>
      <c r="E1009" s="18">
        <v>1</v>
      </c>
      <c r="F1009" s="18">
        <v>18</v>
      </c>
      <c r="G1009" s="18" t="s">
        <v>37</v>
      </c>
      <c r="H1009" s="18" t="s">
        <v>33</v>
      </c>
      <c r="I1009" s="18">
        <v>2.1</v>
      </c>
      <c r="J1009" s="18">
        <v>2</v>
      </c>
      <c r="K1009" s="18" t="s">
        <v>44</v>
      </c>
      <c r="L1009" s="18">
        <v>3</v>
      </c>
      <c r="M1009" s="18" t="s">
        <v>35</v>
      </c>
      <c r="N1009" s="18">
        <v>1</v>
      </c>
      <c r="O1009" s="18">
        <v>0</v>
      </c>
      <c r="P1009" s="18">
        <v>15.7</v>
      </c>
      <c r="Q1009" s="18">
        <v>3</v>
      </c>
      <c r="R1009" s="18">
        <v>3</v>
      </c>
      <c r="S1009" s="18">
        <v>4</v>
      </c>
      <c r="T1009" s="18">
        <v>198.55</v>
      </c>
    </row>
    <row r="1010" spans="1:20" x14ac:dyDescent="0.3">
      <c r="A1010" s="18">
        <v>51009</v>
      </c>
      <c r="B1010" s="18">
        <v>1</v>
      </c>
      <c r="C1010" s="18">
        <v>10</v>
      </c>
      <c r="D1010" s="18" t="s">
        <v>36</v>
      </c>
      <c r="E1010" s="18">
        <v>1</v>
      </c>
      <c r="F1010" s="18">
        <v>5</v>
      </c>
      <c r="G1010" s="18" t="s">
        <v>43</v>
      </c>
      <c r="H1010" s="18" t="s">
        <v>38</v>
      </c>
      <c r="I1010" s="18">
        <v>2.9</v>
      </c>
      <c r="J1010" s="18">
        <v>2</v>
      </c>
      <c r="K1010" s="18" t="s">
        <v>44</v>
      </c>
      <c r="L1010" s="18">
        <v>2</v>
      </c>
      <c r="M1010" s="18" t="s">
        <v>35</v>
      </c>
      <c r="N1010" s="18">
        <v>1</v>
      </c>
      <c r="O1010" s="18">
        <v>0</v>
      </c>
      <c r="P1010" s="18">
        <v>19.2</v>
      </c>
      <c r="Q1010" s="18">
        <v>1</v>
      </c>
      <c r="R1010" s="18">
        <v>3</v>
      </c>
      <c r="S1010" s="18">
        <v>5</v>
      </c>
      <c r="T1010" s="18">
        <v>74.150000000000006</v>
      </c>
    </row>
    <row r="1011" spans="1:20" x14ac:dyDescent="0.3">
      <c r="A1011" s="18">
        <v>51010</v>
      </c>
      <c r="B1011" s="18">
        <v>0</v>
      </c>
      <c r="C1011" s="18">
        <v>2</v>
      </c>
      <c r="D1011" s="18" t="s">
        <v>36</v>
      </c>
      <c r="E1011" s="18">
        <v>1</v>
      </c>
      <c r="F1011" s="18">
        <v>19</v>
      </c>
      <c r="G1011" s="18" t="s">
        <v>37</v>
      </c>
      <c r="H1011" s="18" t="s">
        <v>38</v>
      </c>
      <c r="I1011" s="18"/>
      <c r="J1011" s="18">
        <v>2</v>
      </c>
      <c r="K1011" s="18" t="s">
        <v>44</v>
      </c>
      <c r="L1011" s="18">
        <v>3</v>
      </c>
      <c r="M1011" s="18" t="s">
        <v>41</v>
      </c>
      <c r="N1011" s="18">
        <v>1</v>
      </c>
      <c r="O1011" s="18">
        <v>0</v>
      </c>
      <c r="P1011" s="18">
        <v>16.100000000000001</v>
      </c>
      <c r="Q1011" s="18"/>
      <c r="R1011" s="18">
        <v>7</v>
      </c>
      <c r="S1011" s="18">
        <v>6</v>
      </c>
      <c r="T1011" s="18">
        <v>181.71</v>
      </c>
    </row>
    <row r="1012" spans="1:20" x14ac:dyDescent="0.3">
      <c r="A1012" s="18">
        <v>51011</v>
      </c>
      <c r="B1012" s="18">
        <v>0</v>
      </c>
      <c r="C1012" s="18">
        <v>1</v>
      </c>
      <c r="D1012" s="18" t="s">
        <v>36</v>
      </c>
      <c r="E1012" s="18">
        <v>1</v>
      </c>
      <c r="F1012" s="18">
        <v>5</v>
      </c>
      <c r="G1012" s="18" t="s">
        <v>47</v>
      </c>
      <c r="H1012" s="18" t="s">
        <v>33</v>
      </c>
      <c r="I1012" s="18">
        <v>1.7</v>
      </c>
      <c r="J1012" s="18">
        <v>4</v>
      </c>
      <c r="K1012" s="18" t="s">
        <v>44</v>
      </c>
      <c r="L1012" s="18">
        <v>4</v>
      </c>
      <c r="M1012" s="18" t="s">
        <v>41</v>
      </c>
      <c r="N1012" s="18">
        <v>5</v>
      </c>
      <c r="O1012" s="18">
        <v>1</v>
      </c>
      <c r="P1012" s="18">
        <v>17.7</v>
      </c>
      <c r="Q1012" s="18">
        <v>2</v>
      </c>
      <c r="R1012" s="18">
        <v>2</v>
      </c>
      <c r="S1012" s="18">
        <v>3</v>
      </c>
      <c r="T1012" s="18">
        <v>81.05</v>
      </c>
    </row>
    <row r="1013" spans="1:20" x14ac:dyDescent="0.3">
      <c r="A1013" s="18">
        <v>51012</v>
      </c>
      <c r="B1013" s="18">
        <v>0</v>
      </c>
      <c r="C1013" s="18">
        <v>1</v>
      </c>
      <c r="D1013" s="18" t="s">
        <v>42</v>
      </c>
      <c r="E1013" s="18">
        <v>1</v>
      </c>
      <c r="F1013" s="18">
        <v>9</v>
      </c>
      <c r="G1013" s="18" t="s">
        <v>39</v>
      </c>
      <c r="H1013" s="18" t="s">
        <v>33</v>
      </c>
      <c r="I1013" s="18">
        <v>2.4</v>
      </c>
      <c r="J1013" s="18">
        <v>2</v>
      </c>
      <c r="K1013" s="18" t="s">
        <v>36</v>
      </c>
      <c r="L1013" s="18">
        <v>3</v>
      </c>
      <c r="M1013" s="18" t="s">
        <v>45</v>
      </c>
      <c r="N1013" s="18">
        <v>7</v>
      </c>
      <c r="O1013" s="18">
        <v>0</v>
      </c>
      <c r="P1013" s="18">
        <v>12.9</v>
      </c>
      <c r="Q1013" s="18">
        <v>3</v>
      </c>
      <c r="R1013" s="18">
        <v>3</v>
      </c>
      <c r="S1013" s="18">
        <v>15</v>
      </c>
      <c r="T1013" s="18">
        <v>182.78</v>
      </c>
    </row>
    <row r="1014" spans="1:20" x14ac:dyDescent="0.3">
      <c r="A1014" s="18">
        <v>51013</v>
      </c>
      <c r="B1014" s="18">
        <v>0</v>
      </c>
      <c r="C1014" s="18">
        <v>10</v>
      </c>
      <c r="D1014" s="18" t="s">
        <v>42</v>
      </c>
      <c r="E1014" s="18">
        <v>3</v>
      </c>
      <c r="F1014" s="18">
        <v>11</v>
      </c>
      <c r="G1014" s="18" t="s">
        <v>39</v>
      </c>
      <c r="H1014" s="18" t="s">
        <v>33</v>
      </c>
      <c r="I1014" s="18">
        <v>2.8</v>
      </c>
      <c r="J1014" s="18">
        <v>3</v>
      </c>
      <c r="K1014" s="18" t="s">
        <v>36</v>
      </c>
      <c r="L1014" s="18">
        <v>2</v>
      </c>
      <c r="M1014" s="18" t="s">
        <v>35</v>
      </c>
      <c r="N1014" s="18">
        <v>12</v>
      </c>
      <c r="O1014" s="18">
        <v>0</v>
      </c>
      <c r="P1014" s="18">
        <v>21.2</v>
      </c>
      <c r="Q1014" s="18">
        <v>2</v>
      </c>
      <c r="R1014" s="18">
        <v>6</v>
      </c>
      <c r="S1014" s="18">
        <v>10</v>
      </c>
      <c r="T1014" s="18">
        <v>179.66</v>
      </c>
    </row>
    <row r="1015" spans="1:20" x14ac:dyDescent="0.3">
      <c r="A1015" s="18">
        <v>51014</v>
      </c>
      <c r="B1015" s="18">
        <v>0</v>
      </c>
      <c r="C1015" s="18">
        <v>14</v>
      </c>
      <c r="D1015" s="18" t="s">
        <v>36</v>
      </c>
      <c r="E1015" s="18">
        <v>2</v>
      </c>
      <c r="F1015" s="18">
        <v>20</v>
      </c>
      <c r="G1015" s="18" t="s">
        <v>39</v>
      </c>
      <c r="H1015" s="18" t="s">
        <v>33</v>
      </c>
      <c r="I1015" s="18">
        <v>2.8</v>
      </c>
      <c r="J1015" s="18">
        <v>3</v>
      </c>
      <c r="K1015" s="18" t="s">
        <v>44</v>
      </c>
      <c r="L1015" s="18">
        <v>2</v>
      </c>
      <c r="M1015" s="18" t="s">
        <v>41</v>
      </c>
      <c r="N1015" s="18">
        <v>4</v>
      </c>
      <c r="O1015" s="18">
        <v>0</v>
      </c>
      <c r="P1015" s="18">
        <v>18</v>
      </c>
      <c r="Q1015" s="18">
        <v>1</v>
      </c>
      <c r="R1015" s="18">
        <v>3</v>
      </c>
      <c r="S1015" s="18">
        <v>15</v>
      </c>
      <c r="T1015" s="18">
        <v>202.18</v>
      </c>
    </row>
    <row r="1016" spans="1:20" x14ac:dyDescent="0.3">
      <c r="A1016" s="18">
        <v>51015</v>
      </c>
      <c r="B1016" s="18">
        <v>0</v>
      </c>
      <c r="C1016" s="18">
        <v>3</v>
      </c>
      <c r="D1016" s="18" t="s">
        <v>31</v>
      </c>
      <c r="E1016" s="18">
        <v>3</v>
      </c>
      <c r="F1016" s="18">
        <v>15</v>
      </c>
      <c r="G1016" s="18" t="s">
        <v>39</v>
      </c>
      <c r="H1016" s="18" t="s">
        <v>33</v>
      </c>
      <c r="I1016" s="18">
        <v>1.9</v>
      </c>
      <c r="J1016" s="18">
        <v>3</v>
      </c>
      <c r="K1016" s="18" t="s">
        <v>44</v>
      </c>
      <c r="L1016" s="18">
        <v>5</v>
      </c>
      <c r="M1016" s="18" t="s">
        <v>35</v>
      </c>
      <c r="N1016" s="18">
        <v>2</v>
      </c>
      <c r="O1016" s="18">
        <v>0</v>
      </c>
      <c r="P1016" s="18">
        <v>19.7</v>
      </c>
      <c r="Q1016" s="18">
        <v>1</v>
      </c>
      <c r="R1016" s="18">
        <v>5</v>
      </c>
      <c r="S1016" s="18">
        <v>2</v>
      </c>
      <c r="T1016" s="18">
        <v>227.43</v>
      </c>
    </row>
    <row r="1017" spans="1:20" x14ac:dyDescent="0.3">
      <c r="A1017" s="18">
        <v>51016</v>
      </c>
      <c r="B1017" s="18">
        <v>0</v>
      </c>
      <c r="C1017" s="18">
        <v>0</v>
      </c>
      <c r="D1017" s="18" t="s">
        <v>42</v>
      </c>
      <c r="E1017" s="18">
        <v>1</v>
      </c>
      <c r="F1017" s="18">
        <v>5</v>
      </c>
      <c r="G1017" s="18" t="s">
        <v>39</v>
      </c>
      <c r="H1017" s="18" t="s">
        <v>33</v>
      </c>
      <c r="I1017" s="18">
        <v>3.7</v>
      </c>
      <c r="J1017" s="18">
        <v>5</v>
      </c>
      <c r="K1017" s="18" t="s">
        <v>44</v>
      </c>
      <c r="L1017" s="18">
        <v>3</v>
      </c>
      <c r="M1017" s="18" t="s">
        <v>45</v>
      </c>
      <c r="N1017" s="18">
        <v>1</v>
      </c>
      <c r="O1017" s="18">
        <v>0</v>
      </c>
      <c r="P1017" s="18">
        <v>17.3</v>
      </c>
      <c r="Q1017" s="18">
        <v>1</v>
      </c>
      <c r="R1017" s="18">
        <v>4</v>
      </c>
      <c r="S1017" s="18">
        <v>10</v>
      </c>
      <c r="T1017" s="18">
        <v>237.62</v>
      </c>
    </row>
    <row r="1018" spans="1:20" x14ac:dyDescent="0.3">
      <c r="A1018" s="18">
        <v>51017</v>
      </c>
      <c r="B1018" s="18">
        <v>0</v>
      </c>
      <c r="C1018" s="18">
        <v>0</v>
      </c>
      <c r="D1018" s="18" t="s">
        <v>36</v>
      </c>
      <c r="E1018" s="18">
        <v>1</v>
      </c>
      <c r="F1018" s="18">
        <v>7</v>
      </c>
      <c r="G1018" s="18" t="s">
        <v>39</v>
      </c>
      <c r="H1018" s="18" t="s">
        <v>33</v>
      </c>
      <c r="I1018" s="18">
        <v>2.8</v>
      </c>
      <c r="J1018" s="18">
        <v>3</v>
      </c>
      <c r="K1018" s="18" t="s">
        <v>34</v>
      </c>
      <c r="L1018" s="18">
        <v>4</v>
      </c>
      <c r="M1018" s="18" t="s">
        <v>35</v>
      </c>
      <c r="N1018" s="18">
        <v>22</v>
      </c>
      <c r="O1018" s="18">
        <v>1</v>
      </c>
      <c r="P1018" s="18"/>
      <c r="Q1018" s="18">
        <v>0</v>
      </c>
      <c r="R1018" s="18">
        <v>4</v>
      </c>
      <c r="S1018" s="18">
        <v>7</v>
      </c>
      <c r="T1018" s="18">
        <v>91.45</v>
      </c>
    </row>
    <row r="1019" spans="1:20" x14ac:dyDescent="0.3">
      <c r="A1019" s="18">
        <v>51018</v>
      </c>
      <c r="B1019" s="18">
        <v>0</v>
      </c>
      <c r="C1019" s="18">
        <v>34</v>
      </c>
      <c r="D1019" s="18" t="s">
        <v>36</v>
      </c>
      <c r="E1019" s="18">
        <v>2</v>
      </c>
      <c r="F1019" s="18">
        <v>16</v>
      </c>
      <c r="G1019" s="18" t="s">
        <v>32</v>
      </c>
      <c r="H1019" s="18" t="s">
        <v>38</v>
      </c>
      <c r="I1019" s="18">
        <v>2.9</v>
      </c>
      <c r="J1019" s="18">
        <v>4</v>
      </c>
      <c r="K1019" s="18" t="s">
        <v>36</v>
      </c>
      <c r="L1019" s="18">
        <v>3</v>
      </c>
      <c r="M1019" s="18" t="s">
        <v>35</v>
      </c>
      <c r="N1019" s="18">
        <v>3</v>
      </c>
      <c r="O1019" s="18">
        <v>0</v>
      </c>
      <c r="P1019" s="18">
        <v>12.9</v>
      </c>
      <c r="Q1019" s="18">
        <v>1</v>
      </c>
      <c r="R1019" s="18">
        <v>4</v>
      </c>
      <c r="S1019" s="18">
        <v>2</v>
      </c>
      <c r="T1019" s="18">
        <v>176.8</v>
      </c>
    </row>
    <row r="1020" spans="1:20" x14ac:dyDescent="0.3">
      <c r="A1020" s="18">
        <v>51019</v>
      </c>
      <c r="B1020" s="18">
        <v>0</v>
      </c>
      <c r="C1020" s="18">
        <v>3</v>
      </c>
      <c r="D1020" s="18" t="s">
        <v>31</v>
      </c>
      <c r="E1020" s="18">
        <v>1</v>
      </c>
      <c r="F1020" s="18">
        <v>14</v>
      </c>
      <c r="G1020" s="18" t="s">
        <v>39</v>
      </c>
      <c r="H1020" s="18" t="s">
        <v>33</v>
      </c>
      <c r="I1020" s="18">
        <v>3.2</v>
      </c>
      <c r="J1020" s="18">
        <v>3</v>
      </c>
      <c r="K1020" s="18" t="s">
        <v>46</v>
      </c>
      <c r="L1020" s="18">
        <v>5</v>
      </c>
      <c r="M1020" s="18" t="s">
        <v>41</v>
      </c>
      <c r="N1020" s="18">
        <v>4</v>
      </c>
      <c r="O1020" s="18">
        <v>0</v>
      </c>
      <c r="P1020" s="18">
        <v>14.3</v>
      </c>
      <c r="Q1020" s="18">
        <v>2</v>
      </c>
      <c r="R1020" s="18">
        <v>2</v>
      </c>
      <c r="S1020" s="18">
        <v>0</v>
      </c>
      <c r="T1020" s="18">
        <v>290.60000000000002</v>
      </c>
    </row>
    <row r="1021" spans="1:20" x14ac:dyDescent="0.3">
      <c r="A1021" s="18">
        <v>51020</v>
      </c>
      <c r="B1021" s="18">
        <v>0</v>
      </c>
      <c r="C1021" s="18">
        <v>14</v>
      </c>
      <c r="D1021" s="18" t="s">
        <v>42</v>
      </c>
      <c r="E1021" s="18">
        <v>1</v>
      </c>
      <c r="F1021" s="18">
        <v>10</v>
      </c>
      <c r="G1021" s="18" t="s">
        <v>37</v>
      </c>
      <c r="H1021" s="18" t="s">
        <v>33</v>
      </c>
      <c r="I1021" s="18">
        <v>2.2999999999999998</v>
      </c>
      <c r="J1021" s="18">
        <v>3</v>
      </c>
      <c r="K1021" s="18" t="s">
        <v>46</v>
      </c>
      <c r="L1021" s="18">
        <v>3</v>
      </c>
      <c r="M1021" s="18" t="s">
        <v>35</v>
      </c>
      <c r="N1021" s="18">
        <v>4</v>
      </c>
      <c r="O1021" s="18">
        <v>0</v>
      </c>
      <c r="P1021" s="18">
        <v>20.7</v>
      </c>
      <c r="Q1021" s="18">
        <v>2</v>
      </c>
      <c r="R1021" s="18">
        <v>2</v>
      </c>
      <c r="S1021" s="18">
        <v>5</v>
      </c>
      <c r="T1021" s="18">
        <v>186.55</v>
      </c>
    </row>
    <row r="1022" spans="1:20" x14ac:dyDescent="0.3">
      <c r="A1022" s="18">
        <v>51021</v>
      </c>
      <c r="B1022" s="18">
        <v>0</v>
      </c>
      <c r="C1022" s="18">
        <v>9</v>
      </c>
      <c r="D1022" s="18" t="s">
        <v>42</v>
      </c>
      <c r="E1022" s="18">
        <v>3</v>
      </c>
      <c r="F1022" s="18">
        <v>11</v>
      </c>
      <c r="G1022" s="18" t="s">
        <v>37</v>
      </c>
      <c r="H1022" s="18" t="s">
        <v>33</v>
      </c>
      <c r="I1022" s="18">
        <v>3.2</v>
      </c>
      <c r="J1022" s="18">
        <v>5</v>
      </c>
      <c r="K1022" s="18" t="s">
        <v>36</v>
      </c>
      <c r="L1022" s="18">
        <v>3</v>
      </c>
      <c r="M1022" s="18" t="s">
        <v>35</v>
      </c>
      <c r="N1022" s="18">
        <v>6</v>
      </c>
      <c r="O1022" s="18">
        <v>0</v>
      </c>
      <c r="P1022" s="18">
        <v>21.5</v>
      </c>
      <c r="Q1022" s="18">
        <v>3</v>
      </c>
      <c r="R1022" s="18">
        <v>5</v>
      </c>
      <c r="S1022" s="18">
        <v>0</v>
      </c>
      <c r="T1022" s="18">
        <v>134.28</v>
      </c>
    </row>
    <row r="1023" spans="1:20" x14ac:dyDescent="0.3">
      <c r="A1023" s="18">
        <v>51022</v>
      </c>
      <c r="B1023" s="18">
        <v>0</v>
      </c>
      <c r="C1023" s="18">
        <v>4</v>
      </c>
      <c r="D1023" s="18" t="s">
        <v>36</v>
      </c>
      <c r="E1023" s="18">
        <v>3</v>
      </c>
      <c r="F1023" s="18">
        <v>20</v>
      </c>
      <c r="G1023" s="18" t="s">
        <v>37</v>
      </c>
      <c r="H1023" s="18" t="s">
        <v>33</v>
      </c>
      <c r="I1023" s="18">
        <v>2.6</v>
      </c>
      <c r="J1023" s="18">
        <v>2</v>
      </c>
      <c r="K1023" s="18" t="s">
        <v>40</v>
      </c>
      <c r="L1023" s="18">
        <v>5</v>
      </c>
      <c r="M1023" s="18" t="s">
        <v>45</v>
      </c>
      <c r="N1023" s="18">
        <v>1</v>
      </c>
      <c r="O1023" s="18">
        <v>0</v>
      </c>
      <c r="P1023" s="18">
        <v>12</v>
      </c>
      <c r="Q1023" s="18">
        <v>2</v>
      </c>
      <c r="R1023" s="18">
        <v>5</v>
      </c>
      <c r="S1023" s="18">
        <v>1</v>
      </c>
      <c r="T1023" s="18">
        <v>175.62</v>
      </c>
    </row>
    <row r="1024" spans="1:20" x14ac:dyDescent="0.3">
      <c r="A1024" s="18">
        <v>51023</v>
      </c>
      <c r="B1024" s="18">
        <v>0</v>
      </c>
      <c r="C1024" s="18">
        <v>2</v>
      </c>
      <c r="D1024" s="18" t="s">
        <v>36</v>
      </c>
      <c r="E1024" s="18">
        <v>2</v>
      </c>
      <c r="F1024" s="18">
        <v>10</v>
      </c>
      <c r="G1024" s="18" t="s">
        <v>37</v>
      </c>
      <c r="H1024" s="18" t="s">
        <v>33</v>
      </c>
      <c r="I1024" s="18">
        <v>2.2999999999999998</v>
      </c>
      <c r="J1024" s="18">
        <v>4</v>
      </c>
      <c r="K1024" s="18" t="s">
        <v>44</v>
      </c>
      <c r="L1024" s="18">
        <v>4</v>
      </c>
      <c r="M1024" s="18" t="s">
        <v>41</v>
      </c>
      <c r="N1024" s="18">
        <v>1</v>
      </c>
      <c r="O1024" s="18">
        <v>0</v>
      </c>
      <c r="P1024" s="18">
        <v>16.899999999999999</v>
      </c>
      <c r="Q1024" s="18">
        <v>1</v>
      </c>
      <c r="R1024" s="18">
        <v>3</v>
      </c>
      <c r="S1024" s="18">
        <v>3</v>
      </c>
      <c r="T1024" s="18">
        <v>158.9</v>
      </c>
    </row>
    <row r="1025" spans="1:20" x14ac:dyDescent="0.3">
      <c r="A1025" s="18">
        <v>51024</v>
      </c>
      <c r="B1025" s="18">
        <v>1</v>
      </c>
      <c r="C1025" s="18">
        <v>1</v>
      </c>
      <c r="D1025" s="18" t="s">
        <v>36</v>
      </c>
      <c r="E1025" s="18">
        <v>1</v>
      </c>
      <c r="F1025" s="18">
        <v>14</v>
      </c>
      <c r="G1025" s="18" t="s">
        <v>39</v>
      </c>
      <c r="H1025" s="18" t="s">
        <v>33</v>
      </c>
      <c r="I1025" s="18">
        <v>3.3</v>
      </c>
      <c r="J1025" s="18">
        <v>4</v>
      </c>
      <c r="K1025" s="18" t="s">
        <v>40</v>
      </c>
      <c r="L1025" s="18">
        <v>2</v>
      </c>
      <c r="M1025" s="18" t="s">
        <v>41</v>
      </c>
      <c r="N1025" s="18">
        <v>3</v>
      </c>
      <c r="O1025" s="18">
        <v>1</v>
      </c>
      <c r="P1025" s="18"/>
      <c r="Q1025" s="18">
        <v>3</v>
      </c>
      <c r="R1025" s="18">
        <v>5</v>
      </c>
      <c r="S1025" s="18"/>
      <c r="T1025" s="18">
        <v>115.29</v>
      </c>
    </row>
    <row r="1026" spans="1:20" x14ac:dyDescent="0.3">
      <c r="A1026" s="18">
        <v>51025</v>
      </c>
      <c r="B1026" s="18">
        <v>0</v>
      </c>
      <c r="C1026" s="18">
        <v>9</v>
      </c>
      <c r="D1026" s="18" t="s">
        <v>36</v>
      </c>
      <c r="E1026" s="18">
        <v>3</v>
      </c>
      <c r="F1026" s="18">
        <v>32</v>
      </c>
      <c r="G1026" s="18" t="s">
        <v>39</v>
      </c>
      <c r="H1026" s="18" t="s">
        <v>33</v>
      </c>
      <c r="I1026" s="18">
        <v>3.9</v>
      </c>
      <c r="J1026" s="18">
        <v>3</v>
      </c>
      <c r="K1026" s="18" t="s">
        <v>44</v>
      </c>
      <c r="L1026" s="18">
        <v>2</v>
      </c>
      <c r="M1026" s="18" t="s">
        <v>35</v>
      </c>
      <c r="N1026" s="18">
        <v>7</v>
      </c>
      <c r="O1026" s="18">
        <v>0</v>
      </c>
      <c r="P1026" s="18">
        <v>13.6</v>
      </c>
      <c r="Q1026" s="18">
        <v>3</v>
      </c>
      <c r="R1026" s="18">
        <v>3</v>
      </c>
      <c r="S1026" s="18">
        <v>13</v>
      </c>
      <c r="T1026" s="18">
        <v>227.8</v>
      </c>
    </row>
    <row r="1027" spans="1:20" x14ac:dyDescent="0.3">
      <c r="A1027" s="18">
        <v>51026</v>
      </c>
      <c r="B1027" s="18">
        <v>0</v>
      </c>
      <c r="C1027" s="18">
        <v>14</v>
      </c>
      <c r="D1027" s="18" t="s">
        <v>36</v>
      </c>
      <c r="E1027" s="18">
        <v>2</v>
      </c>
      <c r="F1027" s="18">
        <v>5</v>
      </c>
      <c r="G1027" s="18" t="s">
        <v>47</v>
      </c>
      <c r="H1027" s="18" t="s">
        <v>38</v>
      </c>
      <c r="I1027" s="18">
        <v>3.4</v>
      </c>
      <c r="J1027" s="18">
        <v>5</v>
      </c>
      <c r="K1027" s="18" t="s">
        <v>46</v>
      </c>
      <c r="L1027" s="18">
        <v>4</v>
      </c>
      <c r="M1027" s="18" t="s">
        <v>41</v>
      </c>
      <c r="N1027" s="18">
        <v>4</v>
      </c>
      <c r="O1027" s="18">
        <v>0</v>
      </c>
      <c r="P1027" s="18">
        <v>17</v>
      </c>
      <c r="Q1027" s="18">
        <v>0</v>
      </c>
      <c r="R1027" s="18">
        <v>3</v>
      </c>
      <c r="S1027" s="18">
        <v>4</v>
      </c>
      <c r="T1027" s="18">
        <v>212.14</v>
      </c>
    </row>
    <row r="1028" spans="1:20" x14ac:dyDescent="0.3">
      <c r="A1028" s="18">
        <v>51027</v>
      </c>
      <c r="B1028" s="18">
        <v>0</v>
      </c>
      <c r="C1028" s="18">
        <v>10</v>
      </c>
      <c r="D1028" s="18" t="s">
        <v>31</v>
      </c>
      <c r="E1028" s="18">
        <v>3</v>
      </c>
      <c r="F1028" s="18">
        <v>5</v>
      </c>
      <c r="G1028" s="18" t="s">
        <v>32</v>
      </c>
      <c r="H1028" s="18" t="s">
        <v>38</v>
      </c>
      <c r="I1028" s="18">
        <v>3.5</v>
      </c>
      <c r="J1028" s="18">
        <v>1</v>
      </c>
      <c r="K1028" s="18" t="s">
        <v>44</v>
      </c>
      <c r="L1028" s="18">
        <v>5</v>
      </c>
      <c r="M1028" s="18" t="s">
        <v>35</v>
      </c>
      <c r="N1028" s="18">
        <v>1</v>
      </c>
      <c r="O1028" s="18">
        <v>0</v>
      </c>
      <c r="P1028" s="18">
        <v>20</v>
      </c>
      <c r="Q1028" s="18">
        <v>2</v>
      </c>
      <c r="R1028" s="18">
        <v>4</v>
      </c>
      <c r="S1028" s="18">
        <v>5</v>
      </c>
      <c r="T1028" s="18">
        <v>106.6</v>
      </c>
    </row>
    <row r="1029" spans="1:20" x14ac:dyDescent="0.3">
      <c r="A1029" s="18">
        <v>51028</v>
      </c>
      <c r="B1029" s="18">
        <v>0</v>
      </c>
      <c r="C1029" s="18">
        <v>7</v>
      </c>
      <c r="D1029" s="18" t="s">
        <v>36</v>
      </c>
      <c r="E1029" s="18">
        <v>3</v>
      </c>
      <c r="F1029" s="18">
        <v>21</v>
      </c>
      <c r="G1029" s="18" t="s">
        <v>39</v>
      </c>
      <c r="H1029" s="18" t="s">
        <v>33</v>
      </c>
      <c r="I1029" s="18">
        <v>2.5</v>
      </c>
      <c r="J1029" s="18">
        <v>3</v>
      </c>
      <c r="K1029" s="18" t="s">
        <v>40</v>
      </c>
      <c r="L1029" s="18">
        <v>3</v>
      </c>
      <c r="M1029" s="18" t="s">
        <v>45</v>
      </c>
      <c r="N1029" s="18">
        <v>1</v>
      </c>
      <c r="O1029" s="18">
        <v>0</v>
      </c>
      <c r="P1029" s="18">
        <v>17.600000000000001</v>
      </c>
      <c r="Q1029" s="18">
        <v>1</v>
      </c>
      <c r="R1029" s="18">
        <v>4</v>
      </c>
      <c r="S1029" s="18">
        <v>1</v>
      </c>
      <c r="T1029" s="18">
        <v>174.87</v>
      </c>
    </row>
    <row r="1030" spans="1:20" x14ac:dyDescent="0.3">
      <c r="A1030" s="18">
        <v>51029</v>
      </c>
      <c r="B1030" s="18">
        <v>0</v>
      </c>
      <c r="C1030" s="18">
        <v>0</v>
      </c>
      <c r="D1030" s="18" t="s">
        <v>42</v>
      </c>
      <c r="E1030" s="18">
        <v>3</v>
      </c>
      <c r="F1030" s="18">
        <v>9</v>
      </c>
      <c r="G1030" s="18" t="s">
        <v>39</v>
      </c>
      <c r="H1030" s="18" t="s">
        <v>38</v>
      </c>
      <c r="I1030" s="18">
        <v>1.8</v>
      </c>
      <c r="J1030" s="18">
        <v>2</v>
      </c>
      <c r="K1030" s="18" t="s">
        <v>44</v>
      </c>
      <c r="L1030" s="18">
        <v>4</v>
      </c>
      <c r="M1030" s="18" t="s">
        <v>35</v>
      </c>
      <c r="N1030" s="18">
        <v>4</v>
      </c>
      <c r="O1030" s="18">
        <v>1</v>
      </c>
      <c r="P1030" s="18">
        <v>14.9</v>
      </c>
      <c r="Q1030" s="18">
        <v>1</v>
      </c>
      <c r="R1030" s="18">
        <v>3</v>
      </c>
      <c r="S1030" s="18">
        <v>5</v>
      </c>
      <c r="T1030" s="18">
        <v>148.84</v>
      </c>
    </row>
    <row r="1031" spans="1:20" x14ac:dyDescent="0.3">
      <c r="A1031" s="18">
        <v>51030</v>
      </c>
      <c r="B1031" s="18">
        <v>0</v>
      </c>
      <c r="C1031" s="18">
        <v>34</v>
      </c>
      <c r="D1031" s="18" t="s">
        <v>36</v>
      </c>
      <c r="E1031" s="18">
        <v>2</v>
      </c>
      <c r="F1031" s="18">
        <v>12</v>
      </c>
      <c r="G1031" s="18" t="s">
        <v>32</v>
      </c>
      <c r="H1031" s="18" t="s">
        <v>38</v>
      </c>
      <c r="I1031" s="18">
        <v>3.9</v>
      </c>
      <c r="J1031" s="18">
        <v>4</v>
      </c>
      <c r="K1031" s="18" t="s">
        <v>46</v>
      </c>
      <c r="L1031" s="18">
        <v>4</v>
      </c>
      <c r="M1031" s="18" t="s">
        <v>45</v>
      </c>
      <c r="N1031" s="18">
        <v>4</v>
      </c>
      <c r="O1031" s="18">
        <v>1</v>
      </c>
      <c r="P1031" s="18">
        <v>17.8</v>
      </c>
      <c r="Q1031" s="18">
        <v>0</v>
      </c>
      <c r="R1031" s="18">
        <v>3</v>
      </c>
      <c r="S1031" s="18">
        <v>2</v>
      </c>
      <c r="T1031" s="18">
        <v>91.91</v>
      </c>
    </row>
    <row r="1032" spans="1:20" x14ac:dyDescent="0.3">
      <c r="A1032" s="18">
        <v>51031</v>
      </c>
      <c r="B1032" s="18">
        <v>0</v>
      </c>
      <c r="C1032" s="18">
        <v>16</v>
      </c>
      <c r="D1032" s="18" t="s">
        <v>31</v>
      </c>
      <c r="E1032" s="18">
        <v>1</v>
      </c>
      <c r="F1032" s="18">
        <v>8</v>
      </c>
      <c r="G1032" s="18" t="s">
        <v>39</v>
      </c>
      <c r="H1032" s="18" t="s">
        <v>33</v>
      </c>
      <c r="I1032" s="18">
        <v>4.3</v>
      </c>
      <c r="J1032" s="18">
        <v>2</v>
      </c>
      <c r="K1032" s="18" t="s">
        <v>44</v>
      </c>
      <c r="L1032" s="18">
        <v>3</v>
      </c>
      <c r="M1032" s="18" t="s">
        <v>35</v>
      </c>
      <c r="N1032" s="18">
        <v>3</v>
      </c>
      <c r="O1032" s="18">
        <v>0</v>
      </c>
      <c r="P1032" s="18">
        <v>14.7</v>
      </c>
      <c r="Q1032" s="18">
        <v>2</v>
      </c>
      <c r="R1032" s="18">
        <v>3</v>
      </c>
      <c r="S1032" s="18">
        <v>9</v>
      </c>
      <c r="T1032" s="18">
        <v>102.18</v>
      </c>
    </row>
    <row r="1033" spans="1:20" x14ac:dyDescent="0.3">
      <c r="A1033" s="18">
        <v>51032</v>
      </c>
      <c r="B1033" s="18">
        <v>0</v>
      </c>
      <c r="C1033" s="18">
        <v>3</v>
      </c>
      <c r="D1033" s="18" t="s">
        <v>36</v>
      </c>
      <c r="E1033" s="18">
        <v>2</v>
      </c>
      <c r="F1033" s="18">
        <v>12</v>
      </c>
      <c r="G1033" s="18" t="s">
        <v>37</v>
      </c>
      <c r="H1033" s="18" t="s">
        <v>38</v>
      </c>
      <c r="I1033" s="18">
        <v>4</v>
      </c>
      <c r="J1033" s="18">
        <v>4</v>
      </c>
      <c r="K1033" s="18" t="s">
        <v>40</v>
      </c>
      <c r="L1033" s="18">
        <v>4</v>
      </c>
      <c r="M1033" s="18" t="s">
        <v>35</v>
      </c>
      <c r="N1033" s="18">
        <v>1</v>
      </c>
      <c r="O1033" s="18">
        <v>0</v>
      </c>
      <c r="P1033" s="18">
        <v>17.399999999999999</v>
      </c>
      <c r="Q1033" s="18">
        <v>1</v>
      </c>
      <c r="R1033" s="18">
        <v>2</v>
      </c>
      <c r="S1033" s="18">
        <v>2</v>
      </c>
      <c r="T1033" s="18">
        <v>110.37</v>
      </c>
    </row>
    <row r="1034" spans="1:20" x14ac:dyDescent="0.3">
      <c r="A1034" s="18">
        <v>51033</v>
      </c>
      <c r="B1034" s="18">
        <v>0</v>
      </c>
      <c r="C1034" s="18">
        <v>39</v>
      </c>
      <c r="D1034" s="18" t="s">
        <v>36</v>
      </c>
      <c r="E1034" s="18">
        <v>2</v>
      </c>
      <c r="F1034" s="18">
        <v>27</v>
      </c>
      <c r="G1034" s="18" t="s">
        <v>37</v>
      </c>
      <c r="H1034" s="18" t="s">
        <v>38</v>
      </c>
      <c r="I1034" s="18">
        <v>2.7</v>
      </c>
      <c r="J1034" s="18">
        <v>3</v>
      </c>
      <c r="K1034" s="18" t="s">
        <v>36</v>
      </c>
      <c r="L1034" s="18">
        <v>2</v>
      </c>
      <c r="M1034" s="18" t="s">
        <v>35</v>
      </c>
      <c r="N1034" s="18">
        <v>9</v>
      </c>
      <c r="O1034" s="18">
        <v>0</v>
      </c>
      <c r="P1034" s="18">
        <v>20.9</v>
      </c>
      <c r="Q1034" s="18">
        <v>3</v>
      </c>
      <c r="R1034" s="18">
        <v>3</v>
      </c>
      <c r="S1034" s="18">
        <v>3</v>
      </c>
      <c r="T1034" s="18">
        <v>176.79</v>
      </c>
    </row>
    <row r="1035" spans="1:20" x14ac:dyDescent="0.3">
      <c r="A1035" s="18">
        <v>51034</v>
      </c>
      <c r="B1035" s="18">
        <v>0</v>
      </c>
      <c r="C1035" s="18">
        <v>9</v>
      </c>
      <c r="D1035" s="18" t="s">
        <v>36</v>
      </c>
      <c r="E1035" s="18">
        <v>3</v>
      </c>
      <c r="F1035" s="18">
        <v>21</v>
      </c>
      <c r="G1035" s="18" t="s">
        <v>39</v>
      </c>
      <c r="H1035" s="18" t="s">
        <v>33</v>
      </c>
      <c r="I1035" s="18">
        <v>2.1</v>
      </c>
      <c r="J1035" s="18">
        <v>3</v>
      </c>
      <c r="K1035" s="18" t="s">
        <v>36</v>
      </c>
      <c r="L1035" s="18">
        <v>5</v>
      </c>
      <c r="M1035" s="18" t="s">
        <v>35</v>
      </c>
      <c r="N1035" s="18">
        <v>2</v>
      </c>
      <c r="O1035" s="18">
        <v>0</v>
      </c>
      <c r="P1035" s="18">
        <v>11</v>
      </c>
      <c r="Q1035" s="18">
        <v>3</v>
      </c>
      <c r="R1035" s="18">
        <v>4</v>
      </c>
      <c r="S1035" s="18">
        <v>2</v>
      </c>
      <c r="T1035" s="18">
        <v>154.81</v>
      </c>
    </row>
    <row r="1036" spans="1:20" x14ac:dyDescent="0.3">
      <c r="A1036" s="18">
        <v>51035</v>
      </c>
      <c r="B1036" s="18">
        <v>0</v>
      </c>
      <c r="C1036" s="18">
        <v>8</v>
      </c>
      <c r="D1036" s="18" t="s">
        <v>42</v>
      </c>
      <c r="E1036" s="18">
        <v>1</v>
      </c>
      <c r="F1036" s="18">
        <v>21</v>
      </c>
      <c r="G1036" s="18" t="s">
        <v>37</v>
      </c>
      <c r="H1036" s="18" t="s">
        <v>33</v>
      </c>
      <c r="I1036" s="18">
        <v>2.2000000000000002</v>
      </c>
      <c r="J1036" s="18">
        <v>4</v>
      </c>
      <c r="K1036" s="18" t="s">
        <v>40</v>
      </c>
      <c r="L1036" s="18">
        <v>4</v>
      </c>
      <c r="M1036" s="18" t="s">
        <v>35</v>
      </c>
      <c r="N1036" s="18">
        <v>5</v>
      </c>
      <c r="O1036" s="18">
        <v>0</v>
      </c>
      <c r="P1036" s="18">
        <v>18.8</v>
      </c>
      <c r="Q1036" s="18">
        <v>1</v>
      </c>
      <c r="R1036" s="18">
        <v>2</v>
      </c>
      <c r="S1036" s="18"/>
      <c r="T1036" s="18">
        <v>127.24</v>
      </c>
    </row>
    <row r="1037" spans="1:20" x14ac:dyDescent="0.3">
      <c r="A1037" s="18">
        <v>51036</v>
      </c>
      <c r="B1037" s="18">
        <v>0</v>
      </c>
      <c r="C1037" s="18">
        <v>13</v>
      </c>
      <c r="D1037" s="18" t="s">
        <v>42</v>
      </c>
      <c r="E1037" s="18">
        <v>1</v>
      </c>
      <c r="F1037" s="18">
        <v>5</v>
      </c>
      <c r="G1037" s="18" t="s">
        <v>37</v>
      </c>
      <c r="H1037" s="18" t="s">
        <v>33</v>
      </c>
      <c r="I1037" s="18">
        <v>1.7</v>
      </c>
      <c r="J1037" s="18">
        <v>3</v>
      </c>
      <c r="K1037" s="18" t="s">
        <v>34</v>
      </c>
      <c r="L1037" s="18">
        <v>4</v>
      </c>
      <c r="M1037" s="18" t="s">
        <v>35</v>
      </c>
      <c r="N1037" s="18">
        <v>1</v>
      </c>
      <c r="O1037" s="18">
        <v>1</v>
      </c>
      <c r="P1037" s="18">
        <v>11</v>
      </c>
      <c r="Q1037" s="18">
        <v>1</v>
      </c>
      <c r="R1037" s="18">
        <v>4</v>
      </c>
      <c r="S1037" s="18">
        <v>15</v>
      </c>
      <c r="T1037" s="18">
        <v>158.44999999999999</v>
      </c>
    </row>
    <row r="1038" spans="1:20" x14ac:dyDescent="0.3">
      <c r="A1038" s="18">
        <v>51037</v>
      </c>
      <c r="B1038" s="18">
        <v>0</v>
      </c>
      <c r="C1038" s="18">
        <v>16</v>
      </c>
      <c r="D1038" s="18" t="s">
        <v>36</v>
      </c>
      <c r="E1038" s="18">
        <v>3</v>
      </c>
      <c r="F1038" s="18">
        <v>5</v>
      </c>
      <c r="G1038" s="18" t="s">
        <v>39</v>
      </c>
      <c r="H1038" s="18" t="s">
        <v>33</v>
      </c>
      <c r="I1038" s="18">
        <v>2.8</v>
      </c>
      <c r="J1038" s="18">
        <v>2</v>
      </c>
      <c r="K1038" s="18" t="s">
        <v>44</v>
      </c>
      <c r="L1038" s="18">
        <v>3</v>
      </c>
      <c r="M1038" s="18" t="s">
        <v>35</v>
      </c>
      <c r="N1038" s="18">
        <v>1</v>
      </c>
      <c r="O1038" s="18">
        <v>0</v>
      </c>
      <c r="P1038" s="18">
        <v>20.3</v>
      </c>
      <c r="Q1038" s="18">
        <v>2</v>
      </c>
      <c r="R1038" s="18">
        <v>2</v>
      </c>
      <c r="S1038" s="18">
        <v>1</v>
      </c>
      <c r="T1038" s="18">
        <v>221.11</v>
      </c>
    </row>
    <row r="1039" spans="1:20" x14ac:dyDescent="0.3">
      <c r="A1039" s="18">
        <v>51038</v>
      </c>
      <c r="B1039" s="18">
        <v>0</v>
      </c>
      <c r="C1039" s="18">
        <v>10</v>
      </c>
      <c r="D1039" s="18" t="s">
        <v>36</v>
      </c>
      <c r="E1039" s="18">
        <v>3</v>
      </c>
      <c r="F1039" s="18">
        <v>5</v>
      </c>
      <c r="G1039" s="18" t="s">
        <v>37</v>
      </c>
      <c r="H1039" s="18" t="s">
        <v>38</v>
      </c>
      <c r="I1039" s="18">
        <v>4</v>
      </c>
      <c r="J1039" s="18">
        <v>6</v>
      </c>
      <c r="K1039" s="18" t="s">
        <v>34</v>
      </c>
      <c r="L1039" s="18">
        <v>2</v>
      </c>
      <c r="M1039" s="18" t="s">
        <v>41</v>
      </c>
      <c r="N1039" s="18">
        <v>7</v>
      </c>
      <c r="O1039" s="18">
        <v>0</v>
      </c>
      <c r="P1039" s="18">
        <v>13.8</v>
      </c>
      <c r="Q1039" s="18">
        <v>2</v>
      </c>
      <c r="R1039" s="18">
        <v>2</v>
      </c>
      <c r="S1039" s="18">
        <v>3</v>
      </c>
      <c r="T1039" s="18">
        <v>199.62</v>
      </c>
    </row>
    <row r="1040" spans="1:20" x14ac:dyDescent="0.3">
      <c r="A1040" s="18">
        <v>51039</v>
      </c>
      <c r="B1040" s="18">
        <v>0</v>
      </c>
      <c r="C1040" s="18">
        <v>1</v>
      </c>
      <c r="D1040" s="18" t="s">
        <v>42</v>
      </c>
      <c r="E1040" s="18">
        <v>3</v>
      </c>
      <c r="F1040" s="18">
        <v>8</v>
      </c>
      <c r="G1040" s="18" t="s">
        <v>32</v>
      </c>
      <c r="H1040" s="18" t="s">
        <v>33</v>
      </c>
      <c r="I1040" s="18">
        <v>2.8</v>
      </c>
      <c r="J1040" s="18">
        <v>3</v>
      </c>
      <c r="K1040" s="18" t="s">
        <v>40</v>
      </c>
      <c r="L1040" s="18">
        <v>3</v>
      </c>
      <c r="M1040" s="18" t="s">
        <v>35</v>
      </c>
      <c r="N1040" s="18">
        <v>1</v>
      </c>
      <c r="O1040" s="18">
        <v>0</v>
      </c>
      <c r="P1040" s="18">
        <v>11.7</v>
      </c>
      <c r="Q1040" s="18">
        <v>1</v>
      </c>
      <c r="R1040" s="18">
        <v>4</v>
      </c>
      <c r="S1040" s="18">
        <v>6</v>
      </c>
      <c r="T1040" s="18">
        <v>235.1</v>
      </c>
    </row>
    <row r="1041" spans="1:20" x14ac:dyDescent="0.3">
      <c r="A1041" s="18">
        <v>51040</v>
      </c>
      <c r="B1041" s="18">
        <v>0</v>
      </c>
      <c r="C1041" s="18">
        <v>4</v>
      </c>
      <c r="D1041" s="18" t="s">
        <v>36</v>
      </c>
      <c r="E1041" s="18">
        <v>3</v>
      </c>
      <c r="F1041" s="18">
        <v>22</v>
      </c>
      <c r="G1041" s="18" t="s">
        <v>37</v>
      </c>
      <c r="H1041" s="18" t="s">
        <v>38</v>
      </c>
      <c r="I1041" s="18">
        <v>3.1</v>
      </c>
      <c r="J1041" s="18">
        <v>1</v>
      </c>
      <c r="K1041" s="18" t="s">
        <v>46</v>
      </c>
      <c r="L1041" s="18">
        <v>4</v>
      </c>
      <c r="M1041" s="18" t="s">
        <v>45</v>
      </c>
      <c r="N1041" s="18">
        <v>2</v>
      </c>
      <c r="O1041" s="18">
        <v>0</v>
      </c>
      <c r="P1041" s="18">
        <v>18.399999999999999</v>
      </c>
      <c r="Q1041" s="18">
        <v>1</v>
      </c>
      <c r="R1041" s="18">
        <v>5</v>
      </c>
      <c r="S1041" s="18">
        <v>11</v>
      </c>
      <c r="T1041" s="18">
        <v>167.44</v>
      </c>
    </row>
    <row r="1042" spans="1:20" x14ac:dyDescent="0.3">
      <c r="A1042" s="18">
        <v>51041</v>
      </c>
      <c r="B1042" s="18">
        <v>0</v>
      </c>
      <c r="C1042" s="18">
        <v>26</v>
      </c>
      <c r="D1042" s="18" t="s">
        <v>36</v>
      </c>
      <c r="E1042" s="18">
        <v>2</v>
      </c>
      <c r="F1042" s="18">
        <v>19</v>
      </c>
      <c r="G1042" s="18" t="s">
        <v>39</v>
      </c>
      <c r="H1042" s="18" t="s">
        <v>38</v>
      </c>
      <c r="I1042" s="18">
        <v>3.9</v>
      </c>
      <c r="J1042" s="18">
        <v>2</v>
      </c>
      <c r="K1042" s="18" t="s">
        <v>36</v>
      </c>
      <c r="L1042" s="18">
        <v>4</v>
      </c>
      <c r="M1042" s="18" t="s">
        <v>35</v>
      </c>
      <c r="N1042" s="18">
        <v>2</v>
      </c>
      <c r="O1042" s="18">
        <v>0</v>
      </c>
      <c r="P1042" s="18">
        <v>17.3</v>
      </c>
      <c r="Q1042" s="18">
        <v>0</v>
      </c>
      <c r="R1042" s="18">
        <v>8</v>
      </c>
      <c r="S1042" s="18">
        <v>3</v>
      </c>
      <c r="T1042" s="18">
        <v>268.14</v>
      </c>
    </row>
    <row r="1043" spans="1:20" x14ac:dyDescent="0.3">
      <c r="A1043" s="18">
        <v>51042</v>
      </c>
      <c r="B1043" s="18">
        <v>1</v>
      </c>
      <c r="C1043" s="18">
        <v>2</v>
      </c>
      <c r="D1043" s="18" t="s">
        <v>31</v>
      </c>
      <c r="E1043" s="18">
        <v>2</v>
      </c>
      <c r="F1043" s="18">
        <v>13</v>
      </c>
      <c r="G1043" s="18" t="s">
        <v>37</v>
      </c>
      <c r="H1043" s="18" t="s">
        <v>38</v>
      </c>
      <c r="I1043" s="18">
        <v>2.6</v>
      </c>
      <c r="J1043" s="18">
        <v>2</v>
      </c>
      <c r="K1043" s="18" t="s">
        <v>36</v>
      </c>
      <c r="L1043" s="18">
        <v>3</v>
      </c>
      <c r="M1043" s="18" t="s">
        <v>35</v>
      </c>
      <c r="N1043" s="18">
        <v>4</v>
      </c>
      <c r="O1043" s="18">
        <v>0</v>
      </c>
      <c r="P1043" s="18">
        <v>12.5</v>
      </c>
      <c r="Q1043" s="18">
        <v>3</v>
      </c>
      <c r="R1043" s="18">
        <v>3</v>
      </c>
      <c r="S1043" s="18">
        <v>0</v>
      </c>
      <c r="T1043" s="18">
        <v>199.14</v>
      </c>
    </row>
    <row r="1044" spans="1:20" x14ac:dyDescent="0.3">
      <c r="A1044" s="18">
        <v>51043</v>
      </c>
      <c r="B1044" s="18">
        <v>0</v>
      </c>
      <c r="C1044" s="18">
        <v>4</v>
      </c>
      <c r="D1044" s="18" t="s">
        <v>42</v>
      </c>
      <c r="E1044" s="18">
        <v>3</v>
      </c>
      <c r="F1044" s="18">
        <v>14</v>
      </c>
      <c r="G1044" s="18" t="s">
        <v>47</v>
      </c>
      <c r="H1044" s="18" t="s">
        <v>38</v>
      </c>
      <c r="I1044" s="18">
        <v>4.3</v>
      </c>
      <c r="J1044" s="18">
        <v>4</v>
      </c>
      <c r="K1044" s="18" t="s">
        <v>46</v>
      </c>
      <c r="L1044" s="18">
        <v>4</v>
      </c>
      <c r="M1044" s="18" t="s">
        <v>35</v>
      </c>
      <c r="N1044" s="18">
        <v>1</v>
      </c>
      <c r="O1044" s="18">
        <v>1</v>
      </c>
      <c r="P1044" s="18">
        <v>11.6</v>
      </c>
      <c r="Q1044" s="18">
        <v>5</v>
      </c>
      <c r="R1044" s="18">
        <v>4</v>
      </c>
      <c r="S1044" s="18">
        <v>2</v>
      </c>
      <c r="T1044" s="18">
        <v>153.11000000000001</v>
      </c>
    </row>
    <row r="1045" spans="1:20" x14ac:dyDescent="0.3">
      <c r="A1045" s="18">
        <v>51044</v>
      </c>
      <c r="B1045" s="18">
        <v>0</v>
      </c>
      <c r="C1045" s="18">
        <v>5</v>
      </c>
      <c r="D1045" s="18" t="s">
        <v>36</v>
      </c>
      <c r="E1045" s="18">
        <v>2</v>
      </c>
      <c r="F1045" s="18">
        <v>9</v>
      </c>
      <c r="G1045" s="18" t="s">
        <v>32</v>
      </c>
      <c r="H1045" s="18" t="s">
        <v>33</v>
      </c>
      <c r="I1045" s="18">
        <v>4.3</v>
      </c>
      <c r="J1045" s="18">
        <v>4</v>
      </c>
      <c r="K1045" s="18" t="s">
        <v>36</v>
      </c>
      <c r="L1045" s="18">
        <v>4</v>
      </c>
      <c r="M1045" s="18" t="s">
        <v>35</v>
      </c>
      <c r="N1045" s="18">
        <v>1</v>
      </c>
      <c r="O1045" s="18">
        <v>0</v>
      </c>
      <c r="P1045" s="18">
        <v>15.3</v>
      </c>
      <c r="Q1045" s="18">
        <v>1</v>
      </c>
      <c r="R1045" s="18">
        <v>3</v>
      </c>
      <c r="S1045" s="18">
        <v>3</v>
      </c>
      <c r="T1045" s="18">
        <v>185.11</v>
      </c>
    </row>
    <row r="1046" spans="1:20" x14ac:dyDescent="0.3">
      <c r="A1046" s="18">
        <v>51045</v>
      </c>
      <c r="B1046" s="18">
        <v>0</v>
      </c>
      <c r="C1046" s="18">
        <v>5</v>
      </c>
      <c r="D1046" s="18" t="s">
        <v>36</v>
      </c>
      <c r="E1046" s="18">
        <v>2</v>
      </c>
      <c r="F1046" s="18">
        <v>16</v>
      </c>
      <c r="G1046" s="18" t="s">
        <v>47</v>
      </c>
      <c r="H1046" s="18" t="s">
        <v>33</v>
      </c>
      <c r="I1046" s="18">
        <v>2.8</v>
      </c>
      <c r="J1046" s="18">
        <v>4</v>
      </c>
      <c r="K1046" s="18" t="s">
        <v>36</v>
      </c>
      <c r="L1046" s="18">
        <v>1</v>
      </c>
      <c r="M1046" s="18" t="s">
        <v>35</v>
      </c>
      <c r="N1046" s="18">
        <v>9</v>
      </c>
      <c r="O1046" s="18">
        <v>0</v>
      </c>
      <c r="P1046" s="18">
        <v>11.8</v>
      </c>
      <c r="Q1046" s="18">
        <v>3</v>
      </c>
      <c r="R1046" s="18">
        <v>5</v>
      </c>
      <c r="S1046" s="18">
        <v>2</v>
      </c>
      <c r="T1046" s="18">
        <v>111.36</v>
      </c>
    </row>
    <row r="1047" spans="1:20" x14ac:dyDescent="0.3">
      <c r="A1047" s="18">
        <v>51046</v>
      </c>
      <c r="B1047" s="18">
        <v>1</v>
      </c>
      <c r="C1047" s="18">
        <v>9</v>
      </c>
      <c r="D1047" s="18" t="s">
        <v>42</v>
      </c>
      <c r="E1047" s="18">
        <v>1</v>
      </c>
      <c r="F1047" s="18">
        <v>21</v>
      </c>
      <c r="G1047" s="18" t="s">
        <v>39</v>
      </c>
      <c r="H1047" s="18" t="s">
        <v>38</v>
      </c>
      <c r="I1047" s="18">
        <v>2.5</v>
      </c>
      <c r="J1047" s="18">
        <v>3</v>
      </c>
      <c r="K1047" s="18" t="s">
        <v>44</v>
      </c>
      <c r="L1047" s="18">
        <v>3</v>
      </c>
      <c r="M1047" s="18" t="s">
        <v>45</v>
      </c>
      <c r="N1047" s="18">
        <v>2</v>
      </c>
      <c r="O1047" s="18">
        <v>0</v>
      </c>
      <c r="P1047" s="18">
        <v>12.3</v>
      </c>
      <c r="Q1047" s="18">
        <v>2</v>
      </c>
      <c r="R1047" s="18">
        <v>2</v>
      </c>
      <c r="S1047" s="18">
        <v>1</v>
      </c>
      <c r="T1047" s="18">
        <v>163.16</v>
      </c>
    </row>
    <row r="1048" spans="1:20" x14ac:dyDescent="0.3">
      <c r="A1048" s="18">
        <v>51047</v>
      </c>
      <c r="B1048" s="18">
        <v>1</v>
      </c>
      <c r="C1048" s="18">
        <v>28</v>
      </c>
      <c r="D1048" s="18" t="s">
        <v>36</v>
      </c>
      <c r="E1048" s="18">
        <v>1</v>
      </c>
      <c r="F1048" s="18">
        <v>5</v>
      </c>
      <c r="G1048" s="18" t="s">
        <v>47</v>
      </c>
      <c r="H1048" s="18" t="s">
        <v>33</v>
      </c>
      <c r="I1048" s="18">
        <v>3.4</v>
      </c>
      <c r="J1048" s="18">
        <v>3</v>
      </c>
      <c r="K1048" s="18" t="s">
        <v>44</v>
      </c>
      <c r="L1048" s="18">
        <v>4</v>
      </c>
      <c r="M1048" s="18" t="s">
        <v>35</v>
      </c>
      <c r="N1048" s="18">
        <v>1</v>
      </c>
      <c r="O1048" s="18">
        <v>1</v>
      </c>
      <c r="P1048" s="18">
        <v>16.399999999999999</v>
      </c>
      <c r="Q1048" s="18">
        <v>2</v>
      </c>
      <c r="R1048" s="18">
        <v>4</v>
      </c>
      <c r="S1048" s="18">
        <v>0</v>
      </c>
      <c r="T1048" s="18">
        <v>203.65</v>
      </c>
    </row>
    <row r="1049" spans="1:20" x14ac:dyDescent="0.3">
      <c r="A1049" s="18">
        <v>51048</v>
      </c>
      <c r="B1049" s="18">
        <v>0</v>
      </c>
      <c r="C1049" s="18">
        <v>2</v>
      </c>
      <c r="D1049" s="18" t="s">
        <v>36</v>
      </c>
      <c r="E1049" s="18">
        <v>3</v>
      </c>
      <c r="F1049" s="18">
        <v>17</v>
      </c>
      <c r="G1049" s="18" t="s">
        <v>47</v>
      </c>
      <c r="H1049" s="18" t="s">
        <v>33</v>
      </c>
      <c r="I1049" s="18">
        <v>2.7</v>
      </c>
      <c r="J1049" s="18">
        <v>3</v>
      </c>
      <c r="K1049" s="18" t="s">
        <v>40</v>
      </c>
      <c r="L1049" s="18">
        <v>3</v>
      </c>
      <c r="M1049" s="18" t="s">
        <v>41</v>
      </c>
      <c r="N1049" s="18">
        <v>1</v>
      </c>
      <c r="O1049" s="18">
        <v>1</v>
      </c>
      <c r="P1049" s="18">
        <v>12.6</v>
      </c>
      <c r="Q1049" s="18">
        <v>0</v>
      </c>
      <c r="R1049" s="18">
        <v>7</v>
      </c>
      <c r="S1049" s="18"/>
      <c r="T1049" s="18">
        <v>213.64</v>
      </c>
    </row>
    <row r="1050" spans="1:20" x14ac:dyDescent="0.3">
      <c r="A1050" s="18">
        <v>51049</v>
      </c>
      <c r="B1050" s="18">
        <v>1</v>
      </c>
      <c r="C1050" s="18">
        <v>1</v>
      </c>
      <c r="D1050" s="18" t="s">
        <v>31</v>
      </c>
      <c r="E1050" s="18">
        <v>1</v>
      </c>
      <c r="F1050" s="18">
        <v>22</v>
      </c>
      <c r="G1050" s="18" t="s">
        <v>39</v>
      </c>
      <c r="H1050" s="18" t="s">
        <v>38</v>
      </c>
      <c r="I1050" s="18">
        <v>2.1</v>
      </c>
      <c r="J1050" s="18">
        <v>3</v>
      </c>
      <c r="K1050" s="18" t="s">
        <v>40</v>
      </c>
      <c r="L1050" s="18">
        <v>4</v>
      </c>
      <c r="M1050" s="18" t="s">
        <v>35</v>
      </c>
      <c r="N1050" s="18">
        <v>22</v>
      </c>
      <c r="O1050" s="18">
        <v>1</v>
      </c>
      <c r="P1050" s="18">
        <v>17.5</v>
      </c>
      <c r="Q1050" s="18">
        <v>0</v>
      </c>
      <c r="R1050" s="18">
        <v>2</v>
      </c>
      <c r="S1050" s="18">
        <v>24</v>
      </c>
      <c r="T1050" s="18">
        <v>157.44</v>
      </c>
    </row>
    <row r="1051" spans="1:20" x14ac:dyDescent="0.3">
      <c r="A1051" s="18">
        <v>51050</v>
      </c>
      <c r="B1051" s="18">
        <v>0</v>
      </c>
      <c r="C1051" s="18">
        <v>2</v>
      </c>
      <c r="D1051" s="18" t="s">
        <v>42</v>
      </c>
      <c r="E1051" s="18">
        <v>1</v>
      </c>
      <c r="F1051" s="18">
        <v>11</v>
      </c>
      <c r="G1051" s="18" t="s">
        <v>37</v>
      </c>
      <c r="H1051" s="18" t="s">
        <v>38</v>
      </c>
      <c r="I1051" s="18">
        <v>3.8</v>
      </c>
      <c r="J1051" s="18">
        <v>4</v>
      </c>
      <c r="K1051" s="18" t="s">
        <v>36</v>
      </c>
      <c r="L1051" s="18">
        <v>3</v>
      </c>
      <c r="M1051" s="18" t="s">
        <v>35</v>
      </c>
      <c r="N1051" s="18">
        <v>1</v>
      </c>
      <c r="O1051" s="18">
        <v>1</v>
      </c>
      <c r="P1051" s="18">
        <v>21.2</v>
      </c>
      <c r="Q1051" s="18">
        <v>1</v>
      </c>
      <c r="R1051" s="18">
        <v>5</v>
      </c>
      <c r="S1051" s="18">
        <v>12</v>
      </c>
      <c r="T1051" s="18">
        <v>325</v>
      </c>
    </row>
    <row r="1052" spans="1:20" x14ac:dyDescent="0.3">
      <c r="A1052" s="18">
        <v>51051</v>
      </c>
      <c r="B1052" s="18">
        <v>0</v>
      </c>
      <c r="C1052" s="18">
        <v>21</v>
      </c>
      <c r="D1052" s="18" t="s">
        <v>36</v>
      </c>
      <c r="E1052" s="18">
        <v>1</v>
      </c>
      <c r="F1052" s="18">
        <v>20</v>
      </c>
      <c r="G1052" s="18" t="s">
        <v>39</v>
      </c>
      <c r="H1052" s="18" t="s">
        <v>33</v>
      </c>
      <c r="I1052" s="18">
        <v>3.8</v>
      </c>
      <c r="J1052" s="18">
        <v>4</v>
      </c>
      <c r="K1052" s="18" t="s">
        <v>44</v>
      </c>
      <c r="L1052" s="18">
        <v>5</v>
      </c>
      <c r="M1052" s="18" t="s">
        <v>35</v>
      </c>
      <c r="N1052" s="18">
        <v>3</v>
      </c>
      <c r="O1052" s="18">
        <v>0</v>
      </c>
      <c r="P1052" s="18">
        <v>15.5</v>
      </c>
      <c r="Q1052" s="18">
        <v>2</v>
      </c>
      <c r="R1052" s="18">
        <v>4</v>
      </c>
      <c r="S1052" s="18">
        <v>5</v>
      </c>
      <c r="T1052" s="18">
        <v>170.53</v>
      </c>
    </row>
    <row r="1053" spans="1:20" x14ac:dyDescent="0.3">
      <c r="A1053" s="18">
        <v>51052</v>
      </c>
      <c r="B1053" s="18">
        <v>0</v>
      </c>
      <c r="C1053" s="18">
        <v>10</v>
      </c>
      <c r="D1053" s="18" t="s">
        <v>42</v>
      </c>
      <c r="E1053" s="18">
        <v>1</v>
      </c>
      <c r="F1053" s="18">
        <v>37</v>
      </c>
      <c r="G1053" s="18" t="s">
        <v>47</v>
      </c>
      <c r="H1053" s="18" t="s">
        <v>38</v>
      </c>
      <c r="I1053" s="18">
        <v>3</v>
      </c>
      <c r="J1053" s="18">
        <v>4</v>
      </c>
      <c r="K1053" s="18" t="s">
        <v>36</v>
      </c>
      <c r="L1053" s="18">
        <v>1</v>
      </c>
      <c r="M1053" s="18" t="s">
        <v>41</v>
      </c>
      <c r="N1053" s="18">
        <v>1</v>
      </c>
      <c r="O1053" s="18">
        <v>1</v>
      </c>
      <c r="P1053" s="18">
        <v>16.5</v>
      </c>
      <c r="Q1053" s="18">
        <v>1</v>
      </c>
      <c r="R1053" s="18">
        <v>4</v>
      </c>
      <c r="S1053" s="18">
        <v>9</v>
      </c>
      <c r="T1053" s="18">
        <v>87.69</v>
      </c>
    </row>
    <row r="1054" spans="1:20" x14ac:dyDescent="0.3">
      <c r="A1054" s="18">
        <v>51053</v>
      </c>
      <c r="B1054" s="18">
        <v>1</v>
      </c>
      <c r="C1054" s="18">
        <v>3</v>
      </c>
      <c r="D1054" s="18" t="s">
        <v>31</v>
      </c>
      <c r="E1054" s="18">
        <v>1</v>
      </c>
      <c r="F1054" s="18">
        <v>14</v>
      </c>
      <c r="G1054" s="18" t="s">
        <v>39</v>
      </c>
      <c r="H1054" s="18" t="s">
        <v>38</v>
      </c>
      <c r="I1054" s="18">
        <v>2</v>
      </c>
      <c r="J1054" s="18">
        <v>4</v>
      </c>
      <c r="K1054" s="18" t="s">
        <v>36</v>
      </c>
      <c r="L1054" s="18">
        <v>3</v>
      </c>
      <c r="M1054" s="18" t="s">
        <v>41</v>
      </c>
      <c r="N1054" s="18">
        <v>7</v>
      </c>
      <c r="O1054" s="18">
        <v>1</v>
      </c>
      <c r="P1054" s="18">
        <v>23.1</v>
      </c>
      <c r="Q1054" s="18">
        <v>2</v>
      </c>
      <c r="R1054" s="18">
        <v>3</v>
      </c>
      <c r="S1054" s="18">
        <v>1</v>
      </c>
      <c r="T1054" s="18">
        <v>246.73</v>
      </c>
    </row>
    <row r="1055" spans="1:20" x14ac:dyDescent="0.3">
      <c r="A1055" s="18">
        <v>51054</v>
      </c>
      <c r="B1055" s="18">
        <v>0</v>
      </c>
      <c r="C1055" s="18">
        <v>16</v>
      </c>
      <c r="D1055" s="18" t="s">
        <v>36</v>
      </c>
      <c r="E1055" s="18">
        <v>1</v>
      </c>
      <c r="F1055" s="18">
        <v>18</v>
      </c>
      <c r="G1055" s="18" t="s">
        <v>37</v>
      </c>
      <c r="H1055" s="18" t="s">
        <v>33</v>
      </c>
      <c r="I1055" s="18">
        <v>2</v>
      </c>
      <c r="J1055" s="18">
        <v>4</v>
      </c>
      <c r="K1055" s="18" t="s">
        <v>36</v>
      </c>
      <c r="L1055" s="18">
        <v>1</v>
      </c>
      <c r="M1055" s="18" t="s">
        <v>45</v>
      </c>
      <c r="N1055" s="18">
        <v>4</v>
      </c>
      <c r="O1055" s="18">
        <v>0</v>
      </c>
      <c r="P1055" s="18">
        <v>11.8</v>
      </c>
      <c r="Q1055" s="18">
        <v>2</v>
      </c>
      <c r="R1055" s="18">
        <v>4</v>
      </c>
      <c r="S1055" s="18">
        <v>4</v>
      </c>
      <c r="T1055" s="18">
        <v>213.39</v>
      </c>
    </row>
    <row r="1056" spans="1:20" x14ac:dyDescent="0.3">
      <c r="A1056" s="18">
        <v>51055</v>
      </c>
      <c r="B1056" s="18">
        <v>0</v>
      </c>
      <c r="C1056" s="18">
        <v>19</v>
      </c>
      <c r="D1056" s="18" t="s">
        <v>42</v>
      </c>
      <c r="E1056" s="18">
        <v>3</v>
      </c>
      <c r="F1056" s="18">
        <v>9</v>
      </c>
      <c r="G1056" s="18" t="s">
        <v>43</v>
      </c>
      <c r="H1056" s="18" t="s">
        <v>33</v>
      </c>
      <c r="I1056" s="18">
        <v>3</v>
      </c>
      <c r="J1056" s="18">
        <v>3</v>
      </c>
      <c r="K1056" s="18" t="s">
        <v>46</v>
      </c>
      <c r="L1056" s="18">
        <v>2</v>
      </c>
      <c r="M1056" s="18" t="s">
        <v>41</v>
      </c>
      <c r="N1056" s="18">
        <v>3</v>
      </c>
      <c r="O1056" s="18">
        <v>0</v>
      </c>
      <c r="P1056" s="18">
        <v>20.2</v>
      </c>
      <c r="Q1056" s="18">
        <v>1</v>
      </c>
      <c r="R1056" s="18">
        <v>5</v>
      </c>
      <c r="S1056" s="18">
        <v>0</v>
      </c>
      <c r="T1056" s="18">
        <v>192.74</v>
      </c>
    </row>
    <row r="1057" spans="1:20" x14ac:dyDescent="0.3">
      <c r="A1057" s="18">
        <v>51056</v>
      </c>
      <c r="B1057" s="18">
        <v>0</v>
      </c>
      <c r="C1057" s="18">
        <v>18</v>
      </c>
      <c r="D1057" s="18" t="s">
        <v>36</v>
      </c>
      <c r="E1057" s="18">
        <v>2</v>
      </c>
      <c r="F1057" s="18">
        <v>16</v>
      </c>
      <c r="G1057" s="18" t="s">
        <v>32</v>
      </c>
      <c r="H1057" s="18" t="s">
        <v>38</v>
      </c>
      <c r="I1057" s="18">
        <v>2.6</v>
      </c>
      <c r="J1057" s="18">
        <v>4</v>
      </c>
      <c r="K1057" s="18" t="s">
        <v>40</v>
      </c>
      <c r="L1057" s="18">
        <v>3</v>
      </c>
      <c r="M1057" s="18" t="s">
        <v>35</v>
      </c>
      <c r="N1057" s="18">
        <v>1</v>
      </c>
      <c r="O1057" s="18">
        <v>0</v>
      </c>
      <c r="P1057" s="18">
        <v>19.7</v>
      </c>
      <c r="Q1057" s="18">
        <v>1</v>
      </c>
      <c r="R1057" s="18">
        <v>2</v>
      </c>
      <c r="S1057" s="18">
        <v>6</v>
      </c>
      <c r="T1057" s="18">
        <v>154.43</v>
      </c>
    </row>
    <row r="1058" spans="1:20" x14ac:dyDescent="0.3">
      <c r="A1058" s="18">
        <v>51057</v>
      </c>
      <c r="B1058" s="18">
        <v>0</v>
      </c>
      <c r="C1058" s="18">
        <v>25</v>
      </c>
      <c r="D1058" s="18" t="s">
        <v>36</v>
      </c>
      <c r="E1058" s="18">
        <v>1</v>
      </c>
      <c r="F1058" s="18">
        <v>18</v>
      </c>
      <c r="G1058" s="18" t="s">
        <v>43</v>
      </c>
      <c r="H1058" s="18" t="s">
        <v>33</v>
      </c>
      <c r="I1058" s="18">
        <v>2.7</v>
      </c>
      <c r="J1058" s="18">
        <v>4</v>
      </c>
      <c r="K1058" s="18" t="s">
        <v>44</v>
      </c>
      <c r="L1058" s="18">
        <v>2</v>
      </c>
      <c r="M1058" s="18" t="s">
        <v>35</v>
      </c>
      <c r="N1058" s="18">
        <v>7</v>
      </c>
      <c r="O1058" s="18">
        <v>0</v>
      </c>
      <c r="P1058" s="18">
        <v>19</v>
      </c>
      <c r="Q1058" s="18">
        <v>4</v>
      </c>
      <c r="R1058" s="18">
        <v>4</v>
      </c>
      <c r="S1058" s="18">
        <v>17</v>
      </c>
      <c r="T1058" s="18">
        <v>201.63</v>
      </c>
    </row>
    <row r="1059" spans="1:20" x14ac:dyDescent="0.3">
      <c r="A1059" s="18">
        <v>51058</v>
      </c>
      <c r="B1059" s="18">
        <v>0</v>
      </c>
      <c r="C1059" s="18">
        <v>2</v>
      </c>
      <c r="D1059" s="18" t="s">
        <v>31</v>
      </c>
      <c r="E1059" s="18">
        <v>1</v>
      </c>
      <c r="F1059" s="18">
        <v>16</v>
      </c>
      <c r="G1059" s="18" t="s">
        <v>43</v>
      </c>
      <c r="H1059" s="18" t="s">
        <v>33</v>
      </c>
      <c r="I1059" s="18">
        <v>3.6</v>
      </c>
      <c r="J1059" s="18">
        <v>3</v>
      </c>
      <c r="K1059" s="18" t="s">
        <v>46</v>
      </c>
      <c r="L1059" s="18">
        <v>5</v>
      </c>
      <c r="M1059" s="18" t="s">
        <v>35</v>
      </c>
      <c r="N1059" s="18">
        <v>2</v>
      </c>
      <c r="O1059" s="18">
        <v>0</v>
      </c>
      <c r="P1059" s="18">
        <v>20.5</v>
      </c>
      <c r="Q1059" s="18">
        <v>1</v>
      </c>
      <c r="R1059" s="18">
        <v>5</v>
      </c>
      <c r="S1059" s="18">
        <v>9</v>
      </c>
      <c r="T1059" s="18">
        <v>269.05</v>
      </c>
    </row>
    <row r="1060" spans="1:20" x14ac:dyDescent="0.3">
      <c r="A1060" s="18">
        <v>51059</v>
      </c>
      <c r="B1060" s="18">
        <v>0</v>
      </c>
      <c r="C1060" s="18">
        <v>14</v>
      </c>
      <c r="D1060" s="18" t="s">
        <v>36</v>
      </c>
      <c r="E1060" s="18">
        <v>2</v>
      </c>
      <c r="F1060" s="18">
        <v>6</v>
      </c>
      <c r="G1060" s="18" t="s">
        <v>39</v>
      </c>
      <c r="H1060" s="18" t="s">
        <v>33</v>
      </c>
      <c r="I1060" s="18">
        <v>3.4</v>
      </c>
      <c r="J1060" s="18">
        <v>2</v>
      </c>
      <c r="K1060" s="18" t="s">
        <v>36</v>
      </c>
      <c r="L1060" s="18">
        <v>5</v>
      </c>
      <c r="M1060" s="18" t="s">
        <v>41</v>
      </c>
      <c r="N1060" s="18">
        <v>9</v>
      </c>
      <c r="O1060" s="18">
        <v>0</v>
      </c>
      <c r="P1060" s="18">
        <v>17</v>
      </c>
      <c r="Q1060" s="18">
        <v>2</v>
      </c>
      <c r="R1060" s="18">
        <v>5</v>
      </c>
      <c r="S1060" s="18">
        <v>3</v>
      </c>
      <c r="T1060" s="18">
        <v>191.09</v>
      </c>
    </row>
    <row r="1061" spans="1:20" x14ac:dyDescent="0.3">
      <c r="A1061" s="18">
        <v>51060</v>
      </c>
      <c r="B1061" s="18">
        <v>0</v>
      </c>
      <c r="C1061" s="18">
        <v>6</v>
      </c>
      <c r="D1061" s="18" t="s">
        <v>36</v>
      </c>
      <c r="E1061" s="18">
        <v>1</v>
      </c>
      <c r="F1061" s="18">
        <v>16</v>
      </c>
      <c r="G1061" s="18" t="s">
        <v>47</v>
      </c>
      <c r="H1061" s="18" t="s">
        <v>38</v>
      </c>
      <c r="I1061" s="18">
        <v>3.9</v>
      </c>
      <c r="J1061" s="18">
        <v>2</v>
      </c>
      <c r="K1061" s="18" t="s">
        <v>40</v>
      </c>
      <c r="L1061" s="18">
        <v>3</v>
      </c>
      <c r="M1061" s="18" t="s">
        <v>35</v>
      </c>
      <c r="N1061" s="18">
        <v>2</v>
      </c>
      <c r="O1061" s="18">
        <v>0</v>
      </c>
      <c r="P1061" s="18">
        <v>14</v>
      </c>
      <c r="Q1061" s="18">
        <v>1</v>
      </c>
      <c r="R1061" s="18">
        <v>4</v>
      </c>
      <c r="S1061" s="18">
        <v>7</v>
      </c>
      <c r="T1061" s="18">
        <v>99.15</v>
      </c>
    </row>
    <row r="1062" spans="1:20" x14ac:dyDescent="0.3">
      <c r="A1062" s="18">
        <v>51061</v>
      </c>
      <c r="B1062" s="18">
        <v>0</v>
      </c>
      <c r="C1062" s="18">
        <v>18</v>
      </c>
      <c r="D1062" s="18" t="s">
        <v>36</v>
      </c>
      <c r="E1062" s="18">
        <v>3</v>
      </c>
      <c r="F1062" s="18">
        <v>26</v>
      </c>
      <c r="G1062" s="18" t="s">
        <v>37</v>
      </c>
      <c r="H1062" s="18" t="s">
        <v>33</v>
      </c>
      <c r="I1062" s="18">
        <v>2.2000000000000002</v>
      </c>
      <c r="J1062" s="18">
        <v>3</v>
      </c>
      <c r="K1062" s="18" t="s">
        <v>44</v>
      </c>
      <c r="L1062" s="18">
        <v>4</v>
      </c>
      <c r="M1062" s="18" t="s">
        <v>45</v>
      </c>
      <c r="N1062" s="18">
        <v>4</v>
      </c>
      <c r="O1062" s="18">
        <v>1</v>
      </c>
      <c r="P1062" s="18">
        <v>19.8</v>
      </c>
      <c r="Q1062" s="18"/>
      <c r="R1062" s="18">
        <v>3</v>
      </c>
      <c r="S1062" s="18">
        <v>14</v>
      </c>
      <c r="T1062" s="18">
        <v>0</v>
      </c>
    </row>
    <row r="1063" spans="1:20" x14ac:dyDescent="0.3">
      <c r="A1063" s="18">
        <v>51062</v>
      </c>
      <c r="B1063" s="18">
        <v>0</v>
      </c>
      <c r="C1063" s="18">
        <v>13</v>
      </c>
      <c r="D1063" s="18" t="s">
        <v>36</v>
      </c>
      <c r="E1063" s="18">
        <v>2</v>
      </c>
      <c r="F1063" s="18">
        <v>18</v>
      </c>
      <c r="G1063" s="18" t="s">
        <v>32</v>
      </c>
      <c r="H1063" s="18" t="s">
        <v>33</v>
      </c>
      <c r="I1063" s="18"/>
      <c r="J1063" s="18">
        <v>1</v>
      </c>
      <c r="K1063" s="18" t="s">
        <v>40</v>
      </c>
      <c r="L1063" s="18">
        <v>3</v>
      </c>
      <c r="M1063" s="18" t="s">
        <v>35</v>
      </c>
      <c r="N1063" s="18">
        <v>1</v>
      </c>
      <c r="O1063" s="18">
        <v>0</v>
      </c>
      <c r="P1063" s="18">
        <v>20</v>
      </c>
      <c r="Q1063" s="18">
        <v>5</v>
      </c>
      <c r="R1063" s="18">
        <v>5</v>
      </c>
      <c r="S1063" s="18">
        <v>1</v>
      </c>
      <c r="T1063" s="18">
        <v>201.15</v>
      </c>
    </row>
    <row r="1064" spans="1:20" x14ac:dyDescent="0.3">
      <c r="A1064" s="18">
        <v>51063</v>
      </c>
      <c r="B1064" s="18">
        <v>0</v>
      </c>
      <c r="C1064" s="18">
        <v>14</v>
      </c>
      <c r="D1064" s="18" t="s">
        <v>42</v>
      </c>
      <c r="E1064" s="18">
        <v>3</v>
      </c>
      <c r="F1064" s="18">
        <v>22</v>
      </c>
      <c r="G1064" s="18" t="s">
        <v>39</v>
      </c>
      <c r="H1064" s="18" t="s">
        <v>33</v>
      </c>
      <c r="I1064" s="18">
        <v>3.4</v>
      </c>
      <c r="J1064" s="18">
        <v>4</v>
      </c>
      <c r="K1064" s="18" t="s">
        <v>44</v>
      </c>
      <c r="L1064" s="18">
        <v>4</v>
      </c>
      <c r="M1064" s="18" t="s">
        <v>35</v>
      </c>
      <c r="N1064" s="18">
        <v>4</v>
      </c>
      <c r="O1064" s="18">
        <v>1</v>
      </c>
      <c r="P1064" s="18">
        <v>19.899999999999999</v>
      </c>
      <c r="Q1064" s="18">
        <v>2</v>
      </c>
      <c r="R1064" s="18">
        <v>7</v>
      </c>
      <c r="S1064" s="18">
        <v>7</v>
      </c>
      <c r="T1064" s="18">
        <v>125.77</v>
      </c>
    </row>
    <row r="1065" spans="1:20" x14ac:dyDescent="0.3">
      <c r="A1065" s="18">
        <v>51064</v>
      </c>
      <c r="B1065" s="18">
        <v>0</v>
      </c>
      <c r="C1065" s="18">
        <v>10</v>
      </c>
      <c r="D1065" s="18" t="s">
        <v>31</v>
      </c>
      <c r="E1065" s="18">
        <v>1</v>
      </c>
      <c r="F1065" s="18">
        <v>13</v>
      </c>
      <c r="G1065" s="18" t="s">
        <v>43</v>
      </c>
      <c r="H1065" s="18" t="s">
        <v>38</v>
      </c>
      <c r="I1065" s="18">
        <v>3.2</v>
      </c>
      <c r="J1065" s="18">
        <v>3</v>
      </c>
      <c r="K1065" s="18" t="s">
        <v>36</v>
      </c>
      <c r="L1065" s="18">
        <v>4</v>
      </c>
      <c r="M1065" s="18" t="s">
        <v>35</v>
      </c>
      <c r="N1065" s="18">
        <v>1</v>
      </c>
      <c r="O1065" s="18">
        <v>0</v>
      </c>
      <c r="P1065" s="18">
        <v>16.2</v>
      </c>
      <c r="Q1065" s="18">
        <v>2</v>
      </c>
      <c r="R1065" s="18">
        <v>4</v>
      </c>
      <c r="S1065" s="18">
        <v>1</v>
      </c>
      <c r="T1065" s="18">
        <v>174.52</v>
      </c>
    </row>
    <row r="1066" spans="1:20" x14ac:dyDescent="0.3">
      <c r="A1066" s="18">
        <v>51065</v>
      </c>
      <c r="B1066" s="18">
        <v>1</v>
      </c>
      <c r="C1066" s="18">
        <v>1</v>
      </c>
      <c r="D1066" s="18" t="s">
        <v>42</v>
      </c>
      <c r="E1066" s="18">
        <v>2</v>
      </c>
      <c r="F1066" s="18">
        <v>20</v>
      </c>
      <c r="G1066" s="18" t="s">
        <v>47</v>
      </c>
      <c r="H1066" s="18" t="s">
        <v>33</v>
      </c>
      <c r="I1066" s="18">
        <v>4</v>
      </c>
      <c r="J1066" s="18">
        <v>4</v>
      </c>
      <c r="K1066" s="18" t="s">
        <v>44</v>
      </c>
      <c r="L1066" s="18">
        <v>1</v>
      </c>
      <c r="M1066" s="18" t="s">
        <v>41</v>
      </c>
      <c r="N1066" s="18">
        <v>1</v>
      </c>
      <c r="O1066" s="18">
        <v>0</v>
      </c>
      <c r="P1066" s="18">
        <v>13.5</v>
      </c>
      <c r="Q1066" s="18">
        <v>2</v>
      </c>
      <c r="R1066" s="18">
        <v>8</v>
      </c>
      <c r="S1066" s="18">
        <v>10</v>
      </c>
      <c r="T1066" s="18">
        <v>135.5</v>
      </c>
    </row>
    <row r="1067" spans="1:20" x14ac:dyDescent="0.3">
      <c r="A1067" s="18">
        <v>51066</v>
      </c>
      <c r="B1067" s="18">
        <v>0</v>
      </c>
      <c r="C1067" s="18">
        <v>7</v>
      </c>
      <c r="D1067" s="18" t="s">
        <v>36</v>
      </c>
      <c r="E1067" s="18">
        <v>1</v>
      </c>
      <c r="F1067" s="18">
        <v>17</v>
      </c>
      <c r="G1067" s="18" t="s">
        <v>32</v>
      </c>
      <c r="H1067" s="18" t="s">
        <v>33</v>
      </c>
      <c r="I1067" s="18">
        <v>3.2</v>
      </c>
      <c r="J1067" s="18">
        <v>3</v>
      </c>
      <c r="K1067" s="18" t="s">
        <v>44</v>
      </c>
      <c r="L1067" s="18">
        <v>4</v>
      </c>
      <c r="M1067" s="18" t="s">
        <v>45</v>
      </c>
      <c r="N1067" s="18">
        <v>1</v>
      </c>
      <c r="O1067" s="18">
        <v>0</v>
      </c>
      <c r="P1067" s="18">
        <v>16.7</v>
      </c>
      <c r="Q1067" s="18">
        <v>4</v>
      </c>
      <c r="R1067" s="18">
        <v>4</v>
      </c>
      <c r="S1067" s="18">
        <v>0</v>
      </c>
      <c r="T1067" s="18">
        <v>131.55000000000001</v>
      </c>
    </row>
    <row r="1068" spans="1:20" x14ac:dyDescent="0.3">
      <c r="A1068" s="18">
        <v>51067</v>
      </c>
      <c r="B1068" s="18">
        <v>0</v>
      </c>
      <c r="C1068" s="18">
        <v>41</v>
      </c>
      <c r="D1068" s="18" t="s">
        <v>36</v>
      </c>
      <c r="E1068" s="18">
        <v>3</v>
      </c>
      <c r="F1068" s="18">
        <v>7</v>
      </c>
      <c r="G1068" s="18" t="s">
        <v>39</v>
      </c>
      <c r="H1068" s="18" t="s">
        <v>38</v>
      </c>
      <c r="I1068" s="18">
        <v>4.2</v>
      </c>
      <c r="J1068" s="18">
        <v>3</v>
      </c>
      <c r="K1068" s="18" t="s">
        <v>44</v>
      </c>
      <c r="L1068" s="18">
        <v>4</v>
      </c>
      <c r="M1068" s="18" t="s">
        <v>35</v>
      </c>
      <c r="N1068" s="18">
        <v>1</v>
      </c>
      <c r="O1068" s="18">
        <v>0</v>
      </c>
      <c r="P1068" s="18">
        <v>19.3</v>
      </c>
      <c r="Q1068" s="18">
        <v>1</v>
      </c>
      <c r="R1068" s="18">
        <v>3</v>
      </c>
      <c r="S1068" s="18">
        <v>0</v>
      </c>
      <c r="T1068" s="18">
        <v>137.91</v>
      </c>
    </row>
    <row r="1069" spans="1:20" x14ac:dyDescent="0.3">
      <c r="A1069" s="18">
        <v>51068</v>
      </c>
      <c r="B1069" s="18">
        <v>0</v>
      </c>
      <c r="C1069" s="18">
        <v>27</v>
      </c>
      <c r="D1069" s="18" t="s">
        <v>36</v>
      </c>
      <c r="E1069" s="18">
        <v>2</v>
      </c>
      <c r="F1069" s="18">
        <v>17</v>
      </c>
      <c r="G1069" s="18" t="s">
        <v>39</v>
      </c>
      <c r="H1069" s="18" t="s">
        <v>33</v>
      </c>
      <c r="I1069" s="18">
        <v>3.3</v>
      </c>
      <c r="J1069" s="18">
        <v>4</v>
      </c>
      <c r="K1069" s="18" t="s">
        <v>44</v>
      </c>
      <c r="L1069" s="18">
        <v>3</v>
      </c>
      <c r="M1069" s="18" t="s">
        <v>45</v>
      </c>
      <c r="N1069" s="18">
        <v>1</v>
      </c>
      <c r="O1069" s="18">
        <v>0</v>
      </c>
      <c r="P1069" s="18">
        <v>19.600000000000001</v>
      </c>
      <c r="Q1069" s="18">
        <v>1</v>
      </c>
      <c r="R1069" s="18">
        <v>3</v>
      </c>
      <c r="S1069" s="18">
        <v>6</v>
      </c>
      <c r="T1069" s="18">
        <v>142.88</v>
      </c>
    </row>
    <row r="1070" spans="1:20" x14ac:dyDescent="0.3">
      <c r="A1070" s="18">
        <v>51069</v>
      </c>
      <c r="B1070" s="18">
        <v>0</v>
      </c>
      <c r="C1070" s="18">
        <v>0</v>
      </c>
      <c r="D1070" s="18" t="s">
        <v>36</v>
      </c>
      <c r="E1070" s="18">
        <v>1</v>
      </c>
      <c r="F1070" s="18">
        <v>7</v>
      </c>
      <c r="G1070" s="18" t="s">
        <v>32</v>
      </c>
      <c r="H1070" s="18" t="s">
        <v>38</v>
      </c>
      <c r="I1070" s="18">
        <v>3.6</v>
      </c>
      <c r="J1070" s="18">
        <v>5</v>
      </c>
      <c r="K1070" s="18" t="s">
        <v>44</v>
      </c>
      <c r="L1070" s="18">
        <v>5</v>
      </c>
      <c r="M1070" s="18" t="s">
        <v>35</v>
      </c>
      <c r="N1070" s="18">
        <v>1</v>
      </c>
      <c r="O1070" s="18">
        <v>0</v>
      </c>
      <c r="P1070" s="18">
        <v>14.5</v>
      </c>
      <c r="Q1070" s="18">
        <v>1</v>
      </c>
      <c r="R1070" s="18">
        <v>6</v>
      </c>
      <c r="S1070" s="18">
        <v>0</v>
      </c>
      <c r="T1070" s="18">
        <v>222.69</v>
      </c>
    </row>
    <row r="1071" spans="1:20" x14ac:dyDescent="0.3">
      <c r="A1071" s="18">
        <v>51070</v>
      </c>
      <c r="B1071" s="18">
        <v>0</v>
      </c>
      <c r="C1071" s="18">
        <v>1</v>
      </c>
      <c r="D1071" s="18" t="s">
        <v>36</v>
      </c>
      <c r="E1071" s="18">
        <v>1</v>
      </c>
      <c r="F1071" s="18">
        <v>9</v>
      </c>
      <c r="G1071" s="18" t="s">
        <v>39</v>
      </c>
      <c r="H1071" s="18" t="s">
        <v>38</v>
      </c>
      <c r="I1071" s="18">
        <v>2.7</v>
      </c>
      <c r="J1071" s="18">
        <v>3</v>
      </c>
      <c r="K1071" s="18" t="s">
        <v>40</v>
      </c>
      <c r="L1071" s="18">
        <v>5</v>
      </c>
      <c r="M1071" s="18" t="s">
        <v>35</v>
      </c>
      <c r="N1071" s="18">
        <v>7</v>
      </c>
      <c r="O1071" s="18">
        <v>0</v>
      </c>
      <c r="P1071" s="18">
        <v>17.100000000000001</v>
      </c>
      <c r="Q1071" s="18">
        <v>0</v>
      </c>
      <c r="R1071" s="18">
        <v>5</v>
      </c>
      <c r="S1071" s="18">
        <v>0</v>
      </c>
      <c r="T1071" s="18">
        <v>211.55</v>
      </c>
    </row>
    <row r="1072" spans="1:20" x14ac:dyDescent="0.3">
      <c r="A1072" s="18">
        <v>51071</v>
      </c>
      <c r="B1072" s="18">
        <v>0</v>
      </c>
      <c r="C1072" s="18">
        <v>1</v>
      </c>
      <c r="D1072" s="18" t="s">
        <v>31</v>
      </c>
      <c r="E1072" s="18">
        <v>1</v>
      </c>
      <c r="F1072" s="18">
        <v>16</v>
      </c>
      <c r="G1072" s="18" t="s">
        <v>32</v>
      </c>
      <c r="H1072" s="18" t="s">
        <v>38</v>
      </c>
      <c r="I1072" s="18">
        <v>2.9</v>
      </c>
      <c r="J1072" s="18">
        <v>3</v>
      </c>
      <c r="K1072" s="18" t="s">
        <v>44</v>
      </c>
      <c r="L1072" s="18">
        <v>3</v>
      </c>
      <c r="M1072" s="18" t="s">
        <v>41</v>
      </c>
      <c r="N1072" s="18">
        <v>1</v>
      </c>
      <c r="O1072" s="18">
        <v>0</v>
      </c>
      <c r="P1072" s="18">
        <v>11.4</v>
      </c>
      <c r="Q1072" s="18">
        <v>3</v>
      </c>
      <c r="R1072" s="18">
        <v>2</v>
      </c>
      <c r="S1072" s="18">
        <v>4</v>
      </c>
      <c r="T1072" s="18">
        <v>113.56</v>
      </c>
    </row>
    <row r="1073" spans="1:20" x14ac:dyDescent="0.3">
      <c r="A1073" s="18">
        <v>51072</v>
      </c>
      <c r="B1073" s="18">
        <v>0</v>
      </c>
      <c r="C1073" s="18">
        <v>12</v>
      </c>
      <c r="D1073" s="18" t="s">
        <v>42</v>
      </c>
      <c r="E1073" s="18">
        <v>2</v>
      </c>
      <c r="F1073" s="18">
        <v>17</v>
      </c>
      <c r="G1073" s="18" t="s">
        <v>39</v>
      </c>
      <c r="H1073" s="18" t="s">
        <v>33</v>
      </c>
      <c r="I1073" s="18">
        <v>3.5</v>
      </c>
      <c r="J1073" s="18">
        <v>3</v>
      </c>
      <c r="K1073" s="18" t="s">
        <v>40</v>
      </c>
      <c r="L1073" s="18">
        <v>4</v>
      </c>
      <c r="M1073" s="18" t="s">
        <v>35</v>
      </c>
      <c r="N1073" s="18">
        <v>4</v>
      </c>
      <c r="O1073" s="18">
        <v>0</v>
      </c>
      <c r="P1073" s="18">
        <v>19.399999999999999</v>
      </c>
      <c r="Q1073" s="18">
        <v>1</v>
      </c>
      <c r="R1073" s="18">
        <v>4</v>
      </c>
      <c r="S1073" s="18">
        <v>9</v>
      </c>
      <c r="T1073" s="18">
        <v>121.05</v>
      </c>
    </row>
    <row r="1074" spans="1:20" x14ac:dyDescent="0.3">
      <c r="A1074" s="18">
        <v>51073</v>
      </c>
      <c r="B1074" s="18">
        <v>0</v>
      </c>
      <c r="C1074" s="18">
        <v>17</v>
      </c>
      <c r="D1074" s="18" t="s">
        <v>42</v>
      </c>
      <c r="E1074" s="18">
        <v>1</v>
      </c>
      <c r="F1074" s="18"/>
      <c r="G1074" s="18" t="s">
        <v>47</v>
      </c>
      <c r="H1074" s="18" t="s">
        <v>38</v>
      </c>
      <c r="I1074" s="18">
        <v>4</v>
      </c>
      <c r="J1074" s="18">
        <v>4</v>
      </c>
      <c r="K1074" s="18" t="s">
        <v>44</v>
      </c>
      <c r="L1074" s="18">
        <v>5</v>
      </c>
      <c r="M1074" s="18" t="s">
        <v>35</v>
      </c>
      <c r="N1074" s="18">
        <v>1</v>
      </c>
      <c r="O1074" s="18">
        <v>0</v>
      </c>
      <c r="P1074" s="18">
        <v>13.3</v>
      </c>
      <c r="Q1074" s="18">
        <v>3</v>
      </c>
      <c r="R1074" s="18">
        <v>2</v>
      </c>
      <c r="S1074" s="18">
        <v>1</v>
      </c>
      <c r="T1074" s="18">
        <v>200.85</v>
      </c>
    </row>
    <row r="1075" spans="1:20" x14ac:dyDescent="0.3">
      <c r="A1075" s="18">
        <v>51074</v>
      </c>
      <c r="B1075" s="18">
        <v>0</v>
      </c>
      <c r="C1075" s="18">
        <v>2</v>
      </c>
      <c r="D1075" s="18" t="s">
        <v>36</v>
      </c>
      <c r="E1075" s="18">
        <v>2</v>
      </c>
      <c r="F1075" s="18">
        <v>23</v>
      </c>
      <c r="G1075" s="18" t="s">
        <v>37</v>
      </c>
      <c r="H1075" s="18" t="s">
        <v>38</v>
      </c>
      <c r="I1075" s="18">
        <v>3.4</v>
      </c>
      <c r="J1075" s="18">
        <v>3</v>
      </c>
      <c r="K1075" s="18" t="s">
        <v>34</v>
      </c>
      <c r="L1075" s="18">
        <v>3</v>
      </c>
      <c r="M1075" s="18" t="s">
        <v>45</v>
      </c>
      <c r="N1075" s="18">
        <v>3</v>
      </c>
      <c r="O1075" s="18">
        <v>0</v>
      </c>
      <c r="P1075" s="18">
        <v>18.7</v>
      </c>
      <c r="Q1075" s="18">
        <v>1</v>
      </c>
      <c r="R1075" s="18">
        <v>6</v>
      </c>
      <c r="S1075" s="18">
        <v>9</v>
      </c>
      <c r="T1075" s="18">
        <v>237.89</v>
      </c>
    </row>
    <row r="1076" spans="1:20" x14ac:dyDescent="0.3">
      <c r="A1076" s="18">
        <v>51075</v>
      </c>
      <c r="B1076" s="18">
        <v>0</v>
      </c>
      <c r="C1076" s="18">
        <v>7</v>
      </c>
      <c r="D1076" s="18" t="s">
        <v>42</v>
      </c>
      <c r="E1076" s="18">
        <v>1</v>
      </c>
      <c r="F1076" s="18">
        <v>19</v>
      </c>
      <c r="G1076" s="18" t="s">
        <v>47</v>
      </c>
      <c r="H1076" s="18" t="s">
        <v>38</v>
      </c>
      <c r="I1076" s="18">
        <v>2.8</v>
      </c>
      <c r="J1076" s="18">
        <v>4</v>
      </c>
      <c r="K1076" s="18" t="s">
        <v>34</v>
      </c>
      <c r="L1076" s="18">
        <v>3</v>
      </c>
      <c r="M1076" s="18" t="s">
        <v>35</v>
      </c>
      <c r="N1076" s="18">
        <v>2</v>
      </c>
      <c r="O1076" s="18">
        <v>0</v>
      </c>
      <c r="P1076" s="18">
        <v>12</v>
      </c>
      <c r="Q1076" s="18">
        <v>2</v>
      </c>
      <c r="R1076" s="18">
        <v>5</v>
      </c>
      <c r="S1076" s="18">
        <v>8</v>
      </c>
      <c r="T1076" s="18">
        <v>237.04</v>
      </c>
    </row>
    <row r="1077" spans="1:20" x14ac:dyDescent="0.3">
      <c r="A1077" s="18">
        <v>51076</v>
      </c>
      <c r="B1077" s="18">
        <v>0</v>
      </c>
      <c r="C1077" s="18">
        <v>18</v>
      </c>
      <c r="D1077" s="18" t="s">
        <v>36</v>
      </c>
      <c r="E1077" s="18">
        <v>2</v>
      </c>
      <c r="F1077" s="18">
        <v>9</v>
      </c>
      <c r="G1077" s="18" t="s">
        <v>47</v>
      </c>
      <c r="H1077" s="18" t="s">
        <v>33</v>
      </c>
      <c r="I1077" s="18">
        <v>3.9</v>
      </c>
      <c r="J1077" s="18">
        <v>1</v>
      </c>
      <c r="K1077" s="18" t="s">
        <v>44</v>
      </c>
      <c r="L1077" s="18">
        <v>2</v>
      </c>
      <c r="M1077" s="18" t="s">
        <v>45</v>
      </c>
      <c r="N1077" s="18">
        <v>13</v>
      </c>
      <c r="O1077" s="18">
        <v>0</v>
      </c>
      <c r="P1077" s="18">
        <v>19.600000000000001</v>
      </c>
      <c r="Q1077" s="18">
        <v>1</v>
      </c>
      <c r="R1077" s="18">
        <v>1</v>
      </c>
      <c r="S1077" s="18">
        <v>4</v>
      </c>
      <c r="T1077" s="18">
        <v>124.84</v>
      </c>
    </row>
    <row r="1078" spans="1:20" x14ac:dyDescent="0.3">
      <c r="A1078" s="18">
        <v>51077</v>
      </c>
      <c r="B1078" s="18">
        <v>0</v>
      </c>
      <c r="C1078" s="18">
        <v>13</v>
      </c>
      <c r="D1078" s="18" t="s">
        <v>36</v>
      </c>
      <c r="E1078" s="18">
        <v>3</v>
      </c>
      <c r="F1078" s="18"/>
      <c r="G1078" s="18" t="s">
        <v>39</v>
      </c>
      <c r="H1078" s="18" t="s">
        <v>38</v>
      </c>
      <c r="I1078" s="18">
        <v>1.4</v>
      </c>
      <c r="J1078" s="18">
        <v>3</v>
      </c>
      <c r="K1078" s="18" t="s">
        <v>40</v>
      </c>
      <c r="L1078" s="18">
        <v>5</v>
      </c>
      <c r="M1078" s="18" t="s">
        <v>35</v>
      </c>
      <c r="N1078" s="18">
        <v>6</v>
      </c>
      <c r="O1078" s="18">
        <v>0</v>
      </c>
      <c r="P1078" s="18">
        <v>17.100000000000001</v>
      </c>
      <c r="Q1078" s="18">
        <v>4</v>
      </c>
      <c r="R1078" s="18">
        <v>3</v>
      </c>
      <c r="S1078" s="18">
        <v>5</v>
      </c>
      <c r="T1078" s="18">
        <v>234.41</v>
      </c>
    </row>
    <row r="1079" spans="1:20" x14ac:dyDescent="0.3">
      <c r="A1079" s="18">
        <v>51078</v>
      </c>
      <c r="B1079" s="18">
        <v>0</v>
      </c>
      <c r="C1079" s="18">
        <v>7</v>
      </c>
      <c r="D1079" s="18" t="s">
        <v>42</v>
      </c>
      <c r="E1079" s="18">
        <v>3</v>
      </c>
      <c r="F1079" s="18">
        <v>13</v>
      </c>
      <c r="G1079" s="18" t="s">
        <v>39</v>
      </c>
      <c r="H1079" s="18" t="s">
        <v>33</v>
      </c>
      <c r="I1079" s="18">
        <v>1.9</v>
      </c>
      <c r="J1079" s="18">
        <v>4</v>
      </c>
      <c r="K1079" s="18" t="s">
        <v>44</v>
      </c>
      <c r="L1079" s="18">
        <v>4</v>
      </c>
      <c r="M1079" s="18" t="s">
        <v>35</v>
      </c>
      <c r="N1079" s="18">
        <v>2</v>
      </c>
      <c r="O1079" s="18">
        <v>0</v>
      </c>
      <c r="P1079" s="18">
        <v>13.3</v>
      </c>
      <c r="Q1079" s="18">
        <v>2</v>
      </c>
      <c r="R1079" s="18">
        <v>3</v>
      </c>
      <c r="S1079" s="18">
        <v>0</v>
      </c>
      <c r="T1079" s="18">
        <v>82.31</v>
      </c>
    </row>
    <row r="1080" spans="1:20" x14ac:dyDescent="0.3">
      <c r="A1080" s="18">
        <v>51079</v>
      </c>
      <c r="B1080" s="18">
        <v>0</v>
      </c>
      <c r="C1080" s="18">
        <v>8</v>
      </c>
      <c r="D1080" s="18" t="s">
        <v>31</v>
      </c>
      <c r="E1080" s="18">
        <v>3</v>
      </c>
      <c r="F1080" s="18">
        <v>11</v>
      </c>
      <c r="G1080" s="18" t="s">
        <v>39</v>
      </c>
      <c r="H1080" s="18" t="s">
        <v>33</v>
      </c>
      <c r="I1080" s="18">
        <v>3.4</v>
      </c>
      <c r="J1080" s="18">
        <v>4</v>
      </c>
      <c r="K1080" s="18" t="s">
        <v>34</v>
      </c>
      <c r="L1080" s="18">
        <v>2</v>
      </c>
      <c r="M1080" s="18" t="s">
        <v>41</v>
      </c>
      <c r="N1080" s="18">
        <v>5</v>
      </c>
      <c r="O1080" s="18">
        <v>0</v>
      </c>
      <c r="P1080" s="18"/>
      <c r="Q1080" s="18">
        <v>4</v>
      </c>
      <c r="R1080" s="18">
        <v>4</v>
      </c>
      <c r="S1080" s="18"/>
      <c r="T1080" s="18">
        <v>168.84</v>
      </c>
    </row>
    <row r="1081" spans="1:20" x14ac:dyDescent="0.3">
      <c r="A1081" s="18">
        <v>51080</v>
      </c>
      <c r="B1081" s="18">
        <v>0</v>
      </c>
      <c r="C1081" s="18">
        <v>7</v>
      </c>
      <c r="D1081" s="18" t="s">
        <v>36</v>
      </c>
      <c r="E1081" s="18">
        <v>1</v>
      </c>
      <c r="F1081" s="18">
        <v>15</v>
      </c>
      <c r="G1081" s="18" t="s">
        <v>37</v>
      </c>
      <c r="H1081" s="18" t="s">
        <v>33</v>
      </c>
      <c r="I1081" s="18">
        <v>2.9</v>
      </c>
      <c r="J1081" s="18">
        <v>5</v>
      </c>
      <c r="K1081" s="18" t="s">
        <v>36</v>
      </c>
      <c r="L1081" s="18">
        <v>5</v>
      </c>
      <c r="M1081" s="18" t="s">
        <v>35</v>
      </c>
      <c r="N1081" s="18">
        <v>1</v>
      </c>
      <c r="O1081" s="18">
        <v>0</v>
      </c>
      <c r="P1081" s="18">
        <v>13.9</v>
      </c>
      <c r="Q1081" s="18">
        <v>1</v>
      </c>
      <c r="R1081" s="18">
        <v>7</v>
      </c>
      <c r="S1081" s="18">
        <v>1</v>
      </c>
      <c r="T1081" s="18">
        <v>206.79</v>
      </c>
    </row>
    <row r="1082" spans="1:20" x14ac:dyDescent="0.3">
      <c r="A1082" s="18">
        <v>51081</v>
      </c>
      <c r="B1082" s="18">
        <v>1</v>
      </c>
      <c r="C1082" s="18">
        <v>3</v>
      </c>
      <c r="D1082" s="18" t="s">
        <v>36</v>
      </c>
      <c r="E1082" s="18">
        <v>1</v>
      </c>
      <c r="F1082" s="18">
        <v>12</v>
      </c>
      <c r="G1082" s="18" t="s">
        <v>37</v>
      </c>
      <c r="H1082" s="18" t="s">
        <v>38</v>
      </c>
      <c r="I1082" s="18">
        <v>3.3</v>
      </c>
      <c r="J1082" s="18">
        <v>4</v>
      </c>
      <c r="K1082" s="18" t="s">
        <v>44</v>
      </c>
      <c r="L1082" s="18">
        <v>4</v>
      </c>
      <c r="M1082" s="18" t="s">
        <v>35</v>
      </c>
      <c r="N1082" s="18">
        <v>2</v>
      </c>
      <c r="O1082" s="18">
        <v>0</v>
      </c>
      <c r="P1082" s="18">
        <v>18.600000000000001</v>
      </c>
      <c r="Q1082" s="18"/>
      <c r="R1082" s="18">
        <v>4</v>
      </c>
      <c r="S1082" s="18">
        <v>0</v>
      </c>
      <c r="T1082" s="18">
        <v>65.67</v>
      </c>
    </row>
    <row r="1083" spans="1:20" x14ac:dyDescent="0.3">
      <c r="A1083" s="18">
        <v>51082</v>
      </c>
      <c r="B1083" s="18">
        <v>0</v>
      </c>
      <c r="C1083" s="18">
        <v>8</v>
      </c>
      <c r="D1083" s="18" t="s">
        <v>36</v>
      </c>
      <c r="E1083" s="18">
        <v>2</v>
      </c>
      <c r="F1083" s="18">
        <v>5</v>
      </c>
      <c r="G1083" s="18" t="s">
        <v>47</v>
      </c>
      <c r="H1083" s="18" t="s">
        <v>33</v>
      </c>
      <c r="I1083" s="18">
        <v>2.9</v>
      </c>
      <c r="J1083" s="18">
        <v>3</v>
      </c>
      <c r="K1083" s="18" t="s">
        <v>36</v>
      </c>
      <c r="L1083" s="18">
        <v>5</v>
      </c>
      <c r="M1083" s="18" t="s">
        <v>41</v>
      </c>
      <c r="N1083" s="18">
        <v>1</v>
      </c>
      <c r="O1083" s="18">
        <v>0</v>
      </c>
      <c r="P1083" s="18">
        <v>15</v>
      </c>
      <c r="Q1083" s="18">
        <v>1</v>
      </c>
      <c r="R1083" s="18">
        <v>4</v>
      </c>
      <c r="S1083" s="18">
        <v>2</v>
      </c>
      <c r="T1083" s="18">
        <v>295.11</v>
      </c>
    </row>
    <row r="1084" spans="1:20" x14ac:dyDescent="0.3">
      <c r="A1084" s="18">
        <v>51083</v>
      </c>
      <c r="B1084" s="18">
        <v>0</v>
      </c>
      <c r="C1084" s="18">
        <v>11</v>
      </c>
      <c r="D1084" s="18" t="s">
        <v>31</v>
      </c>
      <c r="E1084" s="18">
        <v>1</v>
      </c>
      <c r="F1084" s="18">
        <v>11</v>
      </c>
      <c r="G1084" s="18" t="s">
        <v>37</v>
      </c>
      <c r="H1084" s="18" t="s">
        <v>33</v>
      </c>
      <c r="I1084" s="18">
        <v>3.3</v>
      </c>
      <c r="J1084" s="18">
        <v>4</v>
      </c>
      <c r="K1084" s="18" t="s">
        <v>44</v>
      </c>
      <c r="L1084" s="18">
        <v>1</v>
      </c>
      <c r="M1084" s="18" t="s">
        <v>41</v>
      </c>
      <c r="N1084" s="18">
        <v>1</v>
      </c>
      <c r="O1084" s="18">
        <v>0</v>
      </c>
      <c r="P1084" s="18">
        <v>11</v>
      </c>
      <c r="Q1084" s="18">
        <v>2</v>
      </c>
      <c r="R1084" s="18">
        <v>4</v>
      </c>
      <c r="S1084" s="18">
        <v>2</v>
      </c>
      <c r="T1084" s="18">
        <v>252.97</v>
      </c>
    </row>
    <row r="1085" spans="1:20" x14ac:dyDescent="0.3">
      <c r="A1085" s="18">
        <v>51084</v>
      </c>
      <c r="B1085" s="18">
        <v>0</v>
      </c>
      <c r="C1085" s="18">
        <v>20</v>
      </c>
      <c r="D1085" s="18" t="s">
        <v>36</v>
      </c>
      <c r="E1085" s="18">
        <v>1</v>
      </c>
      <c r="F1085" s="18">
        <v>12</v>
      </c>
      <c r="G1085" s="18" t="s">
        <v>37</v>
      </c>
      <c r="H1085" s="18" t="s">
        <v>38</v>
      </c>
      <c r="I1085" s="18">
        <v>2.2999999999999998</v>
      </c>
      <c r="J1085" s="18">
        <v>2</v>
      </c>
      <c r="K1085" s="18" t="s">
        <v>36</v>
      </c>
      <c r="L1085" s="18">
        <v>3</v>
      </c>
      <c r="M1085" s="18" t="s">
        <v>35</v>
      </c>
      <c r="N1085" s="18">
        <v>1</v>
      </c>
      <c r="O1085" s="18">
        <v>0</v>
      </c>
      <c r="P1085" s="18">
        <v>12.6</v>
      </c>
      <c r="Q1085" s="18"/>
      <c r="R1085" s="18">
        <v>4</v>
      </c>
      <c r="S1085" s="18">
        <v>6</v>
      </c>
      <c r="T1085" s="18">
        <v>215.59</v>
      </c>
    </row>
    <row r="1086" spans="1:20" x14ac:dyDescent="0.3">
      <c r="A1086" s="18">
        <v>51085</v>
      </c>
      <c r="B1086" s="18">
        <v>0</v>
      </c>
      <c r="C1086" s="18">
        <v>10</v>
      </c>
      <c r="D1086" s="18" t="s">
        <v>42</v>
      </c>
      <c r="E1086" s="18">
        <v>1</v>
      </c>
      <c r="F1086" s="18"/>
      <c r="G1086" s="18" t="s">
        <v>37</v>
      </c>
      <c r="H1086" s="18" t="s">
        <v>33</v>
      </c>
      <c r="I1086" s="18">
        <v>3.3</v>
      </c>
      <c r="J1086" s="18">
        <v>4</v>
      </c>
      <c r="K1086" s="18" t="s">
        <v>40</v>
      </c>
      <c r="L1086" s="18">
        <v>4</v>
      </c>
      <c r="M1086" s="18" t="s">
        <v>41</v>
      </c>
      <c r="N1086" s="18">
        <v>4</v>
      </c>
      <c r="O1086" s="18">
        <v>1</v>
      </c>
      <c r="P1086" s="18">
        <v>14.5</v>
      </c>
      <c r="Q1086" s="18">
        <v>2</v>
      </c>
      <c r="R1086" s="18">
        <v>3</v>
      </c>
      <c r="S1086" s="18">
        <v>4</v>
      </c>
      <c r="T1086" s="18">
        <v>126.92</v>
      </c>
    </row>
    <row r="1087" spans="1:20" x14ac:dyDescent="0.3">
      <c r="A1087" s="18">
        <v>51086</v>
      </c>
      <c r="B1087" s="18">
        <v>0</v>
      </c>
      <c r="C1087" s="18">
        <v>14</v>
      </c>
      <c r="D1087" s="18" t="s">
        <v>36</v>
      </c>
      <c r="E1087" s="18">
        <v>1</v>
      </c>
      <c r="F1087" s="18">
        <v>9</v>
      </c>
      <c r="G1087" s="18" t="s">
        <v>39</v>
      </c>
      <c r="H1087" s="18" t="s">
        <v>38</v>
      </c>
      <c r="I1087" s="18">
        <v>3.6</v>
      </c>
      <c r="J1087" s="18">
        <v>5</v>
      </c>
      <c r="K1087" s="18" t="s">
        <v>36</v>
      </c>
      <c r="L1087" s="18">
        <v>3</v>
      </c>
      <c r="M1087" s="18" t="s">
        <v>35</v>
      </c>
      <c r="N1087" s="18">
        <v>2</v>
      </c>
      <c r="O1087" s="18">
        <v>1</v>
      </c>
      <c r="P1087" s="18">
        <v>20.8</v>
      </c>
      <c r="Q1087" s="18">
        <v>2</v>
      </c>
      <c r="R1087" s="18">
        <v>2</v>
      </c>
      <c r="S1087" s="18">
        <v>12</v>
      </c>
      <c r="T1087" s="18">
        <v>176.25</v>
      </c>
    </row>
    <row r="1088" spans="1:20" x14ac:dyDescent="0.3">
      <c r="A1088" s="18">
        <v>51087</v>
      </c>
      <c r="B1088" s="18">
        <v>0</v>
      </c>
      <c r="C1088" s="18">
        <v>1</v>
      </c>
      <c r="D1088" s="18" t="s">
        <v>36</v>
      </c>
      <c r="E1088" s="18">
        <v>1</v>
      </c>
      <c r="F1088" s="18">
        <v>28</v>
      </c>
      <c r="G1088" s="18" t="s">
        <v>39</v>
      </c>
      <c r="H1088" s="18" t="s">
        <v>33</v>
      </c>
      <c r="I1088" s="18">
        <v>3.8</v>
      </c>
      <c r="J1088" s="18">
        <v>4</v>
      </c>
      <c r="K1088" s="18" t="s">
        <v>36</v>
      </c>
      <c r="L1088" s="18">
        <v>4</v>
      </c>
      <c r="M1088" s="18" t="s">
        <v>35</v>
      </c>
      <c r="N1088" s="18">
        <v>4</v>
      </c>
      <c r="O1088" s="18">
        <v>0</v>
      </c>
      <c r="P1088" s="18">
        <v>19.2</v>
      </c>
      <c r="Q1088" s="18">
        <v>1</v>
      </c>
      <c r="R1088" s="18">
        <v>2</v>
      </c>
      <c r="S1088" s="18">
        <v>0</v>
      </c>
      <c r="T1088" s="18">
        <v>223.47</v>
      </c>
    </row>
    <row r="1089" spans="1:20" x14ac:dyDescent="0.3">
      <c r="A1089" s="18">
        <v>51088</v>
      </c>
      <c r="B1089" s="18">
        <v>0</v>
      </c>
      <c r="C1089" s="18">
        <v>6</v>
      </c>
      <c r="D1089" s="18" t="s">
        <v>36</v>
      </c>
      <c r="E1089" s="18">
        <v>3</v>
      </c>
      <c r="F1089" s="18">
        <v>5</v>
      </c>
      <c r="G1089" s="18" t="s">
        <v>43</v>
      </c>
      <c r="H1089" s="18" t="s">
        <v>33</v>
      </c>
      <c r="I1089" s="18">
        <v>4.3</v>
      </c>
      <c r="J1089" s="18">
        <v>3</v>
      </c>
      <c r="K1089" s="18" t="s">
        <v>44</v>
      </c>
      <c r="L1089" s="18">
        <v>4</v>
      </c>
      <c r="M1089" s="18" t="s">
        <v>45</v>
      </c>
      <c r="N1089" s="18">
        <v>2</v>
      </c>
      <c r="O1089" s="18">
        <v>1</v>
      </c>
      <c r="P1089" s="18">
        <v>21.7</v>
      </c>
      <c r="Q1089" s="18"/>
      <c r="R1089" s="18">
        <v>3</v>
      </c>
      <c r="S1089" s="18">
        <v>0</v>
      </c>
      <c r="T1089" s="18">
        <v>118.25</v>
      </c>
    </row>
    <row r="1090" spans="1:20" x14ac:dyDescent="0.3">
      <c r="A1090" s="18">
        <v>51089</v>
      </c>
      <c r="B1090" s="18">
        <v>0</v>
      </c>
      <c r="C1090" s="18">
        <v>0</v>
      </c>
      <c r="D1090" s="18" t="s">
        <v>36</v>
      </c>
      <c r="E1090" s="18">
        <v>1</v>
      </c>
      <c r="F1090" s="18">
        <v>25</v>
      </c>
      <c r="G1090" s="18" t="s">
        <v>32</v>
      </c>
      <c r="H1090" s="18" t="s">
        <v>38</v>
      </c>
      <c r="I1090" s="18">
        <v>3.1</v>
      </c>
      <c r="J1090" s="18">
        <v>3</v>
      </c>
      <c r="K1090" s="18" t="s">
        <v>44</v>
      </c>
      <c r="L1090" s="18">
        <v>3</v>
      </c>
      <c r="M1090" s="18" t="s">
        <v>35</v>
      </c>
      <c r="N1090" s="18">
        <v>1</v>
      </c>
      <c r="O1090" s="18">
        <v>0</v>
      </c>
      <c r="P1090" s="18">
        <v>21.8</v>
      </c>
      <c r="Q1090" s="18">
        <v>4</v>
      </c>
      <c r="R1090" s="18">
        <v>2</v>
      </c>
      <c r="S1090" s="18">
        <v>3</v>
      </c>
      <c r="T1090" s="18">
        <v>170.07</v>
      </c>
    </row>
    <row r="1091" spans="1:20" x14ac:dyDescent="0.3">
      <c r="A1091" s="18">
        <v>51090</v>
      </c>
      <c r="B1091" s="18">
        <v>0</v>
      </c>
      <c r="C1091" s="18">
        <v>2</v>
      </c>
      <c r="D1091" s="18" t="s">
        <v>36</v>
      </c>
      <c r="E1091" s="18">
        <v>2</v>
      </c>
      <c r="F1091" s="18">
        <v>13</v>
      </c>
      <c r="G1091" s="18" t="s">
        <v>39</v>
      </c>
      <c r="H1091" s="18" t="s">
        <v>38</v>
      </c>
      <c r="I1091" s="18">
        <v>3.1</v>
      </c>
      <c r="J1091" s="18">
        <v>2</v>
      </c>
      <c r="K1091" s="18" t="s">
        <v>44</v>
      </c>
      <c r="L1091" s="18">
        <v>5</v>
      </c>
      <c r="M1091" s="18" t="s">
        <v>35</v>
      </c>
      <c r="N1091" s="18">
        <v>4</v>
      </c>
      <c r="O1091" s="18">
        <v>0</v>
      </c>
      <c r="P1091" s="18">
        <v>14.1</v>
      </c>
      <c r="Q1091" s="18">
        <v>1</v>
      </c>
      <c r="R1091" s="18">
        <v>5</v>
      </c>
      <c r="S1091" s="18">
        <v>0</v>
      </c>
      <c r="T1091" s="18">
        <v>230.07</v>
      </c>
    </row>
    <row r="1092" spans="1:20" x14ac:dyDescent="0.3">
      <c r="A1092" s="18">
        <v>51091</v>
      </c>
      <c r="B1092" s="18">
        <v>0</v>
      </c>
      <c r="C1092" s="18">
        <v>12</v>
      </c>
      <c r="D1092" s="18" t="s">
        <v>31</v>
      </c>
      <c r="E1092" s="18">
        <v>1</v>
      </c>
      <c r="F1092" s="18">
        <v>21</v>
      </c>
      <c r="G1092" s="18" t="s">
        <v>37</v>
      </c>
      <c r="H1092" s="18" t="s">
        <v>33</v>
      </c>
      <c r="I1092" s="18">
        <v>1.8</v>
      </c>
      <c r="J1092" s="18">
        <v>4</v>
      </c>
      <c r="K1092" s="18" t="s">
        <v>46</v>
      </c>
      <c r="L1092" s="18">
        <v>2</v>
      </c>
      <c r="M1092" s="18" t="s">
        <v>41</v>
      </c>
      <c r="N1092" s="18">
        <v>6</v>
      </c>
      <c r="O1092" s="18">
        <v>1</v>
      </c>
      <c r="P1092" s="18">
        <v>15.3</v>
      </c>
      <c r="Q1092" s="18">
        <v>5</v>
      </c>
      <c r="R1092" s="18">
        <v>6</v>
      </c>
      <c r="S1092" s="18">
        <v>7</v>
      </c>
      <c r="T1092" s="18">
        <v>97.8</v>
      </c>
    </row>
    <row r="1093" spans="1:20" x14ac:dyDescent="0.3">
      <c r="A1093" s="18">
        <v>51092</v>
      </c>
      <c r="B1093" s="18">
        <v>0</v>
      </c>
      <c r="C1093" s="18">
        <v>48</v>
      </c>
      <c r="D1093" s="18" t="s">
        <v>42</v>
      </c>
      <c r="E1093" s="18">
        <v>2</v>
      </c>
      <c r="F1093" s="18">
        <v>15</v>
      </c>
      <c r="G1093" s="18" t="s">
        <v>32</v>
      </c>
      <c r="H1093" s="18" t="s">
        <v>38</v>
      </c>
      <c r="I1093" s="18">
        <v>2.5</v>
      </c>
      <c r="J1093" s="18">
        <v>2</v>
      </c>
      <c r="K1093" s="18" t="s">
        <v>44</v>
      </c>
      <c r="L1093" s="18">
        <v>3</v>
      </c>
      <c r="M1093" s="18" t="s">
        <v>41</v>
      </c>
      <c r="N1093" s="18">
        <v>8</v>
      </c>
      <c r="O1093" s="18">
        <v>1</v>
      </c>
      <c r="P1093" s="18">
        <v>14.6</v>
      </c>
      <c r="Q1093" s="18">
        <v>1</v>
      </c>
      <c r="R1093" s="18">
        <v>6</v>
      </c>
      <c r="S1093" s="18">
        <v>3</v>
      </c>
      <c r="T1093" s="18">
        <v>198.28</v>
      </c>
    </row>
    <row r="1094" spans="1:20" x14ac:dyDescent="0.3">
      <c r="A1094" s="18">
        <v>51093</v>
      </c>
      <c r="B1094" s="18">
        <v>0</v>
      </c>
      <c r="C1094" s="18">
        <v>1</v>
      </c>
      <c r="D1094" s="18" t="s">
        <v>42</v>
      </c>
      <c r="E1094" s="18">
        <v>1</v>
      </c>
      <c r="F1094" s="18">
        <v>24</v>
      </c>
      <c r="G1094" s="18" t="s">
        <v>37</v>
      </c>
      <c r="H1094" s="18" t="s">
        <v>33</v>
      </c>
      <c r="I1094" s="18">
        <v>2.8</v>
      </c>
      <c r="J1094" s="18">
        <v>2</v>
      </c>
      <c r="K1094" s="18" t="s">
        <v>36</v>
      </c>
      <c r="L1094" s="18">
        <v>1</v>
      </c>
      <c r="M1094" s="18" t="s">
        <v>41</v>
      </c>
      <c r="N1094" s="18">
        <v>2</v>
      </c>
      <c r="O1094" s="18">
        <v>0</v>
      </c>
      <c r="P1094" s="18">
        <v>13.6</v>
      </c>
      <c r="Q1094" s="18">
        <v>2</v>
      </c>
      <c r="R1094" s="18">
        <v>3</v>
      </c>
      <c r="S1094" s="18">
        <v>3</v>
      </c>
      <c r="T1094" s="18">
        <v>83.49</v>
      </c>
    </row>
    <row r="1095" spans="1:20" x14ac:dyDescent="0.3">
      <c r="A1095" s="18">
        <v>51094</v>
      </c>
      <c r="B1095" s="18">
        <v>0</v>
      </c>
      <c r="C1095" s="18">
        <v>5</v>
      </c>
      <c r="D1095" s="18" t="s">
        <v>42</v>
      </c>
      <c r="E1095" s="18">
        <v>3</v>
      </c>
      <c r="F1095" s="18">
        <v>11</v>
      </c>
      <c r="G1095" s="18" t="s">
        <v>39</v>
      </c>
      <c r="H1095" s="18" t="s">
        <v>33</v>
      </c>
      <c r="I1095" s="18">
        <v>3.6</v>
      </c>
      <c r="J1095" s="18">
        <v>2</v>
      </c>
      <c r="K1095" s="18" t="s">
        <v>36</v>
      </c>
      <c r="L1095" s="18">
        <v>3</v>
      </c>
      <c r="M1095" s="18" t="s">
        <v>41</v>
      </c>
      <c r="N1095" s="18">
        <v>4</v>
      </c>
      <c r="O1095" s="18">
        <v>0</v>
      </c>
      <c r="P1095" s="18">
        <v>11</v>
      </c>
      <c r="Q1095" s="18">
        <v>3</v>
      </c>
      <c r="R1095" s="18">
        <v>5</v>
      </c>
      <c r="S1095" s="18">
        <v>2</v>
      </c>
      <c r="T1095" s="18">
        <v>128.09</v>
      </c>
    </row>
    <row r="1096" spans="1:20" x14ac:dyDescent="0.3">
      <c r="A1096" s="18">
        <v>51095</v>
      </c>
      <c r="B1096" s="18">
        <v>0</v>
      </c>
      <c r="C1096" s="18">
        <v>16</v>
      </c>
      <c r="D1096" s="18" t="s">
        <v>42</v>
      </c>
      <c r="E1096" s="18">
        <v>3</v>
      </c>
      <c r="F1096" s="18">
        <v>6</v>
      </c>
      <c r="G1096" s="18" t="s">
        <v>39</v>
      </c>
      <c r="H1096" s="18" t="s">
        <v>33</v>
      </c>
      <c r="I1096" s="18">
        <v>2.5</v>
      </c>
      <c r="J1096" s="18">
        <v>3</v>
      </c>
      <c r="K1096" s="18" t="s">
        <v>44</v>
      </c>
      <c r="L1096" s="18">
        <v>3</v>
      </c>
      <c r="M1096" s="18" t="s">
        <v>45</v>
      </c>
      <c r="N1096" s="18">
        <v>4</v>
      </c>
      <c r="O1096" s="18">
        <v>0</v>
      </c>
      <c r="P1096" s="18">
        <v>15.9</v>
      </c>
      <c r="Q1096" s="18">
        <v>0</v>
      </c>
      <c r="R1096" s="18">
        <v>3</v>
      </c>
      <c r="S1096" s="18">
        <v>2</v>
      </c>
      <c r="T1096" s="18">
        <v>152.25</v>
      </c>
    </row>
    <row r="1097" spans="1:20" x14ac:dyDescent="0.3">
      <c r="A1097" s="18">
        <v>51096</v>
      </c>
      <c r="B1097" s="18">
        <v>0</v>
      </c>
      <c r="C1097" s="18">
        <v>2</v>
      </c>
      <c r="D1097" s="18" t="s">
        <v>31</v>
      </c>
      <c r="E1097" s="18">
        <v>1</v>
      </c>
      <c r="F1097" s="18">
        <v>26</v>
      </c>
      <c r="G1097" s="18" t="s">
        <v>37</v>
      </c>
      <c r="H1097" s="18" t="s">
        <v>33</v>
      </c>
      <c r="I1097" s="18">
        <v>3.5</v>
      </c>
      <c r="J1097" s="18">
        <v>3</v>
      </c>
      <c r="K1097" s="18" t="s">
        <v>40</v>
      </c>
      <c r="L1097" s="18">
        <v>4</v>
      </c>
      <c r="M1097" s="18" t="s">
        <v>35</v>
      </c>
      <c r="N1097" s="18">
        <v>1</v>
      </c>
      <c r="O1097" s="18">
        <v>0</v>
      </c>
      <c r="P1097" s="18">
        <v>11.5</v>
      </c>
      <c r="Q1097" s="18"/>
      <c r="R1097" s="18">
        <v>5</v>
      </c>
      <c r="S1097" s="18">
        <v>2</v>
      </c>
      <c r="T1097" s="18">
        <v>208.25</v>
      </c>
    </row>
    <row r="1098" spans="1:20" x14ac:dyDescent="0.3">
      <c r="A1098" s="18">
        <v>51097</v>
      </c>
      <c r="B1098" s="18">
        <v>0</v>
      </c>
      <c r="C1098" s="18">
        <v>8</v>
      </c>
      <c r="D1098" s="18" t="s">
        <v>42</v>
      </c>
      <c r="E1098" s="18">
        <v>3</v>
      </c>
      <c r="F1098" s="18">
        <v>14</v>
      </c>
      <c r="G1098" s="18" t="s">
        <v>43</v>
      </c>
      <c r="H1098" s="18" t="s">
        <v>33</v>
      </c>
      <c r="I1098" s="18">
        <v>2.9</v>
      </c>
      <c r="J1098" s="18">
        <v>3</v>
      </c>
      <c r="K1098" s="18" t="s">
        <v>36</v>
      </c>
      <c r="L1098" s="18">
        <v>4</v>
      </c>
      <c r="M1098" s="18" t="s">
        <v>41</v>
      </c>
      <c r="N1098" s="18">
        <v>1</v>
      </c>
      <c r="O1098" s="18">
        <v>0</v>
      </c>
      <c r="P1098" s="18">
        <v>15.9</v>
      </c>
      <c r="Q1098" s="18">
        <v>0</v>
      </c>
      <c r="R1098" s="18">
        <v>5</v>
      </c>
      <c r="S1098" s="18">
        <v>0</v>
      </c>
      <c r="T1098" s="18">
        <v>141.46</v>
      </c>
    </row>
    <row r="1099" spans="1:20" x14ac:dyDescent="0.3">
      <c r="A1099" s="18">
        <v>51098</v>
      </c>
      <c r="B1099" s="18">
        <v>0</v>
      </c>
      <c r="C1099" s="18">
        <v>13</v>
      </c>
      <c r="D1099" s="18" t="s">
        <v>36</v>
      </c>
      <c r="E1099" s="18">
        <v>3</v>
      </c>
      <c r="F1099" s="18">
        <v>16</v>
      </c>
      <c r="G1099" s="18" t="s">
        <v>47</v>
      </c>
      <c r="H1099" s="18" t="s">
        <v>33</v>
      </c>
      <c r="I1099" s="18">
        <v>2.8</v>
      </c>
      <c r="J1099" s="18">
        <v>3</v>
      </c>
      <c r="K1099" s="18" t="s">
        <v>36</v>
      </c>
      <c r="L1099" s="18">
        <v>3</v>
      </c>
      <c r="M1099" s="18" t="s">
        <v>41</v>
      </c>
      <c r="N1099" s="18">
        <v>1</v>
      </c>
      <c r="O1099" s="18">
        <v>0</v>
      </c>
      <c r="P1099" s="18">
        <v>23.4</v>
      </c>
      <c r="Q1099" s="18">
        <v>4</v>
      </c>
      <c r="R1099" s="18">
        <v>8</v>
      </c>
      <c r="S1099" s="18">
        <v>0</v>
      </c>
      <c r="T1099" s="18">
        <v>186.91</v>
      </c>
    </row>
    <row r="1100" spans="1:20" x14ac:dyDescent="0.3">
      <c r="A1100" s="18">
        <v>51099</v>
      </c>
      <c r="B1100" s="18">
        <v>0</v>
      </c>
      <c r="C1100" s="18">
        <v>9</v>
      </c>
      <c r="D1100" s="18" t="s">
        <v>36</v>
      </c>
      <c r="E1100" s="18">
        <v>3</v>
      </c>
      <c r="F1100" s="18">
        <v>24</v>
      </c>
      <c r="G1100" s="18" t="s">
        <v>39</v>
      </c>
      <c r="H1100" s="18" t="s">
        <v>33</v>
      </c>
      <c r="I1100" s="18">
        <v>3.1</v>
      </c>
      <c r="J1100" s="18">
        <v>4</v>
      </c>
      <c r="K1100" s="18" t="s">
        <v>36</v>
      </c>
      <c r="L1100" s="18">
        <v>4</v>
      </c>
      <c r="M1100" s="18" t="s">
        <v>35</v>
      </c>
      <c r="N1100" s="18">
        <v>1</v>
      </c>
      <c r="O1100" s="18">
        <v>1</v>
      </c>
      <c r="P1100" s="18">
        <v>14.2</v>
      </c>
      <c r="Q1100" s="18">
        <v>2</v>
      </c>
      <c r="R1100" s="18">
        <v>3</v>
      </c>
      <c r="S1100" s="18">
        <v>3</v>
      </c>
      <c r="T1100" s="18">
        <v>142.19999999999999</v>
      </c>
    </row>
    <row r="1101" spans="1:20" x14ac:dyDescent="0.3">
      <c r="A1101" s="18">
        <v>51100</v>
      </c>
      <c r="B1101" s="18">
        <v>0</v>
      </c>
      <c r="C1101" s="18">
        <v>2</v>
      </c>
      <c r="D1101" s="18" t="s">
        <v>36</v>
      </c>
      <c r="E1101" s="18">
        <v>3</v>
      </c>
      <c r="F1101" s="18">
        <v>6</v>
      </c>
      <c r="G1101" s="18" t="s">
        <v>39</v>
      </c>
      <c r="H1101" s="18" t="s">
        <v>33</v>
      </c>
      <c r="I1101" s="18">
        <v>2.6</v>
      </c>
      <c r="J1101" s="18">
        <v>3</v>
      </c>
      <c r="K1101" s="18" t="s">
        <v>36</v>
      </c>
      <c r="L1101" s="18">
        <v>1</v>
      </c>
      <c r="M1101" s="18" t="s">
        <v>35</v>
      </c>
      <c r="N1101" s="18">
        <v>2</v>
      </c>
      <c r="O1101" s="18">
        <v>0</v>
      </c>
      <c r="P1101" s="18">
        <v>16.7</v>
      </c>
      <c r="Q1101" s="18">
        <v>1</v>
      </c>
      <c r="R1101" s="18">
        <v>3</v>
      </c>
      <c r="S1101" s="18">
        <v>0</v>
      </c>
      <c r="T1101" s="18">
        <v>150.82</v>
      </c>
    </row>
    <row r="1102" spans="1:20" x14ac:dyDescent="0.3">
      <c r="A1102" s="18">
        <v>51101</v>
      </c>
      <c r="B1102" s="18">
        <v>0</v>
      </c>
      <c r="C1102" s="18">
        <v>4</v>
      </c>
      <c r="D1102" s="18" t="s">
        <v>36</v>
      </c>
      <c r="E1102" s="18">
        <v>1</v>
      </c>
      <c r="F1102" s="18">
        <v>19</v>
      </c>
      <c r="G1102" s="18" t="s">
        <v>32</v>
      </c>
      <c r="H1102" s="18" t="s">
        <v>33</v>
      </c>
      <c r="I1102" s="18">
        <v>2.6</v>
      </c>
      <c r="J1102" s="18">
        <v>2</v>
      </c>
      <c r="K1102" s="18" t="s">
        <v>44</v>
      </c>
      <c r="L1102" s="18">
        <v>2</v>
      </c>
      <c r="M1102" s="18" t="s">
        <v>41</v>
      </c>
      <c r="N1102" s="18">
        <v>21</v>
      </c>
      <c r="O1102" s="18">
        <v>1</v>
      </c>
      <c r="P1102" s="18">
        <v>19.2</v>
      </c>
      <c r="Q1102" s="18">
        <v>2</v>
      </c>
      <c r="R1102" s="18">
        <v>10</v>
      </c>
      <c r="S1102" s="18">
        <v>7</v>
      </c>
      <c r="T1102" s="18">
        <v>248.79</v>
      </c>
    </row>
    <row r="1103" spans="1:20" x14ac:dyDescent="0.3">
      <c r="A1103" s="18">
        <v>51102</v>
      </c>
      <c r="B1103" s="18">
        <v>0</v>
      </c>
      <c r="C1103" s="18">
        <v>15</v>
      </c>
      <c r="D1103" s="18" t="s">
        <v>36</v>
      </c>
      <c r="E1103" s="18">
        <v>2</v>
      </c>
      <c r="F1103" s="18">
        <v>10</v>
      </c>
      <c r="G1103" s="18" t="s">
        <v>32</v>
      </c>
      <c r="H1103" s="18" t="s">
        <v>33</v>
      </c>
      <c r="I1103" s="18">
        <v>1.7</v>
      </c>
      <c r="J1103" s="18">
        <v>3</v>
      </c>
      <c r="K1103" s="18" t="s">
        <v>36</v>
      </c>
      <c r="L1103" s="18">
        <v>4</v>
      </c>
      <c r="M1103" s="18" t="s">
        <v>45</v>
      </c>
      <c r="N1103" s="18">
        <v>1</v>
      </c>
      <c r="O1103" s="18">
        <v>0</v>
      </c>
      <c r="P1103" s="18">
        <v>17</v>
      </c>
      <c r="Q1103" s="18">
        <v>2</v>
      </c>
      <c r="R1103" s="18">
        <v>5</v>
      </c>
      <c r="S1103" s="18">
        <v>1</v>
      </c>
      <c r="T1103" s="18">
        <v>116.74</v>
      </c>
    </row>
    <row r="1104" spans="1:20" x14ac:dyDescent="0.3">
      <c r="A1104" s="18">
        <v>51103</v>
      </c>
      <c r="B1104" s="18">
        <v>0</v>
      </c>
      <c r="C1104" s="18">
        <v>8</v>
      </c>
      <c r="D1104" s="18" t="s">
        <v>42</v>
      </c>
      <c r="E1104" s="18">
        <v>1</v>
      </c>
      <c r="F1104" s="18">
        <v>13</v>
      </c>
      <c r="G1104" s="18" t="s">
        <v>47</v>
      </c>
      <c r="H1104" s="18" t="s">
        <v>38</v>
      </c>
      <c r="I1104" s="18">
        <v>2.7</v>
      </c>
      <c r="J1104" s="18">
        <v>5</v>
      </c>
      <c r="K1104" s="18" t="s">
        <v>40</v>
      </c>
      <c r="L1104" s="18">
        <v>4</v>
      </c>
      <c r="M1104" s="18" t="s">
        <v>41</v>
      </c>
      <c r="N1104" s="18">
        <v>4</v>
      </c>
      <c r="O1104" s="18">
        <v>0</v>
      </c>
      <c r="P1104" s="18">
        <v>17</v>
      </c>
      <c r="Q1104" s="18">
        <v>0</v>
      </c>
      <c r="R1104" s="18">
        <v>6</v>
      </c>
      <c r="S1104" s="18">
        <v>0</v>
      </c>
      <c r="T1104" s="18">
        <v>221.75</v>
      </c>
    </row>
    <row r="1105" spans="1:20" x14ac:dyDescent="0.3">
      <c r="A1105" s="18">
        <v>51104</v>
      </c>
      <c r="B1105" s="18">
        <v>0</v>
      </c>
      <c r="C1105" s="18">
        <v>0</v>
      </c>
      <c r="D1105" s="18" t="s">
        <v>36</v>
      </c>
      <c r="E1105" s="18">
        <v>1</v>
      </c>
      <c r="F1105" s="18">
        <v>15</v>
      </c>
      <c r="G1105" s="18" t="s">
        <v>47</v>
      </c>
      <c r="H1105" s="18" t="s">
        <v>38</v>
      </c>
      <c r="I1105" s="18">
        <v>2.6</v>
      </c>
      <c r="J1105" s="18">
        <v>4</v>
      </c>
      <c r="K1105" s="18" t="s">
        <v>44</v>
      </c>
      <c r="L1105" s="18">
        <v>4</v>
      </c>
      <c r="M1105" s="18" t="s">
        <v>41</v>
      </c>
      <c r="N1105" s="18">
        <v>4</v>
      </c>
      <c r="O1105" s="18">
        <v>0</v>
      </c>
      <c r="P1105" s="18">
        <v>14.7</v>
      </c>
      <c r="Q1105" s="18">
        <v>4</v>
      </c>
      <c r="R1105" s="18">
        <v>2</v>
      </c>
      <c r="S1105" s="18">
        <v>1</v>
      </c>
      <c r="T1105" s="18">
        <v>179.94</v>
      </c>
    </row>
    <row r="1106" spans="1:20" x14ac:dyDescent="0.3">
      <c r="A1106" s="18">
        <v>51105</v>
      </c>
      <c r="B1106" s="18">
        <v>0</v>
      </c>
      <c r="C1106" s="18">
        <v>14</v>
      </c>
      <c r="D1106" s="18" t="s">
        <v>36</v>
      </c>
      <c r="E1106" s="18">
        <v>3</v>
      </c>
      <c r="F1106" s="18">
        <v>5</v>
      </c>
      <c r="G1106" s="18" t="s">
        <v>39</v>
      </c>
      <c r="H1106" s="18" t="s">
        <v>33</v>
      </c>
      <c r="I1106" s="18">
        <v>2.5</v>
      </c>
      <c r="J1106" s="18">
        <v>3</v>
      </c>
      <c r="K1106" s="18" t="s">
        <v>36</v>
      </c>
      <c r="L1106" s="18">
        <v>3</v>
      </c>
      <c r="M1106" s="18" t="s">
        <v>41</v>
      </c>
      <c r="N1106" s="18">
        <v>1</v>
      </c>
      <c r="O1106" s="18">
        <v>0</v>
      </c>
      <c r="P1106" s="18">
        <v>15.2</v>
      </c>
      <c r="Q1106" s="18">
        <v>0</v>
      </c>
      <c r="R1106" s="18">
        <v>1</v>
      </c>
      <c r="S1106" s="18">
        <v>2</v>
      </c>
      <c r="T1106" s="18">
        <v>148.34</v>
      </c>
    </row>
    <row r="1107" spans="1:20" x14ac:dyDescent="0.3">
      <c r="A1107" s="18">
        <v>51106</v>
      </c>
      <c r="B1107" s="18">
        <v>0</v>
      </c>
      <c r="C1107" s="18">
        <v>0</v>
      </c>
      <c r="D1107" s="18" t="s">
        <v>36</v>
      </c>
      <c r="E1107" s="18">
        <v>1</v>
      </c>
      <c r="F1107" s="18">
        <v>8</v>
      </c>
      <c r="G1107" s="18" t="s">
        <v>32</v>
      </c>
      <c r="H1107" s="18" t="s">
        <v>38</v>
      </c>
      <c r="I1107" s="18">
        <v>3.2</v>
      </c>
      <c r="J1107" s="18">
        <v>2</v>
      </c>
      <c r="K1107" s="18" t="s">
        <v>44</v>
      </c>
      <c r="L1107" s="18">
        <v>4</v>
      </c>
      <c r="M1107" s="18" t="s">
        <v>35</v>
      </c>
      <c r="N1107" s="18">
        <v>1</v>
      </c>
      <c r="O1107" s="18">
        <v>0</v>
      </c>
      <c r="P1107" s="18">
        <v>12.6</v>
      </c>
      <c r="Q1107" s="18">
        <v>2</v>
      </c>
      <c r="R1107" s="18">
        <v>5</v>
      </c>
      <c r="S1107" s="18">
        <v>0</v>
      </c>
      <c r="T1107" s="18">
        <v>113.04</v>
      </c>
    </row>
    <row r="1108" spans="1:20" x14ac:dyDescent="0.3">
      <c r="A1108" s="18">
        <v>51107</v>
      </c>
      <c r="B1108" s="18">
        <v>0</v>
      </c>
      <c r="C1108" s="18">
        <v>13</v>
      </c>
      <c r="D1108" s="18" t="s">
        <v>36</v>
      </c>
      <c r="E1108" s="18">
        <v>3</v>
      </c>
      <c r="F1108" s="18">
        <v>25</v>
      </c>
      <c r="G1108" s="18" t="s">
        <v>32</v>
      </c>
      <c r="H1108" s="18" t="s">
        <v>38</v>
      </c>
      <c r="I1108" s="18">
        <v>3.4</v>
      </c>
      <c r="J1108" s="18">
        <v>3</v>
      </c>
      <c r="K1108" s="18" t="s">
        <v>44</v>
      </c>
      <c r="L1108" s="18">
        <v>4</v>
      </c>
      <c r="M1108" s="18" t="s">
        <v>41</v>
      </c>
      <c r="N1108" s="18">
        <v>2</v>
      </c>
      <c r="O1108" s="18">
        <v>0</v>
      </c>
      <c r="P1108" s="18">
        <v>19</v>
      </c>
      <c r="Q1108" s="18">
        <v>0</v>
      </c>
      <c r="R1108" s="18">
        <v>4</v>
      </c>
      <c r="S1108" s="18">
        <v>0</v>
      </c>
      <c r="T1108" s="18">
        <v>116.96</v>
      </c>
    </row>
    <row r="1109" spans="1:20" x14ac:dyDescent="0.3">
      <c r="A1109" s="18">
        <v>51108</v>
      </c>
      <c r="B1109" s="18">
        <v>0</v>
      </c>
      <c r="C1109" s="18">
        <v>2</v>
      </c>
      <c r="D1109" s="18" t="s">
        <v>36</v>
      </c>
      <c r="E1109" s="18">
        <v>3</v>
      </c>
      <c r="F1109" s="18">
        <v>22</v>
      </c>
      <c r="G1109" s="18" t="s">
        <v>39</v>
      </c>
      <c r="H1109" s="18" t="s">
        <v>33</v>
      </c>
      <c r="I1109" s="18">
        <v>3.1</v>
      </c>
      <c r="J1109" s="18">
        <v>3</v>
      </c>
      <c r="K1109" s="18" t="s">
        <v>36</v>
      </c>
      <c r="L1109" s="18">
        <v>5</v>
      </c>
      <c r="M1109" s="18" t="s">
        <v>41</v>
      </c>
      <c r="N1109" s="18">
        <v>4</v>
      </c>
      <c r="O1109" s="18">
        <v>0</v>
      </c>
      <c r="P1109" s="18"/>
      <c r="Q1109" s="18">
        <v>3</v>
      </c>
      <c r="R1109" s="18">
        <v>2</v>
      </c>
      <c r="S1109" s="18">
        <v>1</v>
      </c>
      <c r="T1109" s="18">
        <v>139.37</v>
      </c>
    </row>
    <row r="1110" spans="1:20" x14ac:dyDescent="0.3">
      <c r="A1110" s="18">
        <v>51109</v>
      </c>
      <c r="B1110" s="18">
        <v>0</v>
      </c>
      <c r="C1110" s="18">
        <v>31</v>
      </c>
      <c r="D1110" s="18" t="s">
        <v>36</v>
      </c>
      <c r="E1110" s="18">
        <v>3</v>
      </c>
      <c r="F1110" s="18">
        <v>14</v>
      </c>
      <c r="G1110" s="18" t="s">
        <v>47</v>
      </c>
      <c r="H1110" s="18" t="s">
        <v>33</v>
      </c>
      <c r="I1110" s="18">
        <v>3.6</v>
      </c>
      <c r="J1110" s="18">
        <v>3</v>
      </c>
      <c r="K1110" s="18" t="s">
        <v>46</v>
      </c>
      <c r="L1110" s="18">
        <v>2</v>
      </c>
      <c r="M1110" s="18" t="s">
        <v>41</v>
      </c>
      <c r="N1110" s="18">
        <v>22</v>
      </c>
      <c r="O1110" s="18">
        <v>0</v>
      </c>
      <c r="P1110" s="18">
        <v>19.399999999999999</v>
      </c>
      <c r="Q1110" s="18">
        <v>1</v>
      </c>
      <c r="R1110" s="18">
        <v>7</v>
      </c>
      <c r="S1110" s="18">
        <v>1</v>
      </c>
      <c r="T1110" s="18">
        <v>171.75</v>
      </c>
    </row>
    <row r="1111" spans="1:20" x14ac:dyDescent="0.3">
      <c r="A1111" s="18">
        <v>51110</v>
      </c>
      <c r="B1111" s="18">
        <v>0</v>
      </c>
      <c r="C1111" s="18">
        <v>4</v>
      </c>
      <c r="D1111" s="18" t="s">
        <v>36</v>
      </c>
      <c r="E1111" s="18">
        <v>3</v>
      </c>
      <c r="F1111" s="18">
        <v>16</v>
      </c>
      <c r="G1111" s="18" t="s">
        <v>39</v>
      </c>
      <c r="H1111" s="18" t="s">
        <v>38</v>
      </c>
      <c r="I1111" s="18">
        <v>3.3</v>
      </c>
      <c r="J1111" s="18">
        <v>2</v>
      </c>
      <c r="K1111" s="18" t="s">
        <v>46</v>
      </c>
      <c r="L1111" s="18">
        <v>4</v>
      </c>
      <c r="M1111" s="18" t="s">
        <v>35</v>
      </c>
      <c r="N1111" s="18">
        <v>1</v>
      </c>
      <c r="O1111" s="18">
        <v>0</v>
      </c>
      <c r="P1111" s="18">
        <v>11.1</v>
      </c>
      <c r="Q1111" s="18">
        <v>3</v>
      </c>
      <c r="R1111" s="18">
        <v>2</v>
      </c>
      <c r="S1111" s="18">
        <v>8</v>
      </c>
      <c r="T1111" s="18">
        <v>213.19</v>
      </c>
    </row>
    <row r="1112" spans="1:20" x14ac:dyDescent="0.3">
      <c r="A1112" s="18">
        <v>51111</v>
      </c>
      <c r="B1112" s="18">
        <v>0</v>
      </c>
      <c r="C1112" s="18">
        <v>3</v>
      </c>
      <c r="D1112" s="18" t="s">
        <v>36</v>
      </c>
      <c r="E1112" s="18">
        <v>1</v>
      </c>
      <c r="F1112" s="18">
        <v>12</v>
      </c>
      <c r="G1112" s="18" t="s">
        <v>39</v>
      </c>
      <c r="H1112" s="18" t="s">
        <v>33</v>
      </c>
      <c r="I1112" s="18">
        <v>2.7</v>
      </c>
      <c r="J1112" s="18">
        <v>2</v>
      </c>
      <c r="K1112" s="18" t="s">
        <v>44</v>
      </c>
      <c r="L1112" s="18">
        <v>4</v>
      </c>
      <c r="M1112" s="18" t="s">
        <v>41</v>
      </c>
      <c r="N1112" s="18">
        <v>7</v>
      </c>
      <c r="O1112" s="18">
        <v>0</v>
      </c>
      <c r="P1112" s="18">
        <v>19.399999999999999</v>
      </c>
      <c r="Q1112" s="18">
        <v>0</v>
      </c>
      <c r="R1112" s="18">
        <v>1</v>
      </c>
      <c r="S1112" s="18">
        <v>9</v>
      </c>
      <c r="T1112" s="18">
        <v>163.49</v>
      </c>
    </row>
    <row r="1113" spans="1:20" x14ac:dyDescent="0.3">
      <c r="A1113" s="18">
        <v>51112</v>
      </c>
      <c r="B1113" s="18">
        <v>0</v>
      </c>
      <c r="C1113" s="18">
        <v>1</v>
      </c>
      <c r="D1113" s="18" t="s">
        <v>31</v>
      </c>
      <c r="E1113" s="18">
        <v>1</v>
      </c>
      <c r="F1113" s="18">
        <v>25</v>
      </c>
      <c r="G1113" s="18" t="s">
        <v>39</v>
      </c>
      <c r="H1113" s="18" t="s">
        <v>38</v>
      </c>
      <c r="I1113" s="18">
        <v>2.6</v>
      </c>
      <c r="J1113" s="18">
        <v>5</v>
      </c>
      <c r="K1113" s="18" t="s">
        <v>36</v>
      </c>
      <c r="L1113" s="18">
        <v>5</v>
      </c>
      <c r="M1113" s="18" t="s">
        <v>41</v>
      </c>
      <c r="N1113" s="18">
        <v>1</v>
      </c>
      <c r="O1113" s="18">
        <v>0</v>
      </c>
      <c r="P1113" s="18">
        <v>14.8</v>
      </c>
      <c r="Q1113" s="18">
        <v>2</v>
      </c>
      <c r="R1113" s="18">
        <v>2</v>
      </c>
      <c r="S1113" s="18">
        <v>1</v>
      </c>
      <c r="T1113" s="18">
        <v>167.17</v>
      </c>
    </row>
    <row r="1114" spans="1:20" x14ac:dyDescent="0.3">
      <c r="A1114" s="18">
        <v>51113</v>
      </c>
      <c r="B1114" s="18">
        <v>0</v>
      </c>
      <c r="C1114" s="18">
        <v>3</v>
      </c>
      <c r="D1114" s="18" t="s">
        <v>31</v>
      </c>
      <c r="E1114" s="18">
        <v>1</v>
      </c>
      <c r="F1114" s="18">
        <v>13</v>
      </c>
      <c r="G1114" s="18" t="s">
        <v>39</v>
      </c>
      <c r="H1114" s="18" t="s">
        <v>38</v>
      </c>
      <c r="I1114" s="18">
        <v>3.1</v>
      </c>
      <c r="J1114" s="18">
        <v>5</v>
      </c>
      <c r="K1114" s="18" t="s">
        <v>36</v>
      </c>
      <c r="L1114" s="18">
        <v>2</v>
      </c>
      <c r="M1114" s="18" t="s">
        <v>35</v>
      </c>
      <c r="N1114" s="18">
        <v>4</v>
      </c>
      <c r="O1114" s="18">
        <v>0</v>
      </c>
      <c r="P1114" s="18">
        <v>11.7</v>
      </c>
      <c r="Q1114" s="18">
        <v>3</v>
      </c>
      <c r="R1114" s="18">
        <v>2</v>
      </c>
      <c r="S1114" s="18">
        <v>0</v>
      </c>
      <c r="T1114" s="18">
        <v>175.38</v>
      </c>
    </row>
    <row r="1115" spans="1:20" x14ac:dyDescent="0.3">
      <c r="A1115" s="18">
        <v>51114</v>
      </c>
      <c r="B1115" s="18">
        <v>0</v>
      </c>
      <c r="C1115" s="18">
        <v>20</v>
      </c>
      <c r="D1115" s="18" t="s">
        <v>36</v>
      </c>
      <c r="E1115" s="18">
        <v>1</v>
      </c>
      <c r="F1115" s="18">
        <v>16</v>
      </c>
      <c r="G1115" s="18" t="s">
        <v>39</v>
      </c>
      <c r="H1115" s="18" t="s">
        <v>38</v>
      </c>
      <c r="I1115" s="18">
        <v>3.3</v>
      </c>
      <c r="J1115" s="18">
        <v>2</v>
      </c>
      <c r="K1115" s="18" t="s">
        <v>44</v>
      </c>
      <c r="L1115" s="18">
        <v>3</v>
      </c>
      <c r="M1115" s="18" t="s">
        <v>41</v>
      </c>
      <c r="N1115" s="18">
        <v>3</v>
      </c>
      <c r="O1115" s="18">
        <v>0</v>
      </c>
      <c r="P1115" s="18">
        <v>18</v>
      </c>
      <c r="Q1115" s="18">
        <v>2</v>
      </c>
      <c r="R1115" s="18">
        <v>7</v>
      </c>
      <c r="S1115" s="18">
        <v>5</v>
      </c>
      <c r="T1115" s="18">
        <v>206.22</v>
      </c>
    </row>
    <row r="1116" spans="1:20" x14ac:dyDescent="0.3">
      <c r="A1116" s="18">
        <v>51115</v>
      </c>
      <c r="B1116" s="18">
        <v>0</v>
      </c>
      <c r="C1116" s="18">
        <v>56</v>
      </c>
      <c r="D1116" s="18" t="s">
        <v>36</v>
      </c>
      <c r="E1116" s="18">
        <v>1</v>
      </c>
      <c r="F1116" s="18">
        <v>24</v>
      </c>
      <c r="G1116" s="18" t="s">
        <v>37</v>
      </c>
      <c r="H1116" s="18" t="s">
        <v>38</v>
      </c>
      <c r="I1116" s="18">
        <v>3.9</v>
      </c>
      <c r="J1116" s="18">
        <v>4</v>
      </c>
      <c r="K1116" s="18" t="s">
        <v>40</v>
      </c>
      <c r="L1116" s="18">
        <v>3</v>
      </c>
      <c r="M1116" s="18" t="s">
        <v>35</v>
      </c>
      <c r="N1116" s="18">
        <v>1</v>
      </c>
      <c r="O1116" s="18">
        <v>1</v>
      </c>
      <c r="P1116" s="18">
        <v>19.3</v>
      </c>
      <c r="Q1116" s="18">
        <v>3</v>
      </c>
      <c r="R1116" s="18">
        <v>4</v>
      </c>
      <c r="S1116" s="18">
        <v>8</v>
      </c>
      <c r="T1116" s="18">
        <v>215.46</v>
      </c>
    </row>
    <row r="1117" spans="1:20" x14ac:dyDescent="0.3">
      <c r="A1117" s="18">
        <v>51116</v>
      </c>
      <c r="B1117" s="18">
        <v>1</v>
      </c>
      <c r="C1117" s="18">
        <v>4</v>
      </c>
      <c r="D1117" s="18" t="s">
        <v>36</v>
      </c>
      <c r="E1117" s="18">
        <v>1</v>
      </c>
      <c r="F1117" s="18">
        <v>8</v>
      </c>
      <c r="G1117" s="18" t="s">
        <v>37</v>
      </c>
      <c r="H1117" s="18" t="s">
        <v>33</v>
      </c>
      <c r="I1117" s="18">
        <v>3.7</v>
      </c>
      <c r="J1117" s="18">
        <v>2</v>
      </c>
      <c r="K1117" s="18" t="s">
        <v>40</v>
      </c>
      <c r="L1117" s="18">
        <v>3</v>
      </c>
      <c r="M1117" s="18" t="s">
        <v>41</v>
      </c>
      <c r="N1117" s="18">
        <v>1</v>
      </c>
      <c r="O1117" s="18">
        <v>0</v>
      </c>
      <c r="P1117" s="18">
        <v>14.5</v>
      </c>
      <c r="Q1117" s="18">
        <v>2</v>
      </c>
      <c r="R1117" s="18">
        <v>3</v>
      </c>
      <c r="S1117" s="18">
        <v>16</v>
      </c>
      <c r="T1117" s="18">
        <v>103.72</v>
      </c>
    </row>
    <row r="1118" spans="1:20" x14ac:dyDescent="0.3">
      <c r="A1118" s="18">
        <v>51117</v>
      </c>
      <c r="B1118" s="18">
        <v>0</v>
      </c>
      <c r="C1118" s="18">
        <v>5</v>
      </c>
      <c r="D1118" s="18" t="s">
        <v>31</v>
      </c>
      <c r="E1118" s="18">
        <v>3</v>
      </c>
      <c r="F1118" s="18">
        <v>27</v>
      </c>
      <c r="G1118" s="18" t="s">
        <v>37</v>
      </c>
      <c r="H1118" s="18" t="s">
        <v>33</v>
      </c>
      <c r="I1118" s="18">
        <v>2.5</v>
      </c>
      <c r="J1118" s="18">
        <v>5</v>
      </c>
      <c r="K1118" s="18" t="s">
        <v>34</v>
      </c>
      <c r="L1118" s="18">
        <v>2</v>
      </c>
      <c r="M1118" s="18" t="s">
        <v>41</v>
      </c>
      <c r="N1118" s="18">
        <v>1</v>
      </c>
      <c r="O1118" s="18">
        <v>0</v>
      </c>
      <c r="P1118" s="18">
        <v>18.5</v>
      </c>
      <c r="Q1118" s="18">
        <v>0</v>
      </c>
      <c r="R1118" s="18">
        <v>8</v>
      </c>
      <c r="S1118" s="18">
        <v>0</v>
      </c>
      <c r="T1118" s="18">
        <v>164.49</v>
      </c>
    </row>
    <row r="1119" spans="1:20" x14ac:dyDescent="0.3">
      <c r="A1119" s="18">
        <v>51118</v>
      </c>
      <c r="B1119" s="18">
        <v>0</v>
      </c>
      <c r="C1119" s="18">
        <v>12</v>
      </c>
      <c r="D1119" s="18" t="s">
        <v>36</v>
      </c>
      <c r="E1119" s="18">
        <v>2</v>
      </c>
      <c r="F1119" s="18">
        <v>5</v>
      </c>
      <c r="G1119" s="18" t="s">
        <v>39</v>
      </c>
      <c r="H1119" s="18" t="s">
        <v>38</v>
      </c>
      <c r="I1119" s="18">
        <v>2.8</v>
      </c>
      <c r="J1119" s="18">
        <v>3</v>
      </c>
      <c r="K1119" s="18" t="s">
        <v>44</v>
      </c>
      <c r="L1119" s="18">
        <v>1</v>
      </c>
      <c r="M1119" s="18" t="s">
        <v>35</v>
      </c>
      <c r="N1119" s="18">
        <v>1</v>
      </c>
      <c r="O1119" s="18">
        <v>0</v>
      </c>
      <c r="P1119" s="18">
        <v>11</v>
      </c>
      <c r="Q1119" s="18">
        <v>3</v>
      </c>
      <c r="R1119" s="18">
        <v>5</v>
      </c>
      <c r="S1119" s="18">
        <v>2</v>
      </c>
      <c r="T1119" s="18">
        <v>247.51</v>
      </c>
    </row>
    <row r="1120" spans="1:20" x14ac:dyDescent="0.3">
      <c r="A1120" s="18">
        <v>51119</v>
      </c>
      <c r="B1120" s="18">
        <v>0</v>
      </c>
      <c r="C1120" s="18">
        <v>21</v>
      </c>
      <c r="D1120" s="18" t="s">
        <v>36</v>
      </c>
      <c r="E1120" s="18">
        <v>1</v>
      </c>
      <c r="F1120" s="18">
        <v>28</v>
      </c>
      <c r="G1120" s="18" t="s">
        <v>39</v>
      </c>
      <c r="H1120" s="18" t="s">
        <v>33</v>
      </c>
      <c r="I1120" s="18">
        <v>3.4</v>
      </c>
      <c r="J1120" s="18">
        <v>4</v>
      </c>
      <c r="K1120" s="18" t="s">
        <v>44</v>
      </c>
      <c r="L1120" s="18">
        <v>4</v>
      </c>
      <c r="M1120" s="18" t="s">
        <v>41</v>
      </c>
      <c r="N1120" s="18">
        <v>4</v>
      </c>
      <c r="O1120" s="18">
        <v>0</v>
      </c>
      <c r="P1120" s="18">
        <v>11.4</v>
      </c>
      <c r="Q1120" s="18">
        <v>0</v>
      </c>
      <c r="R1120" s="18">
        <v>3</v>
      </c>
      <c r="S1120" s="18">
        <v>6</v>
      </c>
      <c r="T1120" s="18">
        <v>107.61</v>
      </c>
    </row>
    <row r="1121" spans="1:20" x14ac:dyDescent="0.3">
      <c r="A1121" s="18">
        <v>51120</v>
      </c>
      <c r="B1121" s="18">
        <v>1</v>
      </c>
      <c r="C1121" s="18">
        <v>8</v>
      </c>
      <c r="D1121" s="18" t="s">
        <v>31</v>
      </c>
      <c r="E1121" s="18">
        <v>2</v>
      </c>
      <c r="F1121" s="18">
        <v>12</v>
      </c>
      <c r="G1121" s="18" t="s">
        <v>47</v>
      </c>
      <c r="H1121" s="18" t="s">
        <v>38</v>
      </c>
      <c r="I1121" s="18">
        <v>3.6</v>
      </c>
      <c r="J1121" s="18">
        <v>1</v>
      </c>
      <c r="K1121" s="18" t="s">
        <v>46</v>
      </c>
      <c r="L1121" s="18">
        <v>3</v>
      </c>
      <c r="M1121" s="18" t="s">
        <v>41</v>
      </c>
      <c r="N1121" s="18">
        <v>1</v>
      </c>
      <c r="O1121" s="18">
        <v>0</v>
      </c>
      <c r="P1121" s="18">
        <v>20.5</v>
      </c>
      <c r="Q1121" s="18">
        <v>1</v>
      </c>
      <c r="R1121" s="18">
        <v>3</v>
      </c>
      <c r="S1121" s="18">
        <v>8</v>
      </c>
      <c r="T1121" s="18">
        <v>184.09</v>
      </c>
    </row>
    <row r="1122" spans="1:20" x14ac:dyDescent="0.3">
      <c r="A1122" s="18">
        <v>51121</v>
      </c>
      <c r="B1122" s="18">
        <v>0</v>
      </c>
      <c r="C1122" s="18">
        <v>4</v>
      </c>
      <c r="D1122" s="18" t="s">
        <v>36</v>
      </c>
      <c r="E1122" s="18">
        <v>1</v>
      </c>
      <c r="F1122" s="18">
        <v>13</v>
      </c>
      <c r="G1122" s="18" t="s">
        <v>37</v>
      </c>
      <c r="H1122" s="18" t="s">
        <v>38</v>
      </c>
      <c r="I1122" s="18">
        <v>3.6</v>
      </c>
      <c r="J1122" s="18">
        <v>4</v>
      </c>
      <c r="K1122" s="18" t="s">
        <v>40</v>
      </c>
      <c r="L1122" s="18">
        <v>2</v>
      </c>
      <c r="M1122" s="18" t="s">
        <v>35</v>
      </c>
      <c r="N1122" s="18">
        <v>3</v>
      </c>
      <c r="O1122" s="18">
        <v>0</v>
      </c>
      <c r="P1122" s="18">
        <v>15.2</v>
      </c>
      <c r="Q1122" s="18">
        <v>3</v>
      </c>
      <c r="R1122" s="18">
        <v>4</v>
      </c>
      <c r="S1122" s="18"/>
      <c r="T1122" s="18">
        <v>170.6</v>
      </c>
    </row>
    <row r="1123" spans="1:20" x14ac:dyDescent="0.3">
      <c r="A1123" s="18">
        <v>51122</v>
      </c>
      <c r="B1123" s="18">
        <v>1</v>
      </c>
      <c r="C1123" s="18">
        <v>5</v>
      </c>
      <c r="D1123" s="18" t="s">
        <v>36</v>
      </c>
      <c r="E1123" s="18">
        <v>1</v>
      </c>
      <c r="F1123" s="18">
        <v>5</v>
      </c>
      <c r="G1123" s="18" t="s">
        <v>39</v>
      </c>
      <c r="H1123" s="18" t="s">
        <v>38</v>
      </c>
      <c r="I1123" s="18">
        <v>2.9</v>
      </c>
      <c r="J1123" s="18">
        <v>3</v>
      </c>
      <c r="K1123" s="18" t="s">
        <v>46</v>
      </c>
      <c r="L1123" s="18">
        <v>3</v>
      </c>
      <c r="M1123" s="18" t="s">
        <v>45</v>
      </c>
      <c r="N1123" s="18">
        <v>1</v>
      </c>
      <c r="O1123" s="18">
        <v>1</v>
      </c>
      <c r="P1123" s="18">
        <v>11</v>
      </c>
      <c r="Q1123" s="18">
        <v>3</v>
      </c>
      <c r="R1123" s="18">
        <v>2</v>
      </c>
      <c r="S1123" s="18">
        <v>5</v>
      </c>
      <c r="T1123" s="18">
        <v>148.83000000000001</v>
      </c>
    </row>
    <row r="1124" spans="1:20" x14ac:dyDescent="0.3">
      <c r="A1124" s="18">
        <v>51123</v>
      </c>
      <c r="B1124" s="18">
        <v>0</v>
      </c>
      <c r="C1124" s="18">
        <v>11</v>
      </c>
      <c r="D1124" s="18" t="s">
        <v>36</v>
      </c>
      <c r="E1124" s="18">
        <v>3</v>
      </c>
      <c r="F1124" s="18">
        <v>11</v>
      </c>
      <c r="G1124" s="18" t="s">
        <v>32</v>
      </c>
      <c r="H1124" s="18" t="s">
        <v>33</v>
      </c>
      <c r="I1124" s="18">
        <v>2</v>
      </c>
      <c r="J1124" s="18">
        <v>4</v>
      </c>
      <c r="K1124" s="18" t="s">
        <v>44</v>
      </c>
      <c r="L1124" s="18">
        <v>1</v>
      </c>
      <c r="M1124" s="18" t="s">
        <v>35</v>
      </c>
      <c r="N1124" s="18">
        <v>5</v>
      </c>
      <c r="O1124" s="18">
        <v>0</v>
      </c>
      <c r="P1124" s="18">
        <v>13.6</v>
      </c>
      <c r="Q1124" s="18">
        <v>1</v>
      </c>
      <c r="R1124" s="18">
        <v>2</v>
      </c>
      <c r="S1124" s="18">
        <v>1</v>
      </c>
      <c r="T1124" s="18">
        <v>267.49</v>
      </c>
    </row>
    <row r="1125" spans="1:20" x14ac:dyDescent="0.3">
      <c r="A1125" s="18">
        <v>51124</v>
      </c>
      <c r="B1125" s="18">
        <v>0</v>
      </c>
      <c r="C1125" s="18">
        <v>0</v>
      </c>
      <c r="D1125" s="18" t="s">
        <v>42</v>
      </c>
      <c r="E1125" s="18">
        <v>2</v>
      </c>
      <c r="F1125" s="18">
        <v>6</v>
      </c>
      <c r="G1125" s="18" t="s">
        <v>47</v>
      </c>
      <c r="H1125" s="18" t="s">
        <v>33</v>
      </c>
      <c r="I1125" s="18">
        <v>2.2000000000000002</v>
      </c>
      <c r="J1125" s="18">
        <v>4</v>
      </c>
      <c r="K1125" s="18" t="s">
        <v>36</v>
      </c>
      <c r="L1125" s="18">
        <v>5</v>
      </c>
      <c r="M1125" s="18" t="s">
        <v>35</v>
      </c>
      <c r="N1125" s="18">
        <v>5</v>
      </c>
      <c r="O1125" s="18">
        <v>0</v>
      </c>
      <c r="P1125" s="18">
        <v>12.8</v>
      </c>
      <c r="Q1125" s="18">
        <v>4</v>
      </c>
      <c r="R1125" s="18">
        <v>3</v>
      </c>
      <c r="S1125" s="18">
        <v>0</v>
      </c>
      <c r="T1125" s="18">
        <v>182.03</v>
      </c>
    </row>
    <row r="1126" spans="1:20" x14ac:dyDescent="0.3">
      <c r="A1126" s="18">
        <v>51125</v>
      </c>
      <c r="B1126" s="18">
        <v>1</v>
      </c>
      <c r="C1126" s="18">
        <v>9</v>
      </c>
      <c r="D1126" s="18" t="s">
        <v>42</v>
      </c>
      <c r="E1126" s="18">
        <v>3</v>
      </c>
      <c r="F1126" s="18">
        <v>10</v>
      </c>
      <c r="G1126" s="18" t="s">
        <v>32</v>
      </c>
      <c r="H1126" s="18" t="s">
        <v>33</v>
      </c>
      <c r="I1126" s="18">
        <v>3.1</v>
      </c>
      <c r="J1126" s="18">
        <v>3</v>
      </c>
      <c r="K1126" s="18" t="s">
        <v>36</v>
      </c>
      <c r="L1126" s="18">
        <v>4</v>
      </c>
      <c r="M1126" s="18" t="s">
        <v>35</v>
      </c>
      <c r="N1126" s="18">
        <v>5</v>
      </c>
      <c r="O1126" s="18">
        <v>0</v>
      </c>
      <c r="P1126" s="18">
        <v>15.4</v>
      </c>
      <c r="Q1126" s="18">
        <v>3</v>
      </c>
      <c r="R1126" s="18">
        <v>4</v>
      </c>
      <c r="S1126" s="18">
        <v>3</v>
      </c>
      <c r="T1126" s="18">
        <v>263.11</v>
      </c>
    </row>
    <row r="1127" spans="1:20" x14ac:dyDescent="0.3">
      <c r="A1127" s="18">
        <v>51126</v>
      </c>
      <c r="B1127" s="18">
        <v>0</v>
      </c>
      <c r="C1127" s="18">
        <v>4</v>
      </c>
      <c r="D1127" s="18" t="s">
        <v>31</v>
      </c>
      <c r="E1127" s="18">
        <v>1</v>
      </c>
      <c r="F1127" s="18">
        <v>13</v>
      </c>
      <c r="G1127" s="18" t="s">
        <v>37</v>
      </c>
      <c r="H1127" s="18" t="s">
        <v>33</v>
      </c>
      <c r="I1127" s="18">
        <v>3.1</v>
      </c>
      <c r="J1127" s="18">
        <v>3</v>
      </c>
      <c r="K1127" s="18" t="s">
        <v>44</v>
      </c>
      <c r="L1127" s="18">
        <v>4</v>
      </c>
      <c r="M1127" s="18" t="s">
        <v>45</v>
      </c>
      <c r="N1127" s="18">
        <v>2</v>
      </c>
      <c r="O1127" s="18">
        <v>0</v>
      </c>
      <c r="P1127" s="18">
        <v>14.7</v>
      </c>
      <c r="Q1127" s="18">
        <v>1</v>
      </c>
      <c r="R1127" s="18">
        <v>4</v>
      </c>
      <c r="S1127" s="18">
        <v>0</v>
      </c>
      <c r="T1127" s="18">
        <v>180.31</v>
      </c>
    </row>
    <row r="1128" spans="1:20" x14ac:dyDescent="0.3">
      <c r="A1128" s="18">
        <v>51127</v>
      </c>
      <c r="B1128" s="18">
        <v>0</v>
      </c>
      <c r="C1128" s="18">
        <v>15</v>
      </c>
      <c r="D1128" s="18" t="s">
        <v>36</v>
      </c>
      <c r="E1128" s="18">
        <v>3</v>
      </c>
      <c r="F1128" s="18">
        <v>22</v>
      </c>
      <c r="G1128" s="18" t="s">
        <v>39</v>
      </c>
      <c r="H1128" s="18" t="s">
        <v>38</v>
      </c>
      <c r="I1128" s="18">
        <v>2.1</v>
      </c>
      <c r="J1128" s="18">
        <v>4</v>
      </c>
      <c r="K1128" s="18" t="s">
        <v>36</v>
      </c>
      <c r="L1128" s="18">
        <v>3</v>
      </c>
      <c r="M1128" s="18" t="s">
        <v>35</v>
      </c>
      <c r="N1128" s="18">
        <v>1</v>
      </c>
      <c r="O1128" s="18">
        <v>0</v>
      </c>
      <c r="P1128" s="18">
        <v>16.600000000000001</v>
      </c>
      <c r="Q1128" s="18">
        <v>1</v>
      </c>
      <c r="R1128" s="18">
        <v>7</v>
      </c>
      <c r="S1128" s="18">
        <v>6</v>
      </c>
      <c r="T1128" s="18">
        <v>205.31</v>
      </c>
    </row>
    <row r="1129" spans="1:20" x14ac:dyDescent="0.3">
      <c r="A1129" s="18">
        <v>51128</v>
      </c>
      <c r="B1129" s="18">
        <v>0</v>
      </c>
      <c r="C1129" s="18">
        <v>0</v>
      </c>
      <c r="D1129" s="18" t="s">
        <v>36</v>
      </c>
      <c r="E1129" s="18">
        <v>2</v>
      </c>
      <c r="F1129" s="18">
        <v>16</v>
      </c>
      <c r="G1129" s="18" t="s">
        <v>47</v>
      </c>
      <c r="H1129" s="18" t="s">
        <v>38</v>
      </c>
      <c r="I1129" s="18">
        <v>2.9</v>
      </c>
      <c r="J1129" s="18">
        <v>3</v>
      </c>
      <c r="K1129" s="18" t="s">
        <v>40</v>
      </c>
      <c r="L1129" s="18">
        <v>5</v>
      </c>
      <c r="M1129" s="18" t="s">
        <v>35</v>
      </c>
      <c r="N1129" s="18">
        <v>5</v>
      </c>
      <c r="O1129" s="18">
        <v>1</v>
      </c>
      <c r="P1129" s="18">
        <v>15.8</v>
      </c>
      <c r="Q1129" s="18">
        <v>3</v>
      </c>
      <c r="R1129" s="18">
        <v>9</v>
      </c>
      <c r="S1129" s="18">
        <v>6</v>
      </c>
      <c r="T1129" s="18">
        <v>148.25</v>
      </c>
    </row>
    <row r="1130" spans="1:20" x14ac:dyDescent="0.3">
      <c r="A1130" s="18">
        <v>51129</v>
      </c>
      <c r="B1130" s="18">
        <v>0</v>
      </c>
      <c r="C1130" s="18">
        <v>8</v>
      </c>
      <c r="D1130" s="18" t="s">
        <v>42</v>
      </c>
      <c r="E1130" s="18">
        <v>2</v>
      </c>
      <c r="F1130" s="18">
        <v>17</v>
      </c>
      <c r="G1130" s="18" t="s">
        <v>39</v>
      </c>
      <c r="H1130" s="18" t="s">
        <v>38</v>
      </c>
      <c r="I1130" s="18">
        <v>3.3</v>
      </c>
      <c r="J1130" s="18">
        <v>2</v>
      </c>
      <c r="K1130" s="18" t="s">
        <v>44</v>
      </c>
      <c r="L1130" s="18">
        <v>3</v>
      </c>
      <c r="M1130" s="18" t="s">
        <v>41</v>
      </c>
      <c r="N1130" s="18">
        <v>1</v>
      </c>
      <c r="O1130" s="18">
        <v>1</v>
      </c>
      <c r="P1130" s="18">
        <v>20.8</v>
      </c>
      <c r="Q1130" s="18">
        <v>1</v>
      </c>
      <c r="R1130" s="18">
        <v>3</v>
      </c>
      <c r="S1130" s="18">
        <v>9</v>
      </c>
      <c r="T1130" s="18">
        <v>148.86000000000001</v>
      </c>
    </row>
    <row r="1131" spans="1:20" x14ac:dyDescent="0.3">
      <c r="A1131" s="18">
        <v>51130</v>
      </c>
      <c r="B1131" s="18">
        <v>0</v>
      </c>
      <c r="C1131" s="18">
        <v>6</v>
      </c>
      <c r="D1131" s="18" t="s">
        <v>42</v>
      </c>
      <c r="E1131" s="18">
        <v>2</v>
      </c>
      <c r="F1131" s="18">
        <v>6</v>
      </c>
      <c r="G1131" s="18" t="s">
        <v>37</v>
      </c>
      <c r="H1131" s="18" t="s">
        <v>33</v>
      </c>
      <c r="I1131" s="18">
        <v>2.1</v>
      </c>
      <c r="J1131" s="18">
        <v>2</v>
      </c>
      <c r="K1131" s="18" t="s">
        <v>44</v>
      </c>
      <c r="L1131" s="18">
        <v>4</v>
      </c>
      <c r="M1131" s="18" t="s">
        <v>41</v>
      </c>
      <c r="N1131" s="18">
        <v>1</v>
      </c>
      <c r="O1131" s="18">
        <v>1</v>
      </c>
      <c r="P1131" s="18">
        <v>17.5</v>
      </c>
      <c r="Q1131" s="18">
        <v>2</v>
      </c>
      <c r="R1131" s="18">
        <v>3</v>
      </c>
      <c r="S1131" s="18">
        <v>2</v>
      </c>
      <c r="T1131" s="18">
        <v>202.51</v>
      </c>
    </row>
    <row r="1132" spans="1:20" x14ac:dyDescent="0.3">
      <c r="A1132" s="18">
        <v>51131</v>
      </c>
      <c r="B1132" s="18">
        <v>0</v>
      </c>
      <c r="C1132" s="18">
        <v>10</v>
      </c>
      <c r="D1132" s="18" t="s">
        <v>36</v>
      </c>
      <c r="E1132" s="18">
        <v>3</v>
      </c>
      <c r="F1132" s="18">
        <v>7</v>
      </c>
      <c r="G1132" s="18" t="s">
        <v>39</v>
      </c>
      <c r="H1132" s="18" t="s">
        <v>33</v>
      </c>
      <c r="I1132" s="18">
        <v>3.7</v>
      </c>
      <c r="J1132" s="18">
        <v>2</v>
      </c>
      <c r="K1132" s="18" t="s">
        <v>40</v>
      </c>
      <c r="L1132" s="18">
        <v>3</v>
      </c>
      <c r="M1132" s="18" t="s">
        <v>35</v>
      </c>
      <c r="N1132" s="18">
        <v>1</v>
      </c>
      <c r="O1132" s="18">
        <v>0</v>
      </c>
      <c r="P1132" s="18">
        <v>17.600000000000001</v>
      </c>
      <c r="Q1132" s="18">
        <v>1</v>
      </c>
      <c r="R1132" s="18">
        <v>3</v>
      </c>
      <c r="S1132" s="18">
        <v>0</v>
      </c>
      <c r="T1132" s="18">
        <v>203.52</v>
      </c>
    </row>
    <row r="1133" spans="1:20" x14ac:dyDescent="0.3">
      <c r="A1133" s="18">
        <v>51132</v>
      </c>
      <c r="B1133" s="18">
        <v>0</v>
      </c>
      <c r="C1133" s="18">
        <v>0</v>
      </c>
      <c r="D1133" s="18" t="s">
        <v>42</v>
      </c>
      <c r="E1133" s="18">
        <v>2</v>
      </c>
      <c r="F1133" s="18">
        <v>29</v>
      </c>
      <c r="G1133" s="18" t="s">
        <v>32</v>
      </c>
      <c r="H1133" s="18" t="s">
        <v>38</v>
      </c>
      <c r="I1133" s="18">
        <v>2.6</v>
      </c>
      <c r="J1133" s="18">
        <v>3</v>
      </c>
      <c r="K1133" s="18" t="s">
        <v>36</v>
      </c>
      <c r="L1133" s="18">
        <v>4</v>
      </c>
      <c r="M1133" s="18" t="s">
        <v>45</v>
      </c>
      <c r="N1133" s="18">
        <v>3</v>
      </c>
      <c r="O1133" s="18">
        <v>1</v>
      </c>
      <c r="P1133" s="18">
        <v>20.100000000000001</v>
      </c>
      <c r="Q1133" s="18">
        <v>1</v>
      </c>
      <c r="R1133" s="18">
        <v>2</v>
      </c>
      <c r="S1133" s="18">
        <v>1</v>
      </c>
      <c r="T1133" s="18">
        <v>212.89</v>
      </c>
    </row>
    <row r="1134" spans="1:20" x14ac:dyDescent="0.3">
      <c r="A1134" s="18">
        <v>51133</v>
      </c>
      <c r="B1134" s="18">
        <v>0</v>
      </c>
      <c r="C1134" s="18">
        <v>8</v>
      </c>
      <c r="D1134" s="18" t="s">
        <v>36</v>
      </c>
      <c r="E1134" s="18">
        <v>2</v>
      </c>
      <c r="F1134" s="18">
        <v>9</v>
      </c>
      <c r="G1134" s="18" t="s">
        <v>39</v>
      </c>
      <c r="H1134" s="18" t="s">
        <v>33</v>
      </c>
      <c r="I1134" s="18">
        <v>3.8</v>
      </c>
      <c r="J1134" s="18">
        <v>4</v>
      </c>
      <c r="K1134" s="18" t="s">
        <v>46</v>
      </c>
      <c r="L1134" s="18">
        <v>4</v>
      </c>
      <c r="M1134" s="18" t="s">
        <v>35</v>
      </c>
      <c r="N1134" s="18">
        <v>4</v>
      </c>
      <c r="O1134" s="18">
        <v>0</v>
      </c>
      <c r="P1134" s="18">
        <v>14.6</v>
      </c>
      <c r="Q1134" s="18">
        <v>2</v>
      </c>
      <c r="R1134" s="18">
        <v>4</v>
      </c>
      <c r="S1134" s="18">
        <v>3</v>
      </c>
      <c r="T1134" s="18">
        <v>200.72</v>
      </c>
    </row>
    <row r="1135" spans="1:20" x14ac:dyDescent="0.3">
      <c r="A1135" s="18">
        <v>51134</v>
      </c>
      <c r="B1135" s="18">
        <v>0</v>
      </c>
      <c r="C1135" s="18">
        <v>8</v>
      </c>
      <c r="D1135" s="18" t="s">
        <v>36</v>
      </c>
      <c r="E1135" s="18">
        <v>3</v>
      </c>
      <c r="F1135" s="18">
        <v>28</v>
      </c>
      <c r="G1135" s="18" t="s">
        <v>43</v>
      </c>
      <c r="H1135" s="18" t="s">
        <v>33</v>
      </c>
      <c r="I1135" s="18">
        <v>2.5</v>
      </c>
      <c r="J1135" s="18">
        <v>3</v>
      </c>
      <c r="K1135" s="18" t="s">
        <v>36</v>
      </c>
      <c r="L1135" s="18">
        <v>3</v>
      </c>
      <c r="M1135" s="18" t="s">
        <v>35</v>
      </c>
      <c r="N1135" s="18">
        <v>3</v>
      </c>
      <c r="O1135" s="18">
        <v>1</v>
      </c>
      <c r="P1135" s="18">
        <v>11.6</v>
      </c>
      <c r="Q1135" s="18">
        <v>5</v>
      </c>
      <c r="R1135" s="18">
        <v>2</v>
      </c>
      <c r="S1135" s="18">
        <v>5</v>
      </c>
      <c r="T1135" s="18">
        <v>106.5</v>
      </c>
    </row>
    <row r="1136" spans="1:20" x14ac:dyDescent="0.3">
      <c r="A1136" s="18">
        <v>51135</v>
      </c>
      <c r="B1136" s="18">
        <v>0</v>
      </c>
      <c r="C1136" s="18">
        <v>8</v>
      </c>
      <c r="D1136" s="18" t="s">
        <v>31</v>
      </c>
      <c r="E1136" s="18">
        <v>3</v>
      </c>
      <c r="F1136" s="18">
        <v>13</v>
      </c>
      <c r="G1136" s="18" t="s">
        <v>32</v>
      </c>
      <c r="H1136" s="18" t="s">
        <v>38</v>
      </c>
      <c r="I1136" s="18">
        <v>2.2000000000000002</v>
      </c>
      <c r="J1136" s="18">
        <v>3</v>
      </c>
      <c r="K1136" s="18" t="s">
        <v>44</v>
      </c>
      <c r="L1136" s="18">
        <v>2</v>
      </c>
      <c r="M1136" s="18" t="s">
        <v>35</v>
      </c>
      <c r="N1136" s="18">
        <v>1</v>
      </c>
      <c r="O1136" s="18">
        <v>1</v>
      </c>
      <c r="P1136" s="18">
        <v>20.2</v>
      </c>
      <c r="Q1136" s="18">
        <v>1</v>
      </c>
      <c r="R1136" s="18">
        <v>5</v>
      </c>
      <c r="S1136" s="18">
        <v>2</v>
      </c>
      <c r="T1136" s="18">
        <v>135.65</v>
      </c>
    </row>
    <row r="1137" spans="1:20" x14ac:dyDescent="0.3">
      <c r="A1137" s="18">
        <v>51136</v>
      </c>
      <c r="B1137" s="18">
        <v>0</v>
      </c>
      <c r="C1137" s="18">
        <v>9</v>
      </c>
      <c r="D1137" s="18" t="s">
        <v>36</v>
      </c>
      <c r="E1137" s="18">
        <v>1</v>
      </c>
      <c r="F1137" s="18">
        <v>15</v>
      </c>
      <c r="G1137" s="18" t="s">
        <v>37</v>
      </c>
      <c r="H1137" s="18" t="s">
        <v>38</v>
      </c>
      <c r="I1137" s="18">
        <v>2.6</v>
      </c>
      <c r="J1137" s="18">
        <v>4</v>
      </c>
      <c r="K1137" s="18" t="s">
        <v>34</v>
      </c>
      <c r="L1137" s="18">
        <v>4</v>
      </c>
      <c r="M1137" s="18" t="s">
        <v>35</v>
      </c>
      <c r="N1137" s="18">
        <v>1</v>
      </c>
      <c r="O1137" s="18">
        <v>0</v>
      </c>
      <c r="P1137" s="18">
        <v>16.5</v>
      </c>
      <c r="Q1137" s="18">
        <v>2</v>
      </c>
      <c r="R1137" s="18">
        <v>5</v>
      </c>
      <c r="S1137" s="18">
        <v>3</v>
      </c>
      <c r="T1137" s="18">
        <v>226.75</v>
      </c>
    </row>
    <row r="1138" spans="1:20" x14ac:dyDescent="0.3">
      <c r="A1138" s="18">
        <v>51137</v>
      </c>
      <c r="B1138" s="18">
        <v>0</v>
      </c>
      <c r="C1138" s="18">
        <v>11</v>
      </c>
      <c r="D1138" s="18" t="s">
        <v>42</v>
      </c>
      <c r="E1138" s="18">
        <v>3</v>
      </c>
      <c r="F1138" s="18">
        <v>23</v>
      </c>
      <c r="G1138" s="18" t="s">
        <v>47</v>
      </c>
      <c r="H1138" s="18" t="s">
        <v>33</v>
      </c>
      <c r="I1138" s="18">
        <v>2.8</v>
      </c>
      <c r="J1138" s="18">
        <v>2</v>
      </c>
      <c r="K1138" s="18" t="s">
        <v>34</v>
      </c>
      <c r="L1138" s="18">
        <v>3</v>
      </c>
      <c r="M1138" s="18" t="s">
        <v>35</v>
      </c>
      <c r="N1138" s="18">
        <v>8</v>
      </c>
      <c r="O1138" s="18">
        <v>0</v>
      </c>
      <c r="P1138" s="18">
        <v>16.5</v>
      </c>
      <c r="Q1138" s="18">
        <v>0</v>
      </c>
      <c r="R1138" s="18">
        <v>5</v>
      </c>
      <c r="S1138" s="18">
        <v>3</v>
      </c>
      <c r="T1138" s="18">
        <v>72.28</v>
      </c>
    </row>
    <row r="1139" spans="1:20" x14ac:dyDescent="0.3">
      <c r="A1139" s="18">
        <v>51138</v>
      </c>
      <c r="B1139" s="18">
        <v>0</v>
      </c>
      <c r="C1139" s="18">
        <v>16</v>
      </c>
      <c r="D1139" s="18" t="s">
        <v>36</v>
      </c>
      <c r="E1139" s="18">
        <v>1</v>
      </c>
      <c r="F1139" s="18">
        <v>25</v>
      </c>
      <c r="G1139" s="18" t="s">
        <v>47</v>
      </c>
      <c r="H1139" s="18" t="s">
        <v>38</v>
      </c>
      <c r="I1139" s="18">
        <v>2.6</v>
      </c>
      <c r="J1139" s="18">
        <v>3</v>
      </c>
      <c r="K1139" s="18" t="s">
        <v>44</v>
      </c>
      <c r="L1139" s="18">
        <v>1</v>
      </c>
      <c r="M1139" s="18" t="s">
        <v>35</v>
      </c>
      <c r="N1139" s="18">
        <v>2</v>
      </c>
      <c r="O1139" s="18">
        <v>0</v>
      </c>
      <c r="P1139" s="18">
        <v>13.8</v>
      </c>
      <c r="Q1139" s="18">
        <v>2</v>
      </c>
      <c r="R1139" s="18">
        <v>3</v>
      </c>
      <c r="S1139" s="18"/>
      <c r="T1139" s="18">
        <v>196.09</v>
      </c>
    </row>
    <row r="1140" spans="1:20" x14ac:dyDescent="0.3">
      <c r="A1140" s="18">
        <v>51139</v>
      </c>
      <c r="B1140" s="18">
        <v>0</v>
      </c>
      <c r="C1140" s="18">
        <v>3</v>
      </c>
      <c r="D1140" s="18" t="s">
        <v>36</v>
      </c>
      <c r="E1140" s="18">
        <v>1</v>
      </c>
      <c r="F1140" s="18">
        <v>14</v>
      </c>
      <c r="G1140" s="18" t="s">
        <v>32</v>
      </c>
      <c r="H1140" s="18" t="s">
        <v>33</v>
      </c>
      <c r="I1140" s="18">
        <v>2.7</v>
      </c>
      <c r="J1140" s="18">
        <v>3</v>
      </c>
      <c r="K1140" s="18" t="s">
        <v>40</v>
      </c>
      <c r="L1140" s="18">
        <v>3</v>
      </c>
      <c r="M1140" s="18" t="s">
        <v>41</v>
      </c>
      <c r="N1140" s="18">
        <v>1</v>
      </c>
      <c r="O1140" s="18">
        <v>0</v>
      </c>
      <c r="P1140" s="18">
        <v>13.8</v>
      </c>
      <c r="Q1140" s="18">
        <v>2</v>
      </c>
      <c r="R1140" s="18">
        <v>2</v>
      </c>
      <c r="S1140" s="18">
        <v>4</v>
      </c>
      <c r="T1140" s="18">
        <v>173.85</v>
      </c>
    </row>
    <row r="1141" spans="1:20" x14ac:dyDescent="0.3">
      <c r="A1141" s="18">
        <v>51140</v>
      </c>
      <c r="B1141" s="18">
        <v>0</v>
      </c>
      <c r="C1141" s="18">
        <v>17</v>
      </c>
      <c r="D1141" s="18" t="s">
        <v>42</v>
      </c>
      <c r="E1141" s="18">
        <v>2</v>
      </c>
      <c r="F1141" s="18">
        <v>11</v>
      </c>
      <c r="G1141" s="18" t="s">
        <v>37</v>
      </c>
      <c r="H1141" s="18" t="s">
        <v>38</v>
      </c>
      <c r="I1141" s="18">
        <v>3.1</v>
      </c>
      <c r="J1141" s="18">
        <v>4</v>
      </c>
      <c r="K1141" s="18" t="s">
        <v>44</v>
      </c>
      <c r="L1141" s="18">
        <v>3</v>
      </c>
      <c r="M1141" s="18" t="s">
        <v>35</v>
      </c>
      <c r="N1141" s="18">
        <v>3</v>
      </c>
      <c r="O1141" s="18">
        <v>0</v>
      </c>
      <c r="P1141" s="18">
        <v>19</v>
      </c>
      <c r="Q1141" s="18">
        <v>3</v>
      </c>
      <c r="R1141" s="18">
        <v>3</v>
      </c>
      <c r="S1141" s="18">
        <v>2</v>
      </c>
      <c r="T1141" s="18">
        <v>226.73</v>
      </c>
    </row>
    <row r="1142" spans="1:20" x14ac:dyDescent="0.3">
      <c r="A1142" s="18">
        <v>51141</v>
      </c>
      <c r="B1142" s="18">
        <v>1</v>
      </c>
      <c r="C1142" s="18">
        <v>6</v>
      </c>
      <c r="D1142" s="18" t="s">
        <v>42</v>
      </c>
      <c r="E1142" s="18">
        <v>3</v>
      </c>
      <c r="F1142" s="18">
        <v>14</v>
      </c>
      <c r="G1142" s="18" t="s">
        <v>32</v>
      </c>
      <c r="H1142" s="18" t="s">
        <v>33</v>
      </c>
      <c r="I1142" s="18">
        <v>2.8</v>
      </c>
      <c r="J1142" s="18">
        <v>2</v>
      </c>
      <c r="K1142" s="18" t="s">
        <v>44</v>
      </c>
      <c r="L1142" s="18">
        <v>4</v>
      </c>
      <c r="M1142" s="18" t="s">
        <v>35</v>
      </c>
      <c r="N1142" s="18">
        <v>1</v>
      </c>
      <c r="O1142" s="18">
        <v>1</v>
      </c>
      <c r="P1142" s="18">
        <v>19.399999999999999</v>
      </c>
      <c r="Q1142" s="18">
        <v>1</v>
      </c>
      <c r="R1142" s="18">
        <v>3</v>
      </c>
      <c r="S1142" s="18">
        <v>8</v>
      </c>
      <c r="T1142" s="18">
        <v>202.91</v>
      </c>
    </row>
    <row r="1143" spans="1:20" x14ac:dyDescent="0.3">
      <c r="A1143" s="18">
        <v>51142</v>
      </c>
      <c r="B1143" s="18">
        <v>0</v>
      </c>
      <c r="C1143" s="18">
        <v>0</v>
      </c>
      <c r="D1143" s="18" t="s">
        <v>36</v>
      </c>
      <c r="E1143" s="18">
        <v>3</v>
      </c>
      <c r="F1143" s="18">
        <v>17</v>
      </c>
      <c r="G1143" s="18" t="s">
        <v>37</v>
      </c>
      <c r="H1143" s="18" t="s">
        <v>33</v>
      </c>
      <c r="I1143" s="18">
        <v>2.9</v>
      </c>
      <c r="J1143" s="18">
        <v>2</v>
      </c>
      <c r="K1143" s="18" t="s">
        <v>44</v>
      </c>
      <c r="L1143" s="18">
        <v>1</v>
      </c>
      <c r="M1143" s="18" t="s">
        <v>45</v>
      </c>
      <c r="N1143" s="18">
        <v>1</v>
      </c>
      <c r="O1143" s="18">
        <v>0</v>
      </c>
      <c r="P1143" s="18"/>
      <c r="Q1143" s="18">
        <v>1</v>
      </c>
      <c r="R1143" s="18">
        <v>6</v>
      </c>
      <c r="S1143" s="18">
        <v>5</v>
      </c>
      <c r="T1143" s="18">
        <v>143.47999999999999</v>
      </c>
    </row>
    <row r="1144" spans="1:20" x14ac:dyDescent="0.3">
      <c r="A1144" s="18">
        <v>51143</v>
      </c>
      <c r="B1144" s="18">
        <v>0</v>
      </c>
      <c r="C1144" s="18">
        <v>0</v>
      </c>
      <c r="D1144" s="18" t="s">
        <v>36</v>
      </c>
      <c r="E1144" s="18">
        <v>1</v>
      </c>
      <c r="F1144" s="18">
        <v>22</v>
      </c>
      <c r="G1144" s="18" t="s">
        <v>43</v>
      </c>
      <c r="H1144" s="18" t="s">
        <v>38</v>
      </c>
      <c r="I1144" s="18">
        <v>1.7</v>
      </c>
      <c r="J1144" s="18">
        <v>2</v>
      </c>
      <c r="K1144" s="18" t="s">
        <v>44</v>
      </c>
      <c r="L1144" s="18">
        <v>3</v>
      </c>
      <c r="M1144" s="18" t="s">
        <v>41</v>
      </c>
      <c r="N1144" s="18">
        <v>1</v>
      </c>
      <c r="O1144" s="18">
        <v>0</v>
      </c>
      <c r="P1144" s="18">
        <v>18.8</v>
      </c>
      <c r="Q1144" s="18">
        <v>2</v>
      </c>
      <c r="R1144" s="18">
        <v>4</v>
      </c>
      <c r="S1144" s="18">
        <v>0</v>
      </c>
      <c r="T1144" s="18">
        <v>140.99</v>
      </c>
    </row>
    <row r="1145" spans="1:20" x14ac:dyDescent="0.3">
      <c r="A1145" s="18">
        <v>51144</v>
      </c>
      <c r="B1145" s="18">
        <v>0</v>
      </c>
      <c r="C1145" s="18">
        <v>4</v>
      </c>
      <c r="D1145" s="18" t="s">
        <v>31</v>
      </c>
      <c r="E1145" s="18">
        <v>2</v>
      </c>
      <c r="F1145" s="18">
        <v>15</v>
      </c>
      <c r="G1145" s="18" t="s">
        <v>37</v>
      </c>
      <c r="H1145" s="18" t="s">
        <v>33</v>
      </c>
      <c r="I1145" s="18">
        <v>3.2</v>
      </c>
      <c r="J1145" s="18">
        <v>3</v>
      </c>
      <c r="K1145" s="18" t="s">
        <v>46</v>
      </c>
      <c r="L1145" s="18">
        <v>4</v>
      </c>
      <c r="M1145" s="18" t="s">
        <v>45</v>
      </c>
      <c r="N1145" s="18">
        <v>1</v>
      </c>
      <c r="O1145" s="18">
        <v>0</v>
      </c>
      <c r="P1145" s="18">
        <v>18</v>
      </c>
      <c r="Q1145" s="18">
        <v>0</v>
      </c>
      <c r="R1145" s="18">
        <v>3</v>
      </c>
      <c r="S1145" s="18">
        <v>3</v>
      </c>
      <c r="T1145" s="18">
        <v>151.25</v>
      </c>
    </row>
    <row r="1146" spans="1:20" x14ac:dyDescent="0.3">
      <c r="A1146" s="18">
        <v>51145</v>
      </c>
      <c r="B1146" s="18">
        <v>0</v>
      </c>
      <c r="C1146" s="18">
        <v>15</v>
      </c>
      <c r="D1146" s="18" t="s">
        <v>36</v>
      </c>
      <c r="E1146" s="18">
        <v>1</v>
      </c>
      <c r="F1146" s="18">
        <v>19</v>
      </c>
      <c r="G1146" s="18" t="s">
        <v>37</v>
      </c>
      <c r="H1146" s="18" t="s">
        <v>38</v>
      </c>
      <c r="I1146" s="18">
        <v>2.8</v>
      </c>
      <c r="J1146" s="18">
        <v>4</v>
      </c>
      <c r="K1146" s="18" t="s">
        <v>40</v>
      </c>
      <c r="L1146" s="18">
        <v>4</v>
      </c>
      <c r="M1146" s="18" t="s">
        <v>41</v>
      </c>
      <c r="N1146" s="18">
        <v>1</v>
      </c>
      <c r="O1146" s="18">
        <v>1</v>
      </c>
      <c r="P1146" s="18">
        <v>16.5</v>
      </c>
      <c r="Q1146" s="18">
        <v>1</v>
      </c>
      <c r="R1146" s="18">
        <v>7</v>
      </c>
      <c r="S1146" s="18">
        <v>6</v>
      </c>
      <c r="T1146" s="18">
        <v>211.9</v>
      </c>
    </row>
    <row r="1147" spans="1:20" x14ac:dyDescent="0.3">
      <c r="A1147" s="18">
        <v>51146</v>
      </c>
      <c r="B1147" s="18">
        <v>0</v>
      </c>
      <c r="C1147" s="18">
        <v>12</v>
      </c>
      <c r="D1147" s="18" t="s">
        <v>42</v>
      </c>
      <c r="E1147" s="18">
        <v>3</v>
      </c>
      <c r="F1147" s="18">
        <v>28</v>
      </c>
      <c r="G1147" s="18" t="s">
        <v>32</v>
      </c>
      <c r="H1147" s="18" t="s">
        <v>38</v>
      </c>
      <c r="I1147" s="18">
        <v>4</v>
      </c>
      <c r="J1147" s="18">
        <v>3</v>
      </c>
      <c r="K1147" s="18" t="s">
        <v>34</v>
      </c>
      <c r="L1147" s="18">
        <v>3</v>
      </c>
      <c r="M1147" s="18" t="s">
        <v>41</v>
      </c>
      <c r="N1147" s="18">
        <v>7</v>
      </c>
      <c r="O1147" s="18">
        <v>0</v>
      </c>
      <c r="P1147" s="18">
        <v>15.4</v>
      </c>
      <c r="Q1147" s="18">
        <v>5</v>
      </c>
      <c r="R1147" s="18">
        <v>5</v>
      </c>
      <c r="S1147" s="18"/>
      <c r="T1147" s="18">
        <v>53.38</v>
      </c>
    </row>
    <row r="1148" spans="1:20" x14ac:dyDescent="0.3">
      <c r="A1148" s="18">
        <v>51147</v>
      </c>
      <c r="B1148" s="18">
        <v>0</v>
      </c>
      <c r="C1148" s="18">
        <v>15</v>
      </c>
      <c r="D1148" s="18" t="s">
        <v>42</v>
      </c>
      <c r="E1148" s="18">
        <v>3</v>
      </c>
      <c r="F1148" s="18">
        <v>18</v>
      </c>
      <c r="G1148" s="18" t="s">
        <v>32</v>
      </c>
      <c r="H1148" s="18" t="s">
        <v>38</v>
      </c>
      <c r="I1148" s="18">
        <v>2.2000000000000002</v>
      </c>
      <c r="J1148" s="18">
        <v>3</v>
      </c>
      <c r="K1148" s="18" t="s">
        <v>40</v>
      </c>
      <c r="L1148" s="18">
        <v>5</v>
      </c>
      <c r="M1148" s="18" t="s">
        <v>35</v>
      </c>
      <c r="N1148" s="18">
        <v>2</v>
      </c>
      <c r="O1148" s="18">
        <v>0</v>
      </c>
      <c r="P1148" s="18">
        <v>20.2</v>
      </c>
      <c r="Q1148" s="18">
        <v>2</v>
      </c>
      <c r="R1148" s="18">
        <v>5</v>
      </c>
      <c r="S1148" s="18">
        <v>7</v>
      </c>
      <c r="T1148" s="18">
        <v>188.66</v>
      </c>
    </row>
    <row r="1149" spans="1:20" x14ac:dyDescent="0.3">
      <c r="A1149" s="18">
        <v>51148</v>
      </c>
      <c r="B1149" s="18">
        <v>0</v>
      </c>
      <c r="C1149" s="18">
        <v>7</v>
      </c>
      <c r="D1149" s="18" t="s">
        <v>36</v>
      </c>
      <c r="E1149" s="18">
        <v>2</v>
      </c>
      <c r="F1149" s="18">
        <v>17</v>
      </c>
      <c r="G1149" s="18" t="s">
        <v>37</v>
      </c>
      <c r="H1149" s="18" t="s">
        <v>38</v>
      </c>
      <c r="I1149" s="18">
        <v>1.6</v>
      </c>
      <c r="J1149" s="18">
        <v>4</v>
      </c>
      <c r="K1149" s="18" t="s">
        <v>36</v>
      </c>
      <c r="L1149" s="18">
        <v>3</v>
      </c>
      <c r="M1149" s="18" t="s">
        <v>41</v>
      </c>
      <c r="N1149" s="18">
        <v>2</v>
      </c>
      <c r="O1149" s="18">
        <v>0</v>
      </c>
      <c r="P1149" s="18">
        <v>14.7</v>
      </c>
      <c r="Q1149" s="18">
        <v>3</v>
      </c>
      <c r="R1149" s="18">
        <v>3</v>
      </c>
      <c r="S1149" s="18">
        <v>1</v>
      </c>
      <c r="T1149" s="18">
        <v>131.43</v>
      </c>
    </row>
    <row r="1150" spans="1:20" x14ac:dyDescent="0.3">
      <c r="A1150" s="18">
        <v>51149</v>
      </c>
      <c r="B1150" s="18">
        <v>0</v>
      </c>
      <c r="C1150" s="18">
        <v>5</v>
      </c>
      <c r="D1150" s="18" t="s">
        <v>36</v>
      </c>
      <c r="E1150" s="18">
        <v>3</v>
      </c>
      <c r="F1150" s="18">
        <v>5</v>
      </c>
      <c r="G1150" s="18" t="s">
        <v>39</v>
      </c>
      <c r="H1150" s="18" t="s">
        <v>33</v>
      </c>
      <c r="I1150" s="18">
        <v>3.3</v>
      </c>
      <c r="J1150" s="18">
        <v>4</v>
      </c>
      <c r="K1150" s="18" t="s">
        <v>40</v>
      </c>
      <c r="L1150" s="18">
        <v>3</v>
      </c>
      <c r="M1150" s="18" t="s">
        <v>41</v>
      </c>
      <c r="N1150" s="18">
        <v>4</v>
      </c>
      <c r="O1150" s="18">
        <v>0</v>
      </c>
      <c r="P1150" s="18">
        <v>17.3</v>
      </c>
      <c r="Q1150" s="18">
        <v>3</v>
      </c>
      <c r="R1150" s="18">
        <v>2</v>
      </c>
      <c r="S1150" s="18">
        <v>3</v>
      </c>
      <c r="T1150" s="18">
        <v>190.5</v>
      </c>
    </row>
    <row r="1151" spans="1:20" x14ac:dyDescent="0.3">
      <c r="A1151" s="18">
        <v>51150</v>
      </c>
      <c r="B1151" s="18">
        <v>1</v>
      </c>
      <c r="C1151" s="18">
        <v>1</v>
      </c>
      <c r="D1151" s="18" t="s">
        <v>36</v>
      </c>
      <c r="E1151" s="18">
        <v>3</v>
      </c>
      <c r="F1151" s="18">
        <v>5</v>
      </c>
      <c r="G1151" s="18" t="s">
        <v>37</v>
      </c>
      <c r="H1151" s="18" t="s">
        <v>38</v>
      </c>
      <c r="I1151" s="18">
        <v>3.1</v>
      </c>
      <c r="J1151" s="18">
        <v>3</v>
      </c>
      <c r="K1151" s="18" t="s">
        <v>34</v>
      </c>
      <c r="L1151" s="18">
        <v>5</v>
      </c>
      <c r="M1151" s="18" t="s">
        <v>41</v>
      </c>
      <c r="N1151" s="18">
        <v>10</v>
      </c>
      <c r="O1151" s="18">
        <v>0</v>
      </c>
      <c r="P1151" s="18">
        <v>13.2</v>
      </c>
      <c r="Q1151" s="18">
        <v>3</v>
      </c>
      <c r="R1151" s="18">
        <v>3</v>
      </c>
      <c r="S1151" s="18">
        <v>14</v>
      </c>
      <c r="T1151" s="18">
        <v>198.95</v>
      </c>
    </row>
    <row r="1152" spans="1:20" x14ac:dyDescent="0.3">
      <c r="A1152" s="18">
        <v>51151</v>
      </c>
      <c r="B1152" s="18">
        <v>0</v>
      </c>
      <c r="C1152" s="18">
        <v>3</v>
      </c>
      <c r="D1152" s="18" t="s">
        <v>42</v>
      </c>
      <c r="E1152" s="18">
        <v>2</v>
      </c>
      <c r="F1152" s="18">
        <v>18</v>
      </c>
      <c r="G1152" s="18" t="s">
        <v>43</v>
      </c>
      <c r="H1152" s="18" t="s">
        <v>33</v>
      </c>
      <c r="I1152" s="18">
        <v>2.2000000000000002</v>
      </c>
      <c r="J1152" s="18">
        <v>4</v>
      </c>
      <c r="K1152" s="18" t="s">
        <v>40</v>
      </c>
      <c r="L1152" s="18">
        <v>5</v>
      </c>
      <c r="M1152" s="18" t="s">
        <v>35</v>
      </c>
      <c r="N1152" s="18">
        <v>1</v>
      </c>
      <c r="O1152" s="18">
        <v>0</v>
      </c>
      <c r="P1152" s="18">
        <v>13.7</v>
      </c>
      <c r="Q1152" s="18">
        <v>2</v>
      </c>
      <c r="R1152" s="18">
        <v>6</v>
      </c>
      <c r="S1152" s="18">
        <v>4</v>
      </c>
      <c r="T1152" s="18">
        <v>88.57</v>
      </c>
    </row>
    <row r="1153" spans="1:20" x14ac:dyDescent="0.3">
      <c r="A1153" s="18">
        <v>51152</v>
      </c>
      <c r="B1153" s="18">
        <v>0</v>
      </c>
      <c r="C1153" s="18">
        <v>5</v>
      </c>
      <c r="D1153" s="18" t="s">
        <v>36</v>
      </c>
      <c r="E1153" s="18">
        <v>1</v>
      </c>
      <c r="F1153" s="18">
        <v>14</v>
      </c>
      <c r="G1153" s="18" t="s">
        <v>32</v>
      </c>
      <c r="H1153" s="18" t="s">
        <v>33</v>
      </c>
      <c r="I1153" s="18">
        <v>1.8</v>
      </c>
      <c r="J1153" s="18">
        <v>2</v>
      </c>
      <c r="K1153" s="18" t="s">
        <v>40</v>
      </c>
      <c r="L1153" s="18">
        <v>3</v>
      </c>
      <c r="M1153" s="18" t="s">
        <v>41</v>
      </c>
      <c r="N1153" s="18">
        <v>6</v>
      </c>
      <c r="O1153" s="18">
        <v>1</v>
      </c>
      <c r="P1153" s="18">
        <v>15.2</v>
      </c>
      <c r="Q1153" s="18">
        <v>3</v>
      </c>
      <c r="R1153" s="18">
        <v>4</v>
      </c>
      <c r="S1153" s="18">
        <v>2</v>
      </c>
      <c r="T1153" s="18">
        <v>167.52</v>
      </c>
    </row>
    <row r="1154" spans="1:20" x14ac:dyDescent="0.3">
      <c r="A1154" s="18">
        <v>51153</v>
      </c>
      <c r="B1154" s="18">
        <v>0</v>
      </c>
      <c r="C1154" s="18">
        <v>0</v>
      </c>
      <c r="D1154" s="18" t="s">
        <v>36</v>
      </c>
      <c r="E1154" s="18">
        <v>1</v>
      </c>
      <c r="F1154" s="18">
        <v>10</v>
      </c>
      <c r="G1154" s="18" t="s">
        <v>32</v>
      </c>
      <c r="H1154" s="18" t="s">
        <v>38</v>
      </c>
      <c r="I1154" s="18">
        <v>4</v>
      </c>
      <c r="J1154" s="18">
        <v>5</v>
      </c>
      <c r="K1154" s="18" t="s">
        <v>34</v>
      </c>
      <c r="L1154" s="18">
        <v>2</v>
      </c>
      <c r="M1154" s="18" t="s">
        <v>35</v>
      </c>
      <c r="N1154" s="18">
        <v>3</v>
      </c>
      <c r="O1154" s="18">
        <v>1</v>
      </c>
      <c r="P1154" s="18">
        <v>13.2</v>
      </c>
      <c r="Q1154" s="18">
        <v>1</v>
      </c>
      <c r="R1154" s="18">
        <v>5</v>
      </c>
      <c r="S1154" s="18">
        <v>0</v>
      </c>
      <c r="T1154" s="18">
        <v>188.56</v>
      </c>
    </row>
    <row r="1155" spans="1:20" x14ac:dyDescent="0.3">
      <c r="A1155" s="18">
        <v>51154</v>
      </c>
      <c r="B1155" s="18">
        <v>0</v>
      </c>
      <c r="C1155" s="18">
        <v>2</v>
      </c>
      <c r="D1155" s="18" t="s">
        <v>36</v>
      </c>
      <c r="E1155" s="18">
        <v>2</v>
      </c>
      <c r="F1155" s="18">
        <v>16</v>
      </c>
      <c r="G1155" s="18" t="s">
        <v>39</v>
      </c>
      <c r="H1155" s="18" t="s">
        <v>33</v>
      </c>
      <c r="I1155" s="18">
        <v>3.9</v>
      </c>
      <c r="J1155" s="18">
        <v>5</v>
      </c>
      <c r="K1155" s="18" t="s">
        <v>44</v>
      </c>
      <c r="L1155" s="18">
        <v>3</v>
      </c>
      <c r="M1155" s="18" t="s">
        <v>35</v>
      </c>
      <c r="N1155" s="18">
        <v>1</v>
      </c>
      <c r="O1155" s="18">
        <v>0</v>
      </c>
      <c r="P1155" s="18">
        <v>18.8</v>
      </c>
      <c r="Q1155" s="18">
        <v>3</v>
      </c>
      <c r="R1155" s="18">
        <v>2</v>
      </c>
      <c r="S1155" s="18">
        <v>0</v>
      </c>
      <c r="T1155" s="18">
        <v>184.84</v>
      </c>
    </row>
    <row r="1156" spans="1:20" x14ac:dyDescent="0.3">
      <c r="A1156" s="18">
        <v>51155</v>
      </c>
      <c r="B1156" s="18">
        <v>0</v>
      </c>
      <c r="C1156" s="18">
        <v>9</v>
      </c>
      <c r="D1156" s="18" t="s">
        <v>31</v>
      </c>
      <c r="E1156" s="18">
        <v>2</v>
      </c>
      <c r="F1156" s="18">
        <v>14</v>
      </c>
      <c r="G1156" s="18" t="s">
        <v>37</v>
      </c>
      <c r="H1156" s="18" t="s">
        <v>33</v>
      </c>
      <c r="I1156" s="18">
        <v>1.2</v>
      </c>
      <c r="J1156" s="18">
        <v>4</v>
      </c>
      <c r="K1156" s="18" t="s">
        <v>40</v>
      </c>
      <c r="L1156" s="18">
        <v>1</v>
      </c>
      <c r="M1156" s="18" t="s">
        <v>35</v>
      </c>
      <c r="N1156" s="18">
        <v>1</v>
      </c>
      <c r="O1156" s="18">
        <v>0</v>
      </c>
      <c r="P1156" s="18">
        <v>11.3</v>
      </c>
      <c r="Q1156" s="18">
        <v>3</v>
      </c>
      <c r="R1156" s="18">
        <v>5</v>
      </c>
      <c r="S1156" s="18">
        <v>4</v>
      </c>
      <c r="T1156" s="18">
        <v>173.28</v>
      </c>
    </row>
    <row r="1157" spans="1:20" x14ac:dyDescent="0.3">
      <c r="A1157" s="18">
        <v>51156</v>
      </c>
      <c r="B1157" s="18">
        <v>0</v>
      </c>
      <c r="C1157" s="18">
        <v>13</v>
      </c>
      <c r="D1157" s="18" t="s">
        <v>36</v>
      </c>
      <c r="E1157" s="18">
        <v>1</v>
      </c>
      <c r="F1157" s="18">
        <v>24</v>
      </c>
      <c r="G1157" s="18" t="s">
        <v>47</v>
      </c>
      <c r="H1157" s="18" t="s">
        <v>33</v>
      </c>
      <c r="I1157" s="18">
        <v>2.6</v>
      </c>
      <c r="J1157" s="18">
        <v>1</v>
      </c>
      <c r="K1157" s="18" t="s">
        <v>46</v>
      </c>
      <c r="L1157" s="18">
        <v>1</v>
      </c>
      <c r="M1157" s="18" t="s">
        <v>45</v>
      </c>
      <c r="N1157" s="18">
        <v>2</v>
      </c>
      <c r="O1157" s="18">
        <v>1</v>
      </c>
      <c r="P1157" s="18">
        <v>16.3</v>
      </c>
      <c r="Q1157" s="18">
        <v>0</v>
      </c>
      <c r="R1157" s="18">
        <v>6</v>
      </c>
      <c r="S1157" s="18">
        <v>3</v>
      </c>
      <c r="T1157" s="18">
        <v>112.85</v>
      </c>
    </row>
    <row r="1158" spans="1:20" x14ac:dyDescent="0.3">
      <c r="A1158" s="18">
        <v>51157</v>
      </c>
      <c r="B1158" s="18">
        <v>0</v>
      </c>
      <c r="C1158" s="18">
        <v>60</v>
      </c>
      <c r="D1158" s="18" t="s">
        <v>36</v>
      </c>
      <c r="E1158" s="18">
        <v>3</v>
      </c>
      <c r="F1158" s="18">
        <v>15</v>
      </c>
      <c r="G1158" s="18" t="s">
        <v>32</v>
      </c>
      <c r="H1158" s="18" t="s">
        <v>38</v>
      </c>
      <c r="I1158" s="18"/>
      <c r="J1158" s="18">
        <v>3</v>
      </c>
      <c r="K1158" s="18" t="s">
        <v>34</v>
      </c>
      <c r="L1158" s="18">
        <v>3</v>
      </c>
      <c r="M1158" s="18" t="s">
        <v>35</v>
      </c>
      <c r="N1158" s="18">
        <v>4</v>
      </c>
      <c r="O1158" s="18">
        <v>0</v>
      </c>
      <c r="P1158" s="18">
        <v>16.5</v>
      </c>
      <c r="Q1158" s="18">
        <v>0</v>
      </c>
      <c r="R1158" s="18">
        <v>4</v>
      </c>
      <c r="S1158" s="18">
        <v>2</v>
      </c>
      <c r="T1158" s="18">
        <v>121.23</v>
      </c>
    </row>
    <row r="1159" spans="1:20" x14ac:dyDescent="0.3">
      <c r="A1159" s="18">
        <v>51158</v>
      </c>
      <c r="B1159" s="18">
        <v>0</v>
      </c>
      <c r="C1159" s="18">
        <v>27</v>
      </c>
      <c r="D1159" s="18" t="s">
        <v>42</v>
      </c>
      <c r="E1159" s="18">
        <v>1</v>
      </c>
      <c r="F1159" s="18">
        <v>9</v>
      </c>
      <c r="G1159" s="18" t="s">
        <v>39</v>
      </c>
      <c r="H1159" s="18" t="s">
        <v>38</v>
      </c>
      <c r="I1159" s="18">
        <v>2.6</v>
      </c>
      <c r="J1159" s="18">
        <v>4</v>
      </c>
      <c r="K1159" s="18" t="s">
        <v>44</v>
      </c>
      <c r="L1159" s="18">
        <v>5</v>
      </c>
      <c r="M1159" s="18" t="s">
        <v>41</v>
      </c>
      <c r="N1159" s="18">
        <v>1</v>
      </c>
      <c r="O1159" s="18">
        <v>0</v>
      </c>
      <c r="P1159" s="18"/>
      <c r="Q1159" s="18">
        <v>3</v>
      </c>
      <c r="R1159" s="18">
        <v>2</v>
      </c>
      <c r="S1159" s="18">
        <v>12</v>
      </c>
      <c r="T1159" s="18">
        <v>104.21</v>
      </c>
    </row>
    <row r="1160" spans="1:20" x14ac:dyDescent="0.3">
      <c r="A1160" s="18">
        <v>51159</v>
      </c>
      <c r="B1160" s="18">
        <v>0</v>
      </c>
      <c r="C1160" s="18">
        <v>10</v>
      </c>
      <c r="D1160" s="18" t="s">
        <v>42</v>
      </c>
      <c r="E1160" s="18">
        <v>2</v>
      </c>
      <c r="F1160" s="18">
        <v>22</v>
      </c>
      <c r="G1160" s="18" t="s">
        <v>32</v>
      </c>
      <c r="H1160" s="18" t="s">
        <v>33</v>
      </c>
      <c r="I1160" s="18">
        <v>2.6</v>
      </c>
      <c r="J1160" s="18">
        <v>3</v>
      </c>
      <c r="K1160" s="18" t="s">
        <v>36</v>
      </c>
      <c r="L1160" s="18">
        <v>5</v>
      </c>
      <c r="M1160" s="18" t="s">
        <v>41</v>
      </c>
      <c r="N1160" s="18">
        <v>2</v>
      </c>
      <c r="O1160" s="18">
        <v>0</v>
      </c>
      <c r="P1160" s="18">
        <v>14.5</v>
      </c>
      <c r="Q1160" s="18">
        <v>1</v>
      </c>
      <c r="R1160" s="18">
        <v>4</v>
      </c>
      <c r="S1160" s="18">
        <v>2</v>
      </c>
      <c r="T1160" s="18">
        <v>210.47</v>
      </c>
    </row>
    <row r="1161" spans="1:20" x14ac:dyDescent="0.3">
      <c r="A1161" s="18">
        <v>51160</v>
      </c>
      <c r="B1161" s="18">
        <v>1</v>
      </c>
      <c r="C1161" s="18">
        <v>5</v>
      </c>
      <c r="D1161" s="18" t="s">
        <v>31</v>
      </c>
      <c r="E1161" s="18">
        <v>2</v>
      </c>
      <c r="F1161" s="18">
        <v>13</v>
      </c>
      <c r="G1161" s="18" t="s">
        <v>37</v>
      </c>
      <c r="H1161" s="18" t="s">
        <v>33</v>
      </c>
      <c r="I1161" s="18">
        <v>2.7</v>
      </c>
      <c r="J1161" s="18">
        <v>4</v>
      </c>
      <c r="K1161" s="18" t="s">
        <v>40</v>
      </c>
      <c r="L1161" s="18">
        <v>3</v>
      </c>
      <c r="M1161" s="18" t="s">
        <v>35</v>
      </c>
      <c r="N1161" s="18">
        <v>4</v>
      </c>
      <c r="O1161" s="18">
        <v>0</v>
      </c>
      <c r="P1161" s="18">
        <v>16.899999999999999</v>
      </c>
      <c r="Q1161" s="18">
        <v>2</v>
      </c>
      <c r="R1161" s="18">
        <v>3</v>
      </c>
      <c r="S1161" s="18">
        <v>3</v>
      </c>
      <c r="T1161" s="18">
        <v>173.64</v>
      </c>
    </row>
    <row r="1162" spans="1:20" x14ac:dyDescent="0.3">
      <c r="A1162" s="18">
        <v>51161</v>
      </c>
      <c r="B1162" s="18">
        <v>0</v>
      </c>
      <c r="C1162" s="18">
        <v>10</v>
      </c>
      <c r="D1162" s="18" t="s">
        <v>36</v>
      </c>
      <c r="E1162" s="18">
        <v>2</v>
      </c>
      <c r="F1162" s="18">
        <v>19</v>
      </c>
      <c r="G1162" s="18" t="s">
        <v>39</v>
      </c>
      <c r="H1162" s="18" t="s">
        <v>38</v>
      </c>
      <c r="I1162" s="18">
        <v>2.1</v>
      </c>
      <c r="J1162" s="18">
        <v>4</v>
      </c>
      <c r="K1162" s="18" t="s">
        <v>44</v>
      </c>
      <c r="L1162" s="18">
        <v>4</v>
      </c>
      <c r="M1162" s="18" t="s">
        <v>35</v>
      </c>
      <c r="N1162" s="18">
        <v>2</v>
      </c>
      <c r="O1162" s="18">
        <v>0</v>
      </c>
      <c r="P1162" s="18">
        <v>17.5</v>
      </c>
      <c r="Q1162" s="18">
        <v>1</v>
      </c>
      <c r="R1162" s="18">
        <v>6</v>
      </c>
      <c r="S1162" s="18">
        <v>4</v>
      </c>
      <c r="T1162" s="18">
        <v>177.15</v>
      </c>
    </row>
    <row r="1163" spans="1:20" x14ac:dyDescent="0.3">
      <c r="A1163" s="18">
        <v>51162</v>
      </c>
      <c r="B1163" s="18">
        <v>0</v>
      </c>
      <c r="C1163" s="18">
        <v>15</v>
      </c>
      <c r="D1163" s="18" t="s">
        <v>36</v>
      </c>
      <c r="E1163" s="18">
        <v>2</v>
      </c>
      <c r="F1163" s="18">
        <v>11</v>
      </c>
      <c r="G1163" s="18" t="s">
        <v>39</v>
      </c>
      <c r="H1163" s="18" t="s">
        <v>33</v>
      </c>
      <c r="I1163" s="18">
        <v>1.7</v>
      </c>
      <c r="J1163" s="18">
        <v>2</v>
      </c>
      <c r="K1163" s="18" t="s">
        <v>40</v>
      </c>
      <c r="L1163" s="18">
        <v>1</v>
      </c>
      <c r="M1163" s="18" t="s">
        <v>41</v>
      </c>
      <c r="N1163" s="18">
        <v>6</v>
      </c>
      <c r="O1163" s="18">
        <v>0</v>
      </c>
      <c r="P1163" s="18">
        <v>15.3</v>
      </c>
      <c r="Q1163" s="18">
        <v>4</v>
      </c>
      <c r="R1163" s="18">
        <v>4</v>
      </c>
      <c r="S1163" s="18">
        <v>3</v>
      </c>
      <c r="T1163" s="18">
        <v>86.2</v>
      </c>
    </row>
    <row r="1164" spans="1:20" x14ac:dyDescent="0.3">
      <c r="A1164" s="18">
        <v>51163</v>
      </c>
      <c r="B1164" s="18">
        <v>0</v>
      </c>
      <c r="C1164" s="18">
        <v>1</v>
      </c>
      <c r="D1164" s="18" t="s">
        <v>31</v>
      </c>
      <c r="E1164" s="18">
        <v>1</v>
      </c>
      <c r="F1164" s="18">
        <v>9</v>
      </c>
      <c r="G1164" s="18" t="s">
        <v>39</v>
      </c>
      <c r="H1164" s="18" t="s">
        <v>33</v>
      </c>
      <c r="I1164" s="18">
        <v>3.6</v>
      </c>
      <c r="J1164" s="18">
        <v>3</v>
      </c>
      <c r="K1164" s="18" t="s">
        <v>44</v>
      </c>
      <c r="L1164" s="18">
        <v>2</v>
      </c>
      <c r="M1164" s="18" t="s">
        <v>41</v>
      </c>
      <c r="N1164" s="18">
        <v>7</v>
      </c>
      <c r="O1164" s="18">
        <v>1</v>
      </c>
      <c r="P1164" s="18">
        <v>18.399999999999999</v>
      </c>
      <c r="Q1164" s="18">
        <v>3</v>
      </c>
      <c r="R1164" s="18">
        <v>3</v>
      </c>
      <c r="S1164" s="18">
        <v>3</v>
      </c>
      <c r="T1164" s="18">
        <v>178.15</v>
      </c>
    </row>
    <row r="1165" spans="1:20" x14ac:dyDescent="0.3">
      <c r="A1165" s="18">
        <v>51164</v>
      </c>
      <c r="B1165" s="18">
        <v>0</v>
      </c>
      <c r="C1165" s="18">
        <v>5</v>
      </c>
      <c r="D1165" s="18" t="s">
        <v>36</v>
      </c>
      <c r="E1165" s="18">
        <v>1</v>
      </c>
      <c r="F1165" s="18">
        <v>15</v>
      </c>
      <c r="G1165" s="18" t="s">
        <v>37</v>
      </c>
      <c r="H1165" s="18" t="s">
        <v>33</v>
      </c>
      <c r="I1165" s="18">
        <v>1.6</v>
      </c>
      <c r="J1165" s="18">
        <v>2</v>
      </c>
      <c r="K1165" s="18" t="s">
        <v>36</v>
      </c>
      <c r="L1165" s="18">
        <v>1</v>
      </c>
      <c r="M1165" s="18" t="s">
        <v>35</v>
      </c>
      <c r="N1165" s="18">
        <v>2</v>
      </c>
      <c r="O1165" s="18">
        <v>0</v>
      </c>
      <c r="P1165" s="18">
        <v>15.6</v>
      </c>
      <c r="Q1165" s="18">
        <v>1</v>
      </c>
      <c r="R1165" s="18">
        <v>4</v>
      </c>
      <c r="S1165" s="18">
        <v>2</v>
      </c>
      <c r="T1165" s="18">
        <v>214.85</v>
      </c>
    </row>
    <row r="1166" spans="1:20" x14ac:dyDescent="0.3">
      <c r="A1166" s="18">
        <v>51165</v>
      </c>
      <c r="B1166" s="18">
        <v>0</v>
      </c>
      <c r="C1166" s="18">
        <v>18</v>
      </c>
      <c r="D1166" s="18" t="s">
        <v>42</v>
      </c>
      <c r="E1166" s="18">
        <v>2</v>
      </c>
      <c r="F1166" s="18">
        <v>15</v>
      </c>
      <c r="G1166" s="18" t="s">
        <v>39</v>
      </c>
      <c r="H1166" s="18" t="s">
        <v>33</v>
      </c>
      <c r="I1166" s="18">
        <v>3.1</v>
      </c>
      <c r="J1166" s="18">
        <v>3</v>
      </c>
      <c r="K1166" s="18" t="s">
        <v>36</v>
      </c>
      <c r="L1166" s="18">
        <v>4</v>
      </c>
      <c r="M1166" s="18" t="s">
        <v>35</v>
      </c>
      <c r="N1166" s="18">
        <v>12</v>
      </c>
      <c r="O1166" s="18">
        <v>0</v>
      </c>
      <c r="P1166" s="18">
        <v>16</v>
      </c>
      <c r="Q1166" s="18">
        <v>1</v>
      </c>
      <c r="R1166" s="18">
        <v>2</v>
      </c>
      <c r="S1166" s="18">
        <v>11</v>
      </c>
      <c r="T1166" s="18">
        <v>78.7</v>
      </c>
    </row>
    <row r="1167" spans="1:20" x14ac:dyDescent="0.3">
      <c r="A1167" s="18">
        <v>51166</v>
      </c>
      <c r="B1167" s="18">
        <v>0</v>
      </c>
      <c r="C1167" s="18">
        <v>4</v>
      </c>
      <c r="D1167" s="18" t="s">
        <v>31</v>
      </c>
      <c r="E1167" s="18">
        <v>2</v>
      </c>
      <c r="F1167" s="18">
        <v>18</v>
      </c>
      <c r="G1167" s="18" t="s">
        <v>39</v>
      </c>
      <c r="H1167" s="18" t="s">
        <v>33</v>
      </c>
      <c r="I1167" s="18">
        <v>3.5</v>
      </c>
      <c r="J1167" s="18">
        <v>3</v>
      </c>
      <c r="K1167" s="18" t="s">
        <v>36</v>
      </c>
      <c r="L1167" s="18">
        <v>2</v>
      </c>
      <c r="M1167" s="18" t="s">
        <v>35</v>
      </c>
      <c r="N1167" s="18">
        <v>1</v>
      </c>
      <c r="O1167" s="18">
        <v>0</v>
      </c>
      <c r="P1167" s="18">
        <v>16.899999999999999</v>
      </c>
      <c r="Q1167" s="18">
        <v>0</v>
      </c>
      <c r="R1167" s="18">
        <v>2</v>
      </c>
      <c r="S1167" s="18">
        <v>2</v>
      </c>
      <c r="T1167" s="18">
        <v>150.55000000000001</v>
      </c>
    </row>
    <row r="1168" spans="1:20" x14ac:dyDescent="0.3">
      <c r="A1168" s="18">
        <v>51167</v>
      </c>
      <c r="B1168" s="18">
        <v>0</v>
      </c>
      <c r="C1168" s="18">
        <v>8</v>
      </c>
      <c r="D1168" s="18" t="s">
        <v>36</v>
      </c>
      <c r="E1168" s="18">
        <v>1</v>
      </c>
      <c r="F1168" s="18">
        <v>12</v>
      </c>
      <c r="G1168" s="18" t="s">
        <v>32</v>
      </c>
      <c r="H1168" s="18" t="s">
        <v>38</v>
      </c>
      <c r="I1168" s="18">
        <v>1.9</v>
      </c>
      <c r="J1168" s="18">
        <v>4</v>
      </c>
      <c r="K1168" s="18" t="s">
        <v>36</v>
      </c>
      <c r="L1168" s="18">
        <v>5</v>
      </c>
      <c r="M1168" s="18" t="s">
        <v>35</v>
      </c>
      <c r="N1168" s="18">
        <v>1</v>
      </c>
      <c r="O1168" s="18">
        <v>1</v>
      </c>
      <c r="P1168" s="18">
        <v>19.2</v>
      </c>
      <c r="Q1168" s="18">
        <v>0</v>
      </c>
      <c r="R1168" s="18">
        <v>5</v>
      </c>
      <c r="S1168" s="18">
        <v>3</v>
      </c>
      <c r="T1168" s="18">
        <v>93.63</v>
      </c>
    </row>
    <row r="1169" spans="1:20" x14ac:dyDescent="0.3">
      <c r="A1169" s="18">
        <v>51168</v>
      </c>
      <c r="B1169" s="18">
        <v>0</v>
      </c>
      <c r="C1169" s="18">
        <v>8</v>
      </c>
      <c r="D1169" s="18" t="s">
        <v>42</v>
      </c>
      <c r="E1169" s="18">
        <v>3</v>
      </c>
      <c r="F1169" s="18">
        <v>5</v>
      </c>
      <c r="G1169" s="18" t="s">
        <v>39</v>
      </c>
      <c r="H1169" s="18" t="s">
        <v>33</v>
      </c>
      <c r="I1169" s="18">
        <v>2.2999999999999998</v>
      </c>
      <c r="J1169" s="18">
        <v>5</v>
      </c>
      <c r="K1169" s="18" t="s">
        <v>36</v>
      </c>
      <c r="L1169" s="18">
        <v>4</v>
      </c>
      <c r="M1169" s="18" t="s">
        <v>35</v>
      </c>
      <c r="N1169" s="18">
        <v>1</v>
      </c>
      <c r="O1169" s="18">
        <v>0</v>
      </c>
      <c r="P1169" s="18">
        <v>13.6</v>
      </c>
      <c r="Q1169" s="18">
        <v>0</v>
      </c>
      <c r="R1169" s="18">
        <v>6</v>
      </c>
      <c r="S1169" s="18">
        <v>5</v>
      </c>
      <c r="T1169" s="18">
        <v>156.88</v>
      </c>
    </row>
    <row r="1170" spans="1:20" x14ac:dyDescent="0.3">
      <c r="A1170" s="18">
        <v>51169</v>
      </c>
      <c r="B1170" s="18">
        <v>0</v>
      </c>
      <c r="C1170" s="18">
        <v>2</v>
      </c>
      <c r="D1170" s="18" t="s">
        <v>42</v>
      </c>
      <c r="E1170" s="18">
        <v>1</v>
      </c>
      <c r="F1170" s="18">
        <v>11</v>
      </c>
      <c r="G1170" s="18" t="s">
        <v>39</v>
      </c>
      <c r="H1170" s="18" t="s">
        <v>38</v>
      </c>
      <c r="I1170" s="18">
        <v>3.7</v>
      </c>
      <c r="J1170" s="18">
        <v>2</v>
      </c>
      <c r="K1170" s="18" t="s">
        <v>44</v>
      </c>
      <c r="L1170" s="18">
        <v>2</v>
      </c>
      <c r="M1170" s="18" t="s">
        <v>35</v>
      </c>
      <c r="N1170" s="18">
        <v>3</v>
      </c>
      <c r="O1170" s="18">
        <v>0</v>
      </c>
      <c r="P1170" s="18">
        <v>14.3</v>
      </c>
      <c r="Q1170" s="18">
        <v>1</v>
      </c>
      <c r="R1170" s="18">
        <v>2</v>
      </c>
      <c r="S1170" s="18">
        <v>0</v>
      </c>
      <c r="T1170" s="18">
        <v>130.44999999999999</v>
      </c>
    </row>
    <row r="1171" spans="1:20" x14ac:dyDescent="0.3">
      <c r="A1171" s="18">
        <v>51170</v>
      </c>
      <c r="B1171" s="18">
        <v>1</v>
      </c>
      <c r="C1171" s="18">
        <v>4</v>
      </c>
      <c r="D1171" s="18" t="s">
        <v>36</v>
      </c>
      <c r="E1171" s="18">
        <v>2</v>
      </c>
      <c r="F1171" s="18">
        <v>21</v>
      </c>
      <c r="G1171" s="18" t="s">
        <v>37</v>
      </c>
      <c r="H1171" s="18" t="s">
        <v>38</v>
      </c>
      <c r="I1171" s="18">
        <v>3.3</v>
      </c>
      <c r="J1171" s="18">
        <v>1</v>
      </c>
      <c r="K1171" s="18" t="s">
        <v>44</v>
      </c>
      <c r="L1171" s="18">
        <v>2</v>
      </c>
      <c r="M1171" s="18" t="s">
        <v>35</v>
      </c>
      <c r="N1171" s="18">
        <v>3</v>
      </c>
      <c r="O1171" s="18">
        <v>0</v>
      </c>
      <c r="P1171" s="18">
        <v>13.7</v>
      </c>
      <c r="Q1171" s="18">
        <v>0</v>
      </c>
      <c r="R1171" s="18">
        <v>4</v>
      </c>
      <c r="S1171" s="18">
        <v>7</v>
      </c>
      <c r="T1171" s="18">
        <v>200.95</v>
      </c>
    </row>
    <row r="1172" spans="1:20" x14ac:dyDescent="0.3">
      <c r="A1172" s="18">
        <v>51171</v>
      </c>
      <c r="B1172" s="18">
        <v>0</v>
      </c>
      <c r="C1172" s="18">
        <v>4</v>
      </c>
      <c r="D1172" s="18" t="s">
        <v>36</v>
      </c>
      <c r="E1172" s="18">
        <v>3</v>
      </c>
      <c r="F1172" s="18">
        <v>12</v>
      </c>
      <c r="G1172" s="18" t="s">
        <v>37</v>
      </c>
      <c r="H1172" s="18" t="s">
        <v>38</v>
      </c>
      <c r="I1172" s="18">
        <v>2.5</v>
      </c>
      <c r="J1172" s="18">
        <v>3</v>
      </c>
      <c r="K1172" s="18" t="s">
        <v>44</v>
      </c>
      <c r="L1172" s="18">
        <v>4</v>
      </c>
      <c r="M1172" s="18" t="s">
        <v>45</v>
      </c>
      <c r="N1172" s="18">
        <v>2</v>
      </c>
      <c r="O1172" s="18">
        <v>0</v>
      </c>
      <c r="P1172" s="18">
        <v>14.8</v>
      </c>
      <c r="Q1172" s="18">
        <v>1</v>
      </c>
      <c r="R1172" s="18">
        <v>4</v>
      </c>
      <c r="S1172" s="18">
        <v>3</v>
      </c>
      <c r="T1172" s="18">
        <v>189.31</v>
      </c>
    </row>
    <row r="1173" spans="1:20" x14ac:dyDescent="0.3">
      <c r="A1173" s="18">
        <v>51172</v>
      </c>
      <c r="B1173" s="18">
        <v>0</v>
      </c>
      <c r="C1173" s="18">
        <v>0</v>
      </c>
      <c r="D1173" s="18" t="s">
        <v>36</v>
      </c>
      <c r="E1173" s="18">
        <v>1</v>
      </c>
      <c r="F1173" s="18">
        <v>13</v>
      </c>
      <c r="G1173" s="18" t="s">
        <v>32</v>
      </c>
      <c r="H1173" s="18" t="s">
        <v>33</v>
      </c>
      <c r="I1173" s="18">
        <v>3.7</v>
      </c>
      <c r="J1173" s="18">
        <v>2</v>
      </c>
      <c r="K1173" s="18" t="s">
        <v>44</v>
      </c>
      <c r="L1173" s="18">
        <v>5</v>
      </c>
      <c r="M1173" s="18" t="s">
        <v>35</v>
      </c>
      <c r="N1173" s="18">
        <v>1</v>
      </c>
      <c r="O1173" s="18">
        <v>0</v>
      </c>
      <c r="P1173" s="18">
        <v>21</v>
      </c>
      <c r="Q1173" s="18">
        <v>0</v>
      </c>
      <c r="R1173" s="18">
        <v>3</v>
      </c>
      <c r="S1173" s="18">
        <v>5</v>
      </c>
      <c r="T1173" s="18">
        <v>251.03</v>
      </c>
    </row>
    <row r="1174" spans="1:20" x14ac:dyDescent="0.3">
      <c r="A1174" s="18">
        <v>51173</v>
      </c>
      <c r="B1174" s="18">
        <v>0</v>
      </c>
      <c r="C1174" s="18">
        <v>0</v>
      </c>
      <c r="D1174" s="18" t="s">
        <v>36</v>
      </c>
      <c r="E1174" s="18">
        <v>1</v>
      </c>
      <c r="F1174" s="18">
        <v>22</v>
      </c>
      <c r="G1174" s="18" t="s">
        <v>37</v>
      </c>
      <c r="H1174" s="18" t="s">
        <v>33</v>
      </c>
      <c r="I1174" s="18">
        <v>3.7</v>
      </c>
      <c r="J1174" s="18">
        <v>3</v>
      </c>
      <c r="K1174" s="18" t="s">
        <v>36</v>
      </c>
      <c r="L1174" s="18">
        <v>4</v>
      </c>
      <c r="M1174" s="18" t="s">
        <v>41</v>
      </c>
      <c r="N1174" s="18">
        <v>1</v>
      </c>
      <c r="O1174" s="18">
        <v>1</v>
      </c>
      <c r="P1174" s="18">
        <v>18</v>
      </c>
      <c r="Q1174" s="18">
        <v>1</v>
      </c>
      <c r="R1174" s="18">
        <v>3</v>
      </c>
      <c r="S1174" s="18">
        <v>7</v>
      </c>
      <c r="T1174" s="18">
        <v>177.03</v>
      </c>
    </row>
    <row r="1175" spans="1:20" x14ac:dyDescent="0.3">
      <c r="A1175" s="18">
        <v>51174</v>
      </c>
      <c r="B1175" s="18">
        <v>0</v>
      </c>
      <c r="C1175" s="18">
        <v>17</v>
      </c>
      <c r="D1175" s="18" t="s">
        <v>36</v>
      </c>
      <c r="E1175" s="18">
        <v>3</v>
      </c>
      <c r="F1175" s="18">
        <v>9</v>
      </c>
      <c r="G1175" s="18" t="s">
        <v>32</v>
      </c>
      <c r="H1175" s="18" t="s">
        <v>33</v>
      </c>
      <c r="I1175" s="18">
        <v>3.1</v>
      </c>
      <c r="J1175" s="18">
        <v>4</v>
      </c>
      <c r="K1175" s="18" t="s">
        <v>46</v>
      </c>
      <c r="L1175" s="18">
        <v>3</v>
      </c>
      <c r="M1175" s="18" t="s">
        <v>41</v>
      </c>
      <c r="N1175" s="18">
        <v>6</v>
      </c>
      <c r="O1175" s="18">
        <v>0</v>
      </c>
      <c r="P1175" s="18">
        <v>12</v>
      </c>
      <c r="Q1175" s="18">
        <v>1</v>
      </c>
      <c r="R1175" s="18">
        <v>5</v>
      </c>
      <c r="S1175" s="18">
        <v>10</v>
      </c>
      <c r="T1175" s="18">
        <v>198.62</v>
      </c>
    </row>
    <row r="1176" spans="1:20" x14ac:dyDescent="0.3">
      <c r="A1176" s="18">
        <v>51175</v>
      </c>
      <c r="B1176" s="18">
        <v>0</v>
      </c>
      <c r="C1176" s="18">
        <v>3</v>
      </c>
      <c r="D1176" s="18" t="s">
        <v>31</v>
      </c>
      <c r="E1176" s="18">
        <v>2</v>
      </c>
      <c r="F1176" s="18">
        <v>5</v>
      </c>
      <c r="G1176" s="18" t="s">
        <v>47</v>
      </c>
      <c r="H1176" s="18" t="s">
        <v>38</v>
      </c>
      <c r="I1176" s="18">
        <v>2.2999999999999998</v>
      </c>
      <c r="J1176" s="18">
        <v>5</v>
      </c>
      <c r="K1176" s="18" t="s">
        <v>44</v>
      </c>
      <c r="L1176" s="18">
        <v>4</v>
      </c>
      <c r="M1176" s="18" t="s">
        <v>35</v>
      </c>
      <c r="N1176" s="18">
        <v>7</v>
      </c>
      <c r="O1176" s="18">
        <v>1</v>
      </c>
      <c r="P1176" s="18">
        <v>13.9</v>
      </c>
      <c r="Q1176" s="18">
        <v>4</v>
      </c>
      <c r="R1176" s="18">
        <v>5</v>
      </c>
      <c r="S1176" s="18">
        <v>2</v>
      </c>
      <c r="T1176" s="18">
        <v>149.33000000000001</v>
      </c>
    </row>
    <row r="1177" spans="1:20" x14ac:dyDescent="0.3">
      <c r="A1177" s="18">
        <v>51176</v>
      </c>
      <c r="B1177" s="18">
        <v>0</v>
      </c>
      <c r="C1177" s="18">
        <v>7</v>
      </c>
      <c r="D1177" s="18" t="s">
        <v>42</v>
      </c>
      <c r="E1177" s="18">
        <v>2</v>
      </c>
      <c r="F1177" s="18">
        <v>13</v>
      </c>
      <c r="G1177" s="18" t="s">
        <v>39</v>
      </c>
      <c r="H1177" s="18" t="s">
        <v>33</v>
      </c>
      <c r="I1177" s="18">
        <v>2.6</v>
      </c>
      <c r="J1177" s="18">
        <v>3</v>
      </c>
      <c r="K1177" s="18" t="s">
        <v>44</v>
      </c>
      <c r="L1177" s="18">
        <v>3</v>
      </c>
      <c r="M1177" s="18" t="s">
        <v>45</v>
      </c>
      <c r="N1177" s="18">
        <v>3</v>
      </c>
      <c r="O1177" s="18">
        <v>0</v>
      </c>
      <c r="P1177" s="18">
        <v>17.3</v>
      </c>
      <c r="Q1177" s="18">
        <v>1</v>
      </c>
      <c r="R1177" s="18">
        <v>2</v>
      </c>
      <c r="S1177" s="18">
        <v>8</v>
      </c>
      <c r="T1177" s="18">
        <v>119.33</v>
      </c>
    </row>
    <row r="1178" spans="1:20" x14ac:dyDescent="0.3">
      <c r="A1178" s="18">
        <v>51177</v>
      </c>
      <c r="B1178" s="18">
        <v>0</v>
      </c>
      <c r="C1178" s="18">
        <v>3</v>
      </c>
      <c r="D1178" s="18" t="s">
        <v>36</v>
      </c>
      <c r="E1178" s="18">
        <v>3</v>
      </c>
      <c r="F1178" s="18">
        <v>11</v>
      </c>
      <c r="G1178" s="18" t="s">
        <v>39</v>
      </c>
      <c r="H1178" s="18" t="s">
        <v>33</v>
      </c>
      <c r="I1178" s="18">
        <v>3.1</v>
      </c>
      <c r="J1178" s="18">
        <v>3</v>
      </c>
      <c r="K1178" s="18" t="s">
        <v>40</v>
      </c>
      <c r="L1178" s="18">
        <v>5</v>
      </c>
      <c r="M1178" s="18" t="s">
        <v>41</v>
      </c>
      <c r="N1178" s="18">
        <v>3</v>
      </c>
      <c r="O1178" s="18">
        <v>0</v>
      </c>
      <c r="P1178" s="18">
        <v>12.8</v>
      </c>
      <c r="Q1178" s="18">
        <v>0</v>
      </c>
      <c r="R1178" s="18">
        <v>3</v>
      </c>
      <c r="S1178" s="18">
        <v>1</v>
      </c>
      <c r="T1178" s="18">
        <v>225.91</v>
      </c>
    </row>
    <row r="1179" spans="1:20" x14ac:dyDescent="0.3">
      <c r="A1179" s="18">
        <v>51178</v>
      </c>
      <c r="B1179" s="18">
        <v>0</v>
      </c>
      <c r="C1179" s="18">
        <v>28</v>
      </c>
      <c r="D1179" s="18" t="s">
        <v>36</v>
      </c>
      <c r="E1179" s="18">
        <v>3</v>
      </c>
      <c r="F1179" s="18">
        <v>7</v>
      </c>
      <c r="G1179" s="18" t="s">
        <v>37</v>
      </c>
      <c r="H1179" s="18" t="s">
        <v>33</v>
      </c>
      <c r="I1179" s="18">
        <v>2.8</v>
      </c>
      <c r="J1179" s="18">
        <v>1</v>
      </c>
      <c r="K1179" s="18" t="s">
        <v>44</v>
      </c>
      <c r="L1179" s="18">
        <v>4</v>
      </c>
      <c r="M1179" s="18" t="s">
        <v>41</v>
      </c>
      <c r="N1179" s="18">
        <v>3</v>
      </c>
      <c r="O1179" s="18">
        <v>0</v>
      </c>
      <c r="P1179" s="18">
        <v>13.5</v>
      </c>
      <c r="Q1179" s="18">
        <v>2</v>
      </c>
      <c r="R1179" s="18">
        <v>4</v>
      </c>
      <c r="S1179" s="18">
        <v>5</v>
      </c>
      <c r="T1179" s="18">
        <v>248.38</v>
      </c>
    </row>
    <row r="1180" spans="1:20" x14ac:dyDescent="0.3">
      <c r="A1180" s="18">
        <v>51179</v>
      </c>
      <c r="B1180" s="18">
        <v>0</v>
      </c>
      <c r="C1180" s="18">
        <v>3</v>
      </c>
      <c r="D1180" s="18" t="s">
        <v>31</v>
      </c>
      <c r="E1180" s="18">
        <v>3</v>
      </c>
      <c r="F1180" s="18">
        <v>13</v>
      </c>
      <c r="G1180" s="18" t="s">
        <v>37</v>
      </c>
      <c r="H1180" s="18" t="s">
        <v>33</v>
      </c>
      <c r="I1180" s="18">
        <v>3.6</v>
      </c>
      <c r="J1180" s="18">
        <v>3</v>
      </c>
      <c r="K1180" s="18" t="s">
        <v>34</v>
      </c>
      <c r="L1180" s="18">
        <v>4</v>
      </c>
      <c r="M1180" s="18" t="s">
        <v>45</v>
      </c>
      <c r="N1180" s="18">
        <v>1</v>
      </c>
      <c r="O1180" s="18">
        <v>1</v>
      </c>
      <c r="P1180" s="18">
        <v>20.7</v>
      </c>
      <c r="Q1180" s="18">
        <v>2</v>
      </c>
      <c r="R1180" s="18">
        <v>1</v>
      </c>
      <c r="S1180" s="18">
        <v>0</v>
      </c>
      <c r="T1180" s="18">
        <v>218.81</v>
      </c>
    </row>
    <row r="1181" spans="1:20" x14ac:dyDescent="0.3">
      <c r="A1181" s="18">
        <v>51180</v>
      </c>
      <c r="B1181" s="18">
        <v>0</v>
      </c>
      <c r="C1181" s="18">
        <v>5</v>
      </c>
      <c r="D1181" s="18" t="s">
        <v>36</v>
      </c>
      <c r="E1181" s="18">
        <v>2</v>
      </c>
      <c r="F1181" s="18">
        <v>18</v>
      </c>
      <c r="G1181" s="18" t="s">
        <v>47</v>
      </c>
      <c r="H1181" s="18" t="s">
        <v>33</v>
      </c>
      <c r="I1181" s="18">
        <v>1.8</v>
      </c>
      <c r="J1181" s="18">
        <v>3</v>
      </c>
      <c r="K1181" s="18" t="s">
        <v>40</v>
      </c>
      <c r="L1181" s="18">
        <v>3</v>
      </c>
      <c r="M1181" s="18" t="s">
        <v>45</v>
      </c>
      <c r="N1181" s="18">
        <v>1</v>
      </c>
      <c r="O1181" s="18">
        <v>1</v>
      </c>
      <c r="P1181" s="18"/>
      <c r="Q1181" s="18">
        <v>2</v>
      </c>
      <c r="R1181" s="18">
        <v>2</v>
      </c>
      <c r="S1181" s="18">
        <v>0</v>
      </c>
      <c r="T1181" s="18">
        <v>187.22</v>
      </c>
    </row>
    <row r="1182" spans="1:20" x14ac:dyDescent="0.3">
      <c r="A1182" s="18">
        <v>51181</v>
      </c>
      <c r="B1182" s="18">
        <v>1</v>
      </c>
      <c r="C1182" s="18">
        <v>20</v>
      </c>
      <c r="D1182" s="18" t="s">
        <v>42</v>
      </c>
      <c r="E1182" s="18">
        <v>1</v>
      </c>
      <c r="F1182" s="18">
        <v>14</v>
      </c>
      <c r="G1182" s="18" t="s">
        <v>37</v>
      </c>
      <c r="H1182" s="18" t="s">
        <v>33</v>
      </c>
      <c r="I1182" s="18">
        <v>1.9</v>
      </c>
      <c r="J1182" s="18">
        <v>4</v>
      </c>
      <c r="K1182" s="18" t="s">
        <v>36</v>
      </c>
      <c r="L1182" s="18">
        <v>4</v>
      </c>
      <c r="M1182" s="18" t="s">
        <v>41</v>
      </c>
      <c r="N1182" s="18">
        <v>4</v>
      </c>
      <c r="O1182" s="18">
        <v>0</v>
      </c>
      <c r="P1182" s="18">
        <v>19.3</v>
      </c>
      <c r="Q1182" s="18">
        <v>4</v>
      </c>
      <c r="R1182" s="18">
        <v>8</v>
      </c>
      <c r="S1182" s="18">
        <v>0</v>
      </c>
      <c r="T1182" s="18">
        <v>126.42</v>
      </c>
    </row>
    <row r="1183" spans="1:20" x14ac:dyDescent="0.3">
      <c r="A1183" s="18">
        <v>51182</v>
      </c>
      <c r="B1183" s="18">
        <v>0</v>
      </c>
      <c r="C1183" s="18">
        <v>18</v>
      </c>
      <c r="D1183" s="18" t="s">
        <v>36</v>
      </c>
      <c r="E1183" s="18">
        <v>1</v>
      </c>
      <c r="F1183" s="18">
        <v>17</v>
      </c>
      <c r="G1183" s="18" t="s">
        <v>37</v>
      </c>
      <c r="H1183" s="18" t="s">
        <v>33</v>
      </c>
      <c r="I1183" s="18">
        <v>3</v>
      </c>
      <c r="J1183" s="18">
        <v>2</v>
      </c>
      <c r="K1183" s="18" t="s">
        <v>44</v>
      </c>
      <c r="L1183" s="18">
        <v>3</v>
      </c>
      <c r="M1183" s="18" t="s">
        <v>41</v>
      </c>
      <c r="N1183" s="18">
        <v>2</v>
      </c>
      <c r="O1183" s="18">
        <v>0</v>
      </c>
      <c r="P1183" s="18">
        <v>20.399999999999999</v>
      </c>
      <c r="Q1183" s="18">
        <v>3</v>
      </c>
      <c r="R1183" s="18">
        <v>4</v>
      </c>
      <c r="S1183" s="18">
        <v>1</v>
      </c>
      <c r="T1183" s="18">
        <v>242.79</v>
      </c>
    </row>
    <row r="1184" spans="1:20" x14ac:dyDescent="0.3">
      <c r="A1184" s="18">
        <v>51183</v>
      </c>
      <c r="B1184" s="18">
        <v>0</v>
      </c>
      <c r="C1184" s="18">
        <v>2</v>
      </c>
      <c r="D1184" s="18" t="s">
        <v>36</v>
      </c>
      <c r="E1184" s="18">
        <v>1</v>
      </c>
      <c r="F1184" s="18">
        <v>29</v>
      </c>
      <c r="G1184" s="18" t="s">
        <v>39</v>
      </c>
      <c r="H1184" s="18" t="s">
        <v>33</v>
      </c>
      <c r="I1184" s="18">
        <v>2.6</v>
      </c>
      <c r="J1184" s="18">
        <v>3</v>
      </c>
      <c r="K1184" s="18" t="s">
        <v>36</v>
      </c>
      <c r="L1184" s="18">
        <v>1</v>
      </c>
      <c r="M1184" s="18" t="s">
        <v>35</v>
      </c>
      <c r="N1184" s="18">
        <v>1</v>
      </c>
      <c r="O1184" s="18">
        <v>0</v>
      </c>
      <c r="P1184" s="18">
        <v>13.4</v>
      </c>
      <c r="Q1184" s="18">
        <v>3</v>
      </c>
      <c r="R1184" s="18">
        <v>3</v>
      </c>
      <c r="S1184" s="18">
        <v>0</v>
      </c>
      <c r="T1184" s="18">
        <v>211.87</v>
      </c>
    </row>
    <row r="1185" spans="1:20" x14ac:dyDescent="0.3">
      <c r="A1185" s="18">
        <v>51184</v>
      </c>
      <c r="B1185" s="18">
        <v>1</v>
      </c>
      <c r="C1185" s="18">
        <v>16</v>
      </c>
      <c r="D1185" s="18" t="s">
        <v>36</v>
      </c>
      <c r="E1185" s="18">
        <v>2</v>
      </c>
      <c r="F1185" s="18">
        <v>12</v>
      </c>
      <c r="G1185" s="18" t="s">
        <v>39</v>
      </c>
      <c r="H1185" s="18" t="s">
        <v>33</v>
      </c>
      <c r="I1185" s="18">
        <v>2.5</v>
      </c>
      <c r="J1185" s="18">
        <v>2</v>
      </c>
      <c r="K1185" s="18" t="s">
        <v>44</v>
      </c>
      <c r="L1185" s="18">
        <v>3</v>
      </c>
      <c r="M1185" s="18" t="s">
        <v>41</v>
      </c>
      <c r="N1185" s="18">
        <v>10</v>
      </c>
      <c r="O1185" s="18">
        <v>0</v>
      </c>
      <c r="P1185" s="18">
        <v>12.9</v>
      </c>
      <c r="Q1185" s="18">
        <v>2</v>
      </c>
      <c r="R1185" s="18">
        <v>8</v>
      </c>
      <c r="S1185" s="18"/>
      <c r="T1185" s="18">
        <v>291.37</v>
      </c>
    </row>
    <row r="1186" spans="1:20" x14ac:dyDescent="0.3">
      <c r="A1186" s="18">
        <v>51185</v>
      </c>
      <c r="B1186" s="18">
        <v>0</v>
      </c>
      <c r="C1186" s="18">
        <v>6</v>
      </c>
      <c r="D1186" s="18" t="s">
        <v>31</v>
      </c>
      <c r="E1186" s="18">
        <v>1</v>
      </c>
      <c r="F1186" s="18">
        <v>17</v>
      </c>
      <c r="G1186" s="18" t="s">
        <v>37</v>
      </c>
      <c r="H1186" s="18" t="s">
        <v>38</v>
      </c>
      <c r="I1186" s="18">
        <v>1.7</v>
      </c>
      <c r="J1186" s="18">
        <v>1</v>
      </c>
      <c r="K1186" s="18" t="s">
        <v>44</v>
      </c>
      <c r="L1186" s="18">
        <v>5</v>
      </c>
      <c r="M1186" s="18" t="s">
        <v>35</v>
      </c>
      <c r="N1186" s="18">
        <v>6</v>
      </c>
      <c r="O1186" s="18">
        <v>0</v>
      </c>
      <c r="P1186" s="18">
        <v>15</v>
      </c>
      <c r="Q1186" s="18">
        <v>3</v>
      </c>
      <c r="R1186" s="18">
        <v>5</v>
      </c>
      <c r="S1186" s="18">
        <v>1</v>
      </c>
      <c r="T1186" s="18">
        <v>116.51</v>
      </c>
    </row>
    <row r="1187" spans="1:20" x14ac:dyDescent="0.3">
      <c r="A1187" s="18">
        <v>51186</v>
      </c>
      <c r="B1187" s="18">
        <v>0</v>
      </c>
      <c r="C1187" s="18">
        <v>6</v>
      </c>
      <c r="D1187" s="18" t="s">
        <v>36</v>
      </c>
      <c r="E1187" s="18">
        <v>3</v>
      </c>
      <c r="F1187" s="18">
        <v>10</v>
      </c>
      <c r="G1187" s="18" t="s">
        <v>37</v>
      </c>
      <c r="H1187" s="18" t="s">
        <v>33</v>
      </c>
      <c r="I1187" s="18">
        <v>2.9</v>
      </c>
      <c r="J1187" s="18">
        <v>2</v>
      </c>
      <c r="K1187" s="18" t="s">
        <v>44</v>
      </c>
      <c r="L1187" s="18">
        <v>4</v>
      </c>
      <c r="M1187" s="18" t="s">
        <v>41</v>
      </c>
      <c r="N1187" s="18">
        <v>1</v>
      </c>
      <c r="O1187" s="18">
        <v>1</v>
      </c>
      <c r="P1187" s="18">
        <v>12.2</v>
      </c>
      <c r="Q1187" s="18">
        <v>2</v>
      </c>
      <c r="R1187" s="18">
        <v>2</v>
      </c>
      <c r="S1187" s="18">
        <v>6</v>
      </c>
      <c r="T1187" s="18">
        <v>227.44</v>
      </c>
    </row>
    <row r="1188" spans="1:20" x14ac:dyDescent="0.3">
      <c r="A1188" s="18">
        <v>51187</v>
      </c>
      <c r="B1188" s="18">
        <v>0</v>
      </c>
      <c r="C1188" s="18">
        <v>1</v>
      </c>
      <c r="D1188" s="18" t="s">
        <v>31</v>
      </c>
      <c r="E1188" s="18">
        <v>2</v>
      </c>
      <c r="F1188" s="18">
        <v>8</v>
      </c>
      <c r="G1188" s="18" t="s">
        <v>37</v>
      </c>
      <c r="H1188" s="18" t="s">
        <v>33</v>
      </c>
      <c r="I1188" s="18">
        <v>2.9</v>
      </c>
      <c r="J1188" s="18">
        <v>2</v>
      </c>
      <c r="K1188" s="18" t="s">
        <v>40</v>
      </c>
      <c r="L1188" s="18">
        <v>1</v>
      </c>
      <c r="M1188" s="18" t="s">
        <v>41</v>
      </c>
      <c r="N1188" s="18">
        <v>3</v>
      </c>
      <c r="O1188" s="18">
        <v>0</v>
      </c>
      <c r="P1188" s="18">
        <v>16.399999999999999</v>
      </c>
      <c r="Q1188" s="18">
        <v>0</v>
      </c>
      <c r="R1188" s="18">
        <v>4</v>
      </c>
      <c r="S1188" s="18">
        <v>0</v>
      </c>
      <c r="T1188" s="18">
        <v>210.2</v>
      </c>
    </row>
    <row r="1189" spans="1:20" x14ac:dyDescent="0.3">
      <c r="A1189" s="18">
        <v>51188</v>
      </c>
      <c r="B1189" s="18">
        <v>0</v>
      </c>
      <c r="C1189" s="18">
        <v>0</v>
      </c>
      <c r="D1189" s="18" t="s">
        <v>36</v>
      </c>
      <c r="E1189" s="18">
        <v>2</v>
      </c>
      <c r="F1189" s="18">
        <v>10</v>
      </c>
      <c r="G1189" s="18" t="s">
        <v>39</v>
      </c>
      <c r="H1189" s="18" t="s">
        <v>33</v>
      </c>
      <c r="I1189" s="18">
        <v>3.4</v>
      </c>
      <c r="J1189" s="18">
        <v>4</v>
      </c>
      <c r="K1189" s="18" t="s">
        <v>36</v>
      </c>
      <c r="L1189" s="18">
        <v>5</v>
      </c>
      <c r="M1189" s="18" t="s">
        <v>41</v>
      </c>
      <c r="N1189" s="18">
        <v>8</v>
      </c>
      <c r="O1189" s="18">
        <v>0</v>
      </c>
      <c r="P1189" s="18">
        <v>15.3</v>
      </c>
      <c r="Q1189" s="18">
        <v>2</v>
      </c>
      <c r="R1189" s="18">
        <v>3</v>
      </c>
      <c r="S1189" s="18">
        <v>1</v>
      </c>
      <c r="T1189" s="18">
        <v>161.19</v>
      </c>
    </row>
    <row r="1190" spans="1:20" x14ac:dyDescent="0.3">
      <c r="A1190" s="18">
        <v>51189</v>
      </c>
      <c r="B1190" s="18">
        <v>0</v>
      </c>
      <c r="C1190" s="18">
        <v>13</v>
      </c>
      <c r="D1190" s="18" t="s">
        <v>36</v>
      </c>
      <c r="E1190" s="18">
        <v>1</v>
      </c>
      <c r="F1190" s="18">
        <v>11</v>
      </c>
      <c r="G1190" s="18" t="s">
        <v>47</v>
      </c>
      <c r="H1190" s="18" t="s">
        <v>33</v>
      </c>
      <c r="I1190" s="18">
        <v>2.9</v>
      </c>
      <c r="J1190" s="18">
        <v>3</v>
      </c>
      <c r="K1190" s="18" t="s">
        <v>44</v>
      </c>
      <c r="L1190" s="18">
        <v>3</v>
      </c>
      <c r="M1190" s="18" t="s">
        <v>41</v>
      </c>
      <c r="N1190" s="18">
        <v>1</v>
      </c>
      <c r="O1190" s="18">
        <v>0</v>
      </c>
      <c r="P1190" s="18">
        <v>17.3</v>
      </c>
      <c r="Q1190" s="18">
        <v>1</v>
      </c>
      <c r="R1190" s="18">
        <v>4</v>
      </c>
      <c r="S1190" s="18">
        <v>2</v>
      </c>
      <c r="T1190" s="18">
        <v>255.01</v>
      </c>
    </row>
    <row r="1191" spans="1:20" x14ac:dyDescent="0.3">
      <c r="A1191" s="18">
        <v>51190</v>
      </c>
      <c r="B1191" s="18">
        <v>0</v>
      </c>
      <c r="C1191" s="18">
        <v>6</v>
      </c>
      <c r="D1191" s="18" t="s">
        <v>36</v>
      </c>
      <c r="E1191" s="18">
        <v>1</v>
      </c>
      <c r="F1191" s="18">
        <v>17</v>
      </c>
      <c r="G1191" s="18" t="s">
        <v>32</v>
      </c>
      <c r="H1191" s="18" t="s">
        <v>38</v>
      </c>
      <c r="I1191" s="18">
        <v>2.8</v>
      </c>
      <c r="J1191" s="18">
        <v>3</v>
      </c>
      <c r="K1191" s="18" t="s">
        <v>40</v>
      </c>
      <c r="L1191" s="18">
        <v>2</v>
      </c>
      <c r="M1191" s="18" t="s">
        <v>41</v>
      </c>
      <c r="N1191" s="18">
        <v>2</v>
      </c>
      <c r="O1191" s="18">
        <v>0</v>
      </c>
      <c r="P1191" s="18">
        <v>20.9</v>
      </c>
      <c r="Q1191" s="18">
        <v>3</v>
      </c>
      <c r="R1191" s="18">
        <v>12</v>
      </c>
      <c r="S1191" s="18">
        <v>2</v>
      </c>
      <c r="T1191" s="18">
        <v>202.13</v>
      </c>
    </row>
    <row r="1192" spans="1:20" x14ac:dyDescent="0.3">
      <c r="A1192" s="18">
        <v>51191</v>
      </c>
      <c r="B1192" s="18">
        <v>0</v>
      </c>
      <c r="C1192" s="18">
        <v>5</v>
      </c>
      <c r="D1192" s="18" t="s">
        <v>42</v>
      </c>
      <c r="E1192" s="18">
        <v>1</v>
      </c>
      <c r="F1192" s="18">
        <v>33</v>
      </c>
      <c r="G1192" s="18" t="s">
        <v>39</v>
      </c>
      <c r="H1192" s="18" t="s">
        <v>33</v>
      </c>
      <c r="I1192" s="18">
        <v>3.7</v>
      </c>
      <c r="J1192" s="18">
        <v>2</v>
      </c>
      <c r="K1192" s="18" t="s">
        <v>36</v>
      </c>
      <c r="L1192" s="18">
        <v>3</v>
      </c>
      <c r="M1192" s="18" t="s">
        <v>41</v>
      </c>
      <c r="N1192" s="18">
        <v>2</v>
      </c>
      <c r="O1192" s="18">
        <v>0</v>
      </c>
      <c r="P1192" s="18">
        <v>18.899999999999999</v>
      </c>
      <c r="Q1192" s="18">
        <v>2</v>
      </c>
      <c r="R1192" s="18">
        <v>5</v>
      </c>
      <c r="S1192" s="18">
        <v>0</v>
      </c>
      <c r="T1192" s="18">
        <v>128.47</v>
      </c>
    </row>
    <row r="1193" spans="1:20" x14ac:dyDescent="0.3">
      <c r="A1193" s="18">
        <v>51192</v>
      </c>
      <c r="B1193" s="18">
        <v>0</v>
      </c>
      <c r="C1193" s="18">
        <v>13</v>
      </c>
      <c r="D1193" s="18" t="s">
        <v>42</v>
      </c>
      <c r="E1193" s="18">
        <v>1</v>
      </c>
      <c r="F1193" s="18"/>
      <c r="G1193" s="18" t="s">
        <v>37</v>
      </c>
      <c r="H1193" s="18" t="s">
        <v>38</v>
      </c>
      <c r="I1193" s="18">
        <v>2</v>
      </c>
      <c r="J1193" s="18">
        <v>1</v>
      </c>
      <c r="K1193" s="18" t="s">
        <v>36</v>
      </c>
      <c r="L1193" s="18">
        <v>4</v>
      </c>
      <c r="M1193" s="18" t="s">
        <v>35</v>
      </c>
      <c r="N1193" s="18">
        <v>1</v>
      </c>
      <c r="O1193" s="18">
        <v>0</v>
      </c>
      <c r="P1193" s="18">
        <v>17.7</v>
      </c>
      <c r="Q1193" s="18">
        <v>3</v>
      </c>
      <c r="R1193" s="18">
        <v>2</v>
      </c>
      <c r="S1193" s="18">
        <v>25</v>
      </c>
      <c r="T1193" s="18">
        <v>173.49</v>
      </c>
    </row>
    <row r="1194" spans="1:20" x14ac:dyDescent="0.3">
      <c r="A1194" s="18">
        <v>51193</v>
      </c>
      <c r="B1194" s="18">
        <v>0</v>
      </c>
      <c r="C1194" s="18">
        <v>14</v>
      </c>
      <c r="D1194" s="18" t="s">
        <v>36</v>
      </c>
      <c r="E1194" s="18">
        <v>1</v>
      </c>
      <c r="F1194" s="18">
        <v>11</v>
      </c>
      <c r="G1194" s="18" t="s">
        <v>43</v>
      </c>
      <c r="H1194" s="18" t="s">
        <v>38</v>
      </c>
      <c r="I1194" s="18">
        <v>3.3</v>
      </c>
      <c r="J1194" s="18">
        <v>5</v>
      </c>
      <c r="K1194" s="18" t="s">
        <v>44</v>
      </c>
      <c r="L1194" s="18">
        <v>3</v>
      </c>
      <c r="M1194" s="18" t="s">
        <v>41</v>
      </c>
      <c r="N1194" s="18">
        <v>6</v>
      </c>
      <c r="O1194" s="18">
        <v>0</v>
      </c>
      <c r="P1194" s="18">
        <v>11</v>
      </c>
      <c r="Q1194" s="18">
        <v>1</v>
      </c>
      <c r="R1194" s="18">
        <v>3</v>
      </c>
      <c r="S1194" s="18">
        <v>1</v>
      </c>
      <c r="T1194" s="18">
        <v>127.81</v>
      </c>
    </row>
    <row r="1195" spans="1:20" x14ac:dyDescent="0.3">
      <c r="A1195" s="18">
        <v>51194</v>
      </c>
      <c r="B1195" s="18">
        <v>0</v>
      </c>
      <c r="C1195" s="18">
        <v>1</v>
      </c>
      <c r="D1195" s="18" t="s">
        <v>36</v>
      </c>
      <c r="E1195" s="18">
        <v>2</v>
      </c>
      <c r="F1195" s="18">
        <v>14</v>
      </c>
      <c r="G1195" s="18" t="s">
        <v>39</v>
      </c>
      <c r="H1195" s="18" t="s">
        <v>38</v>
      </c>
      <c r="I1195" s="18">
        <v>1.7</v>
      </c>
      <c r="J1195" s="18">
        <v>2</v>
      </c>
      <c r="K1195" s="18" t="s">
        <v>36</v>
      </c>
      <c r="L1195" s="18">
        <v>3</v>
      </c>
      <c r="M1195" s="18" t="s">
        <v>45</v>
      </c>
      <c r="N1195" s="18">
        <v>1</v>
      </c>
      <c r="O1195" s="18">
        <v>1</v>
      </c>
      <c r="P1195" s="18">
        <v>17.600000000000001</v>
      </c>
      <c r="Q1195" s="18">
        <v>2</v>
      </c>
      <c r="R1195" s="18">
        <v>4</v>
      </c>
      <c r="S1195" s="18">
        <v>6</v>
      </c>
      <c r="T1195" s="18">
        <v>154.22999999999999</v>
      </c>
    </row>
    <row r="1196" spans="1:20" x14ac:dyDescent="0.3">
      <c r="A1196" s="18">
        <v>51195</v>
      </c>
      <c r="B1196" s="18">
        <v>0</v>
      </c>
      <c r="C1196" s="18">
        <v>9</v>
      </c>
      <c r="D1196" s="18" t="s">
        <v>36</v>
      </c>
      <c r="E1196" s="18">
        <v>3</v>
      </c>
      <c r="F1196" s="18">
        <v>18</v>
      </c>
      <c r="G1196" s="18" t="s">
        <v>37</v>
      </c>
      <c r="H1196" s="18" t="s">
        <v>33</v>
      </c>
      <c r="I1196" s="18">
        <v>2.2999999999999998</v>
      </c>
      <c r="J1196" s="18">
        <v>3</v>
      </c>
      <c r="K1196" s="18" t="s">
        <v>34</v>
      </c>
      <c r="L1196" s="18">
        <v>4</v>
      </c>
      <c r="M1196" s="18" t="s">
        <v>41</v>
      </c>
      <c r="N1196" s="18">
        <v>1</v>
      </c>
      <c r="O1196" s="18">
        <v>0</v>
      </c>
      <c r="P1196" s="18">
        <v>22</v>
      </c>
      <c r="Q1196" s="18"/>
      <c r="R1196" s="18">
        <v>3</v>
      </c>
      <c r="S1196" s="18">
        <v>1</v>
      </c>
      <c r="T1196" s="18">
        <v>218.71</v>
      </c>
    </row>
    <row r="1197" spans="1:20" x14ac:dyDescent="0.3">
      <c r="A1197" s="18">
        <v>51196</v>
      </c>
      <c r="B1197" s="18">
        <v>0</v>
      </c>
      <c r="C1197" s="18">
        <v>1</v>
      </c>
      <c r="D1197" s="18" t="s">
        <v>36</v>
      </c>
      <c r="E1197" s="18">
        <v>3</v>
      </c>
      <c r="F1197" s="18">
        <v>17</v>
      </c>
      <c r="G1197" s="18" t="s">
        <v>39</v>
      </c>
      <c r="H1197" s="18" t="s">
        <v>33</v>
      </c>
      <c r="I1197" s="18">
        <v>2.1</v>
      </c>
      <c r="J1197" s="18">
        <v>2</v>
      </c>
      <c r="K1197" s="18" t="s">
        <v>44</v>
      </c>
      <c r="L1197" s="18">
        <v>3</v>
      </c>
      <c r="M1197" s="18" t="s">
        <v>35</v>
      </c>
      <c r="N1197" s="18">
        <v>1</v>
      </c>
      <c r="O1197" s="18">
        <v>0</v>
      </c>
      <c r="P1197" s="18">
        <v>11</v>
      </c>
      <c r="Q1197" s="18">
        <v>3</v>
      </c>
      <c r="R1197" s="18">
        <v>3</v>
      </c>
      <c r="S1197" s="18">
        <v>10</v>
      </c>
      <c r="T1197" s="18">
        <v>234.41</v>
      </c>
    </row>
    <row r="1198" spans="1:20" x14ac:dyDescent="0.3">
      <c r="A1198" s="18">
        <v>51197</v>
      </c>
      <c r="B1198" s="18">
        <v>0</v>
      </c>
      <c r="C1198" s="18">
        <v>13</v>
      </c>
      <c r="D1198" s="18" t="s">
        <v>36</v>
      </c>
      <c r="E1198" s="18">
        <v>2</v>
      </c>
      <c r="F1198" s="18">
        <v>25</v>
      </c>
      <c r="G1198" s="18" t="s">
        <v>47</v>
      </c>
      <c r="H1198" s="18" t="s">
        <v>38</v>
      </c>
      <c r="I1198" s="18">
        <v>3.4</v>
      </c>
      <c r="J1198" s="18">
        <v>4</v>
      </c>
      <c r="K1198" s="18" t="s">
        <v>44</v>
      </c>
      <c r="L1198" s="18">
        <v>4</v>
      </c>
      <c r="M1198" s="18" t="s">
        <v>41</v>
      </c>
      <c r="N1198" s="18">
        <v>1</v>
      </c>
      <c r="O1198" s="18">
        <v>0</v>
      </c>
      <c r="P1198" s="18">
        <v>18.399999999999999</v>
      </c>
      <c r="Q1198" s="18"/>
      <c r="R1198" s="18">
        <v>3</v>
      </c>
      <c r="S1198" s="18">
        <v>2</v>
      </c>
      <c r="T1198" s="18">
        <v>192.17</v>
      </c>
    </row>
    <row r="1199" spans="1:20" x14ac:dyDescent="0.3">
      <c r="A1199" s="18">
        <v>51198</v>
      </c>
      <c r="B1199" s="18">
        <v>0</v>
      </c>
      <c r="C1199" s="18">
        <v>10</v>
      </c>
      <c r="D1199" s="18" t="s">
        <v>42</v>
      </c>
      <c r="E1199" s="18">
        <v>1</v>
      </c>
      <c r="F1199" s="18">
        <v>5</v>
      </c>
      <c r="G1199" s="18" t="s">
        <v>39</v>
      </c>
      <c r="H1199" s="18" t="s">
        <v>33</v>
      </c>
      <c r="I1199" s="18">
        <v>2.9</v>
      </c>
      <c r="J1199" s="18">
        <v>3</v>
      </c>
      <c r="K1199" s="18" t="s">
        <v>44</v>
      </c>
      <c r="L1199" s="18">
        <v>2</v>
      </c>
      <c r="M1199" s="18" t="s">
        <v>41</v>
      </c>
      <c r="N1199" s="18">
        <v>1</v>
      </c>
      <c r="O1199" s="18">
        <v>0</v>
      </c>
      <c r="P1199" s="18">
        <v>15.4</v>
      </c>
      <c r="Q1199" s="18">
        <v>1</v>
      </c>
      <c r="R1199" s="18">
        <v>3</v>
      </c>
      <c r="S1199" s="18">
        <v>11</v>
      </c>
      <c r="T1199" s="18">
        <v>138.75</v>
      </c>
    </row>
    <row r="1200" spans="1:20" x14ac:dyDescent="0.3">
      <c r="A1200" s="18">
        <v>51199</v>
      </c>
      <c r="B1200" s="18">
        <v>0</v>
      </c>
      <c r="C1200" s="18">
        <v>31</v>
      </c>
      <c r="D1200" s="18" t="s">
        <v>42</v>
      </c>
      <c r="E1200" s="18">
        <v>3</v>
      </c>
      <c r="F1200" s="18">
        <v>5</v>
      </c>
      <c r="G1200" s="18" t="s">
        <v>43</v>
      </c>
      <c r="H1200" s="18" t="s">
        <v>38</v>
      </c>
      <c r="I1200" s="18">
        <v>2.9</v>
      </c>
      <c r="J1200" s="18">
        <v>2</v>
      </c>
      <c r="K1200" s="18" t="s">
        <v>44</v>
      </c>
      <c r="L1200" s="18">
        <v>4</v>
      </c>
      <c r="M1200" s="18" t="s">
        <v>35</v>
      </c>
      <c r="N1200" s="18">
        <v>4</v>
      </c>
      <c r="O1200" s="18">
        <v>1</v>
      </c>
      <c r="P1200" s="18">
        <v>13</v>
      </c>
      <c r="Q1200" s="18">
        <v>1</v>
      </c>
      <c r="R1200" s="18">
        <v>3</v>
      </c>
      <c r="S1200" s="18">
        <v>2</v>
      </c>
      <c r="T1200" s="18">
        <v>200.99</v>
      </c>
    </row>
    <row r="1201" spans="1:20" x14ac:dyDescent="0.3">
      <c r="A1201" s="18">
        <v>51200</v>
      </c>
      <c r="B1201" s="18">
        <v>0</v>
      </c>
      <c r="C1201" s="18">
        <v>0</v>
      </c>
      <c r="D1201" s="18" t="s">
        <v>36</v>
      </c>
      <c r="E1201" s="18">
        <v>3</v>
      </c>
      <c r="F1201" s="18">
        <v>11</v>
      </c>
      <c r="G1201" s="18" t="s">
        <v>47</v>
      </c>
      <c r="H1201" s="18" t="s">
        <v>38</v>
      </c>
      <c r="I1201" s="18">
        <v>2.1</v>
      </c>
      <c r="J1201" s="18">
        <v>3</v>
      </c>
      <c r="K1201" s="18" t="s">
        <v>36</v>
      </c>
      <c r="L1201" s="18">
        <v>4</v>
      </c>
      <c r="M1201" s="18" t="s">
        <v>35</v>
      </c>
      <c r="N1201" s="18">
        <v>1</v>
      </c>
      <c r="O1201" s="18">
        <v>0</v>
      </c>
      <c r="P1201" s="18">
        <v>18.8</v>
      </c>
      <c r="Q1201" s="18">
        <v>2</v>
      </c>
      <c r="R1201" s="18">
        <v>8</v>
      </c>
      <c r="S1201" s="18">
        <v>0</v>
      </c>
      <c r="T1201" s="18">
        <v>219.79</v>
      </c>
    </row>
    <row r="1202" spans="1:20" x14ac:dyDescent="0.3">
      <c r="A1202" s="18">
        <v>51201</v>
      </c>
      <c r="B1202" s="18">
        <v>1</v>
      </c>
      <c r="C1202" s="18">
        <v>0</v>
      </c>
      <c r="D1202" s="18" t="s">
        <v>36</v>
      </c>
      <c r="E1202" s="18">
        <v>1</v>
      </c>
      <c r="F1202" s="18">
        <v>23</v>
      </c>
      <c r="G1202" s="18" t="s">
        <v>32</v>
      </c>
      <c r="H1202" s="18" t="s">
        <v>38</v>
      </c>
      <c r="I1202" s="18">
        <v>2.7</v>
      </c>
      <c r="J1202" s="18">
        <v>5</v>
      </c>
      <c r="K1202" s="18" t="s">
        <v>46</v>
      </c>
      <c r="L1202" s="18">
        <v>4</v>
      </c>
      <c r="M1202" s="18" t="s">
        <v>35</v>
      </c>
      <c r="N1202" s="18">
        <v>3</v>
      </c>
      <c r="O1202" s="18">
        <v>1</v>
      </c>
      <c r="P1202" s="18">
        <v>22</v>
      </c>
      <c r="Q1202" s="18">
        <v>2</v>
      </c>
      <c r="R1202" s="18">
        <v>4</v>
      </c>
      <c r="S1202" s="18">
        <v>3</v>
      </c>
      <c r="T1202" s="18">
        <v>71.53</v>
      </c>
    </row>
    <row r="1203" spans="1:20" x14ac:dyDescent="0.3">
      <c r="A1203" s="18">
        <v>51202</v>
      </c>
      <c r="B1203" s="18">
        <v>0</v>
      </c>
      <c r="C1203" s="18">
        <v>3</v>
      </c>
      <c r="D1203" s="18" t="s">
        <v>42</v>
      </c>
      <c r="E1203" s="18">
        <v>3</v>
      </c>
      <c r="F1203" s="18">
        <v>5</v>
      </c>
      <c r="G1203" s="18" t="s">
        <v>47</v>
      </c>
      <c r="H1203" s="18" t="s">
        <v>33</v>
      </c>
      <c r="I1203" s="18">
        <v>2.4</v>
      </c>
      <c r="J1203" s="18">
        <v>3</v>
      </c>
      <c r="K1203" s="18" t="s">
        <v>34</v>
      </c>
      <c r="L1203" s="18">
        <v>3</v>
      </c>
      <c r="M1203" s="18" t="s">
        <v>35</v>
      </c>
      <c r="N1203" s="18">
        <v>4</v>
      </c>
      <c r="O1203" s="18">
        <v>1</v>
      </c>
      <c r="P1203" s="18">
        <v>18.7</v>
      </c>
      <c r="Q1203" s="18">
        <v>0</v>
      </c>
      <c r="R1203" s="18">
        <v>1</v>
      </c>
      <c r="S1203" s="18">
        <v>3</v>
      </c>
      <c r="T1203" s="18">
        <v>186.41</v>
      </c>
    </row>
    <row r="1204" spans="1:20" x14ac:dyDescent="0.3">
      <c r="A1204" s="18">
        <v>51203</v>
      </c>
      <c r="B1204" s="18">
        <v>0</v>
      </c>
      <c r="C1204" s="18">
        <v>3</v>
      </c>
      <c r="D1204" s="18" t="s">
        <v>42</v>
      </c>
      <c r="E1204" s="18">
        <v>1</v>
      </c>
      <c r="F1204" s="18">
        <v>5</v>
      </c>
      <c r="G1204" s="18" t="s">
        <v>37</v>
      </c>
      <c r="H1204" s="18" t="s">
        <v>38</v>
      </c>
      <c r="I1204" s="18">
        <v>3.2</v>
      </c>
      <c r="J1204" s="18">
        <v>3</v>
      </c>
      <c r="K1204" s="18" t="s">
        <v>44</v>
      </c>
      <c r="L1204" s="18">
        <v>4</v>
      </c>
      <c r="M1204" s="18" t="s">
        <v>35</v>
      </c>
      <c r="N1204" s="18">
        <v>1</v>
      </c>
      <c r="O1204" s="18">
        <v>1</v>
      </c>
      <c r="P1204" s="18">
        <v>14.7</v>
      </c>
      <c r="Q1204" s="18">
        <v>1</v>
      </c>
      <c r="R1204" s="18">
        <v>6</v>
      </c>
      <c r="S1204" s="18">
        <v>0</v>
      </c>
      <c r="T1204" s="18">
        <v>169.54</v>
      </c>
    </row>
    <row r="1205" spans="1:20" x14ac:dyDescent="0.3">
      <c r="A1205" s="18">
        <v>51204</v>
      </c>
      <c r="B1205" s="18">
        <v>0</v>
      </c>
      <c r="C1205" s="18">
        <v>2</v>
      </c>
      <c r="D1205" s="18" t="s">
        <v>36</v>
      </c>
      <c r="E1205" s="18">
        <v>3</v>
      </c>
      <c r="F1205" s="18">
        <v>19</v>
      </c>
      <c r="G1205" s="18" t="s">
        <v>37</v>
      </c>
      <c r="H1205" s="18" t="s">
        <v>38</v>
      </c>
      <c r="I1205" s="18">
        <v>2.2000000000000002</v>
      </c>
      <c r="J1205" s="18">
        <v>2</v>
      </c>
      <c r="K1205" s="18" t="s">
        <v>36</v>
      </c>
      <c r="L1205" s="18">
        <v>1</v>
      </c>
      <c r="M1205" s="18" t="s">
        <v>35</v>
      </c>
      <c r="N1205" s="18">
        <v>3</v>
      </c>
      <c r="O1205" s="18">
        <v>0</v>
      </c>
      <c r="P1205" s="18">
        <v>12.7</v>
      </c>
      <c r="Q1205" s="18">
        <v>1</v>
      </c>
      <c r="R1205" s="18">
        <v>3</v>
      </c>
      <c r="S1205" s="18">
        <v>1</v>
      </c>
      <c r="T1205" s="18">
        <v>232.45</v>
      </c>
    </row>
    <row r="1206" spans="1:20" x14ac:dyDescent="0.3">
      <c r="A1206" s="18">
        <v>51205</v>
      </c>
      <c r="B1206" s="18">
        <v>0</v>
      </c>
      <c r="C1206" s="18">
        <v>23</v>
      </c>
      <c r="D1206" s="18" t="s">
        <v>36</v>
      </c>
      <c r="E1206" s="18">
        <v>3</v>
      </c>
      <c r="F1206" s="18">
        <v>16</v>
      </c>
      <c r="G1206" s="18" t="s">
        <v>32</v>
      </c>
      <c r="H1206" s="18" t="s">
        <v>38</v>
      </c>
      <c r="I1206" s="18">
        <v>3.8</v>
      </c>
      <c r="J1206" s="18">
        <v>1</v>
      </c>
      <c r="K1206" s="18" t="s">
        <v>40</v>
      </c>
      <c r="L1206" s="18">
        <v>5</v>
      </c>
      <c r="M1206" s="18" t="s">
        <v>45</v>
      </c>
      <c r="N1206" s="18">
        <v>4</v>
      </c>
      <c r="O1206" s="18">
        <v>0</v>
      </c>
      <c r="P1206" s="18">
        <v>16.5</v>
      </c>
      <c r="Q1206" s="18">
        <v>0</v>
      </c>
      <c r="R1206" s="18">
        <v>5</v>
      </c>
      <c r="S1206" s="18">
        <v>7</v>
      </c>
      <c r="T1206" s="18">
        <v>201.21</v>
      </c>
    </row>
    <row r="1207" spans="1:20" x14ac:dyDescent="0.3">
      <c r="A1207" s="18">
        <v>51206</v>
      </c>
      <c r="B1207" s="18">
        <v>1</v>
      </c>
      <c r="C1207" s="18">
        <v>2</v>
      </c>
      <c r="D1207" s="18" t="s">
        <v>36</v>
      </c>
      <c r="E1207" s="18">
        <v>1</v>
      </c>
      <c r="F1207" s="18">
        <v>6</v>
      </c>
      <c r="G1207" s="18" t="s">
        <v>43</v>
      </c>
      <c r="H1207" s="18" t="s">
        <v>33</v>
      </c>
      <c r="I1207" s="18">
        <v>1.7</v>
      </c>
      <c r="J1207" s="18">
        <v>3</v>
      </c>
      <c r="K1207" s="18" t="s">
        <v>36</v>
      </c>
      <c r="L1207" s="18">
        <v>1</v>
      </c>
      <c r="M1207" s="18" t="s">
        <v>35</v>
      </c>
      <c r="N1207" s="18">
        <v>2</v>
      </c>
      <c r="O1207" s="18">
        <v>0</v>
      </c>
      <c r="P1207" s="18">
        <v>19.100000000000001</v>
      </c>
      <c r="Q1207" s="18">
        <v>1</v>
      </c>
      <c r="R1207" s="18">
        <v>3</v>
      </c>
      <c r="S1207" s="18">
        <v>0</v>
      </c>
      <c r="T1207" s="18">
        <v>206.64</v>
      </c>
    </row>
    <row r="1208" spans="1:20" x14ac:dyDescent="0.3">
      <c r="A1208" s="18">
        <v>51207</v>
      </c>
      <c r="B1208" s="18">
        <v>1</v>
      </c>
      <c r="C1208" s="18">
        <v>3</v>
      </c>
      <c r="D1208" s="18" t="s">
        <v>36</v>
      </c>
      <c r="E1208" s="18">
        <v>3</v>
      </c>
      <c r="F1208" s="18">
        <v>7</v>
      </c>
      <c r="G1208" s="18" t="s">
        <v>37</v>
      </c>
      <c r="H1208" s="18" t="s">
        <v>33</v>
      </c>
      <c r="I1208" s="18">
        <v>2.2999999999999998</v>
      </c>
      <c r="J1208" s="18">
        <v>4</v>
      </c>
      <c r="K1208" s="18" t="s">
        <v>36</v>
      </c>
      <c r="L1208" s="18">
        <v>2</v>
      </c>
      <c r="M1208" s="18" t="s">
        <v>45</v>
      </c>
      <c r="N1208" s="18">
        <v>1</v>
      </c>
      <c r="O1208" s="18">
        <v>1</v>
      </c>
      <c r="P1208" s="18">
        <v>14.6</v>
      </c>
      <c r="Q1208" s="18">
        <v>6</v>
      </c>
      <c r="R1208" s="18">
        <v>4</v>
      </c>
      <c r="S1208" s="18">
        <v>3</v>
      </c>
      <c r="T1208" s="18">
        <v>153.49</v>
      </c>
    </row>
    <row r="1209" spans="1:20" x14ac:dyDescent="0.3">
      <c r="A1209" s="18">
        <v>51208</v>
      </c>
      <c r="B1209" s="18">
        <v>0</v>
      </c>
      <c r="C1209" s="18">
        <v>14</v>
      </c>
      <c r="D1209" s="18" t="s">
        <v>36</v>
      </c>
      <c r="E1209" s="18">
        <v>2</v>
      </c>
      <c r="F1209" s="18">
        <v>7</v>
      </c>
      <c r="G1209" s="18" t="s">
        <v>43</v>
      </c>
      <c r="H1209" s="18" t="s">
        <v>33</v>
      </c>
      <c r="I1209" s="18">
        <v>4.0999999999999996</v>
      </c>
      <c r="J1209" s="18">
        <v>4</v>
      </c>
      <c r="K1209" s="18" t="s">
        <v>44</v>
      </c>
      <c r="L1209" s="18">
        <v>4</v>
      </c>
      <c r="M1209" s="18" t="s">
        <v>35</v>
      </c>
      <c r="N1209" s="18">
        <v>3</v>
      </c>
      <c r="O1209" s="18">
        <v>0</v>
      </c>
      <c r="P1209" s="18">
        <v>15</v>
      </c>
      <c r="Q1209" s="18">
        <v>1</v>
      </c>
      <c r="R1209" s="18">
        <v>4</v>
      </c>
      <c r="S1209" s="18">
        <v>3</v>
      </c>
      <c r="T1209" s="18">
        <v>180.09</v>
      </c>
    </row>
    <row r="1210" spans="1:20" x14ac:dyDescent="0.3">
      <c r="A1210" s="18">
        <v>51209</v>
      </c>
      <c r="B1210" s="18">
        <v>0</v>
      </c>
      <c r="C1210" s="18">
        <v>5</v>
      </c>
      <c r="D1210" s="18" t="s">
        <v>36</v>
      </c>
      <c r="E1210" s="18">
        <v>3</v>
      </c>
      <c r="F1210" s="18">
        <v>15</v>
      </c>
      <c r="G1210" s="18" t="s">
        <v>37</v>
      </c>
      <c r="H1210" s="18" t="s">
        <v>33</v>
      </c>
      <c r="I1210" s="18">
        <v>2.6</v>
      </c>
      <c r="J1210" s="18">
        <v>1</v>
      </c>
      <c r="K1210" s="18" t="s">
        <v>36</v>
      </c>
      <c r="L1210" s="18">
        <v>4</v>
      </c>
      <c r="M1210" s="18" t="s">
        <v>41</v>
      </c>
      <c r="N1210" s="18">
        <v>13</v>
      </c>
      <c r="O1210" s="18">
        <v>0</v>
      </c>
      <c r="P1210" s="18">
        <v>25.9</v>
      </c>
      <c r="Q1210" s="18"/>
      <c r="R1210" s="18">
        <v>9</v>
      </c>
      <c r="S1210" s="18">
        <v>5</v>
      </c>
      <c r="T1210" s="18">
        <v>231.9</v>
      </c>
    </row>
    <row r="1211" spans="1:20" x14ac:dyDescent="0.3">
      <c r="A1211" s="18">
        <v>51210</v>
      </c>
      <c r="B1211" s="18">
        <v>0</v>
      </c>
      <c r="C1211" s="18">
        <v>14</v>
      </c>
      <c r="D1211" s="18" t="s">
        <v>31</v>
      </c>
      <c r="E1211" s="18">
        <v>1</v>
      </c>
      <c r="F1211" s="18">
        <v>9</v>
      </c>
      <c r="G1211" s="18" t="s">
        <v>37</v>
      </c>
      <c r="H1211" s="18" t="s">
        <v>33</v>
      </c>
      <c r="I1211" s="18">
        <v>2</v>
      </c>
      <c r="J1211" s="18">
        <v>2</v>
      </c>
      <c r="K1211" s="18" t="s">
        <v>36</v>
      </c>
      <c r="L1211" s="18">
        <v>1</v>
      </c>
      <c r="M1211" s="18" t="s">
        <v>41</v>
      </c>
      <c r="N1211" s="18">
        <v>1</v>
      </c>
      <c r="O1211" s="18">
        <v>0</v>
      </c>
      <c r="P1211" s="18">
        <v>19.8</v>
      </c>
      <c r="Q1211" s="18">
        <v>1</v>
      </c>
      <c r="R1211" s="18">
        <v>6</v>
      </c>
      <c r="S1211" s="18">
        <v>0</v>
      </c>
      <c r="T1211" s="18">
        <v>176.43</v>
      </c>
    </row>
    <row r="1212" spans="1:20" x14ac:dyDescent="0.3">
      <c r="A1212" s="18">
        <v>51211</v>
      </c>
      <c r="B1212" s="18">
        <v>0</v>
      </c>
      <c r="C1212" s="18">
        <v>0</v>
      </c>
      <c r="D1212" s="18" t="s">
        <v>36</v>
      </c>
      <c r="E1212" s="18">
        <v>3</v>
      </c>
      <c r="F1212" s="18">
        <v>18</v>
      </c>
      <c r="G1212" s="18" t="s">
        <v>37</v>
      </c>
      <c r="H1212" s="18" t="s">
        <v>38</v>
      </c>
      <c r="I1212" s="18">
        <v>3.1</v>
      </c>
      <c r="J1212" s="18">
        <v>3</v>
      </c>
      <c r="K1212" s="18" t="s">
        <v>46</v>
      </c>
      <c r="L1212" s="18">
        <v>5</v>
      </c>
      <c r="M1212" s="18" t="s">
        <v>35</v>
      </c>
      <c r="N1212" s="18">
        <v>1</v>
      </c>
      <c r="O1212" s="18">
        <v>0</v>
      </c>
      <c r="P1212" s="18">
        <v>20</v>
      </c>
      <c r="Q1212" s="18">
        <v>1</v>
      </c>
      <c r="R1212" s="18">
        <v>8</v>
      </c>
      <c r="S1212" s="18">
        <v>4</v>
      </c>
      <c r="T1212" s="18">
        <v>189.61</v>
      </c>
    </row>
    <row r="1213" spans="1:20" x14ac:dyDescent="0.3">
      <c r="A1213" s="18">
        <v>51212</v>
      </c>
      <c r="B1213" s="18">
        <v>0</v>
      </c>
      <c r="C1213" s="18">
        <v>6</v>
      </c>
      <c r="D1213" s="18" t="s">
        <v>36</v>
      </c>
      <c r="E1213" s="18">
        <v>1</v>
      </c>
      <c r="F1213" s="18">
        <v>5</v>
      </c>
      <c r="G1213" s="18" t="s">
        <v>39</v>
      </c>
      <c r="H1213" s="18" t="s">
        <v>33</v>
      </c>
      <c r="I1213" s="18">
        <v>2.6</v>
      </c>
      <c r="J1213" s="18">
        <v>3</v>
      </c>
      <c r="K1213" s="18" t="s">
        <v>40</v>
      </c>
      <c r="L1213" s="18">
        <v>5</v>
      </c>
      <c r="M1213" s="18" t="s">
        <v>35</v>
      </c>
      <c r="N1213" s="18">
        <v>2</v>
      </c>
      <c r="O1213" s="18">
        <v>1</v>
      </c>
      <c r="P1213" s="18">
        <v>11</v>
      </c>
      <c r="Q1213" s="18">
        <v>1</v>
      </c>
      <c r="R1213" s="18">
        <v>4</v>
      </c>
      <c r="S1213" s="18">
        <v>0</v>
      </c>
      <c r="T1213" s="18">
        <v>95.52</v>
      </c>
    </row>
    <row r="1214" spans="1:20" x14ac:dyDescent="0.3">
      <c r="A1214" s="18">
        <v>51213</v>
      </c>
      <c r="B1214" s="18">
        <v>0</v>
      </c>
      <c r="C1214" s="18">
        <v>0</v>
      </c>
      <c r="D1214" s="18" t="s">
        <v>36</v>
      </c>
      <c r="E1214" s="18">
        <v>1</v>
      </c>
      <c r="F1214" s="18">
        <v>8</v>
      </c>
      <c r="G1214" s="18" t="s">
        <v>39</v>
      </c>
      <c r="H1214" s="18" t="s">
        <v>38</v>
      </c>
      <c r="I1214" s="18">
        <v>2.2999999999999998</v>
      </c>
      <c r="J1214" s="18">
        <v>3</v>
      </c>
      <c r="K1214" s="18" t="s">
        <v>44</v>
      </c>
      <c r="L1214" s="18">
        <v>4</v>
      </c>
      <c r="M1214" s="18" t="s">
        <v>35</v>
      </c>
      <c r="N1214" s="18">
        <v>1</v>
      </c>
      <c r="O1214" s="18">
        <v>0</v>
      </c>
      <c r="P1214" s="18">
        <v>13.5</v>
      </c>
      <c r="Q1214" s="18">
        <v>2</v>
      </c>
      <c r="R1214" s="18">
        <v>3</v>
      </c>
      <c r="S1214" s="18">
        <v>1</v>
      </c>
      <c r="T1214" s="18">
        <v>176.23</v>
      </c>
    </row>
    <row r="1215" spans="1:20" x14ac:dyDescent="0.3">
      <c r="A1215" s="18">
        <v>51214</v>
      </c>
      <c r="B1215" s="18">
        <v>1</v>
      </c>
      <c r="C1215" s="18">
        <v>0</v>
      </c>
      <c r="D1215" s="18" t="s">
        <v>42</v>
      </c>
      <c r="E1215" s="18">
        <v>1</v>
      </c>
      <c r="F1215" s="18">
        <v>5</v>
      </c>
      <c r="G1215" s="18" t="s">
        <v>39</v>
      </c>
      <c r="H1215" s="18" t="s">
        <v>33</v>
      </c>
      <c r="I1215" s="18">
        <v>2.1</v>
      </c>
      <c r="J1215" s="18">
        <v>3</v>
      </c>
      <c r="K1215" s="18" t="s">
        <v>44</v>
      </c>
      <c r="L1215" s="18">
        <v>3</v>
      </c>
      <c r="M1215" s="18" t="s">
        <v>35</v>
      </c>
      <c r="N1215" s="18">
        <v>2</v>
      </c>
      <c r="O1215" s="18">
        <v>0</v>
      </c>
      <c r="P1215" s="18">
        <v>16.3</v>
      </c>
      <c r="Q1215" s="18">
        <v>2</v>
      </c>
      <c r="R1215" s="18">
        <v>5</v>
      </c>
      <c r="S1215" s="18">
        <v>3</v>
      </c>
      <c r="T1215" s="18">
        <v>69.34</v>
      </c>
    </row>
    <row r="1216" spans="1:20" x14ac:dyDescent="0.3">
      <c r="A1216" s="18">
        <v>51215</v>
      </c>
      <c r="B1216" s="18">
        <v>0</v>
      </c>
      <c r="C1216" s="18">
        <v>23</v>
      </c>
      <c r="D1216" s="18" t="s">
        <v>42</v>
      </c>
      <c r="E1216" s="18">
        <v>3</v>
      </c>
      <c r="F1216" s="18">
        <v>12</v>
      </c>
      <c r="G1216" s="18" t="s">
        <v>37</v>
      </c>
      <c r="H1216" s="18" t="s">
        <v>33</v>
      </c>
      <c r="I1216" s="18">
        <v>4.8</v>
      </c>
      <c r="J1216" s="18">
        <v>4</v>
      </c>
      <c r="K1216" s="18" t="s">
        <v>34</v>
      </c>
      <c r="L1216" s="18">
        <v>4</v>
      </c>
      <c r="M1216" s="18" t="s">
        <v>41</v>
      </c>
      <c r="N1216" s="18">
        <v>1</v>
      </c>
      <c r="O1216" s="18">
        <v>0</v>
      </c>
      <c r="P1216" s="18">
        <v>12.5</v>
      </c>
      <c r="Q1216" s="18">
        <v>1</v>
      </c>
      <c r="R1216" s="18">
        <v>5</v>
      </c>
      <c r="S1216" s="18">
        <v>12</v>
      </c>
      <c r="T1216" s="18">
        <v>151.61000000000001</v>
      </c>
    </row>
    <row r="1217" spans="1:20" x14ac:dyDescent="0.3">
      <c r="A1217" s="18">
        <v>51216</v>
      </c>
      <c r="B1217" s="18">
        <v>0</v>
      </c>
      <c r="C1217" s="18">
        <v>1</v>
      </c>
      <c r="D1217" s="18" t="s">
        <v>36</v>
      </c>
      <c r="E1217" s="18">
        <v>3</v>
      </c>
      <c r="F1217" s="18">
        <v>10</v>
      </c>
      <c r="G1217" s="18" t="s">
        <v>37</v>
      </c>
      <c r="H1217" s="18" t="s">
        <v>33</v>
      </c>
      <c r="I1217" s="18">
        <v>2.7</v>
      </c>
      <c r="J1217" s="18">
        <v>2</v>
      </c>
      <c r="K1217" s="18" t="s">
        <v>36</v>
      </c>
      <c r="L1217" s="18">
        <v>3</v>
      </c>
      <c r="M1217" s="18" t="s">
        <v>41</v>
      </c>
      <c r="N1217" s="18">
        <v>1</v>
      </c>
      <c r="O1217" s="18">
        <v>0</v>
      </c>
      <c r="P1217" s="18">
        <v>21.6</v>
      </c>
      <c r="Q1217" s="18">
        <v>0</v>
      </c>
      <c r="R1217" s="18">
        <v>4</v>
      </c>
      <c r="S1217" s="18">
        <v>0</v>
      </c>
      <c r="T1217" s="18">
        <v>183.49</v>
      </c>
    </row>
    <row r="1218" spans="1:20" x14ac:dyDescent="0.3">
      <c r="A1218" s="18">
        <v>51217</v>
      </c>
      <c r="B1218" s="18">
        <v>0</v>
      </c>
      <c r="C1218" s="18">
        <v>7</v>
      </c>
      <c r="D1218" s="18" t="s">
        <v>36</v>
      </c>
      <c r="E1218" s="18">
        <v>3</v>
      </c>
      <c r="F1218" s="18">
        <v>21</v>
      </c>
      <c r="G1218" s="18" t="s">
        <v>37</v>
      </c>
      <c r="H1218" s="18" t="s">
        <v>33</v>
      </c>
      <c r="I1218" s="18">
        <v>1.6</v>
      </c>
      <c r="J1218" s="18">
        <v>4</v>
      </c>
      <c r="K1218" s="18" t="s">
        <v>46</v>
      </c>
      <c r="L1218" s="18">
        <v>3</v>
      </c>
      <c r="M1218" s="18" t="s">
        <v>41</v>
      </c>
      <c r="N1218" s="18">
        <v>2</v>
      </c>
      <c r="O1218" s="18">
        <v>0</v>
      </c>
      <c r="P1218" s="18">
        <v>20.9</v>
      </c>
      <c r="Q1218" s="18">
        <v>0</v>
      </c>
      <c r="R1218" s="18">
        <v>4</v>
      </c>
      <c r="S1218" s="18">
        <v>0</v>
      </c>
      <c r="T1218" s="18">
        <v>222.19</v>
      </c>
    </row>
    <row r="1219" spans="1:20" x14ac:dyDescent="0.3">
      <c r="A1219" s="18">
        <v>51218</v>
      </c>
      <c r="B1219" s="18">
        <v>0</v>
      </c>
      <c r="C1219" s="18">
        <v>5</v>
      </c>
      <c r="D1219" s="18" t="s">
        <v>42</v>
      </c>
      <c r="E1219" s="18">
        <v>3</v>
      </c>
      <c r="F1219" s="18">
        <v>5</v>
      </c>
      <c r="G1219" s="18" t="s">
        <v>43</v>
      </c>
      <c r="H1219" s="18" t="s">
        <v>38</v>
      </c>
      <c r="I1219" s="18">
        <v>3.9</v>
      </c>
      <c r="J1219" s="18">
        <v>4</v>
      </c>
      <c r="K1219" s="18" t="s">
        <v>44</v>
      </c>
      <c r="L1219" s="18">
        <v>5</v>
      </c>
      <c r="M1219" s="18" t="s">
        <v>35</v>
      </c>
      <c r="N1219" s="18">
        <v>1</v>
      </c>
      <c r="O1219" s="18">
        <v>1</v>
      </c>
      <c r="P1219" s="18">
        <v>14.1</v>
      </c>
      <c r="Q1219" s="18">
        <v>2</v>
      </c>
      <c r="R1219" s="18">
        <v>1</v>
      </c>
      <c r="S1219" s="18">
        <v>5</v>
      </c>
      <c r="T1219" s="18">
        <v>125.05</v>
      </c>
    </row>
    <row r="1220" spans="1:20" x14ac:dyDescent="0.3">
      <c r="A1220" s="18">
        <v>51219</v>
      </c>
      <c r="B1220" s="18">
        <v>0</v>
      </c>
      <c r="C1220" s="18">
        <v>4</v>
      </c>
      <c r="D1220" s="18" t="s">
        <v>36</v>
      </c>
      <c r="E1220" s="18">
        <v>1</v>
      </c>
      <c r="F1220" s="18">
        <v>15</v>
      </c>
      <c r="G1220" s="18" t="s">
        <v>37</v>
      </c>
      <c r="H1220" s="18" t="s">
        <v>33</v>
      </c>
      <c r="I1220" s="18">
        <v>3.3</v>
      </c>
      <c r="J1220" s="18">
        <v>3</v>
      </c>
      <c r="K1220" s="18" t="s">
        <v>36</v>
      </c>
      <c r="L1220" s="18">
        <v>5</v>
      </c>
      <c r="M1220" s="18" t="s">
        <v>35</v>
      </c>
      <c r="N1220" s="18">
        <v>1</v>
      </c>
      <c r="O1220" s="18">
        <v>0</v>
      </c>
      <c r="P1220" s="18">
        <v>22.2</v>
      </c>
      <c r="Q1220" s="18">
        <v>4</v>
      </c>
      <c r="R1220" s="18">
        <v>4</v>
      </c>
      <c r="S1220" s="18"/>
      <c r="T1220" s="18">
        <v>200.55</v>
      </c>
    </row>
    <row r="1221" spans="1:20" x14ac:dyDescent="0.3">
      <c r="A1221" s="18">
        <v>51220</v>
      </c>
      <c r="B1221" s="18">
        <v>0</v>
      </c>
      <c r="C1221" s="18">
        <v>23</v>
      </c>
      <c r="D1221" s="18" t="s">
        <v>36</v>
      </c>
      <c r="E1221" s="18">
        <v>1</v>
      </c>
      <c r="F1221" s="18">
        <v>19</v>
      </c>
      <c r="G1221" s="18" t="s">
        <v>37</v>
      </c>
      <c r="H1221" s="18" t="s">
        <v>38</v>
      </c>
      <c r="I1221" s="18">
        <v>2.4</v>
      </c>
      <c r="J1221" s="18">
        <v>5</v>
      </c>
      <c r="K1221" s="18" t="s">
        <v>36</v>
      </c>
      <c r="L1221" s="18">
        <v>5</v>
      </c>
      <c r="M1221" s="18" t="s">
        <v>41</v>
      </c>
      <c r="N1221" s="18">
        <v>1</v>
      </c>
      <c r="O1221" s="18">
        <v>0</v>
      </c>
      <c r="P1221" s="18">
        <v>16</v>
      </c>
      <c r="Q1221" s="18">
        <v>0</v>
      </c>
      <c r="R1221" s="18">
        <v>2</v>
      </c>
      <c r="S1221" s="18">
        <v>4</v>
      </c>
      <c r="T1221" s="18">
        <v>260.77</v>
      </c>
    </row>
    <row r="1222" spans="1:20" x14ac:dyDescent="0.3">
      <c r="A1222" s="18">
        <v>51221</v>
      </c>
      <c r="B1222" s="18">
        <v>1</v>
      </c>
      <c r="C1222" s="18">
        <v>0</v>
      </c>
      <c r="D1222" s="18" t="s">
        <v>36</v>
      </c>
      <c r="E1222" s="18">
        <v>1</v>
      </c>
      <c r="F1222" s="18">
        <v>29</v>
      </c>
      <c r="G1222" s="18" t="s">
        <v>39</v>
      </c>
      <c r="H1222" s="18" t="s">
        <v>33</v>
      </c>
      <c r="I1222" s="18">
        <v>2.2000000000000002</v>
      </c>
      <c r="J1222" s="18">
        <v>5</v>
      </c>
      <c r="K1222" s="18" t="s">
        <v>46</v>
      </c>
      <c r="L1222" s="18">
        <v>3</v>
      </c>
      <c r="M1222" s="18" t="s">
        <v>35</v>
      </c>
      <c r="N1222" s="18">
        <v>1</v>
      </c>
      <c r="O1222" s="18">
        <v>0</v>
      </c>
      <c r="P1222" s="18">
        <v>25.1</v>
      </c>
      <c r="Q1222" s="18">
        <v>3</v>
      </c>
      <c r="R1222" s="18">
        <v>2</v>
      </c>
      <c r="S1222" s="18">
        <v>29</v>
      </c>
      <c r="T1222" s="18">
        <v>144.76</v>
      </c>
    </row>
    <row r="1223" spans="1:20" x14ac:dyDescent="0.3">
      <c r="A1223" s="18">
        <v>51222</v>
      </c>
      <c r="B1223" s="18">
        <v>1</v>
      </c>
      <c r="C1223" s="18">
        <v>10</v>
      </c>
      <c r="D1223" s="18" t="s">
        <v>36</v>
      </c>
      <c r="E1223" s="18">
        <v>1</v>
      </c>
      <c r="F1223" s="18">
        <v>11</v>
      </c>
      <c r="G1223" s="18" t="s">
        <v>39</v>
      </c>
      <c r="H1223" s="18" t="s">
        <v>38</v>
      </c>
      <c r="I1223" s="18">
        <v>3.4</v>
      </c>
      <c r="J1223" s="18">
        <v>4</v>
      </c>
      <c r="K1223" s="18" t="s">
        <v>44</v>
      </c>
      <c r="L1223" s="18">
        <v>2</v>
      </c>
      <c r="M1223" s="18" t="s">
        <v>41</v>
      </c>
      <c r="N1223" s="18">
        <v>6</v>
      </c>
      <c r="O1223" s="18">
        <v>1</v>
      </c>
      <c r="P1223" s="18">
        <v>16.5</v>
      </c>
      <c r="Q1223" s="18">
        <v>1</v>
      </c>
      <c r="R1223" s="18">
        <v>4</v>
      </c>
      <c r="S1223" s="18">
        <v>21</v>
      </c>
      <c r="T1223" s="18">
        <v>94.91</v>
      </c>
    </row>
    <row r="1224" spans="1:20" x14ac:dyDescent="0.3">
      <c r="A1224" s="18">
        <v>51223</v>
      </c>
      <c r="B1224" s="18">
        <v>0</v>
      </c>
      <c r="C1224" s="18">
        <v>33</v>
      </c>
      <c r="D1224" s="18" t="s">
        <v>36</v>
      </c>
      <c r="E1224" s="18">
        <v>1</v>
      </c>
      <c r="F1224" s="18">
        <v>17</v>
      </c>
      <c r="G1224" s="18" t="s">
        <v>32</v>
      </c>
      <c r="H1224" s="18" t="s">
        <v>33</v>
      </c>
      <c r="I1224" s="18">
        <v>2.7</v>
      </c>
      <c r="J1224" s="18">
        <v>1</v>
      </c>
      <c r="K1224" s="18" t="s">
        <v>44</v>
      </c>
      <c r="L1224" s="18">
        <v>3</v>
      </c>
      <c r="M1224" s="18" t="s">
        <v>41</v>
      </c>
      <c r="N1224" s="18">
        <v>8</v>
      </c>
      <c r="O1224" s="18">
        <v>1</v>
      </c>
      <c r="P1224" s="18">
        <v>18</v>
      </c>
      <c r="Q1224" s="18">
        <v>0</v>
      </c>
      <c r="R1224" s="18">
        <v>3</v>
      </c>
      <c r="S1224" s="18">
        <v>2</v>
      </c>
      <c r="T1224" s="18">
        <v>195.94</v>
      </c>
    </row>
    <row r="1225" spans="1:20" x14ac:dyDescent="0.3">
      <c r="A1225" s="18">
        <v>51224</v>
      </c>
      <c r="B1225" s="18">
        <v>0</v>
      </c>
      <c r="C1225" s="18">
        <v>8</v>
      </c>
      <c r="D1225" s="18" t="s">
        <v>42</v>
      </c>
      <c r="E1225" s="18">
        <v>1</v>
      </c>
      <c r="F1225" s="18">
        <v>5</v>
      </c>
      <c r="G1225" s="18" t="s">
        <v>37</v>
      </c>
      <c r="H1225" s="18" t="s">
        <v>33</v>
      </c>
      <c r="I1225" s="18">
        <v>1.6</v>
      </c>
      <c r="J1225" s="18">
        <v>5</v>
      </c>
      <c r="K1225" s="18" t="s">
        <v>36</v>
      </c>
      <c r="L1225" s="18">
        <v>3</v>
      </c>
      <c r="M1225" s="18" t="s">
        <v>35</v>
      </c>
      <c r="N1225" s="18">
        <v>1</v>
      </c>
      <c r="O1225" s="18">
        <v>1</v>
      </c>
      <c r="P1225" s="18">
        <v>20.9</v>
      </c>
      <c r="Q1225" s="18">
        <v>1</v>
      </c>
      <c r="R1225" s="18">
        <v>4</v>
      </c>
      <c r="S1225" s="18">
        <v>3</v>
      </c>
      <c r="T1225" s="18">
        <v>114.44</v>
      </c>
    </row>
    <row r="1226" spans="1:20" x14ac:dyDescent="0.3">
      <c r="A1226" s="18">
        <v>51225</v>
      </c>
      <c r="B1226" s="18">
        <v>0</v>
      </c>
      <c r="C1226" s="18">
        <v>27</v>
      </c>
      <c r="D1226" s="18" t="s">
        <v>31</v>
      </c>
      <c r="E1226" s="18">
        <v>1</v>
      </c>
      <c r="F1226" s="18">
        <v>5</v>
      </c>
      <c r="G1226" s="18" t="s">
        <v>32</v>
      </c>
      <c r="H1226" s="18" t="s">
        <v>33</v>
      </c>
      <c r="I1226" s="18">
        <v>4.2</v>
      </c>
      <c r="J1226" s="18">
        <v>4</v>
      </c>
      <c r="K1226" s="18" t="s">
        <v>46</v>
      </c>
      <c r="L1226" s="18">
        <v>3</v>
      </c>
      <c r="M1226" s="18" t="s">
        <v>41</v>
      </c>
      <c r="N1226" s="18">
        <v>2</v>
      </c>
      <c r="O1226" s="18">
        <v>0</v>
      </c>
      <c r="P1226" s="18">
        <v>20.5</v>
      </c>
      <c r="Q1226" s="18">
        <v>3</v>
      </c>
      <c r="R1226" s="18">
        <v>4</v>
      </c>
      <c r="S1226" s="18"/>
      <c r="T1226" s="18">
        <v>134.96</v>
      </c>
    </row>
    <row r="1227" spans="1:20" x14ac:dyDescent="0.3">
      <c r="A1227" s="18">
        <v>51226</v>
      </c>
      <c r="B1227" s="18">
        <v>0</v>
      </c>
      <c r="C1227" s="18">
        <v>0</v>
      </c>
      <c r="D1227" s="18" t="s">
        <v>36</v>
      </c>
      <c r="E1227" s="18">
        <v>1</v>
      </c>
      <c r="F1227" s="18">
        <v>21</v>
      </c>
      <c r="G1227" s="18" t="s">
        <v>39</v>
      </c>
      <c r="H1227" s="18" t="s">
        <v>33</v>
      </c>
      <c r="I1227" s="18">
        <v>2.6</v>
      </c>
      <c r="J1227" s="18">
        <v>5</v>
      </c>
      <c r="K1227" s="18" t="s">
        <v>34</v>
      </c>
      <c r="L1227" s="18">
        <v>3</v>
      </c>
      <c r="M1227" s="18" t="s">
        <v>35</v>
      </c>
      <c r="N1227" s="18">
        <v>1</v>
      </c>
      <c r="O1227" s="18">
        <v>1</v>
      </c>
      <c r="P1227" s="18">
        <v>17.8</v>
      </c>
      <c r="Q1227" s="18">
        <v>1</v>
      </c>
      <c r="R1227" s="18">
        <v>2</v>
      </c>
      <c r="S1227" s="18">
        <v>0</v>
      </c>
      <c r="T1227" s="18">
        <v>230.78</v>
      </c>
    </row>
    <row r="1228" spans="1:20" x14ac:dyDescent="0.3">
      <c r="A1228" s="18">
        <v>51227</v>
      </c>
      <c r="B1228" s="18">
        <v>0</v>
      </c>
      <c r="C1228" s="18">
        <v>5</v>
      </c>
      <c r="D1228" s="18" t="s">
        <v>42</v>
      </c>
      <c r="E1228" s="18">
        <v>1</v>
      </c>
      <c r="F1228" s="18">
        <v>14</v>
      </c>
      <c r="G1228" s="18" t="s">
        <v>37</v>
      </c>
      <c r="H1228" s="18" t="s">
        <v>33</v>
      </c>
      <c r="I1228" s="18">
        <v>3.9</v>
      </c>
      <c r="J1228" s="18">
        <v>4</v>
      </c>
      <c r="K1228" s="18" t="s">
        <v>34</v>
      </c>
      <c r="L1228" s="18">
        <v>4</v>
      </c>
      <c r="M1228" s="18" t="s">
        <v>35</v>
      </c>
      <c r="N1228" s="18">
        <v>2</v>
      </c>
      <c r="O1228" s="18">
        <v>1</v>
      </c>
      <c r="P1228" s="18">
        <v>15.5</v>
      </c>
      <c r="Q1228" s="18">
        <v>2</v>
      </c>
      <c r="R1228" s="18">
        <v>4</v>
      </c>
      <c r="S1228" s="18">
        <v>3</v>
      </c>
      <c r="T1228" s="18">
        <v>283.23</v>
      </c>
    </row>
    <row r="1229" spans="1:20" x14ac:dyDescent="0.3">
      <c r="A1229" s="18">
        <v>51228</v>
      </c>
      <c r="B1229" s="18">
        <v>0</v>
      </c>
      <c r="C1229" s="18">
        <v>3</v>
      </c>
      <c r="D1229" s="18" t="s">
        <v>36</v>
      </c>
      <c r="E1229" s="18">
        <v>1</v>
      </c>
      <c r="F1229" s="18">
        <v>24</v>
      </c>
      <c r="G1229" s="18" t="s">
        <v>39</v>
      </c>
      <c r="H1229" s="18" t="s">
        <v>38</v>
      </c>
      <c r="I1229" s="18">
        <v>3.8</v>
      </c>
      <c r="J1229" s="18">
        <v>5</v>
      </c>
      <c r="K1229" s="18" t="s">
        <v>34</v>
      </c>
      <c r="L1229" s="18">
        <v>4</v>
      </c>
      <c r="M1229" s="18" t="s">
        <v>35</v>
      </c>
      <c r="N1229" s="18">
        <v>2</v>
      </c>
      <c r="O1229" s="18">
        <v>0</v>
      </c>
      <c r="P1229" s="18">
        <v>17.8</v>
      </c>
      <c r="Q1229" s="18">
        <v>3</v>
      </c>
      <c r="R1229" s="18">
        <v>4</v>
      </c>
      <c r="S1229" s="18">
        <v>2</v>
      </c>
      <c r="T1229" s="18">
        <v>124.96</v>
      </c>
    </row>
    <row r="1230" spans="1:20" x14ac:dyDescent="0.3">
      <c r="A1230" s="18">
        <v>51229</v>
      </c>
      <c r="B1230" s="18">
        <v>0</v>
      </c>
      <c r="C1230" s="18">
        <v>13</v>
      </c>
      <c r="D1230" s="18" t="s">
        <v>36</v>
      </c>
      <c r="E1230" s="18">
        <v>3</v>
      </c>
      <c r="F1230" s="18">
        <v>5</v>
      </c>
      <c r="G1230" s="18" t="s">
        <v>39</v>
      </c>
      <c r="H1230" s="18" t="s">
        <v>38</v>
      </c>
      <c r="I1230" s="18">
        <v>2.2000000000000002</v>
      </c>
      <c r="J1230" s="18">
        <v>4</v>
      </c>
      <c r="K1230" s="18" t="s">
        <v>44</v>
      </c>
      <c r="L1230" s="18">
        <v>4</v>
      </c>
      <c r="M1230" s="18" t="s">
        <v>41</v>
      </c>
      <c r="N1230" s="18">
        <v>1</v>
      </c>
      <c r="O1230" s="18">
        <v>0</v>
      </c>
      <c r="P1230" s="18">
        <v>13.1</v>
      </c>
      <c r="Q1230" s="18">
        <v>3</v>
      </c>
      <c r="R1230" s="18">
        <v>5</v>
      </c>
      <c r="S1230" s="18">
        <v>1</v>
      </c>
      <c r="T1230" s="18">
        <v>139.44</v>
      </c>
    </row>
    <row r="1231" spans="1:20" x14ac:dyDescent="0.3">
      <c r="A1231" s="18">
        <v>51230</v>
      </c>
      <c r="B1231" s="18">
        <v>0</v>
      </c>
      <c r="C1231" s="18">
        <v>39</v>
      </c>
      <c r="D1231" s="18" t="s">
        <v>31</v>
      </c>
      <c r="E1231" s="18">
        <v>3</v>
      </c>
      <c r="F1231" s="18">
        <v>19</v>
      </c>
      <c r="G1231" s="18" t="s">
        <v>39</v>
      </c>
      <c r="H1231" s="18" t="s">
        <v>38</v>
      </c>
      <c r="I1231" s="18">
        <v>3.6</v>
      </c>
      <c r="J1231" s="18">
        <v>5</v>
      </c>
      <c r="K1231" s="18" t="s">
        <v>44</v>
      </c>
      <c r="L1231" s="18">
        <v>4</v>
      </c>
      <c r="M1231" s="18" t="s">
        <v>35</v>
      </c>
      <c r="N1231" s="18">
        <v>4</v>
      </c>
      <c r="O1231" s="18">
        <v>1</v>
      </c>
      <c r="P1231" s="18">
        <v>16.5</v>
      </c>
      <c r="Q1231" s="18">
        <v>0</v>
      </c>
      <c r="R1231" s="18">
        <v>2</v>
      </c>
      <c r="S1231" s="18">
        <v>25</v>
      </c>
      <c r="T1231" s="18">
        <v>155.81</v>
      </c>
    </row>
    <row r="1232" spans="1:20" x14ac:dyDescent="0.3">
      <c r="A1232" s="18">
        <v>51231</v>
      </c>
      <c r="B1232" s="18">
        <v>1</v>
      </c>
      <c r="C1232" s="18">
        <v>2</v>
      </c>
      <c r="D1232" s="18" t="s">
        <v>31</v>
      </c>
      <c r="E1232" s="18">
        <v>3</v>
      </c>
      <c r="F1232" s="18">
        <v>29</v>
      </c>
      <c r="G1232" s="18" t="s">
        <v>39</v>
      </c>
      <c r="H1232" s="18" t="s">
        <v>33</v>
      </c>
      <c r="I1232" s="18">
        <v>2.4</v>
      </c>
      <c r="J1232" s="18">
        <v>5</v>
      </c>
      <c r="K1232" s="18" t="s">
        <v>44</v>
      </c>
      <c r="L1232" s="18">
        <v>1</v>
      </c>
      <c r="M1232" s="18" t="s">
        <v>35</v>
      </c>
      <c r="N1232" s="18">
        <v>1</v>
      </c>
      <c r="O1232" s="18">
        <v>0</v>
      </c>
      <c r="P1232" s="18">
        <v>12.1</v>
      </c>
      <c r="Q1232" s="18">
        <v>3</v>
      </c>
      <c r="R1232" s="18">
        <v>2</v>
      </c>
      <c r="S1232" s="18"/>
      <c r="T1232" s="18">
        <v>149.87</v>
      </c>
    </row>
    <row r="1233" spans="1:20" x14ac:dyDescent="0.3">
      <c r="A1233" s="18">
        <v>51232</v>
      </c>
      <c r="B1233" s="18">
        <v>1</v>
      </c>
      <c r="C1233" s="18">
        <v>10</v>
      </c>
      <c r="D1233" s="18" t="s">
        <v>36</v>
      </c>
      <c r="E1233" s="18">
        <v>1</v>
      </c>
      <c r="F1233" s="18">
        <v>18</v>
      </c>
      <c r="G1233" s="18" t="s">
        <v>39</v>
      </c>
      <c r="H1233" s="18" t="s">
        <v>33</v>
      </c>
      <c r="I1233" s="18">
        <v>1.6</v>
      </c>
      <c r="J1233" s="18">
        <v>3</v>
      </c>
      <c r="K1233" s="18" t="s">
        <v>36</v>
      </c>
      <c r="L1233" s="18">
        <v>1</v>
      </c>
      <c r="M1233" s="18" t="s">
        <v>35</v>
      </c>
      <c r="N1233" s="18">
        <v>1</v>
      </c>
      <c r="O1233" s="18">
        <v>0</v>
      </c>
      <c r="P1233" s="18">
        <v>11</v>
      </c>
      <c r="Q1233" s="18">
        <v>3</v>
      </c>
      <c r="R1233" s="18">
        <v>3</v>
      </c>
      <c r="S1233" s="18">
        <v>2</v>
      </c>
      <c r="T1233" s="18">
        <v>286.33</v>
      </c>
    </row>
    <row r="1234" spans="1:20" x14ac:dyDescent="0.3">
      <c r="A1234" s="18">
        <v>51233</v>
      </c>
      <c r="B1234" s="18">
        <v>1</v>
      </c>
      <c r="C1234" s="18">
        <v>2</v>
      </c>
      <c r="D1234" s="18" t="s">
        <v>36</v>
      </c>
      <c r="E1234" s="18">
        <v>1</v>
      </c>
      <c r="F1234" s="18">
        <v>17</v>
      </c>
      <c r="G1234" s="18" t="s">
        <v>39</v>
      </c>
      <c r="H1234" s="18" t="s">
        <v>33</v>
      </c>
      <c r="I1234" s="18">
        <v>2.6</v>
      </c>
      <c r="J1234" s="18">
        <v>2</v>
      </c>
      <c r="K1234" s="18" t="s">
        <v>46</v>
      </c>
      <c r="L1234" s="18">
        <v>4</v>
      </c>
      <c r="M1234" s="18" t="s">
        <v>35</v>
      </c>
      <c r="N1234" s="18">
        <v>5</v>
      </c>
      <c r="O1234" s="18">
        <v>0</v>
      </c>
      <c r="P1234" s="18">
        <v>16.2</v>
      </c>
      <c r="Q1234" s="18">
        <v>2</v>
      </c>
      <c r="R1234" s="18">
        <v>3</v>
      </c>
      <c r="S1234" s="18">
        <v>8</v>
      </c>
      <c r="T1234" s="18">
        <v>150.82</v>
      </c>
    </row>
    <row r="1235" spans="1:20" x14ac:dyDescent="0.3">
      <c r="A1235" s="18">
        <v>51234</v>
      </c>
      <c r="B1235" s="18">
        <v>0</v>
      </c>
      <c r="C1235" s="18">
        <v>8</v>
      </c>
      <c r="D1235" s="18" t="s">
        <v>31</v>
      </c>
      <c r="E1235" s="18">
        <v>3</v>
      </c>
      <c r="F1235" s="18">
        <v>15</v>
      </c>
      <c r="G1235" s="18" t="s">
        <v>43</v>
      </c>
      <c r="H1235" s="18" t="s">
        <v>38</v>
      </c>
      <c r="I1235" s="18">
        <v>3.2</v>
      </c>
      <c r="J1235" s="18">
        <v>3</v>
      </c>
      <c r="K1235" s="18" t="s">
        <v>46</v>
      </c>
      <c r="L1235" s="18">
        <v>3</v>
      </c>
      <c r="M1235" s="18" t="s">
        <v>41</v>
      </c>
      <c r="N1235" s="18">
        <v>3</v>
      </c>
      <c r="O1235" s="18">
        <v>0</v>
      </c>
      <c r="P1235" s="18">
        <v>20.399999999999999</v>
      </c>
      <c r="Q1235" s="18">
        <v>3</v>
      </c>
      <c r="R1235" s="18">
        <v>3</v>
      </c>
      <c r="S1235" s="18">
        <v>3</v>
      </c>
      <c r="T1235" s="18">
        <v>158.66999999999999</v>
      </c>
    </row>
    <row r="1236" spans="1:20" x14ac:dyDescent="0.3">
      <c r="A1236" s="18">
        <v>51235</v>
      </c>
      <c r="B1236" s="18">
        <v>1</v>
      </c>
      <c r="C1236" s="18">
        <v>6</v>
      </c>
      <c r="D1236" s="18" t="s">
        <v>31</v>
      </c>
      <c r="E1236" s="18">
        <v>1</v>
      </c>
      <c r="F1236" s="18">
        <v>5</v>
      </c>
      <c r="G1236" s="18" t="s">
        <v>39</v>
      </c>
      <c r="H1236" s="18" t="s">
        <v>38</v>
      </c>
      <c r="I1236" s="18">
        <v>2.6</v>
      </c>
      <c r="J1236" s="18">
        <v>4</v>
      </c>
      <c r="K1236" s="18" t="s">
        <v>44</v>
      </c>
      <c r="L1236" s="18">
        <v>4</v>
      </c>
      <c r="M1236" s="18" t="s">
        <v>41</v>
      </c>
      <c r="N1236" s="18">
        <v>2</v>
      </c>
      <c r="O1236" s="18">
        <v>0</v>
      </c>
      <c r="P1236" s="18">
        <v>19.2</v>
      </c>
      <c r="Q1236" s="18">
        <v>1</v>
      </c>
      <c r="R1236" s="18">
        <v>4</v>
      </c>
      <c r="S1236" s="18">
        <v>10</v>
      </c>
      <c r="T1236" s="18">
        <v>268.89</v>
      </c>
    </row>
    <row r="1237" spans="1:20" x14ac:dyDescent="0.3">
      <c r="A1237" s="18">
        <v>51236</v>
      </c>
      <c r="B1237" s="18">
        <v>0</v>
      </c>
      <c r="C1237" s="18">
        <v>35</v>
      </c>
      <c r="D1237" s="18" t="s">
        <v>31</v>
      </c>
      <c r="E1237" s="18">
        <v>1</v>
      </c>
      <c r="F1237" s="18">
        <v>25</v>
      </c>
      <c r="G1237" s="18" t="s">
        <v>39</v>
      </c>
      <c r="H1237" s="18" t="s">
        <v>38</v>
      </c>
      <c r="I1237" s="18">
        <v>2.7</v>
      </c>
      <c r="J1237" s="18">
        <v>3</v>
      </c>
      <c r="K1237" s="18" t="s">
        <v>40</v>
      </c>
      <c r="L1237" s="18">
        <v>1</v>
      </c>
      <c r="M1237" s="18" t="s">
        <v>35</v>
      </c>
      <c r="N1237" s="18">
        <v>2</v>
      </c>
      <c r="O1237" s="18">
        <v>0</v>
      </c>
      <c r="P1237" s="18">
        <v>15.7</v>
      </c>
      <c r="Q1237" s="18">
        <v>1</v>
      </c>
      <c r="R1237" s="18">
        <v>1</v>
      </c>
      <c r="S1237" s="18">
        <v>1</v>
      </c>
      <c r="T1237" s="18">
        <v>211.72</v>
      </c>
    </row>
    <row r="1238" spans="1:20" x14ac:dyDescent="0.3">
      <c r="A1238" s="18">
        <v>51237</v>
      </c>
      <c r="B1238" s="18">
        <v>0</v>
      </c>
      <c r="C1238" s="18">
        <v>9</v>
      </c>
      <c r="D1238" s="18" t="s">
        <v>36</v>
      </c>
      <c r="E1238" s="18">
        <v>1</v>
      </c>
      <c r="F1238" s="18">
        <v>10</v>
      </c>
      <c r="G1238" s="18" t="s">
        <v>39</v>
      </c>
      <c r="H1238" s="18" t="s">
        <v>38</v>
      </c>
      <c r="I1238" s="18">
        <v>3.7</v>
      </c>
      <c r="J1238" s="18">
        <v>2</v>
      </c>
      <c r="K1238" s="18" t="s">
        <v>34</v>
      </c>
      <c r="L1238" s="18">
        <v>3</v>
      </c>
      <c r="M1238" s="18" t="s">
        <v>35</v>
      </c>
      <c r="N1238" s="18">
        <v>2</v>
      </c>
      <c r="O1238" s="18">
        <v>1</v>
      </c>
      <c r="P1238" s="18">
        <v>22.1</v>
      </c>
      <c r="Q1238" s="18">
        <v>0</v>
      </c>
      <c r="R1238" s="18">
        <v>7</v>
      </c>
      <c r="S1238" s="18">
        <v>1</v>
      </c>
      <c r="T1238" s="18">
        <v>234.22</v>
      </c>
    </row>
    <row r="1239" spans="1:20" x14ac:dyDescent="0.3">
      <c r="A1239" s="18">
        <v>51238</v>
      </c>
      <c r="B1239" s="18">
        <v>0</v>
      </c>
      <c r="C1239" s="18">
        <v>4</v>
      </c>
      <c r="D1239" s="18" t="s">
        <v>36</v>
      </c>
      <c r="E1239" s="18">
        <v>1</v>
      </c>
      <c r="F1239" s="18">
        <v>19</v>
      </c>
      <c r="G1239" s="18" t="s">
        <v>37</v>
      </c>
      <c r="H1239" s="18" t="s">
        <v>33</v>
      </c>
      <c r="I1239" s="18">
        <v>3</v>
      </c>
      <c r="J1239" s="18">
        <v>2</v>
      </c>
      <c r="K1239" s="18" t="s">
        <v>36</v>
      </c>
      <c r="L1239" s="18">
        <v>4</v>
      </c>
      <c r="M1239" s="18" t="s">
        <v>41</v>
      </c>
      <c r="N1239" s="18">
        <v>2</v>
      </c>
      <c r="O1239" s="18">
        <v>1</v>
      </c>
      <c r="P1239" s="18">
        <v>14</v>
      </c>
      <c r="Q1239" s="18">
        <v>2</v>
      </c>
      <c r="R1239" s="18">
        <v>3</v>
      </c>
      <c r="S1239" s="18">
        <v>1</v>
      </c>
      <c r="T1239" s="18">
        <v>130.16</v>
      </c>
    </row>
    <row r="1240" spans="1:20" x14ac:dyDescent="0.3">
      <c r="A1240" s="18">
        <v>51239</v>
      </c>
      <c r="B1240" s="18">
        <v>0</v>
      </c>
      <c r="C1240" s="18">
        <v>1</v>
      </c>
      <c r="D1240" s="18" t="s">
        <v>36</v>
      </c>
      <c r="E1240" s="18">
        <v>1</v>
      </c>
      <c r="F1240" s="18">
        <v>5</v>
      </c>
      <c r="G1240" s="18" t="s">
        <v>39</v>
      </c>
      <c r="H1240" s="18" t="s">
        <v>33</v>
      </c>
      <c r="I1240" s="18">
        <v>2.2999999999999998</v>
      </c>
      <c r="J1240" s="18">
        <v>2</v>
      </c>
      <c r="K1240" s="18" t="s">
        <v>44</v>
      </c>
      <c r="L1240" s="18">
        <v>5</v>
      </c>
      <c r="M1240" s="18" t="s">
        <v>41</v>
      </c>
      <c r="N1240" s="18">
        <v>1</v>
      </c>
      <c r="O1240" s="18">
        <v>1</v>
      </c>
      <c r="P1240" s="18">
        <v>11</v>
      </c>
      <c r="Q1240" s="18">
        <v>2</v>
      </c>
      <c r="R1240" s="18">
        <v>6</v>
      </c>
      <c r="S1240" s="18">
        <v>3</v>
      </c>
      <c r="T1240" s="18">
        <v>150.84</v>
      </c>
    </row>
    <row r="1241" spans="1:20" x14ac:dyDescent="0.3">
      <c r="A1241" s="18">
        <v>51240</v>
      </c>
      <c r="B1241" s="18">
        <v>0</v>
      </c>
      <c r="C1241" s="18">
        <v>1</v>
      </c>
      <c r="D1241" s="18" t="s">
        <v>36</v>
      </c>
      <c r="E1241" s="18">
        <v>1</v>
      </c>
      <c r="F1241" s="18">
        <v>5</v>
      </c>
      <c r="G1241" s="18" t="s">
        <v>32</v>
      </c>
      <c r="H1241" s="18" t="s">
        <v>33</v>
      </c>
      <c r="I1241" s="18">
        <v>3.4</v>
      </c>
      <c r="J1241" s="18">
        <v>4</v>
      </c>
      <c r="K1241" s="18" t="s">
        <v>36</v>
      </c>
      <c r="L1241" s="18">
        <v>5</v>
      </c>
      <c r="M1241" s="18" t="s">
        <v>35</v>
      </c>
      <c r="N1241" s="18">
        <v>2</v>
      </c>
      <c r="O1241" s="18">
        <v>0</v>
      </c>
      <c r="P1241" s="18">
        <v>11</v>
      </c>
      <c r="Q1241" s="18"/>
      <c r="R1241" s="18">
        <v>1</v>
      </c>
      <c r="S1241" s="18">
        <v>1</v>
      </c>
      <c r="T1241" s="18">
        <v>122.82</v>
      </c>
    </row>
    <row r="1242" spans="1:20" x14ac:dyDescent="0.3">
      <c r="A1242" s="18">
        <v>51241</v>
      </c>
      <c r="B1242" s="18">
        <v>0</v>
      </c>
      <c r="C1242" s="18">
        <v>2</v>
      </c>
      <c r="D1242" s="18" t="s">
        <v>42</v>
      </c>
      <c r="E1242" s="18">
        <v>2</v>
      </c>
      <c r="F1242" s="18">
        <v>26</v>
      </c>
      <c r="G1242" s="18" t="s">
        <v>43</v>
      </c>
      <c r="H1242" s="18" t="s">
        <v>33</v>
      </c>
      <c r="I1242" s="18">
        <v>3</v>
      </c>
      <c r="J1242" s="18">
        <v>5</v>
      </c>
      <c r="K1242" s="18" t="s">
        <v>36</v>
      </c>
      <c r="L1242" s="18">
        <v>3</v>
      </c>
      <c r="M1242" s="18" t="s">
        <v>41</v>
      </c>
      <c r="N1242" s="18">
        <v>2</v>
      </c>
      <c r="O1242" s="18">
        <v>0</v>
      </c>
      <c r="P1242" s="18">
        <v>11.9</v>
      </c>
      <c r="Q1242" s="18">
        <v>0</v>
      </c>
      <c r="R1242" s="18">
        <v>3</v>
      </c>
      <c r="S1242" s="18">
        <v>0</v>
      </c>
      <c r="T1242" s="18">
        <v>224.07</v>
      </c>
    </row>
    <row r="1243" spans="1:20" x14ac:dyDescent="0.3">
      <c r="A1243" s="18">
        <v>51242</v>
      </c>
      <c r="B1243" s="18">
        <v>1</v>
      </c>
      <c r="C1243" s="18">
        <v>2</v>
      </c>
      <c r="D1243" s="18" t="s">
        <v>36</v>
      </c>
      <c r="E1243" s="18">
        <v>1</v>
      </c>
      <c r="F1243" s="18">
        <v>12</v>
      </c>
      <c r="G1243" s="18" t="s">
        <v>39</v>
      </c>
      <c r="H1243" s="18" t="s">
        <v>33</v>
      </c>
      <c r="I1243" s="18">
        <v>1.1000000000000001</v>
      </c>
      <c r="J1243" s="18">
        <v>4</v>
      </c>
      <c r="K1243" s="18" t="s">
        <v>36</v>
      </c>
      <c r="L1243" s="18">
        <v>3</v>
      </c>
      <c r="M1243" s="18" t="s">
        <v>41</v>
      </c>
      <c r="N1243" s="18">
        <v>4</v>
      </c>
      <c r="O1243" s="18">
        <v>0</v>
      </c>
      <c r="P1243" s="18">
        <v>18.899999999999999</v>
      </c>
      <c r="Q1243" s="18">
        <v>0</v>
      </c>
      <c r="R1243" s="18">
        <v>6</v>
      </c>
      <c r="S1243" s="18"/>
      <c r="T1243" s="18">
        <v>247.39</v>
      </c>
    </row>
    <row r="1244" spans="1:20" x14ac:dyDescent="0.3">
      <c r="A1244" s="18">
        <v>51243</v>
      </c>
      <c r="B1244" s="18">
        <v>0</v>
      </c>
      <c r="C1244" s="18">
        <v>19</v>
      </c>
      <c r="D1244" s="18" t="s">
        <v>36</v>
      </c>
      <c r="E1244" s="18">
        <v>1</v>
      </c>
      <c r="F1244" s="18">
        <v>26</v>
      </c>
      <c r="G1244" s="18" t="s">
        <v>37</v>
      </c>
      <c r="H1244" s="18" t="s">
        <v>33</v>
      </c>
      <c r="I1244" s="18">
        <v>3.2</v>
      </c>
      <c r="J1244" s="18">
        <v>4</v>
      </c>
      <c r="K1244" s="18" t="s">
        <v>36</v>
      </c>
      <c r="L1244" s="18">
        <v>5</v>
      </c>
      <c r="M1244" s="18" t="s">
        <v>41</v>
      </c>
      <c r="N1244" s="18">
        <v>4</v>
      </c>
      <c r="O1244" s="18">
        <v>0</v>
      </c>
      <c r="P1244" s="18">
        <v>13.8</v>
      </c>
      <c r="Q1244" s="18">
        <v>0</v>
      </c>
      <c r="R1244" s="18">
        <v>5</v>
      </c>
      <c r="S1244" s="18">
        <v>11</v>
      </c>
      <c r="T1244" s="18">
        <v>147.01</v>
      </c>
    </row>
    <row r="1245" spans="1:20" x14ac:dyDescent="0.3">
      <c r="A1245" s="18">
        <v>51244</v>
      </c>
      <c r="B1245" s="18">
        <v>0</v>
      </c>
      <c r="C1245" s="18">
        <v>8</v>
      </c>
      <c r="D1245" s="18" t="s">
        <v>31</v>
      </c>
      <c r="E1245" s="18">
        <v>3</v>
      </c>
      <c r="F1245" s="18">
        <v>14</v>
      </c>
      <c r="G1245" s="18" t="s">
        <v>39</v>
      </c>
      <c r="H1245" s="18" t="s">
        <v>38</v>
      </c>
      <c r="I1245" s="18">
        <v>3.2</v>
      </c>
      <c r="J1245" s="18">
        <v>3</v>
      </c>
      <c r="K1245" s="18" t="s">
        <v>44</v>
      </c>
      <c r="L1245" s="18">
        <v>3</v>
      </c>
      <c r="M1245" s="18" t="s">
        <v>41</v>
      </c>
      <c r="N1245" s="18">
        <v>1</v>
      </c>
      <c r="O1245" s="18">
        <v>0</v>
      </c>
      <c r="P1245" s="18">
        <v>17.600000000000001</v>
      </c>
      <c r="Q1245" s="18">
        <v>2</v>
      </c>
      <c r="R1245" s="18">
        <v>3</v>
      </c>
      <c r="S1245" s="18">
        <v>5</v>
      </c>
      <c r="T1245" s="18">
        <v>159.97</v>
      </c>
    </row>
    <row r="1246" spans="1:20" x14ac:dyDescent="0.3">
      <c r="A1246" s="18">
        <v>51245</v>
      </c>
      <c r="B1246" s="18">
        <v>1</v>
      </c>
      <c r="C1246" s="18">
        <v>7</v>
      </c>
      <c r="D1246" s="18" t="s">
        <v>36</v>
      </c>
      <c r="E1246" s="18">
        <v>1</v>
      </c>
      <c r="F1246" s="18">
        <v>5</v>
      </c>
      <c r="G1246" s="18" t="s">
        <v>47</v>
      </c>
      <c r="H1246" s="18" t="s">
        <v>38</v>
      </c>
      <c r="I1246" s="18">
        <v>2.9</v>
      </c>
      <c r="J1246" s="18">
        <v>1</v>
      </c>
      <c r="K1246" s="18" t="s">
        <v>34</v>
      </c>
      <c r="L1246" s="18">
        <v>3</v>
      </c>
      <c r="M1246" s="18" t="s">
        <v>35</v>
      </c>
      <c r="N1246" s="18">
        <v>1</v>
      </c>
      <c r="O1246" s="18">
        <v>1</v>
      </c>
      <c r="P1246" s="18">
        <v>21.8</v>
      </c>
      <c r="Q1246" s="18">
        <v>1</v>
      </c>
      <c r="R1246" s="18">
        <v>3</v>
      </c>
      <c r="S1246" s="18">
        <v>11</v>
      </c>
      <c r="T1246" s="18">
        <v>162.37</v>
      </c>
    </row>
    <row r="1247" spans="1:20" x14ac:dyDescent="0.3">
      <c r="A1247" s="18">
        <v>51246</v>
      </c>
      <c r="B1247" s="18">
        <v>0</v>
      </c>
      <c r="C1247" s="18">
        <v>1</v>
      </c>
      <c r="D1247" s="18" t="s">
        <v>36</v>
      </c>
      <c r="E1247" s="18">
        <v>1</v>
      </c>
      <c r="F1247" s="18">
        <v>22</v>
      </c>
      <c r="G1247" s="18" t="s">
        <v>37</v>
      </c>
      <c r="H1247" s="18" t="s">
        <v>38</v>
      </c>
      <c r="I1247" s="18">
        <v>3.5</v>
      </c>
      <c r="J1247" s="18">
        <v>3</v>
      </c>
      <c r="K1247" s="18" t="s">
        <v>36</v>
      </c>
      <c r="L1247" s="18">
        <v>5</v>
      </c>
      <c r="M1247" s="18" t="s">
        <v>41</v>
      </c>
      <c r="N1247" s="18">
        <v>1</v>
      </c>
      <c r="O1247" s="18">
        <v>0</v>
      </c>
      <c r="P1247" s="18">
        <v>12.1</v>
      </c>
      <c r="Q1247" s="18">
        <v>1</v>
      </c>
      <c r="R1247" s="18">
        <v>4</v>
      </c>
      <c r="S1247" s="18">
        <v>13</v>
      </c>
      <c r="T1247" s="18">
        <v>94.9</v>
      </c>
    </row>
    <row r="1248" spans="1:20" x14ac:dyDescent="0.3">
      <c r="A1248" s="18">
        <v>51247</v>
      </c>
      <c r="B1248" s="18">
        <v>0</v>
      </c>
      <c r="C1248" s="18">
        <v>19</v>
      </c>
      <c r="D1248" s="18" t="s">
        <v>42</v>
      </c>
      <c r="E1248" s="18">
        <v>3</v>
      </c>
      <c r="F1248" s="18">
        <v>10</v>
      </c>
      <c r="G1248" s="18" t="s">
        <v>39</v>
      </c>
      <c r="H1248" s="18" t="s">
        <v>38</v>
      </c>
      <c r="I1248" s="18">
        <v>2.4</v>
      </c>
      <c r="J1248" s="18">
        <v>3</v>
      </c>
      <c r="K1248" s="18" t="s">
        <v>36</v>
      </c>
      <c r="L1248" s="18">
        <v>4</v>
      </c>
      <c r="M1248" s="18" t="s">
        <v>41</v>
      </c>
      <c r="N1248" s="18">
        <v>2</v>
      </c>
      <c r="O1248" s="18">
        <v>0</v>
      </c>
      <c r="P1248" s="18">
        <v>17.7</v>
      </c>
      <c r="Q1248" s="18">
        <v>2</v>
      </c>
      <c r="R1248" s="18">
        <v>2</v>
      </c>
      <c r="S1248" s="18">
        <v>5</v>
      </c>
      <c r="T1248" s="18">
        <v>142.94</v>
      </c>
    </row>
    <row r="1249" spans="1:20" x14ac:dyDescent="0.3">
      <c r="A1249" s="18">
        <v>51248</v>
      </c>
      <c r="B1249" s="18">
        <v>0</v>
      </c>
      <c r="C1249" s="18">
        <v>12</v>
      </c>
      <c r="D1249" s="18" t="s">
        <v>42</v>
      </c>
      <c r="E1249" s="18">
        <v>1</v>
      </c>
      <c r="F1249" s="18">
        <v>20</v>
      </c>
      <c r="G1249" s="18" t="s">
        <v>39</v>
      </c>
      <c r="H1249" s="18" t="s">
        <v>33</v>
      </c>
      <c r="I1249" s="18">
        <v>3.1</v>
      </c>
      <c r="J1249" s="18">
        <v>3</v>
      </c>
      <c r="K1249" s="18" t="s">
        <v>34</v>
      </c>
      <c r="L1249" s="18">
        <v>5</v>
      </c>
      <c r="M1249" s="18" t="s">
        <v>41</v>
      </c>
      <c r="N1249" s="18">
        <v>2</v>
      </c>
      <c r="O1249" s="18">
        <v>0</v>
      </c>
      <c r="P1249" s="18">
        <v>17.899999999999999</v>
      </c>
      <c r="Q1249" s="18"/>
      <c r="R1249" s="18">
        <v>4</v>
      </c>
      <c r="S1249" s="18">
        <v>3</v>
      </c>
      <c r="T1249" s="18">
        <v>222.53</v>
      </c>
    </row>
    <row r="1250" spans="1:20" x14ac:dyDescent="0.3">
      <c r="A1250" s="18">
        <v>51249</v>
      </c>
      <c r="B1250" s="18">
        <v>0</v>
      </c>
      <c r="C1250" s="18">
        <v>0</v>
      </c>
      <c r="D1250" s="18" t="s">
        <v>31</v>
      </c>
      <c r="E1250" s="18">
        <v>1</v>
      </c>
      <c r="F1250" s="18">
        <v>15</v>
      </c>
      <c r="G1250" s="18" t="s">
        <v>47</v>
      </c>
      <c r="H1250" s="18" t="s">
        <v>33</v>
      </c>
      <c r="I1250" s="18">
        <v>1.8</v>
      </c>
      <c r="J1250" s="18">
        <v>3</v>
      </c>
      <c r="K1250" s="18" t="s">
        <v>44</v>
      </c>
      <c r="L1250" s="18">
        <v>2</v>
      </c>
      <c r="M1250" s="18" t="s">
        <v>41</v>
      </c>
      <c r="N1250" s="18">
        <v>7</v>
      </c>
      <c r="O1250" s="18">
        <v>0</v>
      </c>
      <c r="P1250" s="18">
        <v>13</v>
      </c>
      <c r="Q1250" s="18">
        <v>3</v>
      </c>
      <c r="R1250" s="18">
        <v>7</v>
      </c>
      <c r="S1250" s="18">
        <v>10</v>
      </c>
      <c r="T1250" s="18">
        <v>131.85</v>
      </c>
    </row>
    <row r="1251" spans="1:20" x14ac:dyDescent="0.3">
      <c r="A1251" s="18">
        <v>51250</v>
      </c>
      <c r="B1251" s="18">
        <v>0</v>
      </c>
      <c r="C1251" s="18">
        <v>12</v>
      </c>
      <c r="D1251" s="18" t="s">
        <v>36</v>
      </c>
      <c r="E1251" s="18">
        <v>1</v>
      </c>
      <c r="F1251" s="18">
        <v>5</v>
      </c>
      <c r="G1251" s="18" t="s">
        <v>37</v>
      </c>
      <c r="H1251" s="18" t="s">
        <v>38</v>
      </c>
      <c r="I1251" s="18">
        <v>3.2</v>
      </c>
      <c r="J1251" s="18">
        <v>4</v>
      </c>
      <c r="K1251" s="18" t="s">
        <v>44</v>
      </c>
      <c r="L1251" s="18">
        <v>3</v>
      </c>
      <c r="M1251" s="18" t="s">
        <v>35</v>
      </c>
      <c r="N1251" s="18">
        <v>4</v>
      </c>
      <c r="O1251" s="18">
        <v>1</v>
      </c>
      <c r="P1251" s="18">
        <v>20.7</v>
      </c>
      <c r="Q1251" s="18">
        <v>0</v>
      </c>
      <c r="R1251" s="18">
        <v>3</v>
      </c>
      <c r="S1251" s="18">
        <v>4</v>
      </c>
      <c r="T1251" s="18">
        <v>185.11</v>
      </c>
    </row>
    <row r="1252" spans="1:20" x14ac:dyDescent="0.3">
      <c r="A1252" s="18">
        <v>51251</v>
      </c>
      <c r="B1252" s="18">
        <v>0</v>
      </c>
      <c r="C1252" s="18">
        <v>7</v>
      </c>
      <c r="D1252" s="18" t="s">
        <v>31</v>
      </c>
      <c r="E1252" s="18">
        <v>1</v>
      </c>
      <c r="F1252" s="18">
        <v>16</v>
      </c>
      <c r="G1252" s="18" t="s">
        <v>39</v>
      </c>
      <c r="H1252" s="18" t="s">
        <v>33</v>
      </c>
      <c r="I1252" s="18">
        <v>4.3</v>
      </c>
      <c r="J1252" s="18">
        <v>4</v>
      </c>
      <c r="K1252" s="18" t="s">
        <v>46</v>
      </c>
      <c r="L1252" s="18">
        <v>5</v>
      </c>
      <c r="M1252" s="18" t="s">
        <v>41</v>
      </c>
      <c r="N1252" s="18">
        <v>8</v>
      </c>
      <c r="O1252" s="18">
        <v>1</v>
      </c>
      <c r="P1252" s="18">
        <v>15</v>
      </c>
      <c r="Q1252" s="18">
        <v>3</v>
      </c>
      <c r="R1252" s="18">
        <v>4</v>
      </c>
      <c r="S1252" s="18">
        <v>0</v>
      </c>
      <c r="T1252" s="18">
        <v>108.06</v>
      </c>
    </row>
    <row r="1253" spans="1:20" x14ac:dyDescent="0.3">
      <c r="A1253" s="18">
        <v>51252</v>
      </c>
      <c r="B1253" s="18">
        <v>0</v>
      </c>
      <c r="C1253" s="18">
        <v>0</v>
      </c>
      <c r="D1253" s="18" t="s">
        <v>31</v>
      </c>
      <c r="E1253" s="18">
        <v>2</v>
      </c>
      <c r="F1253" s="18">
        <v>32</v>
      </c>
      <c r="G1253" s="18" t="s">
        <v>47</v>
      </c>
      <c r="H1253" s="18" t="s">
        <v>33</v>
      </c>
      <c r="I1253" s="18">
        <v>2.2000000000000002</v>
      </c>
      <c r="J1253" s="18">
        <v>3</v>
      </c>
      <c r="K1253" s="18" t="s">
        <v>44</v>
      </c>
      <c r="L1253" s="18">
        <v>2</v>
      </c>
      <c r="M1253" s="18" t="s">
        <v>35</v>
      </c>
      <c r="N1253" s="18">
        <v>4</v>
      </c>
      <c r="O1253" s="18">
        <v>0</v>
      </c>
      <c r="P1253" s="18">
        <v>14.7</v>
      </c>
      <c r="Q1253" s="18">
        <v>1</v>
      </c>
      <c r="R1253" s="18">
        <v>2</v>
      </c>
      <c r="S1253" s="18">
        <v>2</v>
      </c>
      <c r="T1253" s="18">
        <v>172.08</v>
      </c>
    </row>
    <row r="1254" spans="1:20" x14ac:dyDescent="0.3">
      <c r="A1254" s="18">
        <v>51253</v>
      </c>
      <c r="B1254" s="18">
        <v>0</v>
      </c>
      <c r="C1254" s="18">
        <v>6</v>
      </c>
      <c r="D1254" s="18" t="s">
        <v>36</v>
      </c>
      <c r="E1254" s="18">
        <v>3</v>
      </c>
      <c r="F1254" s="18">
        <v>18</v>
      </c>
      <c r="G1254" s="18" t="s">
        <v>37</v>
      </c>
      <c r="H1254" s="18" t="s">
        <v>33</v>
      </c>
      <c r="I1254" s="18">
        <v>2.4</v>
      </c>
      <c r="J1254" s="18">
        <v>1</v>
      </c>
      <c r="K1254" s="18" t="s">
        <v>46</v>
      </c>
      <c r="L1254" s="18">
        <v>4</v>
      </c>
      <c r="M1254" s="18" t="s">
        <v>41</v>
      </c>
      <c r="N1254" s="18">
        <v>12</v>
      </c>
      <c r="O1254" s="18">
        <v>0</v>
      </c>
      <c r="P1254" s="18">
        <v>23.4</v>
      </c>
      <c r="Q1254" s="18">
        <v>1</v>
      </c>
      <c r="R1254" s="18">
        <v>1</v>
      </c>
      <c r="S1254" s="18">
        <v>2</v>
      </c>
      <c r="T1254" s="18">
        <v>149.02000000000001</v>
      </c>
    </row>
    <row r="1255" spans="1:20" x14ac:dyDescent="0.3">
      <c r="A1255" s="18">
        <v>51254</v>
      </c>
      <c r="B1255" s="18">
        <v>1</v>
      </c>
      <c r="C1255" s="18">
        <v>6</v>
      </c>
      <c r="D1255" s="18" t="s">
        <v>36</v>
      </c>
      <c r="E1255" s="18">
        <v>1</v>
      </c>
      <c r="F1255" s="18">
        <v>14</v>
      </c>
      <c r="G1255" s="18" t="s">
        <v>32</v>
      </c>
      <c r="H1255" s="18" t="s">
        <v>33</v>
      </c>
      <c r="I1255" s="18">
        <v>2.4</v>
      </c>
      <c r="J1255" s="18">
        <v>3</v>
      </c>
      <c r="K1255" s="18" t="s">
        <v>44</v>
      </c>
      <c r="L1255" s="18">
        <v>2</v>
      </c>
      <c r="M1255" s="18" t="s">
        <v>41</v>
      </c>
      <c r="N1255" s="18">
        <v>3</v>
      </c>
      <c r="O1255" s="18">
        <v>0</v>
      </c>
      <c r="P1255" s="18">
        <v>17.8</v>
      </c>
      <c r="Q1255" s="18">
        <v>1</v>
      </c>
      <c r="R1255" s="18">
        <v>3</v>
      </c>
      <c r="S1255" s="18">
        <v>13</v>
      </c>
      <c r="T1255" s="18">
        <v>112.81</v>
      </c>
    </row>
    <row r="1256" spans="1:20" x14ac:dyDescent="0.3">
      <c r="A1256" s="18">
        <v>51255</v>
      </c>
      <c r="B1256" s="18">
        <v>0</v>
      </c>
      <c r="C1256" s="18">
        <v>1</v>
      </c>
      <c r="D1256" s="18" t="s">
        <v>42</v>
      </c>
      <c r="E1256" s="18">
        <v>2</v>
      </c>
      <c r="F1256" s="18">
        <v>23</v>
      </c>
      <c r="G1256" s="18" t="s">
        <v>39</v>
      </c>
      <c r="H1256" s="18" t="s">
        <v>33</v>
      </c>
      <c r="I1256" s="18">
        <v>3</v>
      </c>
      <c r="J1256" s="18">
        <v>3</v>
      </c>
      <c r="K1256" s="18" t="s">
        <v>44</v>
      </c>
      <c r="L1256" s="18">
        <v>4</v>
      </c>
      <c r="M1256" s="18" t="s">
        <v>41</v>
      </c>
      <c r="N1256" s="18">
        <v>11</v>
      </c>
      <c r="O1256" s="18">
        <v>1</v>
      </c>
      <c r="P1256" s="18">
        <v>19.2</v>
      </c>
      <c r="Q1256" s="18">
        <v>2</v>
      </c>
      <c r="R1256" s="18">
        <v>4</v>
      </c>
      <c r="S1256" s="18">
        <v>5</v>
      </c>
      <c r="T1256" s="18">
        <v>223.47</v>
      </c>
    </row>
    <row r="1257" spans="1:20" x14ac:dyDescent="0.3">
      <c r="A1257" s="18">
        <v>51256</v>
      </c>
      <c r="B1257" s="18">
        <v>0</v>
      </c>
      <c r="C1257" s="18">
        <v>29</v>
      </c>
      <c r="D1257" s="18" t="s">
        <v>36</v>
      </c>
      <c r="E1257" s="18">
        <v>2</v>
      </c>
      <c r="F1257" s="18">
        <v>16</v>
      </c>
      <c r="G1257" s="18" t="s">
        <v>32</v>
      </c>
      <c r="H1257" s="18" t="s">
        <v>33</v>
      </c>
      <c r="I1257" s="18">
        <v>2.2000000000000002</v>
      </c>
      <c r="J1257" s="18">
        <v>4</v>
      </c>
      <c r="K1257" s="18" t="s">
        <v>36</v>
      </c>
      <c r="L1257" s="18">
        <v>4</v>
      </c>
      <c r="M1257" s="18" t="s">
        <v>41</v>
      </c>
      <c r="N1257" s="18">
        <v>1</v>
      </c>
      <c r="O1257" s="18">
        <v>0</v>
      </c>
      <c r="P1257" s="18">
        <v>20.7</v>
      </c>
      <c r="Q1257" s="18">
        <v>0</v>
      </c>
      <c r="R1257" s="18">
        <v>7</v>
      </c>
      <c r="S1257" s="18">
        <v>10</v>
      </c>
      <c r="T1257" s="18">
        <v>226.56</v>
      </c>
    </row>
    <row r="1258" spans="1:20" x14ac:dyDescent="0.3">
      <c r="A1258" s="18">
        <v>51257</v>
      </c>
      <c r="B1258" s="18">
        <v>0</v>
      </c>
      <c r="C1258" s="18">
        <v>18</v>
      </c>
      <c r="D1258" s="18" t="s">
        <v>31</v>
      </c>
      <c r="E1258" s="18">
        <v>1</v>
      </c>
      <c r="F1258" s="18">
        <v>16</v>
      </c>
      <c r="G1258" s="18" t="s">
        <v>47</v>
      </c>
      <c r="H1258" s="18" t="s">
        <v>33</v>
      </c>
      <c r="I1258" s="18">
        <v>3.2</v>
      </c>
      <c r="J1258" s="18">
        <v>3</v>
      </c>
      <c r="K1258" s="18" t="s">
        <v>44</v>
      </c>
      <c r="L1258" s="18">
        <v>2</v>
      </c>
      <c r="M1258" s="18" t="s">
        <v>35</v>
      </c>
      <c r="N1258" s="18">
        <v>1</v>
      </c>
      <c r="O1258" s="18">
        <v>0</v>
      </c>
      <c r="P1258" s="18">
        <v>13.7</v>
      </c>
      <c r="Q1258" s="18">
        <v>1</v>
      </c>
      <c r="R1258" s="18">
        <v>2</v>
      </c>
      <c r="S1258" s="18">
        <v>7</v>
      </c>
      <c r="T1258" s="18">
        <v>126.68</v>
      </c>
    </row>
    <row r="1259" spans="1:20" x14ac:dyDescent="0.3">
      <c r="A1259" s="18">
        <v>51258</v>
      </c>
      <c r="B1259" s="18">
        <v>0</v>
      </c>
      <c r="C1259" s="18">
        <v>11</v>
      </c>
      <c r="D1259" s="18" t="s">
        <v>36</v>
      </c>
      <c r="E1259" s="18">
        <v>2</v>
      </c>
      <c r="F1259" s="18">
        <v>6</v>
      </c>
      <c r="G1259" s="18" t="s">
        <v>39</v>
      </c>
      <c r="H1259" s="18" t="s">
        <v>38</v>
      </c>
      <c r="I1259" s="18">
        <v>3.5</v>
      </c>
      <c r="J1259" s="18">
        <v>4</v>
      </c>
      <c r="K1259" s="18" t="s">
        <v>40</v>
      </c>
      <c r="L1259" s="18">
        <v>3</v>
      </c>
      <c r="M1259" s="18" t="s">
        <v>35</v>
      </c>
      <c r="N1259" s="18">
        <v>3</v>
      </c>
      <c r="O1259" s="18">
        <v>0</v>
      </c>
      <c r="P1259" s="18">
        <v>20.399999999999999</v>
      </c>
      <c r="Q1259" s="18">
        <v>0</v>
      </c>
      <c r="R1259" s="18">
        <v>3</v>
      </c>
      <c r="S1259" s="18">
        <v>1</v>
      </c>
      <c r="T1259" s="18">
        <v>168.11</v>
      </c>
    </row>
    <row r="1260" spans="1:20" x14ac:dyDescent="0.3">
      <c r="A1260" s="18">
        <v>51259</v>
      </c>
      <c r="B1260" s="18">
        <v>0</v>
      </c>
      <c r="C1260" s="18">
        <v>6</v>
      </c>
      <c r="D1260" s="18" t="s">
        <v>36</v>
      </c>
      <c r="E1260" s="18">
        <v>1</v>
      </c>
      <c r="F1260" s="18">
        <v>16</v>
      </c>
      <c r="G1260" s="18" t="s">
        <v>47</v>
      </c>
      <c r="H1260" s="18" t="s">
        <v>33</v>
      </c>
      <c r="I1260" s="18">
        <v>3.3</v>
      </c>
      <c r="J1260" s="18">
        <v>3</v>
      </c>
      <c r="K1260" s="18" t="s">
        <v>40</v>
      </c>
      <c r="L1260" s="18">
        <v>4</v>
      </c>
      <c r="M1260" s="18" t="s">
        <v>35</v>
      </c>
      <c r="N1260" s="18">
        <v>14</v>
      </c>
      <c r="O1260" s="18">
        <v>0</v>
      </c>
      <c r="P1260" s="18">
        <v>14.2</v>
      </c>
      <c r="Q1260" s="18">
        <v>5</v>
      </c>
      <c r="R1260" s="18">
        <v>5</v>
      </c>
      <c r="S1260" s="18">
        <v>6</v>
      </c>
      <c r="T1260" s="18">
        <v>182.44</v>
      </c>
    </row>
    <row r="1261" spans="1:20" x14ac:dyDescent="0.3">
      <c r="A1261" s="18">
        <v>51260</v>
      </c>
      <c r="B1261" s="18">
        <v>0</v>
      </c>
      <c r="C1261" s="18">
        <v>5</v>
      </c>
      <c r="D1261" s="18" t="s">
        <v>36</v>
      </c>
      <c r="E1261" s="18">
        <v>1</v>
      </c>
      <c r="F1261" s="18">
        <v>23</v>
      </c>
      <c r="G1261" s="18" t="s">
        <v>37</v>
      </c>
      <c r="H1261" s="18" t="s">
        <v>33</v>
      </c>
      <c r="I1261" s="18">
        <v>1.7</v>
      </c>
      <c r="J1261" s="18">
        <v>3</v>
      </c>
      <c r="K1261" s="18" t="s">
        <v>34</v>
      </c>
      <c r="L1261" s="18">
        <v>4</v>
      </c>
      <c r="M1261" s="18" t="s">
        <v>41</v>
      </c>
      <c r="N1261" s="18">
        <v>1</v>
      </c>
      <c r="O1261" s="18">
        <v>0</v>
      </c>
      <c r="P1261" s="18">
        <v>14.1</v>
      </c>
      <c r="Q1261" s="18">
        <v>1</v>
      </c>
      <c r="R1261" s="18">
        <v>4</v>
      </c>
      <c r="S1261" s="18">
        <v>1</v>
      </c>
      <c r="T1261" s="18">
        <v>80.19</v>
      </c>
    </row>
    <row r="1262" spans="1:20" x14ac:dyDescent="0.3">
      <c r="A1262" s="18">
        <v>51261</v>
      </c>
      <c r="B1262" s="18">
        <v>0</v>
      </c>
      <c r="C1262" s="18">
        <v>10</v>
      </c>
      <c r="D1262" s="18" t="s">
        <v>42</v>
      </c>
      <c r="E1262" s="18">
        <v>1</v>
      </c>
      <c r="F1262" s="18">
        <v>8</v>
      </c>
      <c r="G1262" s="18" t="s">
        <v>43</v>
      </c>
      <c r="H1262" s="18" t="s">
        <v>33</v>
      </c>
      <c r="I1262" s="18">
        <v>3.6</v>
      </c>
      <c r="J1262" s="18">
        <v>4</v>
      </c>
      <c r="K1262" s="18" t="s">
        <v>46</v>
      </c>
      <c r="L1262" s="18">
        <v>3</v>
      </c>
      <c r="M1262" s="18" t="s">
        <v>41</v>
      </c>
      <c r="N1262" s="18">
        <v>1</v>
      </c>
      <c r="O1262" s="18">
        <v>0</v>
      </c>
      <c r="P1262" s="18">
        <v>15</v>
      </c>
      <c r="Q1262" s="18">
        <v>2</v>
      </c>
      <c r="R1262" s="18">
        <v>7</v>
      </c>
      <c r="S1262" s="18">
        <v>2</v>
      </c>
      <c r="T1262" s="18">
        <v>103.16</v>
      </c>
    </row>
    <row r="1263" spans="1:20" x14ac:dyDescent="0.3">
      <c r="A1263" s="18">
        <v>51262</v>
      </c>
      <c r="B1263" s="18">
        <v>0</v>
      </c>
      <c r="C1263" s="18">
        <v>7</v>
      </c>
      <c r="D1263" s="18" t="s">
        <v>36</v>
      </c>
      <c r="E1263" s="18">
        <v>1</v>
      </c>
      <c r="F1263" s="18">
        <v>26</v>
      </c>
      <c r="G1263" s="18" t="s">
        <v>39</v>
      </c>
      <c r="H1263" s="18" t="s">
        <v>33</v>
      </c>
      <c r="I1263" s="18">
        <v>3.6</v>
      </c>
      <c r="J1263" s="18">
        <v>3</v>
      </c>
      <c r="K1263" s="18" t="s">
        <v>44</v>
      </c>
      <c r="L1263" s="18">
        <v>5</v>
      </c>
      <c r="M1263" s="18" t="s">
        <v>41</v>
      </c>
      <c r="N1263" s="18">
        <v>2</v>
      </c>
      <c r="O1263" s="18">
        <v>0</v>
      </c>
      <c r="P1263" s="18">
        <v>13.8</v>
      </c>
      <c r="Q1263" s="18">
        <v>1</v>
      </c>
      <c r="R1263" s="18">
        <v>3</v>
      </c>
      <c r="S1263" s="18">
        <v>8</v>
      </c>
      <c r="T1263" s="18">
        <v>250.75</v>
      </c>
    </row>
    <row r="1264" spans="1:20" x14ac:dyDescent="0.3">
      <c r="A1264" s="18">
        <v>51263</v>
      </c>
      <c r="B1264" s="18">
        <v>0</v>
      </c>
      <c r="C1264" s="18">
        <v>0</v>
      </c>
      <c r="D1264" s="18" t="s">
        <v>36</v>
      </c>
      <c r="E1264" s="18">
        <v>1</v>
      </c>
      <c r="F1264" s="18">
        <v>14</v>
      </c>
      <c r="G1264" s="18" t="s">
        <v>47</v>
      </c>
      <c r="H1264" s="18" t="s">
        <v>38</v>
      </c>
      <c r="I1264" s="18">
        <v>3.5</v>
      </c>
      <c r="J1264" s="18">
        <v>3</v>
      </c>
      <c r="K1264" s="18" t="s">
        <v>46</v>
      </c>
      <c r="L1264" s="18">
        <v>3</v>
      </c>
      <c r="M1264" s="18" t="s">
        <v>35</v>
      </c>
      <c r="N1264" s="18">
        <v>3</v>
      </c>
      <c r="O1264" s="18">
        <v>0</v>
      </c>
      <c r="P1264" s="18">
        <v>18.899999999999999</v>
      </c>
      <c r="Q1264" s="18">
        <v>0</v>
      </c>
      <c r="R1264" s="18">
        <v>5</v>
      </c>
      <c r="S1264" s="18">
        <v>4</v>
      </c>
      <c r="T1264" s="18">
        <v>121.42</v>
      </c>
    </row>
    <row r="1265" spans="1:20" x14ac:dyDescent="0.3">
      <c r="A1265" s="18">
        <v>51264</v>
      </c>
      <c r="B1265" s="18">
        <v>0</v>
      </c>
      <c r="C1265" s="18">
        <v>7</v>
      </c>
      <c r="D1265" s="18" t="s">
        <v>31</v>
      </c>
      <c r="E1265" s="18">
        <v>3</v>
      </c>
      <c r="F1265" s="18"/>
      <c r="G1265" s="18" t="s">
        <v>37</v>
      </c>
      <c r="H1265" s="18" t="s">
        <v>38</v>
      </c>
      <c r="I1265" s="18">
        <v>3.2</v>
      </c>
      <c r="J1265" s="18">
        <v>3</v>
      </c>
      <c r="K1265" s="18" t="s">
        <v>40</v>
      </c>
      <c r="L1265" s="18">
        <v>3</v>
      </c>
      <c r="M1265" s="18" t="s">
        <v>41</v>
      </c>
      <c r="N1265" s="18">
        <v>1</v>
      </c>
      <c r="O1265" s="18">
        <v>1</v>
      </c>
      <c r="P1265" s="18">
        <v>16.899999999999999</v>
      </c>
      <c r="Q1265" s="18">
        <v>0</v>
      </c>
      <c r="R1265" s="18">
        <v>7</v>
      </c>
      <c r="S1265" s="18">
        <v>8</v>
      </c>
      <c r="T1265" s="18">
        <v>249.2</v>
      </c>
    </row>
    <row r="1266" spans="1:20" x14ac:dyDescent="0.3">
      <c r="A1266" s="18">
        <v>51265</v>
      </c>
      <c r="B1266" s="18">
        <v>0</v>
      </c>
      <c r="C1266" s="18">
        <v>16</v>
      </c>
      <c r="D1266" s="18" t="s">
        <v>31</v>
      </c>
      <c r="E1266" s="18">
        <v>1</v>
      </c>
      <c r="F1266" s="18">
        <v>22</v>
      </c>
      <c r="G1266" s="18" t="s">
        <v>43</v>
      </c>
      <c r="H1266" s="18" t="s">
        <v>38</v>
      </c>
      <c r="I1266" s="18">
        <v>3.1</v>
      </c>
      <c r="J1266" s="18">
        <v>3</v>
      </c>
      <c r="K1266" s="18" t="s">
        <v>40</v>
      </c>
      <c r="L1266" s="18">
        <v>1</v>
      </c>
      <c r="M1266" s="18" t="s">
        <v>35</v>
      </c>
      <c r="N1266" s="18">
        <v>4</v>
      </c>
      <c r="O1266" s="18">
        <v>0</v>
      </c>
      <c r="P1266" s="18">
        <v>14.3</v>
      </c>
      <c r="Q1266" s="18">
        <v>0</v>
      </c>
      <c r="R1266" s="18">
        <v>3</v>
      </c>
      <c r="S1266" s="18">
        <v>1</v>
      </c>
      <c r="T1266" s="18">
        <v>106</v>
      </c>
    </row>
    <row r="1267" spans="1:20" x14ac:dyDescent="0.3">
      <c r="A1267" s="18">
        <v>51266</v>
      </c>
      <c r="B1267" s="18">
        <v>0</v>
      </c>
      <c r="C1267" s="18">
        <v>6</v>
      </c>
      <c r="D1267" s="18" t="s">
        <v>42</v>
      </c>
      <c r="E1267" s="18">
        <v>1</v>
      </c>
      <c r="F1267" s="18">
        <v>12</v>
      </c>
      <c r="G1267" s="18" t="s">
        <v>39</v>
      </c>
      <c r="H1267" s="18" t="s">
        <v>33</v>
      </c>
      <c r="I1267" s="18">
        <v>3.6</v>
      </c>
      <c r="J1267" s="18">
        <v>4</v>
      </c>
      <c r="K1267" s="18" t="s">
        <v>46</v>
      </c>
      <c r="L1267" s="18">
        <v>5</v>
      </c>
      <c r="M1267" s="18" t="s">
        <v>41</v>
      </c>
      <c r="N1267" s="18">
        <v>12</v>
      </c>
      <c r="O1267" s="18">
        <v>0</v>
      </c>
      <c r="P1267" s="18">
        <v>18.399999999999999</v>
      </c>
      <c r="Q1267" s="18">
        <v>2</v>
      </c>
      <c r="R1267" s="18">
        <v>4</v>
      </c>
      <c r="S1267" s="18">
        <v>6</v>
      </c>
      <c r="T1267" s="18">
        <v>216.24</v>
      </c>
    </row>
    <row r="1268" spans="1:20" x14ac:dyDescent="0.3">
      <c r="A1268" s="18">
        <v>51267</v>
      </c>
      <c r="B1268" s="18">
        <v>0</v>
      </c>
      <c r="C1268" s="18">
        <v>0</v>
      </c>
      <c r="D1268" s="18" t="s">
        <v>36</v>
      </c>
      <c r="E1268" s="18">
        <v>1</v>
      </c>
      <c r="F1268" s="18">
        <v>21</v>
      </c>
      <c r="G1268" s="18" t="s">
        <v>43</v>
      </c>
      <c r="H1268" s="18" t="s">
        <v>33</v>
      </c>
      <c r="I1268" s="18">
        <v>4.2</v>
      </c>
      <c r="J1268" s="18">
        <v>2</v>
      </c>
      <c r="K1268" s="18" t="s">
        <v>36</v>
      </c>
      <c r="L1268" s="18">
        <v>2</v>
      </c>
      <c r="M1268" s="18" t="s">
        <v>41</v>
      </c>
      <c r="N1268" s="18">
        <v>7</v>
      </c>
      <c r="O1268" s="18">
        <v>1</v>
      </c>
      <c r="P1268" s="18">
        <v>15</v>
      </c>
      <c r="Q1268" s="18">
        <v>2</v>
      </c>
      <c r="R1268" s="18">
        <v>2</v>
      </c>
      <c r="S1268" s="18">
        <v>1</v>
      </c>
      <c r="T1268" s="18">
        <v>162.88</v>
      </c>
    </row>
    <row r="1269" spans="1:20" x14ac:dyDescent="0.3">
      <c r="A1269" s="18">
        <v>51268</v>
      </c>
      <c r="B1269" s="18">
        <v>1</v>
      </c>
      <c r="C1269" s="18">
        <v>15</v>
      </c>
      <c r="D1269" s="18" t="s">
        <v>36</v>
      </c>
      <c r="E1269" s="18">
        <v>3</v>
      </c>
      <c r="F1269" s="18">
        <v>12</v>
      </c>
      <c r="G1269" s="18" t="s">
        <v>43</v>
      </c>
      <c r="H1269" s="18" t="s">
        <v>33</v>
      </c>
      <c r="I1269" s="18">
        <v>2.2000000000000002</v>
      </c>
      <c r="J1269" s="18">
        <v>3</v>
      </c>
      <c r="K1269" s="18" t="s">
        <v>36</v>
      </c>
      <c r="L1269" s="18">
        <v>3</v>
      </c>
      <c r="M1269" s="18" t="s">
        <v>45</v>
      </c>
      <c r="N1269" s="18">
        <v>1</v>
      </c>
      <c r="O1269" s="18">
        <v>1</v>
      </c>
      <c r="P1269" s="18">
        <v>14.9</v>
      </c>
      <c r="Q1269" s="18">
        <v>2</v>
      </c>
      <c r="R1269" s="18">
        <v>7</v>
      </c>
      <c r="S1269" s="18">
        <v>3</v>
      </c>
      <c r="T1269" s="18">
        <v>170.61</v>
      </c>
    </row>
    <row r="1270" spans="1:20" x14ac:dyDescent="0.3">
      <c r="A1270" s="18">
        <v>51269</v>
      </c>
      <c r="B1270" s="18">
        <v>0</v>
      </c>
      <c r="C1270" s="18">
        <v>2</v>
      </c>
      <c r="D1270" s="18" t="s">
        <v>42</v>
      </c>
      <c r="E1270" s="18">
        <v>2</v>
      </c>
      <c r="F1270" s="18">
        <v>14</v>
      </c>
      <c r="G1270" s="18" t="s">
        <v>39</v>
      </c>
      <c r="H1270" s="18" t="s">
        <v>33</v>
      </c>
      <c r="I1270" s="18">
        <v>3.7</v>
      </c>
      <c r="J1270" s="18">
        <v>3</v>
      </c>
      <c r="K1270" s="18" t="s">
        <v>40</v>
      </c>
      <c r="L1270" s="18">
        <v>4</v>
      </c>
      <c r="M1270" s="18" t="s">
        <v>35</v>
      </c>
      <c r="N1270" s="18">
        <v>1</v>
      </c>
      <c r="O1270" s="18">
        <v>0</v>
      </c>
      <c r="P1270" s="18">
        <v>16.2</v>
      </c>
      <c r="Q1270" s="18">
        <v>2</v>
      </c>
      <c r="R1270" s="18">
        <v>5</v>
      </c>
      <c r="S1270" s="18">
        <v>2</v>
      </c>
      <c r="T1270" s="18">
        <v>282.08</v>
      </c>
    </row>
    <row r="1271" spans="1:20" x14ac:dyDescent="0.3">
      <c r="A1271" s="18">
        <v>51270</v>
      </c>
      <c r="B1271" s="18">
        <v>0</v>
      </c>
      <c r="C1271" s="18">
        <v>2</v>
      </c>
      <c r="D1271" s="18" t="s">
        <v>31</v>
      </c>
      <c r="E1271" s="18">
        <v>2</v>
      </c>
      <c r="F1271" s="18">
        <v>18</v>
      </c>
      <c r="G1271" s="18" t="s">
        <v>32</v>
      </c>
      <c r="H1271" s="18" t="s">
        <v>33</v>
      </c>
      <c r="I1271" s="18">
        <v>2.8</v>
      </c>
      <c r="J1271" s="18">
        <v>3</v>
      </c>
      <c r="K1271" s="18" t="s">
        <v>44</v>
      </c>
      <c r="L1271" s="18">
        <v>2</v>
      </c>
      <c r="M1271" s="18" t="s">
        <v>35</v>
      </c>
      <c r="N1271" s="18">
        <v>1</v>
      </c>
      <c r="O1271" s="18">
        <v>0</v>
      </c>
      <c r="P1271" s="18">
        <v>17.600000000000001</v>
      </c>
      <c r="Q1271" s="18">
        <v>1</v>
      </c>
      <c r="R1271" s="18">
        <v>3</v>
      </c>
      <c r="S1271" s="18">
        <v>4</v>
      </c>
      <c r="T1271" s="18">
        <v>111.02</v>
      </c>
    </row>
    <row r="1272" spans="1:20" x14ac:dyDescent="0.3">
      <c r="A1272" s="18">
        <v>51271</v>
      </c>
      <c r="B1272" s="18">
        <v>0</v>
      </c>
      <c r="C1272" s="18">
        <v>1</v>
      </c>
      <c r="D1272" s="18" t="s">
        <v>36</v>
      </c>
      <c r="E1272" s="18">
        <v>3</v>
      </c>
      <c r="F1272" s="18">
        <v>17</v>
      </c>
      <c r="G1272" s="18" t="s">
        <v>43</v>
      </c>
      <c r="H1272" s="18" t="s">
        <v>33</v>
      </c>
      <c r="I1272" s="18">
        <v>2.8</v>
      </c>
      <c r="J1272" s="18">
        <v>3</v>
      </c>
      <c r="K1272" s="18" t="s">
        <v>44</v>
      </c>
      <c r="L1272" s="18">
        <v>3</v>
      </c>
      <c r="M1272" s="18" t="s">
        <v>35</v>
      </c>
      <c r="N1272" s="18">
        <v>1</v>
      </c>
      <c r="O1272" s="18">
        <v>0</v>
      </c>
      <c r="P1272" s="18">
        <v>17.399999999999999</v>
      </c>
      <c r="Q1272" s="18">
        <v>3</v>
      </c>
      <c r="R1272" s="18">
        <v>5</v>
      </c>
      <c r="S1272" s="18">
        <v>0</v>
      </c>
      <c r="T1272" s="18">
        <v>212.71</v>
      </c>
    </row>
    <row r="1273" spans="1:20" x14ac:dyDescent="0.3">
      <c r="A1273" s="18">
        <v>51272</v>
      </c>
      <c r="B1273" s="18">
        <v>0</v>
      </c>
      <c r="C1273" s="18">
        <v>4</v>
      </c>
      <c r="D1273" s="18" t="s">
        <v>36</v>
      </c>
      <c r="E1273" s="18">
        <v>3</v>
      </c>
      <c r="F1273" s="18">
        <v>5</v>
      </c>
      <c r="G1273" s="18" t="s">
        <v>39</v>
      </c>
      <c r="H1273" s="18" t="s">
        <v>33</v>
      </c>
      <c r="I1273" s="18">
        <v>1.8</v>
      </c>
      <c r="J1273" s="18">
        <v>3</v>
      </c>
      <c r="K1273" s="18" t="s">
        <v>40</v>
      </c>
      <c r="L1273" s="18">
        <v>2</v>
      </c>
      <c r="M1273" s="18" t="s">
        <v>35</v>
      </c>
      <c r="N1273" s="18">
        <v>1</v>
      </c>
      <c r="O1273" s="18">
        <v>0</v>
      </c>
      <c r="P1273" s="18">
        <v>14.7</v>
      </c>
      <c r="Q1273" s="18">
        <v>2</v>
      </c>
      <c r="R1273" s="18">
        <v>5</v>
      </c>
      <c r="S1273" s="18">
        <v>2</v>
      </c>
      <c r="T1273" s="18">
        <v>210.44</v>
      </c>
    </row>
    <row r="1274" spans="1:20" x14ac:dyDescent="0.3">
      <c r="A1274" s="18">
        <v>51273</v>
      </c>
      <c r="B1274" s="18">
        <v>0</v>
      </c>
      <c r="C1274" s="18">
        <v>14</v>
      </c>
      <c r="D1274" s="18" t="s">
        <v>42</v>
      </c>
      <c r="E1274" s="18">
        <v>1</v>
      </c>
      <c r="F1274" s="18">
        <v>6</v>
      </c>
      <c r="G1274" s="18" t="s">
        <v>37</v>
      </c>
      <c r="H1274" s="18" t="s">
        <v>38</v>
      </c>
      <c r="I1274" s="18">
        <v>2.7</v>
      </c>
      <c r="J1274" s="18">
        <v>3</v>
      </c>
      <c r="K1274" s="18" t="s">
        <v>44</v>
      </c>
      <c r="L1274" s="18">
        <v>4</v>
      </c>
      <c r="M1274" s="18" t="s">
        <v>41</v>
      </c>
      <c r="N1274" s="18">
        <v>5</v>
      </c>
      <c r="O1274" s="18">
        <v>1</v>
      </c>
      <c r="P1274" s="18">
        <v>19</v>
      </c>
      <c r="Q1274" s="18">
        <v>4</v>
      </c>
      <c r="R1274" s="18">
        <v>3</v>
      </c>
      <c r="S1274" s="18">
        <v>5</v>
      </c>
      <c r="T1274" s="18">
        <v>325</v>
      </c>
    </row>
    <row r="1275" spans="1:20" x14ac:dyDescent="0.3">
      <c r="A1275" s="18">
        <v>51274</v>
      </c>
      <c r="B1275" s="18">
        <v>0</v>
      </c>
      <c r="C1275" s="18">
        <v>7</v>
      </c>
      <c r="D1275" s="18" t="s">
        <v>36</v>
      </c>
      <c r="E1275" s="18">
        <v>2</v>
      </c>
      <c r="F1275" s="18">
        <v>22</v>
      </c>
      <c r="G1275" s="18" t="s">
        <v>37</v>
      </c>
      <c r="H1275" s="18" t="s">
        <v>33</v>
      </c>
      <c r="I1275" s="18">
        <v>2.2000000000000002</v>
      </c>
      <c r="J1275" s="18">
        <v>3</v>
      </c>
      <c r="K1275" s="18" t="s">
        <v>44</v>
      </c>
      <c r="L1275" s="18">
        <v>4</v>
      </c>
      <c r="M1275" s="18" t="s">
        <v>35</v>
      </c>
      <c r="N1275" s="18">
        <v>1</v>
      </c>
      <c r="O1275" s="18">
        <v>0</v>
      </c>
      <c r="P1275" s="18">
        <v>15.2</v>
      </c>
      <c r="Q1275" s="18">
        <v>3</v>
      </c>
      <c r="R1275" s="18">
        <v>6</v>
      </c>
      <c r="S1275" s="18">
        <v>4</v>
      </c>
      <c r="T1275" s="18">
        <v>120.76</v>
      </c>
    </row>
    <row r="1276" spans="1:20" x14ac:dyDescent="0.3">
      <c r="A1276" s="18">
        <v>51275</v>
      </c>
      <c r="B1276" s="18">
        <v>0</v>
      </c>
      <c r="C1276" s="18">
        <v>2</v>
      </c>
      <c r="D1276" s="18" t="s">
        <v>31</v>
      </c>
      <c r="E1276" s="18">
        <v>3</v>
      </c>
      <c r="F1276" s="18">
        <v>13</v>
      </c>
      <c r="G1276" s="18" t="s">
        <v>39</v>
      </c>
      <c r="H1276" s="18" t="s">
        <v>38</v>
      </c>
      <c r="I1276" s="18">
        <v>2.6</v>
      </c>
      <c r="J1276" s="18">
        <v>3</v>
      </c>
      <c r="K1276" s="18" t="s">
        <v>44</v>
      </c>
      <c r="L1276" s="18">
        <v>5</v>
      </c>
      <c r="M1276" s="18" t="s">
        <v>41</v>
      </c>
      <c r="N1276" s="18">
        <v>7</v>
      </c>
      <c r="O1276" s="18">
        <v>0</v>
      </c>
      <c r="P1276" s="18">
        <v>13.7</v>
      </c>
      <c r="Q1276" s="18">
        <v>1</v>
      </c>
      <c r="R1276" s="18">
        <v>3</v>
      </c>
      <c r="S1276" s="18">
        <v>3</v>
      </c>
      <c r="T1276" s="18">
        <v>145.57</v>
      </c>
    </row>
    <row r="1277" spans="1:20" x14ac:dyDescent="0.3">
      <c r="A1277" s="18">
        <v>51276</v>
      </c>
      <c r="B1277" s="18">
        <v>0</v>
      </c>
      <c r="C1277" s="18">
        <v>21</v>
      </c>
      <c r="D1277" s="18" t="s">
        <v>36</v>
      </c>
      <c r="E1277" s="18">
        <v>3</v>
      </c>
      <c r="F1277" s="18"/>
      <c r="G1277" s="18" t="s">
        <v>39</v>
      </c>
      <c r="H1277" s="18" t="s">
        <v>33</v>
      </c>
      <c r="I1277" s="18">
        <v>2.1</v>
      </c>
      <c r="J1277" s="18">
        <v>5</v>
      </c>
      <c r="K1277" s="18" t="s">
        <v>40</v>
      </c>
      <c r="L1277" s="18">
        <v>5</v>
      </c>
      <c r="M1277" s="18" t="s">
        <v>35</v>
      </c>
      <c r="N1277" s="18">
        <v>9</v>
      </c>
      <c r="O1277" s="18">
        <v>0</v>
      </c>
      <c r="P1277" s="18">
        <v>11</v>
      </c>
      <c r="Q1277" s="18">
        <v>1</v>
      </c>
      <c r="R1277" s="18">
        <v>3</v>
      </c>
      <c r="S1277" s="18">
        <v>3</v>
      </c>
      <c r="T1277" s="18">
        <v>224.88</v>
      </c>
    </row>
    <row r="1278" spans="1:20" x14ac:dyDescent="0.3">
      <c r="A1278" s="18">
        <v>51277</v>
      </c>
      <c r="B1278" s="18">
        <v>0</v>
      </c>
      <c r="C1278" s="18">
        <v>21</v>
      </c>
      <c r="D1278" s="18" t="s">
        <v>36</v>
      </c>
      <c r="E1278" s="18">
        <v>3</v>
      </c>
      <c r="F1278" s="18">
        <v>5</v>
      </c>
      <c r="G1278" s="18" t="s">
        <v>39</v>
      </c>
      <c r="H1278" s="18" t="s">
        <v>33</v>
      </c>
      <c r="I1278" s="18">
        <v>2.6</v>
      </c>
      <c r="J1278" s="18">
        <v>2</v>
      </c>
      <c r="K1278" s="18" t="s">
        <v>36</v>
      </c>
      <c r="L1278" s="18">
        <v>4</v>
      </c>
      <c r="M1278" s="18" t="s">
        <v>35</v>
      </c>
      <c r="N1278" s="18">
        <v>1</v>
      </c>
      <c r="O1278" s="18">
        <v>0</v>
      </c>
      <c r="P1278" s="18">
        <v>19.399999999999999</v>
      </c>
      <c r="Q1278" s="18">
        <v>2</v>
      </c>
      <c r="R1278" s="18">
        <v>4</v>
      </c>
      <c r="S1278" s="18">
        <v>14</v>
      </c>
      <c r="T1278" s="18">
        <v>168.99</v>
      </c>
    </row>
    <row r="1279" spans="1:20" x14ac:dyDescent="0.3">
      <c r="A1279" s="18">
        <v>51278</v>
      </c>
      <c r="B1279" s="18">
        <v>0</v>
      </c>
      <c r="C1279" s="18">
        <v>20</v>
      </c>
      <c r="D1279" s="18" t="s">
        <v>31</v>
      </c>
      <c r="E1279" s="18">
        <v>1</v>
      </c>
      <c r="F1279" s="18">
        <v>6</v>
      </c>
      <c r="G1279" s="18" t="s">
        <v>39</v>
      </c>
      <c r="H1279" s="18" t="s">
        <v>38</v>
      </c>
      <c r="I1279" s="18">
        <v>2.6</v>
      </c>
      <c r="J1279" s="18">
        <v>3</v>
      </c>
      <c r="K1279" s="18" t="s">
        <v>40</v>
      </c>
      <c r="L1279" s="18">
        <v>4</v>
      </c>
      <c r="M1279" s="18" t="s">
        <v>35</v>
      </c>
      <c r="N1279" s="18">
        <v>15</v>
      </c>
      <c r="O1279" s="18">
        <v>0</v>
      </c>
      <c r="P1279" s="18">
        <v>16</v>
      </c>
      <c r="Q1279" s="18">
        <v>3</v>
      </c>
      <c r="R1279" s="18">
        <v>5</v>
      </c>
      <c r="S1279" s="18">
        <v>13</v>
      </c>
      <c r="T1279" s="18">
        <v>154.53</v>
      </c>
    </row>
    <row r="1280" spans="1:20" x14ac:dyDescent="0.3">
      <c r="A1280" s="18">
        <v>51279</v>
      </c>
      <c r="B1280" s="18">
        <v>0</v>
      </c>
      <c r="C1280" s="18">
        <v>2</v>
      </c>
      <c r="D1280" s="18" t="s">
        <v>36</v>
      </c>
      <c r="E1280" s="18">
        <v>1</v>
      </c>
      <c r="F1280" s="18">
        <v>5</v>
      </c>
      <c r="G1280" s="18" t="s">
        <v>37</v>
      </c>
      <c r="H1280" s="18" t="s">
        <v>38</v>
      </c>
      <c r="I1280" s="18">
        <v>3</v>
      </c>
      <c r="J1280" s="18">
        <v>2</v>
      </c>
      <c r="K1280" s="18" t="s">
        <v>36</v>
      </c>
      <c r="L1280" s="18">
        <v>3</v>
      </c>
      <c r="M1280" s="18" t="s">
        <v>35</v>
      </c>
      <c r="N1280" s="18">
        <v>4</v>
      </c>
      <c r="O1280" s="18">
        <v>0</v>
      </c>
      <c r="P1280" s="18">
        <v>16.7</v>
      </c>
      <c r="Q1280" s="18">
        <v>3</v>
      </c>
      <c r="R1280" s="18">
        <v>3</v>
      </c>
      <c r="S1280" s="18"/>
      <c r="T1280" s="18">
        <v>232.66</v>
      </c>
    </row>
    <row r="1281" spans="1:20" x14ac:dyDescent="0.3">
      <c r="A1281" s="18">
        <v>51280</v>
      </c>
      <c r="B1281" s="18">
        <v>0</v>
      </c>
      <c r="C1281" s="18">
        <v>6</v>
      </c>
      <c r="D1281" s="18" t="s">
        <v>36</v>
      </c>
      <c r="E1281" s="18">
        <v>1</v>
      </c>
      <c r="F1281" s="18">
        <v>14</v>
      </c>
      <c r="G1281" s="18" t="s">
        <v>39</v>
      </c>
      <c r="H1281" s="18" t="s">
        <v>33</v>
      </c>
      <c r="I1281" s="18">
        <v>1.8</v>
      </c>
      <c r="J1281" s="18">
        <v>4</v>
      </c>
      <c r="K1281" s="18" t="s">
        <v>36</v>
      </c>
      <c r="L1281" s="18">
        <v>3</v>
      </c>
      <c r="M1281" s="18" t="s">
        <v>35</v>
      </c>
      <c r="N1281" s="18">
        <v>2</v>
      </c>
      <c r="O1281" s="18">
        <v>0</v>
      </c>
      <c r="P1281" s="18">
        <v>19.7</v>
      </c>
      <c r="Q1281" s="18">
        <v>2</v>
      </c>
      <c r="R1281" s="18">
        <v>4</v>
      </c>
      <c r="S1281" s="18">
        <v>2</v>
      </c>
      <c r="T1281" s="18">
        <v>165.34</v>
      </c>
    </row>
    <row r="1282" spans="1:20" x14ac:dyDescent="0.3">
      <c r="A1282" s="18">
        <v>51281</v>
      </c>
      <c r="B1282" s="18">
        <v>0</v>
      </c>
      <c r="C1282" s="18">
        <v>41</v>
      </c>
      <c r="D1282" s="18" t="s">
        <v>36</v>
      </c>
      <c r="E1282" s="18">
        <v>3</v>
      </c>
      <c r="F1282" s="18">
        <v>10</v>
      </c>
      <c r="G1282" s="18" t="s">
        <v>32</v>
      </c>
      <c r="H1282" s="18" t="s">
        <v>33</v>
      </c>
      <c r="I1282" s="18">
        <v>1.9</v>
      </c>
      <c r="J1282" s="18">
        <v>2</v>
      </c>
      <c r="K1282" s="18" t="s">
        <v>36</v>
      </c>
      <c r="L1282" s="18">
        <v>4</v>
      </c>
      <c r="M1282" s="18" t="s">
        <v>41</v>
      </c>
      <c r="N1282" s="18">
        <v>1</v>
      </c>
      <c r="O1282" s="18">
        <v>0</v>
      </c>
      <c r="P1282" s="18">
        <v>14.3</v>
      </c>
      <c r="Q1282" s="18">
        <v>0</v>
      </c>
      <c r="R1282" s="18">
        <v>6</v>
      </c>
      <c r="S1282" s="18">
        <v>4</v>
      </c>
      <c r="T1282" s="18">
        <v>130.94999999999999</v>
      </c>
    </row>
    <row r="1283" spans="1:20" x14ac:dyDescent="0.3">
      <c r="A1283" s="18">
        <v>51282</v>
      </c>
      <c r="B1283" s="18">
        <v>0</v>
      </c>
      <c r="C1283" s="18">
        <v>14</v>
      </c>
      <c r="D1283" s="18" t="s">
        <v>36</v>
      </c>
      <c r="E1283" s="18">
        <v>1</v>
      </c>
      <c r="F1283" s="18">
        <v>7</v>
      </c>
      <c r="G1283" s="18" t="s">
        <v>47</v>
      </c>
      <c r="H1283" s="18" t="s">
        <v>33</v>
      </c>
      <c r="I1283" s="18">
        <v>3.2</v>
      </c>
      <c r="J1283" s="18">
        <v>3</v>
      </c>
      <c r="K1283" s="18" t="s">
        <v>40</v>
      </c>
      <c r="L1283" s="18">
        <v>5</v>
      </c>
      <c r="M1283" s="18" t="s">
        <v>41</v>
      </c>
      <c r="N1283" s="18">
        <v>2</v>
      </c>
      <c r="O1283" s="18">
        <v>0</v>
      </c>
      <c r="P1283" s="18">
        <v>11.2</v>
      </c>
      <c r="Q1283" s="18">
        <v>1</v>
      </c>
      <c r="R1283" s="18">
        <v>5</v>
      </c>
      <c r="S1283" s="18">
        <v>0</v>
      </c>
      <c r="T1283" s="18">
        <v>219.94</v>
      </c>
    </row>
    <row r="1284" spans="1:20" x14ac:dyDescent="0.3">
      <c r="A1284" s="18">
        <v>51283</v>
      </c>
      <c r="B1284" s="18">
        <v>1</v>
      </c>
      <c r="C1284" s="18">
        <v>0</v>
      </c>
      <c r="D1284" s="18" t="s">
        <v>31</v>
      </c>
      <c r="E1284" s="18">
        <v>1</v>
      </c>
      <c r="F1284" s="18"/>
      <c r="G1284" s="18" t="s">
        <v>39</v>
      </c>
      <c r="H1284" s="18" t="s">
        <v>33</v>
      </c>
      <c r="I1284" s="18">
        <v>2.2999999999999998</v>
      </c>
      <c r="J1284" s="18">
        <v>3</v>
      </c>
      <c r="K1284" s="18" t="s">
        <v>36</v>
      </c>
      <c r="L1284" s="18">
        <v>3</v>
      </c>
      <c r="M1284" s="18" t="s">
        <v>41</v>
      </c>
      <c r="N1284" s="18">
        <v>1</v>
      </c>
      <c r="O1284" s="18">
        <v>0</v>
      </c>
      <c r="P1284" s="18">
        <v>16.2</v>
      </c>
      <c r="Q1284" s="18">
        <v>2</v>
      </c>
      <c r="R1284" s="18">
        <v>3</v>
      </c>
      <c r="S1284" s="18">
        <v>1</v>
      </c>
      <c r="T1284" s="18">
        <v>200.64</v>
      </c>
    </row>
    <row r="1285" spans="1:20" x14ac:dyDescent="0.3">
      <c r="A1285" s="18">
        <v>51284</v>
      </c>
      <c r="B1285" s="18">
        <v>0</v>
      </c>
      <c r="C1285" s="18">
        <v>0</v>
      </c>
      <c r="D1285" s="18" t="s">
        <v>42</v>
      </c>
      <c r="E1285" s="18">
        <v>3</v>
      </c>
      <c r="F1285" s="18">
        <v>17</v>
      </c>
      <c r="G1285" s="18" t="s">
        <v>47</v>
      </c>
      <c r="H1285" s="18" t="s">
        <v>38</v>
      </c>
      <c r="I1285" s="18">
        <v>3.7</v>
      </c>
      <c r="J1285" s="18">
        <v>3</v>
      </c>
      <c r="K1285" s="18" t="s">
        <v>34</v>
      </c>
      <c r="L1285" s="18">
        <v>3</v>
      </c>
      <c r="M1285" s="18" t="s">
        <v>35</v>
      </c>
      <c r="N1285" s="18">
        <v>3</v>
      </c>
      <c r="O1285" s="18">
        <v>0</v>
      </c>
      <c r="P1285" s="18">
        <v>17.100000000000001</v>
      </c>
      <c r="Q1285" s="18">
        <v>0</v>
      </c>
      <c r="R1285" s="18">
        <v>5</v>
      </c>
      <c r="S1285" s="18">
        <v>1</v>
      </c>
      <c r="T1285" s="18">
        <v>162.79</v>
      </c>
    </row>
    <row r="1286" spans="1:20" x14ac:dyDescent="0.3">
      <c r="A1286" s="18">
        <v>51285</v>
      </c>
      <c r="B1286" s="18">
        <v>0</v>
      </c>
      <c r="C1286" s="18">
        <v>6</v>
      </c>
      <c r="D1286" s="18" t="s">
        <v>31</v>
      </c>
      <c r="E1286" s="18">
        <v>1</v>
      </c>
      <c r="F1286" s="18">
        <v>31</v>
      </c>
      <c r="G1286" s="18" t="s">
        <v>47</v>
      </c>
      <c r="H1286" s="18" t="s">
        <v>38</v>
      </c>
      <c r="I1286" s="18">
        <v>3.1</v>
      </c>
      <c r="J1286" s="18">
        <v>3</v>
      </c>
      <c r="K1286" s="18" t="s">
        <v>34</v>
      </c>
      <c r="L1286" s="18">
        <v>3</v>
      </c>
      <c r="M1286" s="18" t="s">
        <v>45</v>
      </c>
      <c r="N1286" s="18">
        <v>1</v>
      </c>
      <c r="O1286" s="18">
        <v>0</v>
      </c>
      <c r="P1286" s="18">
        <v>15.1</v>
      </c>
      <c r="Q1286" s="18">
        <v>4</v>
      </c>
      <c r="R1286" s="18">
        <v>3</v>
      </c>
      <c r="S1286" s="18">
        <v>1</v>
      </c>
      <c r="T1286" s="18">
        <v>160.18</v>
      </c>
    </row>
    <row r="1287" spans="1:20" x14ac:dyDescent="0.3">
      <c r="A1287" s="18">
        <v>51286</v>
      </c>
      <c r="B1287" s="18">
        <v>0</v>
      </c>
      <c r="C1287" s="18">
        <v>23</v>
      </c>
      <c r="D1287" s="18" t="s">
        <v>36</v>
      </c>
      <c r="E1287" s="18">
        <v>3</v>
      </c>
      <c r="F1287" s="18">
        <v>5</v>
      </c>
      <c r="G1287" s="18" t="s">
        <v>43</v>
      </c>
      <c r="H1287" s="18" t="s">
        <v>38</v>
      </c>
      <c r="I1287" s="18">
        <v>3.3</v>
      </c>
      <c r="J1287" s="18">
        <v>3</v>
      </c>
      <c r="K1287" s="18" t="s">
        <v>46</v>
      </c>
      <c r="L1287" s="18">
        <v>3</v>
      </c>
      <c r="M1287" s="18" t="s">
        <v>41</v>
      </c>
      <c r="N1287" s="18">
        <v>3</v>
      </c>
      <c r="O1287" s="18">
        <v>0</v>
      </c>
      <c r="P1287" s="18">
        <v>21.2</v>
      </c>
      <c r="Q1287" s="18">
        <v>1</v>
      </c>
      <c r="R1287" s="18">
        <v>4</v>
      </c>
      <c r="S1287" s="18">
        <v>5</v>
      </c>
      <c r="T1287" s="18">
        <v>129.68</v>
      </c>
    </row>
    <row r="1288" spans="1:20" x14ac:dyDescent="0.3">
      <c r="A1288" s="18">
        <v>51287</v>
      </c>
      <c r="B1288" s="18">
        <v>0</v>
      </c>
      <c r="C1288" s="18">
        <v>7</v>
      </c>
      <c r="D1288" s="18" t="s">
        <v>36</v>
      </c>
      <c r="E1288" s="18">
        <v>1</v>
      </c>
      <c r="F1288" s="18">
        <v>24</v>
      </c>
      <c r="G1288" s="18" t="s">
        <v>39</v>
      </c>
      <c r="H1288" s="18" t="s">
        <v>33</v>
      </c>
      <c r="I1288" s="18">
        <v>3.9</v>
      </c>
      <c r="J1288" s="18">
        <v>5</v>
      </c>
      <c r="K1288" s="18" t="s">
        <v>34</v>
      </c>
      <c r="L1288" s="18">
        <v>1</v>
      </c>
      <c r="M1288" s="18" t="s">
        <v>41</v>
      </c>
      <c r="N1288" s="18">
        <v>1</v>
      </c>
      <c r="O1288" s="18">
        <v>0</v>
      </c>
      <c r="P1288" s="18">
        <v>11</v>
      </c>
      <c r="Q1288" s="18">
        <v>3</v>
      </c>
      <c r="R1288" s="18">
        <v>3</v>
      </c>
      <c r="S1288" s="18">
        <v>2</v>
      </c>
      <c r="T1288" s="18">
        <v>219.88</v>
      </c>
    </row>
    <row r="1289" spans="1:20" x14ac:dyDescent="0.3">
      <c r="A1289" s="18">
        <v>51288</v>
      </c>
      <c r="B1289" s="18">
        <v>1</v>
      </c>
      <c r="C1289" s="18">
        <v>6</v>
      </c>
      <c r="D1289" s="18" t="s">
        <v>36</v>
      </c>
      <c r="E1289" s="18">
        <v>1</v>
      </c>
      <c r="F1289" s="18">
        <v>22</v>
      </c>
      <c r="G1289" s="18" t="s">
        <v>39</v>
      </c>
      <c r="H1289" s="18" t="s">
        <v>38</v>
      </c>
      <c r="I1289" s="18">
        <v>2.7</v>
      </c>
      <c r="J1289" s="18">
        <v>3</v>
      </c>
      <c r="K1289" s="18" t="s">
        <v>36</v>
      </c>
      <c r="L1289" s="18">
        <v>3</v>
      </c>
      <c r="M1289" s="18" t="s">
        <v>35</v>
      </c>
      <c r="N1289" s="18">
        <v>1</v>
      </c>
      <c r="O1289" s="18">
        <v>1</v>
      </c>
      <c r="P1289" s="18">
        <v>19.899999999999999</v>
      </c>
      <c r="Q1289" s="18">
        <v>1</v>
      </c>
      <c r="R1289" s="18">
        <v>3</v>
      </c>
      <c r="S1289" s="18">
        <v>0</v>
      </c>
      <c r="T1289" s="18">
        <v>160.19</v>
      </c>
    </row>
    <row r="1290" spans="1:20" x14ac:dyDescent="0.3">
      <c r="A1290" s="18">
        <v>51289</v>
      </c>
      <c r="B1290" s="18">
        <v>0</v>
      </c>
      <c r="C1290" s="18">
        <v>1</v>
      </c>
      <c r="D1290" s="18" t="s">
        <v>42</v>
      </c>
      <c r="E1290" s="18">
        <v>1</v>
      </c>
      <c r="F1290" s="18">
        <v>8</v>
      </c>
      <c r="G1290" s="18" t="s">
        <v>43</v>
      </c>
      <c r="H1290" s="18" t="s">
        <v>33</v>
      </c>
      <c r="I1290" s="18">
        <v>2.5</v>
      </c>
      <c r="J1290" s="18">
        <v>3</v>
      </c>
      <c r="K1290" s="18" t="s">
        <v>36</v>
      </c>
      <c r="L1290" s="18">
        <v>3</v>
      </c>
      <c r="M1290" s="18" t="s">
        <v>35</v>
      </c>
      <c r="N1290" s="18">
        <v>2</v>
      </c>
      <c r="O1290" s="18">
        <v>0</v>
      </c>
      <c r="P1290" s="18">
        <v>18.8</v>
      </c>
      <c r="Q1290" s="18">
        <v>3</v>
      </c>
      <c r="R1290" s="18">
        <v>5</v>
      </c>
      <c r="S1290" s="18">
        <v>10</v>
      </c>
      <c r="T1290" s="18">
        <v>137.66</v>
      </c>
    </row>
    <row r="1291" spans="1:20" x14ac:dyDescent="0.3">
      <c r="A1291" s="18">
        <v>51290</v>
      </c>
      <c r="B1291" s="18">
        <v>1</v>
      </c>
      <c r="C1291" s="18">
        <v>10</v>
      </c>
      <c r="D1291" s="18" t="s">
        <v>42</v>
      </c>
      <c r="E1291" s="18">
        <v>3</v>
      </c>
      <c r="F1291" s="18">
        <v>16</v>
      </c>
      <c r="G1291" s="18" t="s">
        <v>43</v>
      </c>
      <c r="H1291" s="18" t="s">
        <v>38</v>
      </c>
      <c r="I1291" s="18">
        <v>3.5</v>
      </c>
      <c r="J1291" s="18">
        <v>3</v>
      </c>
      <c r="K1291" s="18" t="s">
        <v>40</v>
      </c>
      <c r="L1291" s="18">
        <v>4</v>
      </c>
      <c r="M1291" s="18" t="s">
        <v>35</v>
      </c>
      <c r="N1291" s="18">
        <v>3</v>
      </c>
      <c r="O1291" s="18">
        <v>1</v>
      </c>
      <c r="P1291" s="18">
        <v>17.600000000000001</v>
      </c>
      <c r="Q1291" s="18">
        <v>1</v>
      </c>
      <c r="R1291" s="18">
        <v>1</v>
      </c>
      <c r="S1291" s="18">
        <v>10</v>
      </c>
      <c r="T1291" s="18">
        <v>109.29</v>
      </c>
    </row>
    <row r="1292" spans="1:20" x14ac:dyDescent="0.3">
      <c r="A1292" s="18">
        <v>51291</v>
      </c>
      <c r="B1292" s="18">
        <v>0</v>
      </c>
      <c r="C1292" s="18">
        <v>17</v>
      </c>
      <c r="D1292" s="18" t="s">
        <v>42</v>
      </c>
      <c r="E1292" s="18">
        <v>1</v>
      </c>
      <c r="F1292" s="18">
        <v>11</v>
      </c>
      <c r="G1292" s="18" t="s">
        <v>47</v>
      </c>
      <c r="H1292" s="18" t="s">
        <v>38</v>
      </c>
      <c r="I1292" s="18">
        <v>3.3</v>
      </c>
      <c r="J1292" s="18">
        <v>5</v>
      </c>
      <c r="K1292" s="18" t="s">
        <v>40</v>
      </c>
      <c r="L1292" s="18">
        <v>3</v>
      </c>
      <c r="M1292" s="18" t="s">
        <v>41</v>
      </c>
      <c r="N1292" s="18">
        <v>1</v>
      </c>
      <c r="O1292" s="18">
        <v>1</v>
      </c>
      <c r="P1292" s="18">
        <v>11</v>
      </c>
      <c r="Q1292" s="18">
        <v>2</v>
      </c>
      <c r="R1292" s="18">
        <v>2</v>
      </c>
      <c r="S1292" s="18">
        <v>9</v>
      </c>
      <c r="T1292" s="18">
        <v>201.57</v>
      </c>
    </row>
    <row r="1293" spans="1:20" x14ac:dyDescent="0.3">
      <c r="A1293" s="18">
        <v>51292</v>
      </c>
      <c r="B1293" s="18">
        <v>1</v>
      </c>
      <c r="C1293" s="18">
        <v>4</v>
      </c>
      <c r="D1293" s="18" t="s">
        <v>36</v>
      </c>
      <c r="E1293" s="18">
        <v>1</v>
      </c>
      <c r="F1293" s="18">
        <v>16</v>
      </c>
      <c r="G1293" s="18" t="s">
        <v>32</v>
      </c>
      <c r="H1293" s="18" t="s">
        <v>33</v>
      </c>
      <c r="I1293" s="18">
        <v>2.8</v>
      </c>
      <c r="J1293" s="18">
        <v>3</v>
      </c>
      <c r="K1293" s="18" t="s">
        <v>46</v>
      </c>
      <c r="L1293" s="18">
        <v>4</v>
      </c>
      <c r="M1293" s="18" t="s">
        <v>45</v>
      </c>
      <c r="N1293" s="18">
        <v>1</v>
      </c>
      <c r="O1293" s="18">
        <v>0</v>
      </c>
      <c r="P1293" s="18">
        <v>20.5</v>
      </c>
      <c r="Q1293" s="18">
        <v>3</v>
      </c>
      <c r="R1293" s="18">
        <v>7</v>
      </c>
      <c r="S1293" s="18">
        <v>2</v>
      </c>
      <c r="T1293" s="18">
        <v>152.03</v>
      </c>
    </row>
    <row r="1294" spans="1:20" x14ac:dyDescent="0.3">
      <c r="A1294" s="18">
        <v>51293</v>
      </c>
      <c r="B1294" s="18">
        <v>0</v>
      </c>
      <c r="C1294" s="18">
        <v>14</v>
      </c>
      <c r="D1294" s="18" t="s">
        <v>36</v>
      </c>
      <c r="E1294" s="18">
        <v>3</v>
      </c>
      <c r="F1294" s="18"/>
      <c r="G1294" s="18" t="s">
        <v>39</v>
      </c>
      <c r="H1294" s="18" t="s">
        <v>33</v>
      </c>
      <c r="I1294" s="18">
        <v>3.9</v>
      </c>
      <c r="J1294" s="18">
        <v>3</v>
      </c>
      <c r="K1294" s="18" t="s">
        <v>40</v>
      </c>
      <c r="L1294" s="18">
        <v>5</v>
      </c>
      <c r="M1294" s="18" t="s">
        <v>35</v>
      </c>
      <c r="N1294" s="18">
        <v>7</v>
      </c>
      <c r="O1294" s="18">
        <v>0</v>
      </c>
      <c r="P1294" s="18">
        <v>12.4</v>
      </c>
      <c r="Q1294" s="18">
        <v>2</v>
      </c>
      <c r="R1294" s="18">
        <v>4</v>
      </c>
      <c r="S1294" s="18">
        <v>0</v>
      </c>
      <c r="T1294" s="18">
        <v>69.3</v>
      </c>
    </row>
    <row r="1295" spans="1:20" x14ac:dyDescent="0.3">
      <c r="A1295" s="18">
        <v>51294</v>
      </c>
      <c r="B1295" s="18">
        <v>0</v>
      </c>
      <c r="C1295" s="18">
        <v>33</v>
      </c>
      <c r="D1295" s="18" t="s">
        <v>36</v>
      </c>
      <c r="E1295" s="18">
        <v>1</v>
      </c>
      <c r="F1295" s="18">
        <v>19</v>
      </c>
      <c r="G1295" s="18" t="s">
        <v>37</v>
      </c>
      <c r="H1295" s="18" t="s">
        <v>33</v>
      </c>
      <c r="I1295" s="18">
        <v>2.8</v>
      </c>
      <c r="J1295" s="18">
        <v>3</v>
      </c>
      <c r="K1295" s="18" t="s">
        <v>34</v>
      </c>
      <c r="L1295" s="18">
        <v>5</v>
      </c>
      <c r="M1295" s="18" t="s">
        <v>41</v>
      </c>
      <c r="N1295" s="18">
        <v>3</v>
      </c>
      <c r="O1295" s="18">
        <v>0</v>
      </c>
      <c r="P1295" s="18">
        <v>14.2</v>
      </c>
      <c r="Q1295" s="18">
        <v>2</v>
      </c>
      <c r="R1295" s="18">
        <v>5</v>
      </c>
      <c r="S1295" s="18">
        <v>0</v>
      </c>
      <c r="T1295" s="18">
        <v>113.82</v>
      </c>
    </row>
    <row r="1296" spans="1:20" x14ac:dyDescent="0.3">
      <c r="A1296" s="18">
        <v>51295</v>
      </c>
      <c r="B1296" s="18">
        <v>1</v>
      </c>
      <c r="C1296" s="18">
        <v>2</v>
      </c>
      <c r="D1296" s="18" t="s">
        <v>36</v>
      </c>
      <c r="E1296" s="18">
        <v>2</v>
      </c>
      <c r="F1296" s="18">
        <v>19</v>
      </c>
      <c r="G1296" s="18" t="s">
        <v>39</v>
      </c>
      <c r="H1296" s="18" t="s">
        <v>33</v>
      </c>
      <c r="I1296" s="18">
        <v>2.9</v>
      </c>
      <c r="J1296" s="18">
        <v>3</v>
      </c>
      <c r="K1296" s="18" t="s">
        <v>36</v>
      </c>
      <c r="L1296" s="18">
        <v>4</v>
      </c>
      <c r="M1296" s="18" t="s">
        <v>45</v>
      </c>
      <c r="N1296" s="18">
        <v>1</v>
      </c>
      <c r="O1296" s="18">
        <v>1</v>
      </c>
      <c r="P1296" s="18">
        <v>15.4</v>
      </c>
      <c r="Q1296" s="18">
        <v>2</v>
      </c>
      <c r="R1296" s="18">
        <v>7</v>
      </c>
      <c r="S1296" s="18">
        <v>1</v>
      </c>
      <c r="T1296" s="18">
        <v>167.15</v>
      </c>
    </row>
    <row r="1297" spans="1:20" x14ac:dyDescent="0.3">
      <c r="A1297" s="18">
        <v>51296</v>
      </c>
      <c r="B1297" s="18">
        <v>0</v>
      </c>
      <c r="C1297" s="18">
        <v>7</v>
      </c>
      <c r="D1297" s="18" t="s">
        <v>36</v>
      </c>
      <c r="E1297" s="18">
        <v>2</v>
      </c>
      <c r="F1297" s="18">
        <v>11</v>
      </c>
      <c r="G1297" s="18" t="s">
        <v>39</v>
      </c>
      <c r="H1297" s="18" t="s">
        <v>38</v>
      </c>
      <c r="I1297" s="18">
        <v>2.9</v>
      </c>
      <c r="J1297" s="18">
        <v>3</v>
      </c>
      <c r="K1297" s="18" t="s">
        <v>46</v>
      </c>
      <c r="L1297" s="18">
        <v>1</v>
      </c>
      <c r="M1297" s="18" t="s">
        <v>35</v>
      </c>
      <c r="N1297" s="18">
        <v>2</v>
      </c>
      <c r="O1297" s="18">
        <v>0</v>
      </c>
      <c r="P1297" s="18">
        <v>17.399999999999999</v>
      </c>
      <c r="Q1297" s="18">
        <v>1</v>
      </c>
      <c r="R1297" s="18">
        <v>5</v>
      </c>
      <c r="S1297" s="18">
        <v>1</v>
      </c>
      <c r="T1297" s="18">
        <v>168.7</v>
      </c>
    </row>
    <row r="1298" spans="1:20" x14ac:dyDescent="0.3">
      <c r="A1298" s="18">
        <v>51297</v>
      </c>
      <c r="B1298" s="18">
        <v>0</v>
      </c>
      <c r="C1298" s="18">
        <v>3</v>
      </c>
      <c r="D1298" s="18" t="s">
        <v>42</v>
      </c>
      <c r="E1298" s="18">
        <v>1</v>
      </c>
      <c r="F1298" s="18">
        <v>5</v>
      </c>
      <c r="G1298" s="18" t="s">
        <v>32</v>
      </c>
      <c r="H1298" s="18" t="s">
        <v>33</v>
      </c>
      <c r="I1298" s="18">
        <v>2.2000000000000002</v>
      </c>
      <c r="J1298" s="18">
        <v>2</v>
      </c>
      <c r="K1298" s="18" t="s">
        <v>40</v>
      </c>
      <c r="L1298" s="18">
        <v>5</v>
      </c>
      <c r="M1298" s="18" t="s">
        <v>41</v>
      </c>
      <c r="N1298" s="18">
        <v>2</v>
      </c>
      <c r="O1298" s="18">
        <v>0</v>
      </c>
      <c r="P1298" s="18">
        <v>18.2</v>
      </c>
      <c r="Q1298" s="18">
        <v>3</v>
      </c>
      <c r="R1298" s="18">
        <v>4</v>
      </c>
      <c r="S1298" s="18">
        <v>10</v>
      </c>
      <c r="T1298" s="18">
        <v>166.61</v>
      </c>
    </row>
    <row r="1299" spans="1:20" x14ac:dyDescent="0.3">
      <c r="A1299" s="18">
        <v>51298</v>
      </c>
      <c r="B1299" s="18">
        <v>0</v>
      </c>
      <c r="C1299" s="18">
        <v>15</v>
      </c>
      <c r="D1299" s="18" t="s">
        <v>36</v>
      </c>
      <c r="E1299" s="18">
        <v>2</v>
      </c>
      <c r="F1299" s="18">
        <v>13</v>
      </c>
      <c r="G1299" s="18" t="s">
        <v>39</v>
      </c>
      <c r="H1299" s="18" t="s">
        <v>33</v>
      </c>
      <c r="I1299" s="18">
        <v>3</v>
      </c>
      <c r="J1299" s="18">
        <v>2</v>
      </c>
      <c r="K1299" s="18" t="s">
        <v>40</v>
      </c>
      <c r="L1299" s="18">
        <v>4</v>
      </c>
      <c r="M1299" s="18" t="s">
        <v>35</v>
      </c>
      <c r="N1299" s="18">
        <v>1</v>
      </c>
      <c r="O1299" s="18">
        <v>0</v>
      </c>
      <c r="P1299" s="18">
        <v>19.100000000000001</v>
      </c>
      <c r="Q1299" s="18">
        <v>4</v>
      </c>
      <c r="R1299" s="18">
        <v>3</v>
      </c>
      <c r="S1299" s="18">
        <v>21</v>
      </c>
      <c r="T1299" s="18">
        <v>158.94999999999999</v>
      </c>
    </row>
    <row r="1300" spans="1:20" x14ac:dyDescent="0.3">
      <c r="A1300" s="18">
        <v>51299</v>
      </c>
      <c r="B1300" s="18">
        <v>1</v>
      </c>
      <c r="C1300" s="18">
        <v>8</v>
      </c>
      <c r="D1300" s="18" t="s">
        <v>36</v>
      </c>
      <c r="E1300" s="18">
        <v>1</v>
      </c>
      <c r="F1300" s="18">
        <v>24</v>
      </c>
      <c r="G1300" s="18" t="s">
        <v>37</v>
      </c>
      <c r="H1300" s="18" t="s">
        <v>33</v>
      </c>
      <c r="I1300" s="18">
        <v>3.9</v>
      </c>
      <c r="J1300" s="18">
        <v>2</v>
      </c>
      <c r="K1300" s="18" t="s">
        <v>36</v>
      </c>
      <c r="L1300" s="18">
        <v>3</v>
      </c>
      <c r="M1300" s="18" t="s">
        <v>35</v>
      </c>
      <c r="N1300" s="18">
        <v>3</v>
      </c>
      <c r="O1300" s="18">
        <v>1</v>
      </c>
      <c r="P1300" s="18">
        <v>18.899999999999999</v>
      </c>
      <c r="Q1300" s="18">
        <v>1</v>
      </c>
      <c r="R1300" s="18">
        <v>7</v>
      </c>
      <c r="S1300" s="18">
        <v>8</v>
      </c>
      <c r="T1300" s="18">
        <v>98.83</v>
      </c>
    </row>
    <row r="1301" spans="1:20" x14ac:dyDescent="0.3">
      <c r="A1301" s="18">
        <v>51300</v>
      </c>
      <c r="B1301" s="18">
        <v>0</v>
      </c>
      <c r="C1301" s="18">
        <v>10</v>
      </c>
      <c r="D1301" s="18" t="s">
        <v>36</v>
      </c>
      <c r="E1301" s="18">
        <v>2</v>
      </c>
      <c r="F1301" s="18"/>
      <c r="G1301" s="18" t="s">
        <v>43</v>
      </c>
      <c r="H1301" s="18" t="s">
        <v>38</v>
      </c>
      <c r="I1301" s="18">
        <v>3.2</v>
      </c>
      <c r="J1301" s="18">
        <v>4</v>
      </c>
      <c r="K1301" s="18" t="s">
        <v>46</v>
      </c>
      <c r="L1301" s="18">
        <v>2</v>
      </c>
      <c r="M1301" s="18" t="s">
        <v>35</v>
      </c>
      <c r="N1301" s="18">
        <v>5</v>
      </c>
      <c r="O1301" s="18">
        <v>0</v>
      </c>
      <c r="P1301" s="18">
        <v>16.899999999999999</v>
      </c>
      <c r="Q1301" s="18">
        <v>1</v>
      </c>
      <c r="R1301" s="18">
        <v>9</v>
      </c>
      <c r="S1301" s="18">
        <v>6</v>
      </c>
      <c r="T1301" s="18">
        <v>131.9</v>
      </c>
    </row>
    <row r="1302" spans="1:20" x14ac:dyDescent="0.3">
      <c r="A1302" s="18">
        <v>51301</v>
      </c>
      <c r="B1302" s="18">
        <v>0</v>
      </c>
      <c r="C1302" s="18">
        <v>15</v>
      </c>
      <c r="D1302" s="18" t="s">
        <v>42</v>
      </c>
      <c r="E1302" s="18">
        <v>1</v>
      </c>
      <c r="F1302" s="18">
        <v>6</v>
      </c>
      <c r="G1302" s="18" t="s">
        <v>39</v>
      </c>
      <c r="H1302" s="18" t="s">
        <v>33</v>
      </c>
      <c r="I1302" s="18">
        <v>2.9</v>
      </c>
      <c r="J1302" s="18">
        <v>3</v>
      </c>
      <c r="K1302" s="18" t="s">
        <v>34</v>
      </c>
      <c r="L1302" s="18">
        <v>2</v>
      </c>
      <c r="M1302" s="18" t="s">
        <v>41</v>
      </c>
      <c r="N1302" s="18">
        <v>4</v>
      </c>
      <c r="O1302" s="18">
        <v>0</v>
      </c>
      <c r="P1302" s="18"/>
      <c r="Q1302" s="18">
        <v>1</v>
      </c>
      <c r="R1302" s="18">
        <v>6</v>
      </c>
      <c r="S1302" s="18">
        <v>4</v>
      </c>
      <c r="T1302" s="18">
        <v>245.11</v>
      </c>
    </row>
    <row r="1303" spans="1:20" x14ac:dyDescent="0.3">
      <c r="A1303" s="18">
        <v>51302</v>
      </c>
      <c r="B1303" s="18">
        <v>0</v>
      </c>
      <c r="C1303" s="18">
        <v>5</v>
      </c>
      <c r="D1303" s="18" t="s">
        <v>31</v>
      </c>
      <c r="E1303" s="18">
        <v>2</v>
      </c>
      <c r="F1303" s="18">
        <v>16</v>
      </c>
      <c r="G1303" s="18" t="s">
        <v>43</v>
      </c>
      <c r="H1303" s="18" t="s">
        <v>38</v>
      </c>
      <c r="I1303" s="18">
        <v>2.8</v>
      </c>
      <c r="J1303" s="18">
        <v>3</v>
      </c>
      <c r="K1303" s="18" t="s">
        <v>44</v>
      </c>
      <c r="L1303" s="18">
        <v>2</v>
      </c>
      <c r="M1303" s="18" t="s">
        <v>45</v>
      </c>
      <c r="N1303" s="18">
        <v>1</v>
      </c>
      <c r="O1303" s="18">
        <v>0</v>
      </c>
      <c r="P1303" s="18">
        <v>12.2</v>
      </c>
      <c r="Q1303" s="18">
        <v>2</v>
      </c>
      <c r="R1303" s="18">
        <v>3</v>
      </c>
      <c r="S1303" s="18">
        <v>7</v>
      </c>
      <c r="T1303" s="18">
        <v>236.99</v>
      </c>
    </row>
    <row r="1304" spans="1:20" x14ac:dyDescent="0.3">
      <c r="A1304" s="18">
        <v>51303</v>
      </c>
      <c r="B1304" s="18">
        <v>0</v>
      </c>
      <c r="C1304" s="18">
        <v>24</v>
      </c>
      <c r="D1304" s="18" t="s">
        <v>31</v>
      </c>
      <c r="E1304" s="18">
        <v>1</v>
      </c>
      <c r="F1304" s="18">
        <v>7</v>
      </c>
      <c r="G1304" s="18" t="s">
        <v>43</v>
      </c>
      <c r="H1304" s="18" t="s">
        <v>38</v>
      </c>
      <c r="I1304" s="18">
        <v>3.1</v>
      </c>
      <c r="J1304" s="18">
        <v>4</v>
      </c>
      <c r="K1304" s="18" t="s">
        <v>40</v>
      </c>
      <c r="L1304" s="18">
        <v>1</v>
      </c>
      <c r="M1304" s="18" t="s">
        <v>41</v>
      </c>
      <c r="N1304" s="18">
        <v>6</v>
      </c>
      <c r="O1304" s="18">
        <v>0</v>
      </c>
      <c r="P1304" s="18">
        <v>13.4</v>
      </c>
      <c r="Q1304" s="18">
        <v>2</v>
      </c>
      <c r="R1304" s="18">
        <v>2</v>
      </c>
      <c r="S1304" s="18">
        <v>14</v>
      </c>
      <c r="T1304" s="18">
        <v>211.79</v>
      </c>
    </row>
    <row r="1305" spans="1:20" x14ac:dyDescent="0.3">
      <c r="A1305" s="18">
        <v>51304</v>
      </c>
      <c r="B1305" s="18">
        <v>0</v>
      </c>
      <c r="C1305" s="18">
        <v>7</v>
      </c>
      <c r="D1305" s="18" t="s">
        <v>42</v>
      </c>
      <c r="E1305" s="18">
        <v>2</v>
      </c>
      <c r="F1305" s="18">
        <v>8</v>
      </c>
      <c r="G1305" s="18" t="s">
        <v>37</v>
      </c>
      <c r="H1305" s="18" t="s">
        <v>38</v>
      </c>
      <c r="I1305" s="18">
        <v>3.4</v>
      </c>
      <c r="J1305" s="18">
        <v>4</v>
      </c>
      <c r="K1305" s="18" t="s">
        <v>36</v>
      </c>
      <c r="L1305" s="18">
        <v>5</v>
      </c>
      <c r="M1305" s="18" t="s">
        <v>35</v>
      </c>
      <c r="N1305" s="18">
        <v>1</v>
      </c>
      <c r="O1305" s="18">
        <v>0</v>
      </c>
      <c r="P1305" s="18">
        <v>19.100000000000001</v>
      </c>
      <c r="Q1305" s="18">
        <v>1</v>
      </c>
      <c r="R1305" s="18">
        <v>7</v>
      </c>
      <c r="S1305" s="18">
        <v>4</v>
      </c>
      <c r="T1305" s="18">
        <v>206.92</v>
      </c>
    </row>
    <row r="1306" spans="1:20" x14ac:dyDescent="0.3">
      <c r="A1306" s="18">
        <v>51305</v>
      </c>
      <c r="B1306" s="18">
        <v>1</v>
      </c>
      <c r="C1306" s="18">
        <v>1</v>
      </c>
      <c r="D1306" s="18" t="s">
        <v>36</v>
      </c>
      <c r="E1306" s="18">
        <v>1</v>
      </c>
      <c r="F1306" s="18">
        <v>11</v>
      </c>
      <c r="G1306" s="18" t="s">
        <v>39</v>
      </c>
      <c r="H1306" s="18" t="s">
        <v>33</v>
      </c>
      <c r="I1306" s="18">
        <v>3.3</v>
      </c>
      <c r="J1306" s="18">
        <v>3</v>
      </c>
      <c r="K1306" s="18" t="s">
        <v>34</v>
      </c>
      <c r="L1306" s="18">
        <v>3</v>
      </c>
      <c r="M1306" s="18" t="s">
        <v>35</v>
      </c>
      <c r="N1306" s="18">
        <v>10</v>
      </c>
      <c r="O1306" s="18">
        <v>0</v>
      </c>
      <c r="P1306" s="18">
        <v>18.899999999999999</v>
      </c>
      <c r="Q1306" s="18">
        <v>3</v>
      </c>
      <c r="R1306" s="18">
        <v>4</v>
      </c>
      <c r="S1306" s="18">
        <v>0</v>
      </c>
      <c r="T1306" s="18">
        <v>229.76</v>
      </c>
    </row>
    <row r="1307" spans="1:20" x14ac:dyDescent="0.3">
      <c r="A1307" s="18">
        <v>51306</v>
      </c>
      <c r="B1307" s="18">
        <v>0</v>
      </c>
      <c r="C1307" s="18">
        <v>11</v>
      </c>
      <c r="D1307" s="18" t="s">
        <v>31</v>
      </c>
      <c r="E1307" s="18">
        <v>1</v>
      </c>
      <c r="F1307" s="18">
        <v>5</v>
      </c>
      <c r="G1307" s="18" t="s">
        <v>39</v>
      </c>
      <c r="H1307" s="18" t="s">
        <v>33</v>
      </c>
      <c r="I1307" s="18">
        <v>2.7</v>
      </c>
      <c r="J1307" s="18">
        <v>3</v>
      </c>
      <c r="K1307" s="18" t="s">
        <v>36</v>
      </c>
      <c r="L1307" s="18">
        <v>4</v>
      </c>
      <c r="M1307" s="18" t="s">
        <v>41</v>
      </c>
      <c r="N1307" s="18">
        <v>1</v>
      </c>
      <c r="O1307" s="18">
        <v>1</v>
      </c>
      <c r="P1307" s="18">
        <v>18.5</v>
      </c>
      <c r="Q1307" s="18">
        <v>3</v>
      </c>
      <c r="R1307" s="18">
        <v>2</v>
      </c>
      <c r="S1307" s="18">
        <v>0</v>
      </c>
      <c r="T1307" s="18">
        <v>118.36</v>
      </c>
    </row>
    <row r="1308" spans="1:20" x14ac:dyDescent="0.3">
      <c r="A1308" s="18">
        <v>51307</v>
      </c>
      <c r="B1308" s="18">
        <v>0</v>
      </c>
      <c r="C1308" s="18">
        <v>15</v>
      </c>
      <c r="D1308" s="18" t="s">
        <v>36</v>
      </c>
      <c r="E1308" s="18">
        <v>1</v>
      </c>
      <c r="F1308" s="18">
        <v>7</v>
      </c>
      <c r="G1308" s="18" t="s">
        <v>37</v>
      </c>
      <c r="H1308" s="18" t="s">
        <v>33</v>
      </c>
      <c r="I1308" s="18">
        <v>3.1</v>
      </c>
      <c r="J1308" s="18">
        <v>2</v>
      </c>
      <c r="K1308" s="18" t="s">
        <v>44</v>
      </c>
      <c r="L1308" s="18">
        <v>4</v>
      </c>
      <c r="M1308" s="18" t="s">
        <v>41</v>
      </c>
      <c r="N1308" s="18">
        <v>2</v>
      </c>
      <c r="O1308" s="18">
        <v>1</v>
      </c>
      <c r="P1308" s="18">
        <v>14.2</v>
      </c>
      <c r="Q1308" s="18">
        <v>1</v>
      </c>
      <c r="R1308" s="18">
        <v>3</v>
      </c>
      <c r="S1308" s="18">
        <v>4</v>
      </c>
      <c r="T1308" s="18">
        <v>181.81</v>
      </c>
    </row>
    <row r="1309" spans="1:20" x14ac:dyDescent="0.3">
      <c r="A1309" s="18">
        <v>51308</v>
      </c>
      <c r="B1309" s="18">
        <v>0</v>
      </c>
      <c r="C1309" s="18">
        <v>3</v>
      </c>
      <c r="D1309" s="18" t="s">
        <v>36</v>
      </c>
      <c r="E1309" s="18">
        <v>1</v>
      </c>
      <c r="F1309" s="18">
        <v>20</v>
      </c>
      <c r="G1309" s="18" t="s">
        <v>39</v>
      </c>
      <c r="H1309" s="18" t="s">
        <v>33</v>
      </c>
      <c r="I1309" s="18">
        <v>3.2</v>
      </c>
      <c r="J1309" s="18">
        <v>4</v>
      </c>
      <c r="K1309" s="18" t="s">
        <v>36</v>
      </c>
      <c r="L1309" s="18">
        <v>4</v>
      </c>
      <c r="M1309" s="18" t="s">
        <v>35</v>
      </c>
      <c r="N1309" s="18">
        <v>3</v>
      </c>
      <c r="O1309" s="18">
        <v>1</v>
      </c>
      <c r="P1309" s="18">
        <v>19.2</v>
      </c>
      <c r="Q1309" s="18">
        <v>1</v>
      </c>
      <c r="R1309" s="18">
        <v>2</v>
      </c>
      <c r="S1309" s="18">
        <v>2</v>
      </c>
      <c r="T1309" s="18">
        <v>118.39</v>
      </c>
    </row>
    <row r="1310" spans="1:20" x14ac:dyDescent="0.3">
      <c r="A1310" s="18">
        <v>51309</v>
      </c>
      <c r="B1310" s="18">
        <v>0</v>
      </c>
      <c r="C1310" s="18">
        <v>19</v>
      </c>
      <c r="D1310" s="18" t="s">
        <v>42</v>
      </c>
      <c r="E1310" s="18">
        <v>3</v>
      </c>
      <c r="F1310" s="18">
        <v>5</v>
      </c>
      <c r="G1310" s="18" t="s">
        <v>39</v>
      </c>
      <c r="H1310" s="18" t="s">
        <v>33</v>
      </c>
      <c r="I1310" s="18">
        <v>2.2000000000000002</v>
      </c>
      <c r="J1310" s="18">
        <v>3</v>
      </c>
      <c r="K1310" s="18" t="s">
        <v>40</v>
      </c>
      <c r="L1310" s="18">
        <v>5</v>
      </c>
      <c r="M1310" s="18" t="s">
        <v>35</v>
      </c>
      <c r="N1310" s="18">
        <v>1</v>
      </c>
      <c r="O1310" s="18">
        <v>0</v>
      </c>
      <c r="P1310" s="18">
        <v>11.9</v>
      </c>
      <c r="Q1310" s="18">
        <v>4</v>
      </c>
      <c r="R1310" s="18">
        <v>6</v>
      </c>
      <c r="S1310" s="18">
        <v>12</v>
      </c>
      <c r="T1310" s="18">
        <v>119.34</v>
      </c>
    </row>
    <row r="1311" spans="1:20" x14ac:dyDescent="0.3">
      <c r="A1311" s="18">
        <v>51310</v>
      </c>
      <c r="B1311" s="18">
        <v>0</v>
      </c>
      <c r="C1311" s="18">
        <v>23</v>
      </c>
      <c r="D1311" s="18" t="s">
        <v>31</v>
      </c>
      <c r="E1311" s="18">
        <v>1</v>
      </c>
      <c r="F1311" s="18">
        <v>5</v>
      </c>
      <c r="G1311" s="18" t="s">
        <v>43</v>
      </c>
      <c r="H1311" s="18" t="s">
        <v>38</v>
      </c>
      <c r="I1311" s="18">
        <v>3</v>
      </c>
      <c r="J1311" s="18">
        <v>3</v>
      </c>
      <c r="K1311" s="18" t="s">
        <v>44</v>
      </c>
      <c r="L1311" s="18">
        <v>5</v>
      </c>
      <c r="M1311" s="18" t="s">
        <v>35</v>
      </c>
      <c r="N1311" s="18">
        <v>5</v>
      </c>
      <c r="O1311" s="18">
        <v>1</v>
      </c>
      <c r="P1311" s="18">
        <v>19.8</v>
      </c>
      <c r="Q1311" s="18">
        <v>1</v>
      </c>
      <c r="R1311" s="18">
        <v>4</v>
      </c>
      <c r="S1311" s="18">
        <v>4</v>
      </c>
      <c r="T1311" s="18">
        <v>200.24</v>
      </c>
    </row>
    <row r="1312" spans="1:20" x14ac:dyDescent="0.3">
      <c r="A1312" s="18">
        <v>51311</v>
      </c>
      <c r="B1312" s="18">
        <v>0</v>
      </c>
      <c r="C1312" s="18">
        <v>3</v>
      </c>
      <c r="D1312" s="18" t="s">
        <v>36</v>
      </c>
      <c r="E1312" s="18">
        <v>3</v>
      </c>
      <c r="F1312" s="18">
        <v>9</v>
      </c>
      <c r="G1312" s="18" t="s">
        <v>39</v>
      </c>
      <c r="H1312" s="18" t="s">
        <v>33</v>
      </c>
      <c r="I1312" s="18">
        <v>1.4</v>
      </c>
      <c r="J1312" s="18">
        <v>2</v>
      </c>
      <c r="K1312" s="18" t="s">
        <v>40</v>
      </c>
      <c r="L1312" s="18">
        <v>3</v>
      </c>
      <c r="M1312" s="18" t="s">
        <v>35</v>
      </c>
      <c r="N1312" s="18">
        <v>3</v>
      </c>
      <c r="O1312" s="18">
        <v>0</v>
      </c>
      <c r="P1312" s="18">
        <v>15.1</v>
      </c>
      <c r="Q1312" s="18">
        <v>2</v>
      </c>
      <c r="R1312" s="18">
        <v>3</v>
      </c>
      <c r="S1312" s="18">
        <v>5</v>
      </c>
      <c r="T1312" s="18">
        <v>232.07</v>
      </c>
    </row>
    <row r="1313" spans="1:20" x14ac:dyDescent="0.3">
      <c r="A1313" s="18">
        <v>51312</v>
      </c>
      <c r="B1313" s="18">
        <v>0</v>
      </c>
      <c r="C1313" s="18">
        <v>41</v>
      </c>
      <c r="D1313" s="18" t="s">
        <v>36</v>
      </c>
      <c r="E1313" s="18">
        <v>3</v>
      </c>
      <c r="F1313" s="18">
        <v>20</v>
      </c>
      <c r="G1313" s="18" t="s">
        <v>47</v>
      </c>
      <c r="H1313" s="18" t="s">
        <v>38</v>
      </c>
      <c r="I1313" s="18">
        <v>3.2</v>
      </c>
      <c r="J1313" s="18">
        <v>2</v>
      </c>
      <c r="K1313" s="18" t="s">
        <v>34</v>
      </c>
      <c r="L1313" s="18">
        <v>5</v>
      </c>
      <c r="M1313" s="18" t="s">
        <v>35</v>
      </c>
      <c r="N1313" s="18">
        <v>1</v>
      </c>
      <c r="O1313" s="18">
        <v>0</v>
      </c>
      <c r="P1313" s="18">
        <v>21.9</v>
      </c>
      <c r="Q1313" s="18">
        <v>3</v>
      </c>
      <c r="R1313" s="18">
        <v>5</v>
      </c>
      <c r="S1313" s="18">
        <v>0</v>
      </c>
      <c r="T1313" s="18">
        <v>169.34</v>
      </c>
    </row>
    <row r="1314" spans="1:20" x14ac:dyDescent="0.3">
      <c r="A1314" s="18">
        <v>51313</v>
      </c>
      <c r="B1314" s="18">
        <v>0</v>
      </c>
      <c r="C1314" s="18">
        <v>1</v>
      </c>
      <c r="D1314" s="18" t="s">
        <v>36</v>
      </c>
      <c r="E1314" s="18">
        <v>2</v>
      </c>
      <c r="F1314" s="18">
        <v>13</v>
      </c>
      <c r="G1314" s="18" t="s">
        <v>39</v>
      </c>
      <c r="H1314" s="18" t="s">
        <v>33</v>
      </c>
      <c r="I1314" s="18">
        <v>3.4</v>
      </c>
      <c r="J1314" s="18">
        <v>4</v>
      </c>
      <c r="K1314" s="18" t="s">
        <v>46</v>
      </c>
      <c r="L1314" s="18">
        <v>4</v>
      </c>
      <c r="M1314" s="18" t="s">
        <v>35</v>
      </c>
      <c r="N1314" s="18">
        <v>3</v>
      </c>
      <c r="O1314" s="18">
        <v>1</v>
      </c>
      <c r="P1314" s="18">
        <v>11</v>
      </c>
      <c r="Q1314" s="18">
        <v>2</v>
      </c>
      <c r="R1314" s="18">
        <v>6</v>
      </c>
      <c r="S1314" s="18">
        <v>3</v>
      </c>
      <c r="T1314" s="18">
        <v>270.7</v>
      </c>
    </row>
    <row r="1315" spans="1:20" x14ac:dyDescent="0.3">
      <c r="A1315" s="18">
        <v>51314</v>
      </c>
      <c r="B1315" s="18">
        <v>1</v>
      </c>
      <c r="C1315" s="18">
        <v>2</v>
      </c>
      <c r="D1315" s="18" t="s">
        <v>36</v>
      </c>
      <c r="E1315" s="18">
        <v>1</v>
      </c>
      <c r="F1315" s="18">
        <v>11</v>
      </c>
      <c r="G1315" s="18" t="s">
        <v>37</v>
      </c>
      <c r="H1315" s="18" t="s">
        <v>38</v>
      </c>
      <c r="I1315" s="18">
        <v>3.4</v>
      </c>
      <c r="J1315" s="18">
        <v>2</v>
      </c>
      <c r="K1315" s="18" t="s">
        <v>44</v>
      </c>
      <c r="L1315" s="18">
        <v>1</v>
      </c>
      <c r="M1315" s="18" t="s">
        <v>41</v>
      </c>
      <c r="N1315" s="18">
        <v>2</v>
      </c>
      <c r="O1315" s="18">
        <v>1</v>
      </c>
      <c r="P1315" s="18">
        <v>22.2</v>
      </c>
      <c r="Q1315" s="18">
        <v>2</v>
      </c>
      <c r="R1315" s="18">
        <v>4</v>
      </c>
      <c r="S1315" s="18">
        <v>2</v>
      </c>
      <c r="T1315" s="18">
        <v>191.65</v>
      </c>
    </row>
    <row r="1316" spans="1:20" x14ac:dyDescent="0.3">
      <c r="A1316" s="18">
        <v>51315</v>
      </c>
      <c r="B1316" s="18">
        <v>0</v>
      </c>
      <c r="C1316" s="18">
        <v>2</v>
      </c>
      <c r="D1316" s="18" t="s">
        <v>36</v>
      </c>
      <c r="E1316" s="18">
        <v>1</v>
      </c>
      <c r="F1316" s="18">
        <v>15</v>
      </c>
      <c r="G1316" s="18" t="s">
        <v>43</v>
      </c>
      <c r="H1316" s="18" t="s">
        <v>38</v>
      </c>
      <c r="I1316" s="18">
        <v>2.6</v>
      </c>
      <c r="J1316" s="18">
        <v>4</v>
      </c>
      <c r="K1316" s="18" t="s">
        <v>34</v>
      </c>
      <c r="L1316" s="18">
        <v>4</v>
      </c>
      <c r="M1316" s="18" t="s">
        <v>41</v>
      </c>
      <c r="N1316" s="18">
        <v>1</v>
      </c>
      <c r="O1316" s="18">
        <v>0</v>
      </c>
      <c r="P1316" s="18">
        <v>14.7</v>
      </c>
      <c r="Q1316" s="18">
        <v>2</v>
      </c>
      <c r="R1316" s="18">
        <v>3</v>
      </c>
      <c r="S1316" s="18">
        <v>6</v>
      </c>
      <c r="T1316" s="18">
        <v>137.28</v>
      </c>
    </row>
    <row r="1317" spans="1:20" x14ac:dyDescent="0.3">
      <c r="A1317" s="18">
        <v>51316</v>
      </c>
      <c r="B1317" s="18">
        <v>0</v>
      </c>
      <c r="C1317" s="18">
        <v>22</v>
      </c>
      <c r="D1317" s="18" t="s">
        <v>36</v>
      </c>
      <c r="E1317" s="18">
        <v>3</v>
      </c>
      <c r="F1317" s="18">
        <v>5</v>
      </c>
      <c r="G1317" s="18" t="s">
        <v>39</v>
      </c>
      <c r="H1317" s="18" t="s">
        <v>38</v>
      </c>
      <c r="I1317" s="18">
        <v>3.1</v>
      </c>
      <c r="J1317" s="18">
        <v>3</v>
      </c>
      <c r="K1317" s="18" t="s">
        <v>40</v>
      </c>
      <c r="L1317" s="18">
        <v>4</v>
      </c>
      <c r="M1317" s="18" t="s">
        <v>35</v>
      </c>
      <c r="N1317" s="18">
        <v>19</v>
      </c>
      <c r="O1317" s="18">
        <v>1</v>
      </c>
      <c r="P1317" s="18">
        <v>14.7</v>
      </c>
      <c r="Q1317" s="18">
        <v>1</v>
      </c>
      <c r="R1317" s="18">
        <v>7</v>
      </c>
      <c r="S1317" s="18">
        <v>2</v>
      </c>
      <c r="T1317" s="18">
        <v>120.23</v>
      </c>
    </row>
    <row r="1318" spans="1:20" x14ac:dyDescent="0.3">
      <c r="A1318" s="18">
        <v>51317</v>
      </c>
      <c r="B1318" s="18">
        <v>0</v>
      </c>
      <c r="C1318" s="18">
        <v>10</v>
      </c>
      <c r="D1318" s="18" t="s">
        <v>36</v>
      </c>
      <c r="E1318" s="18">
        <v>1</v>
      </c>
      <c r="F1318" s="18">
        <v>18</v>
      </c>
      <c r="G1318" s="18" t="s">
        <v>39</v>
      </c>
      <c r="H1318" s="18" t="s">
        <v>38</v>
      </c>
      <c r="I1318" s="18">
        <v>3.9</v>
      </c>
      <c r="J1318" s="18">
        <v>3</v>
      </c>
      <c r="K1318" s="18" t="s">
        <v>44</v>
      </c>
      <c r="L1318" s="18">
        <v>5</v>
      </c>
      <c r="M1318" s="18" t="s">
        <v>35</v>
      </c>
      <c r="N1318" s="18">
        <v>7</v>
      </c>
      <c r="O1318" s="18">
        <v>1</v>
      </c>
      <c r="P1318" s="18">
        <v>16.7</v>
      </c>
      <c r="Q1318" s="18">
        <v>3</v>
      </c>
      <c r="R1318" s="18">
        <v>1</v>
      </c>
      <c r="S1318" s="18">
        <v>18</v>
      </c>
      <c r="T1318" s="18">
        <v>236</v>
      </c>
    </row>
    <row r="1319" spans="1:20" x14ac:dyDescent="0.3">
      <c r="A1319" s="18">
        <v>51318</v>
      </c>
      <c r="B1319" s="18">
        <v>1</v>
      </c>
      <c r="C1319" s="18">
        <v>1</v>
      </c>
      <c r="D1319" s="18" t="s">
        <v>42</v>
      </c>
      <c r="E1319" s="18">
        <v>1</v>
      </c>
      <c r="F1319" s="18">
        <v>18</v>
      </c>
      <c r="G1319" s="18" t="s">
        <v>47</v>
      </c>
      <c r="H1319" s="18" t="s">
        <v>38</v>
      </c>
      <c r="I1319" s="18">
        <v>3.9</v>
      </c>
      <c r="J1319" s="18">
        <v>2</v>
      </c>
      <c r="K1319" s="18" t="s">
        <v>44</v>
      </c>
      <c r="L1319" s="18">
        <v>3</v>
      </c>
      <c r="M1319" s="18" t="s">
        <v>41</v>
      </c>
      <c r="N1319" s="18">
        <v>1</v>
      </c>
      <c r="O1319" s="18">
        <v>0</v>
      </c>
      <c r="P1319" s="18">
        <v>13.6</v>
      </c>
      <c r="Q1319" s="18">
        <v>7</v>
      </c>
      <c r="R1319" s="18">
        <v>3</v>
      </c>
      <c r="S1319" s="18">
        <v>5</v>
      </c>
      <c r="T1319" s="18">
        <v>187.07</v>
      </c>
    </row>
    <row r="1320" spans="1:20" x14ac:dyDescent="0.3">
      <c r="A1320" s="18">
        <v>51319</v>
      </c>
      <c r="B1320" s="18">
        <v>0</v>
      </c>
      <c r="C1320" s="18">
        <v>5</v>
      </c>
      <c r="D1320" s="18" t="s">
        <v>36</v>
      </c>
      <c r="E1320" s="18">
        <v>2</v>
      </c>
      <c r="F1320" s="18">
        <v>11</v>
      </c>
      <c r="G1320" s="18" t="s">
        <v>47</v>
      </c>
      <c r="H1320" s="18" t="s">
        <v>38</v>
      </c>
      <c r="I1320" s="18">
        <v>2.9</v>
      </c>
      <c r="J1320" s="18">
        <v>3</v>
      </c>
      <c r="K1320" s="18" t="s">
        <v>44</v>
      </c>
      <c r="L1320" s="18">
        <v>4</v>
      </c>
      <c r="M1320" s="18" t="s">
        <v>45</v>
      </c>
      <c r="N1320" s="18">
        <v>2</v>
      </c>
      <c r="O1320" s="18">
        <v>0</v>
      </c>
      <c r="P1320" s="18">
        <v>15.7</v>
      </c>
      <c r="Q1320" s="18">
        <v>5</v>
      </c>
      <c r="R1320" s="18">
        <v>7</v>
      </c>
      <c r="S1320" s="18">
        <v>5</v>
      </c>
      <c r="T1320" s="18">
        <v>217.18</v>
      </c>
    </row>
    <row r="1321" spans="1:20" x14ac:dyDescent="0.3">
      <c r="A1321" s="18">
        <v>51320</v>
      </c>
      <c r="B1321" s="18">
        <v>0</v>
      </c>
      <c r="C1321" s="18">
        <v>9</v>
      </c>
      <c r="D1321" s="18" t="s">
        <v>36</v>
      </c>
      <c r="E1321" s="18">
        <v>3</v>
      </c>
      <c r="F1321" s="18">
        <v>23</v>
      </c>
      <c r="G1321" s="18" t="s">
        <v>47</v>
      </c>
      <c r="H1321" s="18" t="s">
        <v>33</v>
      </c>
      <c r="I1321" s="18">
        <v>3</v>
      </c>
      <c r="J1321" s="18">
        <v>3</v>
      </c>
      <c r="K1321" s="18" t="s">
        <v>46</v>
      </c>
      <c r="L1321" s="18">
        <v>1</v>
      </c>
      <c r="M1321" s="18" t="s">
        <v>35</v>
      </c>
      <c r="N1321" s="18">
        <v>1</v>
      </c>
      <c r="O1321" s="18">
        <v>1</v>
      </c>
      <c r="P1321" s="18">
        <v>13.4</v>
      </c>
      <c r="Q1321" s="18">
        <v>0</v>
      </c>
      <c r="R1321" s="18">
        <v>4</v>
      </c>
      <c r="S1321" s="18">
        <v>12</v>
      </c>
      <c r="T1321" s="18">
        <v>33.81</v>
      </c>
    </row>
    <row r="1322" spans="1:20" x14ac:dyDescent="0.3">
      <c r="A1322" s="18">
        <v>51321</v>
      </c>
      <c r="B1322" s="18">
        <v>1</v>
      </c>
      <c r="C1322" s="18">
        <v>0</v>
      </c>
      <c r="D1322" s="18" t="s">
        <v>36</v>
      </c>
      <c r="E1322" s="18">
        <v>3</v>
      </c>
      <c r="F1322" s="18">
        <v>5</v>
      </c>
      <c r="G1322" s="18" t="s">
        <v>39</v>
      </c>
      <c r="H1322" s="18" t="s">
        <v>33</v>
      </c>
      <c r="I1322" s="18">
        <v>3.7</v>
      </c>
      <c r="J1322" s="18">
        <v>3</v>
      </c>
      <c r="K1322" s="18" t="s">
        <v>44</v>
      </c>
      <c r="L1322" s="18">
        <v>3</v>
      </c>
      <c r="M1322" s="18" t="s">
        <v>41</v>
      </c>
      <c r="N1322" s="18">
        <v>5</v>
      </c>
      <c r="O1322" s="18">
        <v>0</v>
      </c>
      <c r="P1322" s="18">
        <v>13.5</v>
      </c>
      <c r="Q1322" s="18">
        <v>2</v>
      </c>
      <c r="R1322" s="18">
        <v>5</v>
      </c>
      <c r="S1322" s="18">
        <v>26</v>
      </c>
      <c r="T1322" s="18">
        <v>193.46</v>
      </c>
    </row>
    <row r="1323" spans="1:20" x14ac:dyDescent="0.3">
      <c r="A1323" s="18">
        <v>51322</v>
      </c>
      <c r="B1323" s="18">
        <v>0</v>
      </c>
      <c r="C1323" s="18">
        <v>21</v>
      </c>
      <c r="D1323" s="18" t="s">
        <v>42</v>
      </c>
      <c r="E1323" s="18">
        <v>1</v>
      </c>
      <c r="F1323" s="18">
        <v>24</v>
      </c>
      <c r="G1323" s="18" t="s">
        <v>39</v>
      </c>
      <c r="H1323" s="18" t="s">
        <v>33</v>
      </c>
      <c r="I1323" s="18">
        <v>1.8</v>
      </c>
      <c r="J1323" s="18">
        <v>5</v>
      </c>
      <c r="K1323" s="18" t="s">
        <v>44</v>
      </c>
      <c r="L1323" s="18">
        <v>1</v>
      </c>
      <c r="M1323" s="18" t="s">
        <v>45</v>
      </c>
      <c r="N1323" s="18">
        <v>9</v>
      </c>
      <c r="O1323" s="18">
        <v>0</v>
      </c>
      <c r="P1323" s="18">
        <v>17.7</v>
      </c>
      <c r="Q1323" s="18">
        <v>2</v>
      </c>
      <c r="R1323" s="18">
        <v>2</v>
      </c>
      <c r="S1323" s="18">
        <v>1</v>
      </c>
      <c r="T1323" s="18">
        <v>151.85</v>
      </c>
    </row>
    <row r="1324" spans="1:20" x14ac:dyDescent="0.3">
      <c r="A1324" s="18">
        <v>51323</v>
      </c>
      <c r="B1324" s="18">
        <v>0</v>
      </c>
      <c r="C1324" s="18">
        <v>16</v>
      </c>
      <c r="D1324" s="18" t="s">
        <v>36</v>
      </c>
      <c r="E1324" s="18">
        <v>2</v>
      </c>
      <c r="F1324" s="18">
        <v>16</v>
      </c>
      <c r="G1324" s="18" t="s">
        <v>43</v>
      </c>
      <c r="H1324" s="18" t="s">
        <v>33</v>
      </c>
      <c r="I1324" s="18">
        <v>2.7</v>
      </c>
      <c r="J1324" s="18">
        <v>3</v>
      </c>
      <c r="K1324" s="18" t="s">
        <v>40</v>
      </c>
      <c r="L1324" s="18">
        <v>3</v>
      </c>
      <c r="M1324" s="18" t="s">
        <v>35</v>
      </c>
      <c r="N1324" s="18">
        <v>1</v>
      </c>
      <c r="O1324" s="18">
        <v>1</v>
      </c>
      <c r="P1324" s="18">
        <v>12.8</v>
      </c>
      <c r="Q1324" s="18">
        <v>5</v>
      </c>
      <c r="R1324" s="18">
        <v>5</v>
      </c>
      <c r="S1324" s="18">
        <v>8</v>
      </c>
      <c r="T1324" s="18">
        <v>103.34</v>
      </c>
    </row>
    <row r="1325" spans="1:20" x14ac:dyDescent="0.3">
      <c r="A1325" s="18">
        <v>51324</v>
      </c>
      <c r="B1325" s="18">
        <v>0</v>
      </c>
      <c r="C1325" s="18">
        <v>7</v>
      </c>
      <c r="D1325" s="18" t="s">
        <v>36</v>
      </c>
      <c r="E1325" s="18">
        <v>1</v>
      </c>
      <c r="F1325" s="18">
        <v>12</v>
      </c>
      <c r="G1325" s="18" t="s">
        <v>43</v>
      </c>
      <c r="H1325" s="18" t="s">
        <v>33</v>
      </c>
      <c r="I1325" s="18">
        <v>3.8</v>
      </c>
      <c r="J1325" s="18">
        <v>2</v>
      </c>
      <c r="K1325" s="18" t="s">
        <v>36</v>
      </c>
      <c r="L1325" s="18">
        <v>4</v>
      </c>
      <c r="M1325" s="18" t="s">
        <v>41</v>
      </c>
      <c r="N1325" s="18">
        <v>5</v>
      </c>
      <c r="O1325" s="18">
        <v>0</v>
      </c>
      <c r="P1325" s="18">
        <v>13.3</v>
      </c>
      <c r="Q1325" s="18">
        <v>2</v>
      </c>
      <c r="R1325" s="18">
        <v>3</v>
      </c>
      <c r="S1325" s="18">
        <v>0</v>
      </c>
      <c r="T1325" s="18">
        <v>176.55</v>
      </c>
    </row>
    <row r="1326" spans="1:20" x14ac:dyDescent="0.3">
      <c r="A1326" s="18">
        <v>51325</v>
      </c>
      <c r="B1326" s="18">
        <v>0</v>
      </c>
      <c r="C1326" s="18">
        <v>34</v>
      </c>
      <c r="D1326" s="18" t="s">
        <v>36</v>
      </c>
      <c r="E1326" s="18">
        <v>1</v>
      </c>
      <c r="F1326" s="18">
        <v>14</v>
      </c>
      <c r="G1326" s="18" t="s">
        <v>37</v>
      </c>
      <c r="H1326" s="18" t="s">
        <v>33</v>
      </c>
      <c r="I1326" s="18">
        <v>3.6</v>
      </c>
      <c r="J1326" s="18">
        <v>2</v>
      </c>
      <c r="K1326" s="18" t="s">
        <v>46</v>
      </c>
      <c r="L1326" s="18">
        <v>2</v>
      </c>
      <c r="M1326" s="18" t="s">
        <v>41</v>
      </c>
      <c r="N1326" s="18">
        <v>2</v>
      </c>
      <c r="O1326" s="18">
        <v>0</v>
      </c>
      <c r="P1326" s="18">
        <v>11.2</v>
      </c>
      <c r="Q1326" s="18">
        <v>2</v>
      </c>
      <c r="R1326" s="18">
        <v>2</v>
      </c>
      <c r="S1326" s="18">
        <v>3</v>
      </c>
      <c r="T1326" s="18">
        <v>240.05</v>
      </c>
    </row>
    <row r="1327" spans="1:20" x14ac:dyDescent="0.3">
      <c r="A1327" s="18">
        <v>51326</v>
      </c>
      <c r="B1327" s="18">
        <v>0</v>
      </c>
      <c r="C1327" s="18">
        <v>5</v>
      </c>
      <c r="D1327" s="18" t="s">
        <v>31</v>
      </c>
      <c r="E1327" s="18">
        <v>3</v>
      </c>
      <c r="F1327" s="18">
        <v>14</v>
      </c>
      <c r="G1327" s="18" t="s">
        <v>32</v>
      </c>
      <c r="H1327" s="18" t="s">
        <v>33</v>
      </c>
      <c r="I1327" s="18">
        <v>3.2</v>
      </c>
      <c r="J1327" s="18">
        <v>4</v>
      </c>
      <c r="K1327" s="18" t="s">
        <v>40</v>
      </c>
      <c r="L1327" s="18">
        <v>3</v>
      </c>
      <c r="M1327" s="18" t="s">
        <v>35</v>
      </c>
      <c r="N1327" s="18">
        <v>1</v>
      </c>
      <c r="O1327" s="18">
        <v>0</v>
      </c>
      <c r="P1327" s="18">
        <v>14.2</v>
      </c>
      <c r="Q1327" s="18">
        <v>1</v>
      </c>
      <c r="R1327" s="18">
        <v>3</v>
      </c>
      <c r="S1327" s="18">
        <v>0</v>
      </c>
      <c r="T1327" s="18">
        <v>304.64</v>
      </c>
    </row>
    <row r="1328" spans="1:20" x14ac:dyDescent="0.3">
      <c r="A1328" s="18">
        <v>51327</v>
      </c>
      <c r="B1328" s="18">
        <v>0</v>
      </c>
      <c r="C1328" s="18">
        <v>41</v>
      </c>
      <c r="D1328" s="18" t="s">
        <v>31</v>
      </c>
      <c r="E1328" s="18">
        <v>1</v>
      </c>
      <c r="F1328" s="18">
        <v>24</v>
      </c>
      <c r="G1328" s="18" t="s">
        <v>37</v>
      </c>
      <c r="H1328" s="18" t="s">
        <v>33</v>
      </c>
      <c r="I1328" s="18">
        <v>1.8</v>
      </c>
      <c r="J1328" s="18">
        <v>4</v>
      </c>
      <c r="K1328" s="18" t="s">
        <v>44</v>
      </c>
      <c r="L1328" s="18">
        <v>2</v>
      </c>
      <c r="M1328" s="18" t="s">
        <v>35</v>
      </c>
      <c r="N1328" s="18">
        <v>9</v>
      </c>
      <c r="O1328" s="18">
        <v>0</v>
      </c>
      <c r="P1328" s="18">
        <v>20.6</v>
      </c>
      <c r="Q1328" s="18">
        <v>2</v>
      </c>
      <c r="R1328" s="18">
        <v>4</v>
      </c>
      <c r="S1328" s="18">
        <v>4</v>
      </c>
      <c r="T1328" s="18">
        <v>193.32</v>
      </c>
    </row>
    <row r="1329" spans="1:20" x14ac:dyDescent="0.3">
      <c r="A1329" s="18">
        <v>51328</v>
      </c>
      <c r="B1329" s="18">
        <v>1</v>
      </c>
      <c r="C1329" s="18">
        <v>11</v>
      </c>
      <c r="D1329" s="18" t="s">
        <v>42</v>
      </c>
      <c r="E1329" s="18">
        <v>1</v>
      </c>
      <c r="F1329" s="18">
        <v>6</v>
      </c>
      <c r="G1329" s="18" t="s">
        <v>37</v>
      </c>
      <c r="H1329" s="18" t="s">
        <v>33</v>
      </c>
      <c r="I1329" s="18">
        <v>2.9</v>
      </c>
      <c r="J1329" s="18">
        <v>3</v>
      </c>
      <c r="K1329" s="18" t="s">
        <v>46</v>
      </c>
      <c r="L1329" s="18">
        <v>2</v>
      </c>
      <c r="M1329" s="18" t="s">
        <v>41</v>
      </c>
      <c r="N1329" s="18">
        <v>2</v>
      </c>
      <c r="O1329" s="18">
        <v>1</v>
      </c>
      <c r="P1329" s="18">
        <v>13</v>
      </c>
      <c r="Q1329" s="18">
        <v>5</v>
      </c>
      <c r="R1329" s="18">
        <v>4</v>
      </c>
      <c r="S1329" s="18">
        <v>3</v>
      </c>
      <c r="T1329" s="18">
        <v>141</v>
      </c>
    </row>
    <row r="1330" spans="1:20" x14ac:dyDescent="0.3">
      <c r="A1330" s="18">
        <v>51329</v>
      </c>
      <c r="B1330" s="18">
        <v>0</v>
      </c>
      <c r="C1330" s="18">
        <v>10</v>
      </c>
      <c r="D1330" s="18" t="s">
        <v>42</v>
      </c>
      <c r="E1330" s="18">
        <v>1</v>
      </c>
      <c r="F1330" s="18">
        <v>8</v>
      </c>
      <c r="G1330" s="18" t="s">
        <v>39</v>
      </c>
      <c r="H1330" s="18" t="s">
        <v>38</v>
      </c>
      <c r="I1330" s="18">
        <v>2.5</v>
      </c>
      <c r="J1330" s="18">
        <v>4</v>
      </c>
      <c r="K1330" s="18" t="s">
        <v>44</v>
      </c>
      <c r="L1330" s="18">
        <v>3</v>
      </c>
      <c r="M1330" s="18" t="s">
        <v>41</v>
      </c>
      <c r="N1330" s="18">
        <v>2</v>
      </c>
      <c r="O1330" s="18">
        <v>0</v>
      </c>
      <c r="P1330" s="18">
        <v>13.4</v>
      </c>
      <c r="Q1330" s="18">
        <v>0</v>
      </c>
      <c r="R1330" s="18">
        <v>4</v>
      </c>
      <c r="S1330" s="18">
        <v>4</v>
      </c>
      <c r="T1330" s="18">
        <v>137.68</v>
      </c>
    </row>
    <row r="1331" spans="1:20" x14ac:dyDescent="0.3">
      <c r="A1331" s="18">
        <v>51330</v>
      </c>
      <c r="B1331" s="18">
        <v>0</v>
      </c>
      <c r="C1331" s="18">
        <v>1</v>
      </c>
      <c r="D1331" s="18" t="s">
        <v>31</v>
      </c>
      <c r="E1331" s="18">
        <v>3</v>
      </c>
      <c r="F1331" s="18">
        <v>23</v>
      </c>
      <c r="G1331" s="18" t="s">
        <v>37</v>
      </c>
      <c r="H1331" s="18" t="s">
        <v>33</v>
      </c>
      <c r="I1331" s="18">
        <v>3.1</v>
      </c>
      <c r="J1331" s="18">
        <v>4</v>
      </c>
      <c r="K1331" s="18" t="s">
        <v>36</v>
      </c>
      <c r="L1331" s="18">
        <v>1</v>
      </c>
      <c r="M1331" s="18" t="s">
        <v>41</v>
      </c>
      <c r="N1331" s="18">
        <v>3</v>
      </c>
      <c r="O1331" s="18">
        <v>0</v>
      </c>
      <c r="P1331" s="18">
        <v>16.7</v>
      </c>
      <c r="Q1331" s="18">
        <v>0</v>
      </c>
      <c r="R1331" s="18">
        <v>5</v>
      </c>
      <c r="S1331" s="18">
        <v>5</v>
      </c>
      <c r="T1331" s="18">
        <v>232.97</v>
      </c>
    </row>
    <row r="1332" spans="1:20" x14ac:dyDescent="0.3">
      <c r="A1332" s="18">
        <v>51331</v>
      </c>
      <c r="B1332" s="18">
        <v>0</v>
      </c>
      <c r="C1332" s="18">
        <v>21</v>
      </c>
      <c r="D1332" s="18" t="s">
        <v>31</v>
      </c>
      <c r="E1332" s="18">
        <v>3</v>
      </c>
      <c r="F1332" s="18">
        <v>10</v>
      </c>
      <c r="G1332" s="18" t="s">
        <v>37</v>
      </c>
      <c r="H1332" s="18" t="s">
        <v>38</v>
      </c>
      <c r="I1332" s="18">
        <v>2.2999999999999998</v>
      </c>
      <c r="J1332" s="18">
        <v>5</v>
      </c>
      <c r="K1332" s="18" t="s">
        <v>40</v>
      </c>
      <c r="L1332" s="18">
        <v>4</v>
      </c>
      <c r="M1332" s="18" t="s">
        <v>35</v>
      </c>
      <c r="N1332" s="18">
        <v>1</v>
      </c>
      <c r="O1332" s="18">
        <v>1</v>
      </c>
      <c r="P1332" s="18">
        <v>14.7</v>
      </c>
      <c r="Q1332" s="18">
        <v>3</v>
      </c>
      <c r="R1332" s="18">
        <v>4</v>
      </c>
      <c r="S1332" s="18">
        <v>4</v>
      </c>
      <c r="T1332" s="18">
        <v>125.17</v>
      </c>
    </row>
    <row r="1333" spans="1:20" x14ac:dyDescent="0.3">
      <c r="A1333" s="18">
        <v>51332</v>
      </c>
      <c r="B1333" s="18">
        <v>0</v>
      </c>
      <c r="C1333" s="18">
        <v>5</v>
      </c>
      <c r="D1333" s="18" t="s">
        <v>36</v>
      </c>
      <c r="E1333" s="18">
        <v>2</v>
      </c>
      <c r="F1333" s="18">
        <v>22</v>
      </c>
      <c r="G1333" s="18" t="s">
        <v>39</v>
      </c>
      <c r="H1333" s="18" t="s">
        <v>33</v>
      </c>
      <c r="I1333" s="18">
        <v>2.2000000000000002</v>
      </c>
      <c r="J1333" s="18">
        <v>1</v>
      </c>
      <c r="K1333" s="18" t="s">
        <v>44</v>
      </c>
      <c r="L1333" s="18">
        <v>1</v>
      </c>
      <c r="M1333" s="18" t="s">
        <v>41</v>
      </c>
      <c r="N1333" s="18">
        <v>1</v>
      </c>
      <c r="O1333" s="18">
        <v>1</v>
      </c>
      <c r="P1333" s="18">
        <v>23.8</v>
      </c>
      <c r="Q1333" s="18">
        <v>2</v>
      </c>
      <c r="R1333" s="18">
        <v>5</v>
      </c>
      <c r="S1333" s="18">
        <v>1</v>
      </c>
      <c r="T1333" s="18">
        <v>214.23</v>
      </c>
    </row>
    <row r="1334" spans="1:20" x14ac:dyDescent="0.3">
      <c r="A1334" s="18">
        <v>51333</v>
      </c>
      <c r="B1334" s="18">
        <v>1</v>
      </c>
      <c r="C1334" s="18">
        <v>1</v>
      </c>
      <c r="D1334" s="18" t="s">
        <v>36</v>
      </c>
      <c r="E1334" s="18">
        <v>3</v>
      </c>
      <c r="F1334" s="18">
        <v>28</v>
      </c>
      <c r="G1334" s="18" t="s">
        <v>37</v>
      </c>
      <c r="H1334" s="18" t="s">
        <v>38</v>
      </c>
      <c r="I1334" s="18">
        <v>1.5</v>
      </c>
      <c r="J1334" s="18">
        <v>4</v>
      </c>
      <c r="K1334" s="18" t="s">
        <v>34</v>
      </c>
      <c r="L1334" s="18">
        <v>2</v>
      </c>
      <c r="M1334" s="18" t="s">
        <v>41</v>
      </c>
      <c r="N1334" s="18">
        <v>9</v>
      </c>
      <c r="O1334" s="18">
        <v>0</v>
      </c>
      <c r="P1334" s="18">
        <v>15.4</v>
      </c>
      <c r="Q1334" s="18">
        <v>2</v>
      </c>
      <c r="R1334" s="18">
        <v>4</v>
      </c>
      <c r="S1334" s="18">
        <v>9</v>
      </c>
      <c r="T1334" s="18">
        <v>196.15</v>
      </c>
    </row>
    <row r="1335" spans="1:20" x14ac:dyDescent="0.3">
      <c r="A1335" s="18">
        <v>51334</v>
      </c>
      <c r="B1335" s="18">
        <v>0</v>
      </c>
      <c r="C1335" s="18">
        <v>0</v>
      </c>
      <c r="D1335" s="18" t="s">
        <v>42</v>
      </c>
      <c r="E1335" s="18">
        <v>1</v>
      </c>
      <c r="F1335" s="18">
        <v>11</v>
      </c>
      <c r="G1335" s="18" t="s">
        <v>32</v>
      </c>
      <c r="H1335" s="18" t="s">
        <v>38</v>
      </c>
      <c r="I1335" s="18">
        <v>3.8</v>
      </c>
      <c r="J1335" s="18">
        <v>4</v>
      </c>
      <c r="K1335" s="18" t="s">
        <v>36</v>
      </c>
      <c r="L1335" s="18">
        <v>3</v>
      </c>
      <c r="M1335" s="18" t="s">
        <v>35</v>
      </c>
      <c r="N1335" s="18">
        <v>3</v>
      </c>
      <c r="O1335" s="18">
        <v>1</v>
      </c>
      <c r="P1335" s="18">
        <v>17.2</v>
      </c>
      <c r="Q1335" s="18">
        <v>3</v>
      </c>
      <c r="R1335" s="18">
        <v>2</v>
      </c>
      <c r="S1335" s="18">
        <v>4</v>
      </c>
      <c r="T1335" s="18">
        <v>190.07</v>
      </c>
    </row>
    <row r="1336" spans="1:20" x14ac:dyDescent="0.3">
      <c r="A1336" s="18">
        <v>51335</v>
      </c>
      <c r="B1336" s="18">
        <v>1</v>
      </c>
      <c r="C1336" s="18">
        <v>8</v>
      </c>
      <c r="D1336" s="18" t="s">
        <v>36</v>
      </c>
      <c r="E1336" s="18">
        <v>1</v>
      </c>
      <c r="F1336" s="18">
        <v>20</v>
      </c>
      <c r="G1336" s="18" t="s">
        <v>47</v>
      </c>
      <c r="H1336" s="18" t="s">
        <v>38</v>
      </c>
      <c r="I1336" s="18">
        <v>2.6</v>
      </c>
      <c r="J1336" s="18">
        <v>2</v>
      </c>
      <c r="K1336" s="18" t="s">
        <v>44</v>
      </c>
      <c r="L1336" s="18">
        <v>4</v>
      </c>
      <c r="M1336" s="18" t="s">
        <v>35</v>
      </c>
      <c r="N1336" s="18">
        <v>6</v>
      </c>
      <c r="O1336" s="18">
        <v>0</v>
      </c>
      <c r="P1336" s="18">
        <v>19.3</v>
      </c>
      <c r="Q1336" s="18">
        <v>2</v>
      </c>
      <c r="R1336" s="18">
        <v>2</v>
      </c>
      <c r="S1336" s="18">
        <v>3</v>
      </c>
      <c r="T1336" s="18">
        <v>93.75</v>
      </c>
    </row>
    <row r="1337" spans="1:20" x14ac:dyDescent="0.3">
      <c r="A1337" s="18">
        <v>51336</v>
      </c>
      <c r="B1337" s="18">
        <v>0</v>
      </c>
      <c r="C1337" s="18">
        <v>7</v>
      </c>
      <c r="D1337" s="18" t="s">
        <v>36</v>
      </c>
      <c r="E1337" s="18">
        <v>1</v>
      </c>
      <c r="F1337" s="18">
        <v>5</v>
      </c>
      <c r="G1337" s="18" t="s">
        <v>47</v>
      </c>
      <c r="H1337" s="18" t="s">
        <v>38</v>
      </c>
      <c r="I1337" s="18">
        <v>3</v>
      </c>
      <c r="J1337" s="18">
        <v>2</v>
      </c>
      <c r="K1337" s="18" t="s">
        <v>34</v>
      </c>
      <c r="L1337" s="18">
        <v>1</v>
      </c>
      <c r="M1337" s="18" t="s">
        <v>35</v>
      </c>
      <c r="N1337" s="18">
        <v>1</v>
      </c>
      <c r="O1337" s="18">
        <v>0</v>
      </c>
      <c r="P1337" s="18">
        <v>19.2</v>
      </c>
      <c r="Q1337" s="18">
        <v>2</v>
      </c>
      <c r="R1337" s="18">
        <v>2</v>
      </c>
      <c r="S1337" s="18">
        <v>21</v>
      </c>
      <c r="T1337" s="18">
        <v>160.37</v>
      </c>
    </row>
    <row r="1338" spans="1:20" x14ac:dyDescent="0.3">
      <c r="A1338" s="18">
        <v>51337</v>
      </c>
      <c r="B1338" s="18">
        <v>0</v>
      </c>
      <c r="C1338" s="18">
        <v>12</v>
      </c>
      <c r="D1338" s="18" t="s">
        <v>31</v>
      </c>
      <c r="E1338" s="18">
        <v>1</v>
      </c>
      <c r="F1338" s="18">
        <v>21</v>
      </c>
      <c r="G1338" s="18" t="s">
        <v>43</v>
      </c>
      <c r="H1338" s="18" t="s">
        <v>33</v>
      </c>
      <c r="I1338" s="18">
        <v>2.9</v>
      </c>
      <c r="J1338" s="18">
        <v>2</v>
      </c>
      <c r="K1338" s="18" t="s">
        <v>36</v>
      </c>
      <c r="L1338" s="18">
        <v>4</v>
      </c>
      <c r="M1338" s="18" t="s">
        <v>41</v>
      </c>
      <c r="N1338" s="18">
        <v>2</v>
      </c>
      <c r="O1338" s="18">
        <v>0</v>
      </c>
      <c r="P1338" s="18">
        <v>16.8</v>
      </c>
      <c r="Q1338" s="18">
        <v>4</v>
      </c>
      <c r="R1338" s="18">
        <v>5</v>
      </c>
      <c r="S1338" s="18">
        <v>1</v>
      </c>
      <c r="T1338" s="18">
        <v>99.8</v>
      </c>
    </row>
    <row r="1339" spans="1:20" x14ac:dyDescent="0.3">
      <c r="A1339" s="18">
        <v>51338</v>
      </c>
      <c r="B1339" s="18">
        <v>0</v>
      </c>
      <c r="C1339" s="18">
        <v>22</v>
      </c>
      <c r="D1339" s="18" t="s">
        <v>36</v>
      </c>
      <c r="E1339" s="18">
        <v>1</v>
      </c>
      <c r="F1339" s="18">
        <v>16</v>
      </c>
      <c r="G1339" s="18" t="s">
        <v>39</v>
      </c>
      <c r="H1339" s="18" t="s">
        <v>38</v>
      </c>
      <c r="I1339" s="18">
        <v>2.2000000000000002</v>
      </c>
      <c r="J1339" s="18">
        <v>2</v>
      </c>
      <c r="K1339" s="18" t="s">
        <v>40</v>
      </c>
      <c r="L1339" s="18">
        <v>5</v>
      </c>
      <c r="M1339" s="18" t="s">
        <v>35</v>
      </c>
      <c r="N1339" s="18">
        <v>12</v>
      </c>
      <c r="O1339" s="18">
        <v>0</v>
      </c>
      <c r="P1339" s="18">
        <v>15.4</v>
      </c>
      <c r="Q1339" s="18">
        <v>0</v>
      </c>
      <c r="R1339" s="18">
        <v>4</v>
      </c>
      <c r="S1339" s="18">
        <v>3</v>
      </c>
      <c r="T1339" s="18">
        <v>147.65</v>
      </c>
    </row>
    <row r="1340" spans="1:20" x14ac:dyDescent="0.3">
      <c r="A1340" s="18">
        <v>51339</v>
      </c>
      <c r="B1340" s="18">
        <v>0</v>
      </c>
      <c r="C1340" s="18">
        <v>0</v>
      </c>
      <c r="D1340" s="18" t="s">
        <v>31</v>
      </c>
      <c r="E1340" s="18">
        <v>3</v>
      </c>
      <c r="F1340" s="18">
        <v>18</v>
      </c>
      <c r="G1340" s="18" t="s">
        <v>37</v>
      </c>
      <c r="H1340" s="18" t="s">
        <v>38</v>
      </c>
      <c r="I1340" s="18">
        <v>2</v>
      </c>
      <c r="J1340" s="18">
        <v>3</v>
      </c>
      <c r="K1340" s="18" t="s">
        <v>36</v>
      </c>
      <c r="L1340" s="18">
        <v>4</v>
      </c>
      <c r="M1340" s="18" t="s">
        <v>41</v>
      </c>
      <c r="N1340" s="18">
        <v>1</v>
      </c>
      <c r="O1340" s="18">
        <v>0</v>
      </c>
      <c r="P1340" s="18">
        <v>23.1</v>
      </c>
      <c r="Q1340" s="18">
        <v>3</v>
      </c>
      <c r="R1340" s="18">
        <v>8</v>
      </c>
      <c r="S1340" s="18">
        <v>5</v>
      </c>
      <c r="T1340" s="18">
        <v>230.44</v>
      </c>
    </row>
    <row r="1341" spans="1:20" x14ac:dyDescent="0.3">
      <c r="A1341" s="18">
        <v>51340</v>
      </c>
      <c r="B1341" s="18">
        <v>1</v>
      </c>
      <c r="C1341" s="18">
        <v>13</v>
      </c>
      <c r="D1341" s="18" t="s">
        <v>31</v>
      </c>
      <c r="E1341" s="18">
        <v>1</v>
      </c>
      <c r="F1341" s="18">
        <v>9</v>
      </c>
      <c r="G1341" s="18" t="s">
        <v>32</v>
      </c>
      <c r="H1341" s="18" t="s">
        <v>38</v>
      </c>
      <c r="I1341" s="18">
        <v>2.2000000000000002</v>
      </c>
      <c r="J1341" s="18">
        <v>3</v>
      </c>
      <c r="K1341" s="18" t="s">
        <v>46</v>
      </c>
      <c r="L1341" s="18">
        <v>2</v>
      </c>
      <c r="M1341" s="18" t="s">
        <v>45</v>
      </c>
      <c r="N1341" s="18">
        <v>1</v>
      </c>
      <c r="O1341" s="18">
        <v>0</v>
      </c>
      <c r="P1341" s="18">
        <v>15.7</v>
      </c>
      <c r="Q1341" s="18">
        <v>1</v>
      </c>
      <c r="R1341" s="18">
        <v>8</v>
      </c>
      <c r="S1341" s="18">
        <v>0</v>
      </c>
      <c r="T1341" s="18">
        <v>247.71</v>
      </c>
    </row>
    <row r="1342" spans="1:20" x14ac:dyDescent="0.3">
      <c r="A1342" s="18">
        <v>51341</v>
      </c>
      <c r="B1342" s="18">
        <v>0</v>
      </c>
      <c r="C1342" s="18">
        <v>2</v>
      </c>
      <c r="D1342" s="18" t="s">
        <v>36</v>
      </c>
      <c r="E1342" s="18">
        <v>1</v>
      </c>
      <c r="F1342" s="18">
        <v>5</v>
      </c>
      <c r="G1342" s="18" t="s">
        <v>37</v>
      </c>
      <c r="H1342" s="18" t="s">
        <v>38</v>
      </c>
      <c r="I1342" s="18">
        <v>2.4</v>
      </c>
      <c r="J1342" s="18">
        <v>4</v>
      </c>
      <c r="K1342" s="18" t="s">
        <v>44</v>
      </c>
      <c r="L1342" s="18">
        <v>4</v>
      </c>
      <c r="M1342" s="18" t="s">
        <v>35</v>
      </c>
      <c r="N1342" s="18">
        <v>2</v>
      </c>
      <c r="O1342" s="18">
        <v>0</v>
      </c>
      <c r="P1342" s="18">
        <v>14.5</v>
      </c>
      <c r="Q1342" s="18">
        <v>1</v>
      </c>
      <c r="R1342" s="18">
        <v>5</v>
      </c>
      <c r="S1342" s="18">
        <v>2</v>
      </c>
      <c r="T1342" s="18">
        <v>191.77</v>
      </c>
    </row>
    <row r="1343" spans="1:20" x14ac:dyDescent="0.3">
      <c r="A1343" s="18">
        <v>51342</v>
      </c>
      <c r="B1343" s="18">
        <v>1</v>
      </c>
      <c r="C1343" s="18">
        <v>19</v>
      </c>
      <c r="D1343" s="18" t="s">
        <v>42</v>
      </c>
      <c r="E1343" s="18">
        <v>1</v>
      </c>
      <c r="F1343" s="18">
        <v>19</v>
      </c>
      <c r="G1343" s="18" t="s">
        <v>39</v>
      </c>
      <c r="H1343" s="18" t="s">
        <v>33</v>
      </c>
      <c r="I1343" s="18"/>
      <c r="J1343" s="18">
        <v>4</v>
      </c>
      <c r="K1343" s="18" t="s">
        <v>44</v>
      </c>
      <c r="L1343" s="18">
        <v>4</v>
      </c>
      <c r="M1343" s="18" t="s">
        <v>41</v>
      </c>
      <c r="N1343" s="18">
        <v>1</v>
      </c>
      <c r="O1343" s="18">
        <v>0</v>
      </c>
      <c r="P1343" s="18">
        <v>13.7</v>
      </c>
      <c r="Q1343" s="18">
        <v>3</v>
      </c>
      <c r="R1343" s="18">
        <v>5</v>
      </c>
      <c r="S1343" s="18">
        <v>8</v>
      </c>
      <c r="T1343" s="18">
        <v>148.63</v>
      </c>
    </row>
    <row r="1344" spans="1:20" x14ac:dyDescent="0.3">
      <c r="A1344" s="18">
        <v>51343</v>
      </c>
      <c r="B1344" s="18">
        <v>0</v>
      </c>
      <c r="C1344" s="18">
        <v>17</v>
      </c>
      <c r="D1344" s="18" t="s">
        <v>36</v>
      </c>
      <c r="E1344" s="18">
        <v>1</v>
      </c>
      <c r="F1344" s="18">
        <v>5</v>
      </c>
      <c r="G1344" s="18" t="s">
        <v>39</v>
      </c>
      <c r="H1344" s="18" t="s">
        <v>38</v>
      </c>
      <c r="I1344" s="18">
        <v>2.2999999999999998</v>
      </c>
      <c r="J1344" s="18">
        <v>2</v>
      </c>
      <c r="K1344" s="18" t="s">
        <v>36</v>
      </c>
      <c r="L1344" s="18">
        <v>1</v>
      </c>
      <c r="M1344" s="18" t="s">
        <v>41</v>
      </c>
      <c r="N1344" s="18">
        <v>1</v>
      </c>
      <c r="O1344" s="18">
        <v>0</v>
      </c>
      <c r="P1344" s="18">
        <v>11</v>
      </c>
      <c r="Q1344" s="18">
        <v>2</v>
      </c>
      <c r="R1344" s="18">
        <v>4</v>
      </c>
      <c r="S1344" s="18">
        <v>1</v>
      </c>
      <c r="T1344" s="18">
        <v>267.35000000000002</v>
      </c>
    </row>
    <row r="1345" spans="1:20" x14ac:dyDescent="0.3">
      <c r="A1345" s="18">
        <v>51344</v>
      </c>
      <c r="B1345" s="18">
        <v>0</v>
      </c>
      <c r="C1345" s="18">
        <v>7</v>
      </c>
      <c r="D1345" s="18" t="s">
        <v>36</v>
      </c>
      <c r="E1345" s="18">
        <v>3</v>
      </c>
      <c r="F1345" s="18">
        <v>12</v>
      </c>
      <c r="G1345" s="18" t="s">
        <v>32</v>
      </c>
      <c r="H1345" s="18" t="s">
        <v>33</v>
      </c>
      <c r="I1345" s="18">
        <v>4.0999999999999996</v>
      </c>
      <c r="J1345" s="18">
        <v>2</v>
      </c>
      <c r="K1345" s="18" t="s">
        <v>44</v>
      </c>
      <c r="L1345" s="18">
        <v>5</v>
      </c>
      <c r="M1345" s="18" t="s">
        <v>35</v>
      </c>
      <c r="N1345" s="18">
        <v>7</v>
      </c>
      <c r="O1345" s="18">
        <v>0</v>
      </c>
      <c r="P1345" s="18">
        <v>18.899999999999999</v>
      </c>
      <c r="Q1345" s="18">
        <v>3</v>
      </c>
      <c r="R1345" s="18">
        <v>11</v>
      </c>
      <c r="S1345" s="18">
        <v>3</v>
      </c>
      <c r="T1345" s="18">
        <v>147.9</v>
      </c>
    </row>
    <row r="1346" spans="1:20" x14ac:dyDescent="0.3">
      <c r="A1346" s="18">
        <v>51345</v>
      </c>
      <c r="B1346" s="18">
        <v>0</v>
      </c>
      <c r="C1346" s="18">
        <v>12</v>
      </c>
      <c r="D1346" s="18" t="s">
        <v>36</v>
      </c>
      <c r="E1346" s="18">
        <v>1</v>
      </c>
      <c r="F1346" s="18">
        <v>22</v>
      </c>
      <c r="G1346" s="18" t="s">
        <v>37</v>
      </c>
      <c r="H1346" s="18" t="s">
        <v>33</v>
      </c>
      <c r="I1346" s="18">
        <v>3.6</v>
      </c>
      <c r="J1346" s="18">
        <v>5</v>
      </c>
      <c r="K1346" s="18" t="s">
        <v>40</v>
      </c>
      <c r="L1346" s="18">
        <v>5</v>
      </c>
      <c r="M1346" s="18" t="s">
        <v>35</v>
      </c>
      <c r="N1346" s="18">
        <v>16</v>
      </c>
      <c r="O1346" s="18">
        <v>0</v>
      </c>
      <c r="P1346" s="18">
        <v>11</v>
      </c>
      <c r="Q1346" s="18">
        <v>2</v>
      </c>
      <c r="R1346" s="18">
        <v>4</v>
      </c>
      <c r="S1346" s="18">
        <v>4</v>
      </c>
      <c r="T1346" s="18">
        <v>117.54</v>
      </c>
    </row>
    <row r="1347" spans="1:20" x14ac:dyDescent="0.3">
      <c r="A1347" s="18">
        <v>51346</v>
      </c>
      <c r="B1347" s="18">
        <v>1</v>
      </c>
      <c r="C1347" s="18">
        <v>3</v>
      </c>
      <c r="D1347" s="18" t="s">
        <v>31</v>
      </c>
      <c r="E1347" s="18">
        <v>1</v>
      </c>
      <c r="F1347" s="18">
        <v>16</v>
      </c>
      <c r="G1347" s="18" t="s">
        <v>32</v>
      </c>
      <c r="H1347" s="18" t="s">
        <v>33</v>
      </c>
      <c r="I1347" s="18">
        <v>3.5</v>
      </c>
      <c r="J1347" s="18">
        <v>4</v>
      </c>
      <c r="K1347" s="18" t="s">
        <v>36</v>
      </c>
      <c r="L1347" s="18">
        <v>5</v>
      </c>
      <c r="M1347" s="18" t="s">
        <v>35</v>
      </c>
      <c r="N1347" s="18">
        <v>2</v>
      </c>
      <c r="O1347" s="18">
        <v>0</v>
      </c>
      <c r="P1347" s="18">
        <v>16</v>
      </c>
      <c r="Q1347" s="18">
        <v>0</v>
      </c>
      <c r="R1347" s="18">
        <v>5</v>
      </c>
      <c r="S1347" s="18">
        <v>5</v>
      </c>
      <c r="T1347" s="18">
        <v>218.31</v>
      </c>
    </row>
    <row r="1348" spans="1:20" x14ac:dyDescent="0.3">
      <c r="A1348" s="18">
        <v>51347</v>
      </c>
      <c r="B1348" s="18">
        <v>0</v>
      </c>
      <c r="C1348" s="18">
        <v>6</v>
      </c>
      <c r="D1348" s="18" t="s">
        <v>31</v>
      </c>
      <c r="E1348" s="18">
        <v>3</v>
      </c>
      <c r="F1348" s="18">
        <v>30</v>
      </c>
      <c r="G1348" s="18" t="s">
        <v>37</v>
      </c>
      <c r="H1348" s="18" t="s">
        <v>38</v>
      </c>
      <c r="I1348" s="18">
        <v>2.8</v>
      </c>
      <c r="J1348" s="18">
        <v>3</v>
      </c>
      <c r="K1348" s="18" t="s">
        <v>44</v>
      </c>
      <c r="L1348" s="18">
        <v>4</v>
      </c>
      <c r="M1348" s="18" t="s">
        <v>35</v>
      </c>
      <c r="N1348" s="18">
        <v>5</v>
      </c>
      <c r="O1348" s="18">
        <v>0</v>
      </c>
      <c r="P1348" s="18">
        <v>15.3</v>
      </c>
      <c r="Q1348" s="18">
        <v>2</v>
      </c>
      <c r="R1348" s="18">
        <v>3</v>
      </c>
      <c r="S1348" s="18">
        <v>6</v>
      </c>
      <c r="T1348" s="18">
        <v>205.18</v>
      </c>
    </row>
    <row r="1349" spans="1:20" x14ac:dyDescent="0.3">
      <c r="A1349" s="18">
        <v>51348</v>
      </c>
      <c r="B1349" s="18">
        <v>0</v>
      </c>
      <c r="C1349" s="18">
        <v>17</v>
      </c>
      <c r="D1349" s="18" t="s">
        <v>36</v>
      </c>
      <c r="E1349" s="18">
        <v>1</v>
      </c>
      <c r="F1349" s="18">
        <v>23</v>
      </c>
      <c r="G1349" s="18" t="s">
        <v>47</v>
      </c>
      <c r="H1349" s="18" t="s">
        <v>33</v>
      </c>
      <c r="I1349" s="18">
        <v>4</v>
      </c>
      <c r="J1349" s="18">
        <v>4</v>
      </c>
      <c r="K1349" s="18" t="s">
        <v>44</v>
      </c>
      <c r="L1349" s="18">
        <v>4</v>
      </c>
      <c r="M1349" s="18" t="s">
        <v>35</v>
      </c>
      <c r="N1349" s="18">
        <v>6</v>
      </c>
      <c r="O1349" s="18">
        <v>0</v>
      </c>
      <c r="P1349" s="18">
        <v>23.8</v>
      </c>
      <c r="Q1349" s="18">
        <v>2</v>
      </c>
      <c r="R1349" s="18">
        <v>6</v>
      </c>
      <c r="S1349" s="18">
        <v>10</v>
      </c>
      <c r="T1349" s="18">
        <v>150.16</v>
      </c>
    </row>
    <row r="1350" spans="1:20" x14ac:dyDescent="0.3">
      <c r="A1350" s="18">
        <v>51349</v>
      </c>
      <c r="B1350" s="18">
        <v>0</v>
      </c>
      <c r="C1350" s="18">
        <v>6</v>
      </c>
      <c r="D1350" s="18" t="s">
        <v>31</v>
      </c>
      <c r="E1350" s="18">
        <v>1</v>
      </c>
      <c r="F1350" s="18">
        <v>9</v>
      </c>
      <c r="G1350" s="18" t="s">
        <v>32</v>
      </c>
      <c r="H1350" s="18" t="s">
        <v>33</v>
      </c>
      <c r="I1350" s="18">
        <v>2.7</v>
      </c>
      <c r="J1350" s="18">
        <v>3</v>
      </c>
      <c r="K1350" s="18" t="s">
        <v>40</v>
      </c>
      <c r="L1350" s="18">
        <v>4</v>
      </c>
      <c r="M1350" s="18" t="s">
        <v>35</v>
      </c>
      <c r="N1350" s="18">
        <v>4</v>
      </c>
      <c r="O1350" s="18">
        <v>0</v>
      </c>
      <c r="P1350" s="18">
        <v>11</v>
      </c>
      <c r="Q1350" s="18">
        <v>2</v>
      </c>
      <c r="R1350" s="18">
        <v>3</v>
      </c>
      <c r="S1350" s="18">
        <v>2</v>
      </c>
      <c r="T1350" s="18">
        <v>185.51</v>
      </c>
    </row>
    <row r="1351" spans="1:20" x14ac:dyDescent="0.3">
      <c r="A1351" s="18">
        <v>51350</v>
      </c>
      <c r="B1351" s="18">
        <v>0</v>
      </c>
      <c r="C1351" s="18">
        <v>4</v>
      </c>
      <c r="D1351" s="18" t="s">
        <v>36</v>
      </c>
      <c r="E1351" s="18">
        <v>1</v>
      </c>
      <c r="F1351" s="18">
        <v>15</v>
      </c>
      <c r="G1351" s="18" t="s">
        <v>47</v>
      </c>
      <c r="H1351" s="18" t="s">
        <v>33</v>
      </c>
      <c r="I1351" s="18">
        <v>2.9</v>
      </c>
      <c r="J1351" s="18">
        <v>4</v>
      </c>
      <c r="K1351" s="18" t="s">
        <v>46</v>
      </c>
      <c r="L1351" s="18">
        <v>4</v>
      </c>
      <c r="M1351" s="18" t="s">
        <v>35</v>
      </c>
      <c r="N1351" s="18">
        <v>1</v>
      </c>
      <c r="O1351" s="18">
        <v>0</v>
      </c>
      <c r="P1351" s="18">
        <v>12.8</v>
      </c>
      <c r="Q1351" s="18">
        <v>0</v>
      </c>
      <c r="R1351" s="18">
        <v>4</v>
      </c>
      <c r="S1351" s="18">
        <v>6</v>
      </c>
      <c r="T1351" s="18">
        <v>204.32</v>
      </c>
    </row>
    <row r="1352" spans="1:20" x14ac:dyDescent="0.3">
      <c r="A1352" s="18">
        <v>51351</v>
      </c>
      <c r="B1352" s="18">
        <v>0</v>
      </c>
      <c r="C1352" s="18">
        <v>6</v>
      </c>
      <c r="D1352" s="18" t="s">
        <v>42</v>
      </c>
      <c r="E1352" s="18">
        <v>2</v>
      </c>
      <c r="F1352" s="18">
        <v>14</v>
      </c>
      <c r="G1352" s="18" t="s">
        <v>37</v>
      </c>
      <c r="H1352" s="18" t="s">
        <v>38</v>
      </c>
      <c r="I1352" s="18">
        <v>3</v>
      </c>
      <c r="J1352" s="18">
        <v>3</v>
      </c>
      <c r="K1352" s="18" t="s">
        <v>36</v>
      </c>
      <c r="L1352" s="18">
        <v>4</v>
      </c>
      <c r="M1352" s="18" t="s">
        <v>35</v>
      </c>
      <c r="N1352" s="18">
        <v>1</v>
      </c>
      <c r="O1352" s="18">
        <v>1</v>
      </c>
      <c r="P1352" s="18">
        <v>15.5</v>
      </c>
      <c r="Q1352" s="18">
        <v>2</v>
      </c>
      <c r="R1352" s="18">
        <v>3</v>
      </c>
      <c r="S1352" s="18">
        <v>6</v>
      </c>
      <c r="T1352" s="18">
        <v>191.2</v>
      </c>
    </row>
    <row r="1353" spans="1:20" x14ac:dyDescent="0.3">
      <c r="A1353" s="18">
        <v>51352</v>
      </c>
      <c r="B1353" s="18">
        <v>0</v>
      </c>
      <c r="C1353" s="18">
        <v>17</v>
      </c>
      <c r="D1353" s="18" t="s">
        <v>36</v>
      </c>
      <c r="E1353" s="18">
        <v>3</v>
      </c>
      <c r="F1353" s="18">
        <v>5</v>
      </c>
      <c r="G1353" s="18" t="s">
        <v>37</v>
      </c>
      <c r="H1353" s="18" t="s">
        <v>38</v>
      </c>
      <c r="I1353" s="18">
        <v>3.4</v>
      </c>
      <c r="J1353" s="18">
        <v>3</v>
      </c>
      <c r="K1353" s="18" t="s">
        <v>36</v>
      </c>
      <c r="L1353" s="18">
        <v>4</v>
      </c>
      <c r="M1353" s="18" t="s">
        <v>35</v>
      </c>
      <c r="N1353" s="18">
        <v>1</v>
      </c>
      <c r="O1353" s="18">
        <v>1</v>
      </c>
      <c r="P1353" s="18">
        <v>15.3</v>
      </c>
      <c r="Q1353" s="18">
        <v>3</v>
      </c>
      <c r="R1353" s="18">
        <v>4</v>
      </c>
      <c r="S1353" s="18">
        <v>1</v>
      </c>
      <c r="T1353" s="18">
        <v>205.24</v>
      </c>
    </row>
    <row r="1354" spans="1:20" x14ac:dyDescent="0.3">
      <c r="A1354" s="18">
        <v>51353</v>
      </c>
      <c r="B1354" s="18">
        <v>0</v>
      </c>
      <c r="C1354" s="18">
        <v>4</v>
      </c>
      <c r="D1354" s="18" t="s">
        <v>31</v>
      </c>
      <c r="E1354" s="18">
        <v>3</v>
      </c>
      <c r="F1354" s="18">
        <v>7</v>
      </c>
      <c r="G1354" s="18" t="s">
        <v>32</v>
      </c>
      <c r="H1354" s="18" t="s">
        <v>33</v>
      </c>
      <c r="I1354" s="18">
        <v>3.3</v>
      </c>
      <c r="J1354" s="18">
        <v>2</v>
      </c>
      <c r="K1354" s="18" t="s">
        <v>44</v>
      </c>
      <c r="L1354" s="18">
        <v>3</v>
      </c>
      <c r="M1354" s="18" t="s">
        <v>45</v>
      </c>
      <c r="N1354" s="18">
        <v>1</v>
      </c>
      <c r="O1354" s="18">
        <v>1</v>
      </c>
      <c r="P1354" s="18">
        <v>14.1</v>
      </c>
      <c r="Q1354" s="18">
        <v>2</v>
      </c>
      <c r="R1354" s="18">
        <v>5</v>
      </c>
      <c r="S1354" s="18">
        <v>17</v>
      </c>
      <c r="T1354" s="18">
        <v>152.19</v>
      </c>
    </row>
    <row r="1355" spans="1:20" x14ac:dyDescent="0.3">
      <c r="A1355" s="18">
        <v>51354</v>
      </c>
      <c r="B1355" s="18">
        <v>0</v>
      </c>
      <c r="C1355" s="18">
        <v>1</v>
      </c>
      <c r="D1355" s="18" t="s">
        <v>36</v>
      </c>
      <c r="E1355" s="18">
        <v>1</v>
      </c>
      <c r="F1355" s="18">
        <v>10</v>
      </c>
      <c r="G1355" s="18" t="s">
        <v>37</v>
      </c>
      <c r="H1355" s="18" t="s">
        <v>33</v>
      </c>
      <c r="I1355" s="18">
        <v>2.6</v>
      </c>
      <c r="J1355" s="18">
        <v>3</v>
      </c>
      <c r="K1355" s="18" t="s">
        <v>40</v>
      </c>
      <c r="L1355" s="18">
        <v>3</v>
      </c>
      <c r="M1355" s="18" t="s">
        <v>41</v>
      </c>
      <c r="N1355" s="18">
        <v>1</v>
      </c>
      <c r="O1355" s="18">
        <v>0</v>
      </c>
      <c r="P1355" s="18">
        <v>15.7</v>
      </c>
      <c r="Q1355" s="18">
        <v>1</v>
      </c>
      <c r="R1355" s="18">
        <v>3</v>
      </c>
      <c r="S1355" s="18">
        <v>10</v>
      </c>
      <c r="T1355" s="18">
        <v>208.94</v>
      </c>
    </row>
    <row r="1356" spans="1:20" x14ac:dyDescent="0.3">
      <c r="A1356" s="18">
        <v>51355</v>
      </c>
      <c r="B1356" s="18">
        <v>0</v>
      </c>
      <c r="C1356" s="18">
        <v>12</v>
      </c>
      <c r="D1356" s="18" t="s">
        <v>36</v>
      </c>
      <c r="E1356" s="18">
        <v>3</v>
      </c>
      <c r="F1356" s="18">
        <v>5</v>
      </c>
      <c r="G1356" s="18" t="s">
        <v>37</v>
      </c>
      <c r="H1356" s="18" t="s">
        <v>38</v>
      </c>
      <c r="I1356" s="18">
        <v>2.5</v>
      </c>
      <c r="J1356" s="18">
        <v>3</v>
      </c>
      <c r="K1356" s="18" t="s">
        <v>44</v>
      </c>
      <c r="L1356" s="18">
        <v>5</v>
      </c>
      <c r="M1356" s="18" t="s">
        <v>41</v>
      </c>
      <c r="N1356" s="18">
        <v>1</v>
      </c>
      <c r="O1356" s="18">
        <v>0</v>
      </c>
      <c r="P1356" s="18">
        <v>11.6</v>
      </c>
      <c r="Q1356" s="18">
        <v>0</v>
      </c>
      <c r="R1356" s="18">
        <v>6</v>
      </c>
      <c r="S1356" s="18">
        <v>1</v>
      </c>
      <c r="T1356" s="18">
        <v>180.97</v>
      </c>
    </row>
    <row r="1357" spans="1:20" x14ac:dyDescent="0.3">
      <c r="A1357" s="18">
        <v>51356</v>
      </c>
      <c r="B1357" s="18">
        <v>0</v>
      </c>
      <c r="C1357" s="18">
        <v>17</v>
      </c>
      <c r="D1357" s="18" t="s">
        <v>36</v>
      </c>
      <c r="E1357" s="18">
        <v>1</v>
      </c>
      <c r="F1357" s="18"/>
      <c r="G1357" s="18" t="s">
        <v>39</v>
      </c>
      <c r="H1357" s="18" t="s">
        <v>38</v>
      </c>
      <c r="I1357" s="18">
        <v>3.3</v>
      </c>
      <c r="J1357" s="18">
        <v>3</v>
      </c>
      <c r="K1357" s="18" t="s">
        <v>36</v>
      </c>
      <c r="L1357" s="18">
        <v>1</v>
      </c>
      <c r="M1357" s="18" t="s">
        <v>45</v>
      </c>
      <c r="N1357" s="18">
        <v>1</v>
      </c>
      <c r="O1357" s="18">
        <v>0</v>
      </c>
      <c r="P1357" s="18">
        <v>17.3</v>
      </c>
      <c r="Q1357" s="18">
        <v>0</v>
      </c>
      <c r="R1357" s="18">
        <v>4</v>
      </c>
      <c r="S1357" s="18">
        <v>5</v>
      </c>
      <c r="T1357" s="18">
        <v>154.05000000000001</v>
      </c>
    </row>
    <row r="1358" spans="1:20" x14ac:dyDescent="0.3">
      <c r="A1358" s="18">
        <v>51357</v>
      </c>
      <c r="B1358" s="18">
        <v>1</v>
      </c>
      <c r="C1358" s="18">
        <v>1</v>
      </c>
      <c r="D1358" s="18" t="s">
        <v>42</v>
      </c>
      <c r="E1358" s="18">
        <v>1</v>
      </c>
      <c r="F1358" s="18">
        <v>13</v>
      </c>
      <c r="G1358" s="18" t="s">
        <v>43</v>
      </c>
      <c r="H1358" s="18" t="s">
        <v>38</v>
      </c>
      <c r="I1358" s="18">
        <v>3.4</v>
      </c>
      <c r="J1358" s="18">
        <v>2</v>
      </c>
      <c r="K1358" s="18" t="s">
        <v>40</v>
      </c>
      <c r="L1358" s="18">
        <v>4</v>
      </c>
      <c r="M1358" s="18" t="s">
        <v>35</v>
      </c>
      <c r="N1358" s="18">
        <v>1</v>
      </c>
      <c r="O1358" s="18">
        <v>1</v>
      </c>
      <c r="P1358" s="18">
        <v>11</v>
      </c>
      <c r="Q1358" s="18">
        <v>1</v>
      </c>
      <c r="R1358" s="18">
        <v>4</v>
      </c>
      <c r="S1358" s="18">
        <v>6</v>
      </c>
      <c r="T1358" s="18">
        <v>166.48</v>
      </c>
    </row>
    <row r="1359" spans="1:20" x14ac:dyDescent="0.3">
      <c r="A1359" s="18">
        <v>51358</v>
      </c>
      <c r="B1359" s="18">
        <v>0</v>
      </c>
      <c r="C1359" s="18">
        <v>2</v>
      </c>
      <c r="D1359" s="18" t="s">
        <v>36</v>
      </c>
      <c r="E1359" s="18">
        <v>1</v>
      </c>
      <c r="F1359" s="18">
        <v>5</v>
      </c>
      <c r="G1359" s="18" t="s">
        <v>39</v>
      </c>
      <c r="H1359" s="18" t="s">
        <v>33</v>
      </c>
      <c r="I1359" s="18">
        <v>2.6</v>
      </c>
      <c r="J1359" s="18">
        <v>3</v>
      </c>
      <c r="K1359" s="18" t="s">
        <v>34</v>
      </c>
      <c r="L1359" s="18">
        <v>5</v>
      </c>
      <c r="M1359" s="18" t="s">
        <v>45</v>
      </c>
      <c r="N1359" s="18">
        <v>2</v>
      </c>
      <c r="O1359" s="18">
        <v>0</v>
      </c>
      <c r="P1359" s="18">
        <v>15.9</v>
      </c>
      <c r="Q1359" s="18">
        <v>2</v>
      </c>
      <c r="R1359" s="18">
        <v>5</v>
      </c>
      <c r="S1359" s="18">
        <v>2</v>
      </c>
      <c r="T1359" s="18">
        <v>174.62</v>
      </c>
    </row>
    <row r="1360" spans="1:20" x14ac:dyDescent="0.3">
      <c r="A1360" s="18">
        <v>51359</v>
      </c>
      <c r="B1360" s="18">
        <v>0</v>
      </c>
      <c r="C1360" s="18">
        <v>1</v>
      </c>
      <c r="D1360" s="18" t="s">
        <v>42</v>
      </c>
      <c r="E1360" s="18">
        <v>1</v>
      </c>
      <c r="F1360" s="18">
        <v>18</v>
      </c>
      <c r="G1360" s="18" t="s">
        <v>47</v>
      </c>
      <c r="H1360" s="18" t="s">
        <v>38</v>
      </c>
      <c r="I1360" s="18">
        <v>1.8</v>
      </c>
      <c r="J1360" s="18">
        <v>2</v>
      </c>
      <c r="K1360" s="18" t="s">
        <v>36</v>
      </c>
      <c r="L1360" s="18">
        <v>4</v>
      </c>
      <c r="M1360" s="18" t="s">
        <v>41</v>
      </c>
      <c r="N1360" s="18">
        <v>1</v>
      </c>
      <c r="O1360" s="18">
        <v>0</v>
      </c>
      <c r="P1360" s="18">
        <v>13.9</v>
      </c>
      <c r="Q1360" s="18">
        <v>1</v>
      </c>
      <c r="R1360" s="18">
        <v>5</v>
      </c>
      <c r="S1360" s="18">
        <v>9</v>
      </c>
      <c r="T1360" s="18">
        <v>100.5</v>
      </c>
    </row>
    <row r="1361" spans="1:20" x14ac:dyDescent="0.3">
      <c r="A1361" s="18">
        <v>51360</v>
      </c>
      <c r="B1361" s="18">
        <v>0</v>
      </c>
      <c r="C1361" s="18">
        <v>4</v>
      </c>
      <c r="D1361" s="18" t="s">
        <v>36</v>
      </c>
      <c r="E1361" s="18">
        <v>2</v>
      </c>
      <c r="F1361" s="18">
        <v>20</v>
      </c>
      <c r="G1361" s="18" t="s">
        <v>37</v>
      </c>
      <c r="H1361" s="18" t="s">
        <v>33</v>
      </c>
      <c r="I1361" s="18">
        <v>2.8</v>
      </c>
      <c r="J1361" s="18">
        <v>4</v>
      </c>
      <c r="K1361" s="18" t="s">
        <v>40</v>
      </c>
      <c r="L1361" s="18">
        <v>5</v>
      </c>
      <c r="M1361" s="18" t="s">
        <v>35</v>
      </c>
      <c r="N1361" s="18">
        <v>5</v>
      </c>
      <c r="O1361" s="18">
        <v>0</v>
      </c>
      <c r="P1361" s="18">
        <v>19.600000000000001</v>
      </c>
      <c r="Q1361" s="18">
        <v>0</v>
      </c>
      <c r="R1361" s="18">
        <v>5</v>
      </c>
      <c r="S1361" s="18">
        <v>5</v>
      </c>
      <c r="T1361" s="18">
        <v>144.97999999999999</v>
      </c>
    </row>
    <row r="1362" spans="1:20" x14ac:dyDescent="0.3">
      <c r="A1362" s="18">
        <v>51361</v>
      </c>
      <c r="B1362" s="18">
        <v>0</v>
      </c>
      <c r="C1362" s="18">
        <v>5</v>
      </c>
      <c r="D1362" s="18" t="s">
        <v>36</v>
      </c>
      <c r="E1362" s="18">
        <v>2</v>
      </c>
      <c r="F1362" s="18">
        <v>16</v>
      </c>
      <c r="G1362" s="18" t="s">
        <v>37</v>
      </c>
      <c r="H1362" s="18" t="s">
        <v>33</v>
      </c>
      <c r="I1362" s="18">
        <v>3.3</v>
      </c>
      <c r="J1362" s="18">
        <v>3</v>
      </c>
      <c r="K1362" s="18" t="s">
        <v>36</v>
      </c>
      <c r="L1362" s="18">
        <v>4</v>
      </c>
      <c r="M1362" s="18" t="s">
        <v>41</v>
      </c>
      <c r="N1362" s="18">
        <v>1</v>
      </c>
      <c r="O1362" s="18">
        <v>1</v>
      </c>
      <c r="P1362" s="18">
        <v>22.1</v>
      </c>
      <c r="Q1362" s="18">
        <v>1</v>
      </c>
      <c r="R1362" s="18">
        <v>1</v>
      </c>
      <c r="S1362" s="18">
        <v>5</v>
      </c>
      <c r="T1362" s="18">
        <v>183.57</v>
      </c>
    </row>
    <row r="1363" spans="1:20" x14ac:dyDescent="0.3">
      <c r="A1363" s="18">
        <v>51362</v>
      </c>
      <c r="B1363" s="18">
        <v>0</v>
      </c>
      <c r="C1363" s="18">
        <v>13</v>
      </c>
      <c r="D1363" s="18" t="s">
        <v>36</v>
      </c>
      <c r="E1363" s="18">
        <v>3</v>
      </c>
      <c r="F1363" s="18">
        <v>12</v>
      </c>
      <c r="G1363" s="18" t="s">
        <v>47</v>
      </c>
      <c r="H1363" s="18" t="s">
        <v>33</v>
      </c>
      <c r="I1363" s="18">
        <v>4.2</v>
      </c>
      <c r="J1363" s="18">
        <v>1</v>
      </c>
      <c r="K1363" s="18" t="s">
        <v>34</v>
      </c>
      <c r="L1363" s="18">
        <v>1</v>
      </c>
      <c r="M1363" s="18" t="s">
        <v>35</v>
      </c>
      <c r="N1363" s="18">
        <v>6</v>
      </c>
      <c r="O1363" s="18">
        <v>0</v>
      </c>
      <c r="P1363" s="18">
        <v>14.8</v>
      </c>
      <c r="Q1363" s="18">
        <v>3</v>
      </c>
      <c r="R1363" s="18">
        <v>3</v>
      </c>
      <c r="S1363" s="18">
        <v>1</v>
      </c>
      <c r="T1363" s="18">
        <v>105.7</v>
      </c>
    </row>
    <row r="1364" spans="1:20" x14ac:dyDescent="0.3">
      <c r="A1364" s="18">
        <v>51363</v>
      </c>
      <c r="B1364" s="18">
        <v>0</v>
      </c>
      <c r="C1364" s="18">
        <v>10</v>
      </c>
      <c r="D1364" s="18" t="s">
        <v>42</v>
      </c>
      <c r="E1364" s="18">
        <v>2</v>
      </c>
      <c r="F1364" s="18">
        <v>19</v>
      </c>
      <c r="G1364" s="18" t="s">
        <v>39</v>
      </c>
      <c r="H1364" s="18" t="s">
        <v>33</v>
      </c>
      <c r="I1364" s="18">
        <v>2.1</v>
      </c>
      <c r="J1364" s="18">
        <v>2</v>
      </c>
      <c r="K1364" s="18" t="s">
        <v>36</v>
      </c>
      <c r="L1364" s="18">
        <v>4</v>
      </c>
      <c r="M1364" s="18" t="s">
        <v>41</v>
      </c>
      <c r="N1364" s="18">
        <v>10</v>
      </c>
      <c r="O1364" s="18">
        <v>0</v>
      </c>
      <c r="P1364" s="18">
        <v>20.9</v>
      </c>
      <c r="Q1364" s="18"/>
      <c r="R1364" s="18">
        <v>7</v>
      </c>
      <c r="S1364" s="18">
        <v>2</v>
      </c>
      <c r="T1364" s="18">
        <v>145.9</v>
      </c>
    </row>
    <row r="1365" spans="1:20" x14ac:dyDescent="0.3">
      <c r="A1365" s="18">
        <v>51364</v>
      </c>
      <c r="B1365" s="18">
        <v>0</v>
      </c>
      <c r="C1365" s="18">
        <v>9</v>
      </c>
      <c r="D1365" s="18" t="s">
        <v>36</v>
      </c>
      <c r="E1365" s="18">
        <v>2</v>
      </c>
      <c r="F1365" s="18">
        <v>20</v>
      </c>
      <c r="G1365" s="18" t="s">
        <v>37</v>
      </c>
      <c r="H1365" s="18" t="s">
        <v>38</v>
      </c>
      <c r="I1365" s="18">
        <v>2.6</v>
      </c>
      <c r="J1365" s="18">
        <v>4</v>
      </c>
      <c r="K1365" s="18" t="s">
        <v>44</v>
      </c>
      <c r="L1365" s="18">
        <v>3</v>
      </c>
      <c r="M1365" s="18" t="s">
        <v>41</v>
      </c>
      <c r="N1365" s="18">
        <v>4</v>
      </c>
      <c r="O1365" s="18">
        <v>1</v>
      </c>
      <c r="P1365" s="18">
        <v>14.9</v>
      </c>
      <c r="Q1365" s="18">
        <v>1</v>
      </c>
      <c r="R1365" s="18">
        <v>3</v>
      </c>
      <c r="S1365" s="18">
        <v>2</v>
      </c>
      <c r="T1365" s="18">
        <v>311.16000000000003</v>
      </c>
    </row>
    <row r="1366" spans="1:20" x14ac:dyDescent="0.3">
      <c r="A1366" s="18">
        <v>51365</v>
      </c>
      <c r="B1366" s="18">
        <v>0</v>
      </c>
      <c r="C1366" s="18">
        <v>4</v>
      </c>
      <c r="D1366" s="18" t="s">
        <v>42</v>
      </c>
      <c r="E1366" s="18">
        <v>1</v>
      </c>
      <c r="F1366" s="18">
        <v>17</v>
      </c>
      <c r="G1366" s="18" t="s">
        <v>32</v>
      </c>
      <c r="H1366" s="18" t="s">
        <v>33</v>
      </c>
      <c r="I1366" s="18">
        <v>2.6</v>
      </c>
      <c r="J1366" s="18">
        <v>3</v>
      </c>
      <c r="K1366" s="18" t="s">
        <v>46</v>
      </c>
      <c r="L1366" s="18">
        <v>3</v>
      </c>
      <c r="M1366" s="18" t="s">
        <v>41</v>
      </c>
      <c r="N1366" s="18">
        <v>4</v>
      </c>
      <c r="O1366" s="18">
        <v>0</v>
      </c>
      <c r="P1366" s="18"/>
      <c r="Q1366" s="18">
        <v>1</v>
      </c>
      <c r="R1366" s="18">
        <v>5</v>
      </c>
      <c r="S1366" s="18">
        <v>6</v>
      </c>
      <c r="T1366" s="18">
        <v>117.89</v>
      </c>
    </row>
    <row r="1367" spans="1:20" x14ac:dyDescent="0.3">
      <c r="A1367" s="18">
        <v>51366</v>
      </c>
      <c r="B1367" s="18">
        <v>0</v>
      </c>
      <c r="C1367" s="18">
        <v>18</v>
      </c>
      <c r="D1367" s="18" t="s">
        <v>42</v>
      </c>
      <c r="E1367" s="18">
        <v>1</v>
      </c>
      <c r="F1367" s="18">
        <v>8</v>
      </c>
      <c r="G1367" s="18" t="s">
        <v>32</v>
      </c>
      <c r="H1367" s="18" t="s">
        <v>33</v>
      </c>
      <c r="I1367" s="18">
        <v>3.8</v>
      </c>
      <c r="J1367" s="18">
        <v>3</v>
      </c>
      <c r="K1367" s="18" t="s">
        <v>44</v>
      </c>
      <c r="L1367" s="18">
        <v>3</v>
      </c>
      <c r="M1367" s="18" t="s">
        <v>35</v>
      </c>
      <c r="N1367" s="18">
        <v>9</v>
      </c>
      <c r="O1367" s="18">
        <v>0</v>
      </c>
      <c r="P1367" s="18">
        <v>22.1</v>
      </c>
      <c r="Q1367" s="18">
        <v>2</v>
      </c>
      <c r="R1367" s="18">
        <v>4</v>
      </c>
      <c r="S1367" s="18">
        <v>4</v>
      </c>
      <c r="T1367" s="18">
        <v>158.88999999999999</v>
      </c>
    </row>
    <row r="1368" spans="1:20" x14ac:dyDescent="0.3">
      <c r="A1368" s="18">
        <v>51367</v>
      </c>
      <c r="B1368" s="18">
        <v>0</v>
      </c>
      <c r="C1368" s="18">
        <v>6</v>
      </c>
      <c r="D1368" s="18" t="s">
        <v>42</v>
      </c>
      <c r="E1368" s="18">
        <v>2</v>
      </c>
      <c r="F1368" s="18">
        <v>17</v>
      </c>
      <c r="G1368" s="18" t="s">
        <v>39</v>
      </c>
      <c r="H1368" s="18" t="s">
        <v>33</v>
      </c>
      <c r="I1368" s="18">
        <v>2.9</v>
      </c>
      <c r="J1368" s="18">
        <v>3</v>
      </c>
      <c r="K1368" s="18" t="s">
        <v>44</v>
      </c>
      <c r="L1368" s="18">
        <v>3</v>
      </c>
      <c r="M1368" s="18" t="s">
        <v>41</v>
      </c>
      <c r="N1368" s="18">
        <v>1</v>
      </c>
      <c r="O1368" s="18">
        <v>0</v>
      </c>
      <c r="P1368" s="18">
        <v>17.8</v>
      </c>
      <c r="Q1368" s="18">
        <v>2</v>
      </c>
      <c r="R1368" s="18">
        <v>5</v>
      </c>
      <c r="S1368" s="18">
        <v>0</v>
      </c>
      <c r="T1368" s="18">
        <v>134.15</v>
      </c>
    </row>
    <row r="1369" spans="1:20" x14ac:dyDescent="0.3">
      <c r="A1369" s="18">
        <v>51368</v>
      </c>
      <c r="B1369" s="18">
        <v>0</v>
      </c>
      <c r="C1369" s="18">
        <v>38</v>
      </c>
      <c r="D1369" s="18" t="s">
        <v>36</v>
      </c>
      <c r="E1369" s="18">
        <v>1</v>
      </c>
      <c r="F1369" s="18">
        <v>24</v>
      </c>
      <c r="G1369" s="18" t="s">
        <v>32</v>
      </c>
      <c r="H1369" s="18" t="s">
        <v>33</v>
      </c>
      <c r="I1369" s="18">
        <v>2.2999999999999998</v>
      </c>
      <c r="J1369" s="18">
        <v>4</v>
      </c>
      <c r="K1369" s="18" t="s">
        <v>44</v>
      </c>
      <c r="L1369" s="18">
        <v>3</v>
      </c>
      <c r="M1369" s="18" t="s">
        <v>41</v>
      </c>
      <c r="N1369" s="18">
        <v>18</v>
      </c>
      <c r="O1369" s="18">
        <v>0</v>
      </c>
      <c r="P1369" s="18">
        <v>16</v>
      </c>
      <c r="Q1369" s="18">
        <v>1</v>
      </c>
      <c r="R1369" s="18">
        <v>4</v>
      </c>
      <c r="S1369" s="18">
        <v>1</v>
      </c>
      <c r="T1369" s="18">
        <v>173.57</v>
      </c>
    </row>
    <row r="1370" spans="1:20" x14ac:dyDescent="0.3">
      <c r="A1370" s="18">
        <v>51369</v>
      </c>
      <c r="B1370" s="18">
        <v>0</v>
      </c>
      <c r="C1370" s="18">
        <v>10</v>
      </c>
      <c r="D1370" s="18" t="s">
        <v>31</v>
      </c>
      <c r="E1370" s="18">
        <v>3</v>
      </c>
      <c r="F1370" s="18">
        <v>10</v>
      </c>
      <c r="G1370" s="18" t="s">
        <v>47</v>
      </c>
      <c r="H1370" s="18" t="s">
        <v>33</v>
      </c>
      <c r="I1370" s="18">
        <v>3.3</v>
      </c>
      <c r="J1370" s="18">
        <v>2</v>
      </c>
      <c r="K1370" s="18" t="s">
        <v>46</v>
      </c>
      <c r="L1370" s="18">
        <v>3</v>
      </c>
      <c r="M1370" s="18" t="s">
        <v>41</v>
      </c>
      <c r="N1370" s="18">
        <v>5</v>
      </c>
      <c r="O1370" s="18">
        <v>0</v>
      </c>
      <c r="P1370" s="18">
        <v>18.399999999999999</v>
      </c>
      <c r="Q1370" s="18">
        <v>1</v>
      </c>
      <c r="R1370" s="18">
        <v>3</v>
      </c>
      <c r="S1370" s="18">
        <v>3</v>
      </c>
      <c r="T1370" s="18">
        <v>135.18</v>
      </c>
    </row>
    <row r="1371" spans="1:20" x14ac:dyDescent="0.3">
      <c r="A1371" s="18">
        <v>51370</v>
      </c>
      <c r="B1371" s="18">
        <v>0</v>
      </c>
      <c r="C1371" s="18">
        <v>1</v>
      </c>
      <c r="D1371" s="18" t="s">
        <v>31</v>
      </c>
      <c r="E1371" s="18">
        <v>1</v>
      </c>
      <c r="F1371" s="18">
        <v>31</v>
      </c>
      <c r="G1371" s="18" t="s">
        <v>32</v>
      </c>
      <c r="H1371" s="18" t="s">
        <v>33</v>
      </c>
      <c r="I1371" s="18">
        <v>2.6</v>
      </c>
      <c r="J1371" s="18">
        <v>4</v>
      </c>
      <c r="K1371" s="18" t="s">
        <v>44</v>
      </c>
      <c r="L1371" s="18">
        <v>4</v>
      </c>
      <c r="M1371" s="18" t="s">
        <v>41</v>
      </c>
      <c r="N1371" s="18">
        <v>4</v>
      </c>
      <c r="O1371" s="18">
        <v>0</v>
      </c>
      <c r="P1371" s="18">
        <v>17</v>
      </c>
      <c r="Q1371" s="18">
        <v>1</v>
      </c>
      <c r="R1371" s="18">
        <v>3</v>
      </c>
      <c r="S1371" s="18">
        <v>6</v>
      </c>
      <c r="T1371" s="18">
        <v>166.62</v>
      </c>
    </row>
    <row r="1372" spans="1:20" x14ac:dyDescent="0.3">
      <c r="A1372" s="18">
        <v>51371</v>
      </c>
      <c r="B1372" s="18">
        <v>0</v>
      </c>
      <c r="C1372" s="18">
        <v>11</v>
      </c>
      <c r="D1372" s="18" t="s">
        <v>36</v>
      </c>
      <c r="E1372" s="18">
        <v>1</v>
      </c>
      <c r="F1372" s="18"/>
      <c r="G1372" s="18" t="s">
        <v>37</v>
      </c>
      <c r="H1372" s="18" t="s">
        <v>33</v>
      </c>
      <c r="I1372" s="18">
        <v>2</v>
      </c>
      <c r="J1372" s="18">
        <v>2</v>
      </c>
      <c r="K1372" s="18" t="s">
        <v>46</v>
      </c>
      <c r="L1372" s="18">
        <v>4</v>
      </c>
      <c r="M1372" s="18" t="s">
        <v>45</v>
      </c>
      <c r="N1372" s="18">
        <v>1</v>
      </c>
      <c r="O1372" s="18">
        <v>0</v>
      </c>
      <c r="P1372" s="18">
        <v>15.8</v>
      </c>
      <c r="Q1372" s="18">
        <v>0</v>
      </c>
      <c r="R1372" s="18">
        <v>2</v>
      </c>
      <c r="S1372" s="18">
        <v>6</v>
      </c>
      <c r="T1372" s="18">
        <v>140.47999999999999</v>
      </c>
    </row>
    <row r="1373" spans="1:20" x14ac:dyDescent="0.3">
      <c r="A1373" s="18">
        <v>51372</v>
      </c>
      <c r="B1373" s="18">
        <v>0</v>
      </c>
      <c r="C1373" s="18">
        <v>3</v>
      </c>
      <c r="D1373" s="18" t="s">
        <v>31</v>
      </c>
      <c r="E1373" s="18">
        <v>1</v>
      </c>
      <c r="F1373" s="18">
        <v>15</v>
      </c>
      <c r="G1373" s="18" t="s">
        <v>37</v>
      </c>
      <c r="H1373" s="18" t="s">
        <v>38</v>
      </c>
      <c r="I1373" s="18">
        <v>2.2999999999999998</v>
      </c>
      <c r="J1373" s="18">
        <v>3</v>
      </c>
      <c r="K1373" s="18" t="s">
        <v>36</v>
      </c>
      <c r="L1373" s="18">
        <v>3</v>
      </c>
      <c r="M1373" s="18" t="s">
        <v>41</v>
      </c>
      <c r="N1373" s="18">
        <v>2</v>
      </c>
      <c r="O1373" s="18">
        <v>1</v>
      </c>
      <c r="P1373" s="18">
        <v>11.4</v>
      </c>
      <c r="Q1373" s="18">
        <v>2</v>
      </c>
      <c r="R1373" s="18">
        <v>4</v>
      </c>
      <c r="S1373" s="18">
        <v>3</v>
      </c>
      <c r="T1373" s="18">
        <v>238.03</v>
      </c>
    </row>
    <row r="1374" spans="1:20" x14ac:dyDescent="0.3">
      <c r="A1374" s="18">
        <v>51373</v>
      </c>
      <c r="B1374" s="18">
        <v>0</v>
      </c>
      <c r="C1374" s="18">
        <v>11</v>
      </c>
      <c r="D1374" s="18" t="s">
        <v>36</v>
      </c>
      <c r="E1374" s="18">
        <v>1</v>
      </c>
      <c r="F1374" s="18">
        <v>9</v>
      </c>
      <c r="G1374" s="18" t="s">
        <v>43</v>
      </c>
      <c r="H1374" s="18" t="s">
        <v>38</v>
      </c>
      <c r="I1374" s="18">
        <v>4.0999999999999996</v>
      </c>
      <c r="J1374" s="18">
        <v>3</v>
      </c>
      <c r="K1374" s="18" t="s">
        <v>44</v>
      </c>
      <c r="L1374" s="18">
        <v>2</v>
      </c>
      <c r="M1374" s="18" t="s">
        <v>41</v>
      </c>
      <c r="N1374" s="18">
        <v>3</v>
      </c>
      <c r="O1374" s="18">
        <v>0</v>
      </c>
      <c r="P1374" s="18">
        <v>15.1</v>
      </c>
      <c r="Q1374" s="18">
        <v>0</v>
      </c>
      <c r="R1374" s="18">
        <v>2</v>
      </c>
      <c r="S1374" s="18">
        <v>0</v>
      </c>
      <c r="T1374" s="18">
        <v>184.49</v>
      </c>
    </row>
    <row r="1375" spans="1:20" x14ac:dyDescent="0.3">
      <c r="A1375" s="18">
        <v>51374</v>
      </c>
      <c r="B1375" s="18">
        <v>0</v>
      </c>
      <c r="C1375" s="18">
        <v>0</v>
      </c>
      <c r="D1375" s="18" t="s">
        <v>36</v>
      </c>
      <c r="E1375" s="18">
        <v>1</v>
      </c>
      <c r="F1375" s="18">
        <v>16</v>
      </c>
      <c r="G1375" s="18" t="s">
        <v>32</v>
      </c>
      <c r="H1375" s="18" t="s">
        <v>38</v>
      </c>
      <c r="I1375" s="18">
        <v>3.2</v>
      </c>
      <c r="J1375" s="18">
        <v>3</v>
      </c>
      <c r="K1375" s="18" t="s">
        <v>36</v>
      </c>
      <c r="L1375" s="18">
        <v>4</v>
      </c>
      <c r="M1375" s="18" t="s">
        <v>35</v>
      </c>
      <c r="N1375" s="18">
        <v>3</v>
      </c>
      <c r="O1375" s="18">
        <v>0</v>
      </c>
      <c r="P1375" s="18">
        <v>18.2</v>
      </c>
      <c r="Q1375" s="18">
        <v>2</v>
      </c>
      <c r="R1375" s="18">
        <v>7</v>
      </c>
      <c r="S1375" s="18">
        <v>1</v>
      </c>
      <c r="T1375" s="18">
        <v>124.84</v>
      </c>
    </row>
    <row r="1376" spans="1:20" x14ac:dyDescent="0.3">
      <c r="A1376" s="18">
        <v>51375</v>
      </c>
      <c r="B1376" s="18">
        <v>0</v>
      </c>
      <c r="C1376" s="18">
        <v>1</v>
      </c>
      <c r="D1376" s="18" t="s">
        <v>36</v>
      </c>
      <c r="E1376" s="18">
        <v>3</v>
      </c>
      <c r="F1376" s="18">
        <v>5</v>
      </c>
      <c r="G1376" s="18" t="s">
        <v>37</v>
      </c>
      <c r="H1376" s="18" t="s">
        <v>33</v>
      </c>
      <c r="I1376" s="18">
        <v>3</v>
      </c>
      <c r="J1376" s="18">
        <v>2</v>
      </c>
      <c r="K1376" s="18" t="s">
        <v>44</v>
      </c>
      <c r="L1376" s="18">
        <v>4</v>
      </c>
      <c r="M1376" s="18" t="s">
        <v>35</v>
      </c>
      <c r="N1376" s="18">
        <v>4</v>
      </c>
      <c r="O1376" s="18">
        <v>0</v>
      </c>
      <c r="P1376" s="18">
        <v>15.6</v>
      </c>
      <c r="Q1376" s="18">
        <v>1</v>
      </c>
      <c r="R1376" s="18">
        <v>2</v>
      </c>
      <c r="S1376" s="18">
        <v>1</v>
      </c>
      <c r="T1376" s="18">
        <v>226.24</v>
      </c>
    </row>
    <row r="1377" spans="1:20" x14ac:dyDescent="0.3">
      <c r="A1377" s="18">
        <v>51376</v>
      </c>
      <c r="B1377" s="18">
        <v>0</v>
      </c>
      <c r="C1377" s="18">
        <v>19</v>
      </c>
      <c r="D1377" s="18" t="s">
        <v>36</v>
      </c>
      <c r="E1377" s="18">
        <v>1</v>
      </c>
      <c r="F1377" s="18">
        <v>10</v>
      </c>
      <c r="G1377" s="18" t="s">
        <v>39</v>
      </c>
      <c r="H1377" s="18" t="s">
        <v>38</v>
      </c>
      <c r="I1377" s="18">
        <v>2.7</v>
      </c>
      <c r="J1377" s="18">
        <v>3</v>
      </c>
      <c r="K1377" s="18" t="s">
        <v>40</v>
      </c>
      <c r="L1377" s="18">
        <v>5</v>
      </c>
      <c r="M1377" s="18" t="s">
        <v>35</v>
      </c>
      <c r="N1377" s="18">
        <v>1</v>
      </c>
      <c r="O1377" s="18">
        <v>1</v>
      </c>
      <c r="P1377" s="18">
        <v>19.2</v>
      </c>
      <c r="Q1377" s="18">
        <v>2</v>
      </c>
      <c r="R1377" s="18">
        <v>1</v>
      </c>
      <c r="S1377" s="18">
        <v>7</v>
      </c>
      <c r="T1377" s="18">
        <v>127.3</v>
      </c>
    </row>
    <row r="1378" spans="1:20" x14ac:dyDescent="0.3">
      <c r="A1378" s="18">
        <v>51377</v>
      </c>
      <c r="B1378" s="18">
        <v>0</v>
      </c>
      <c r="C1378" s="18">
        <v>2</v>
      </c>
      <c r="D1378" s="18" t="s">
        <v>36</v>
      </c>
      <c r="E1378" s="18">
        <v>2</v>
      </c>
      <c r="F1378" s="18">
        <v>6</v>
      </c>
      <c r="G1378" s="18" t="s">
        <v>37</v>
      </c>
      <c r="H1378" s="18" t="s">
        <v>38</v>
      </c>
      <c r="I1378" s="18">
        <v>3.1</v>
      </c>
      <c r="J1378" s="18">
        <v>5</v>
      </c>
      <c r="K1378" s="18" t="s">
        <v>40</v>
      </c>
      <c r="L1378" s="18">
        <v>1</v>
      </c>
      <c r="M1378" s="18" t="s">
        <v>35</v>
      </c>
      <c r="N1378" s="18">
        <v>1</v>
      </c>
      <c r="O1378" s="18">
        <v>0</v>
      </c>
      <c r="P1378" s="18">
        <v>17.3</v>
      </c>
      <c r="Q1378" s="18">
        <v>1</v>
      </c>
      <c r="R1378" s="18">
        <v>5</v>
      </c>
      <c r="S1378" s="18">
        <v>0</v>
      </c>
      <c r="T1378" s="18">
        <v>93.98</v>
      </c>
    </row>
    <row r="1379" spans="1:20" x14ac:dyDescent="0.3">
      <c r="A1379" s="18">
        <v>51378</v>
      </c>
      <c r="B1379" s="18">
        <v>0</v>
      </c>
      <c r="C1379" s="18">
        <v>18</v>
      </c>
      <c r="D1379" s="18" t="s">
        <v>36</v>
      </c>
      <c r="E1379" s="18">
        <v>1</v>
      </c>
      <c r="F1379" s="18">
        <v>16</v>
      </c>
      <c r="G1379" s="18" t="s">
        <v>37</v>
      </c>
      <c r="H1379" s="18" t="s">
        <v>38</v>
      </c>
      <c r="I1379" s="18">
        <v>3.1</v>
      </c>
      <c r="J1379" s="18">
        <v>2</v>
      </c>
      <c r="K1379" s="18" t="s">
        <v>36</v>
      </c>
      <c r="L1379" s="18">
        <v>5</v>
      </c>
      <c r="M1379" s="18" t="s">
        <v>45</v>
      </c>
      <c r="N1379" s="18">
        <v>1</v>
      </c>
      <c r="O1379" s="18">
        <v>0</v>
      </c>
      <c r="P1379" s="18">
        <v>12.9</v>
      </c>
      <c r="Q1379" s="18">
        <v>1</v>
      </c>
      <c r="R1379" s="18">
        <v>2</v>
      </c>
      <c r="S1379" s="18">
        <v>3</v>
      </c>
      <c r="T1379" s="18">
        <v>179.83</v>
      </c>
    </row>
    <row r="1380" spans="1:20" x14ac:dyDescent="0.3">
      <c r="A1380" s="18">
        <v>51379</v>
      </c>
      <c r="B1380" s="18">
        <v>0</v>
      </c>
      <c r="C1380" s="18">
        <v>3</v>
      </c>
      <c r="D1380" s="18" t="s">
        <v>31</v>
      </c>
      <c r="E1380" s="18">
        <v>1</v>
      </c>
      <c r="F1380" s="18">
        <v>22</v>
      </c>
      <c r="G1380" s="18" t="s">
        <v>39</v>
      </c>
      <c r="H1380" s="18" t="s">
        <v>38</v>
      </c>
      <c r="I1380" s="18">
        <v>3.1</v>
      </c>
      <c r="J1380" s="18">
        <v>5</v>
      </c>
      <c r="K1380" s="18" t="s">
        <v>44</v>
      </c>
      <c r="L1380" s="18">
        <v>3</v>
      </c>
      <c r="M1380" s="18" t="s">
        <v>41</v>
      </c>
      <c r="N1380" s="18">
        <v>1</v>
      </c>
      <c r="O1380" s="18">
        <v>0</v>
      </c>
      <c r="P1380" s="18">
        <v>11.4</v>
      </c>
      <c r="Q1380" s="18">
        <v>1</v>
      </c>
      <c r="R1380" s="18">
        <v>5</v>
      </c>
      <c r="S1380" s="18">
        <v>5</v>
      </c>
      <c r="T1380" s="18">
        <v>284.89999999999998</v>
      </c>
    </row>
    <row r="1381" spans="1:20" x14ac:dyDescent="0.3">
      <c r="A1381" s="18">
        <v>51380</v>
      </c>
      <c r="B1381" s="18">
        <v>0</v>
      </c>
      <c r="C1381" s="18">
        <v>10</v>
      </c>
      <c r="D1381" s="18" t="s">
        <v>36</v>
      </c>
      <c r="E1381" s="18">
        <v>1</v>
      </c>
      <c r="F1381" s="18">
        <v>20</v>
      </c>
      <c r="G1381" s="18" t="s">
        <v>39</v>
      </c>
      <c r="H1381" s="18" t="s">
        <v>33</v>
      </c>
      <c r="I1381" s="18">
        <v>3</v>
      </c>
      <c r="J1381" s="18">
        <v>3</v>
      </c>
      <c r="K1381" s="18" t="s">
        <v>40</v>
      </c>
      <c r="L1381" s="18">
        <v>4</v>
      </c>
      <c r="M1381" s="18" t="s">
        <v>45</v>
      </c>
      <c r="N1381" s="18">
        <v>1</v>
      </c>
      <c r="O1381" s="18">
        <v>0</v>
      </c>
      <c r="P1381" s="18">
        <v>15.4</v>
      </c>
      <c r="Q1381" s="18">
        <v>1</v>
      </c>
      <c r="R1381" s="18">
        <v>2</v>
      </c>
      <c r="S1381" s="18"/>
      <c r="T1381" s="18">
        <v>79.48</v>
      </c>
    </row>
    <row r="1382" spans="1:20" x14ac:dyDescent="0.3">
      <c r="A1382" s="18">
        <v>51381</v>
      </c>
      <c r="B1382" s="18">
        <v>0</v>
      </c>
      <c r="C1382" s="18">
        <v>11</v>
      </c>
      <c r="D1382" s="18" t="s">
        <v>36</v>
      </c>
      <c r="E1382" s="18">
        <v>3</v>
      </c>
      <c r="F1382" s="18">
        <v>5</v>
      </c>
      <c r="G1382" s="18" t="s">
        <v>32</v>
      </c>
      <c r="H1382" s="18" t="s">
        <v>38</v>
      </c>
      <c r="I1382" s="18">
        <v>3.5</v>
      </c>
      <c r="J1382" s="18">
        <v>3</v>
      </c>
      <c r="K1382" s="18" t="s">
        <v>46</v>
      </c>
      <c r="L1382" s="18">
        <v>1</v>
      </c>
      <c r="M1382" s="18" t="s">
        <v>35</v>
      </c>
      <c r="N1382" s="18">
        <v>1</v>
      </c>
      <c r="O1382" s="18">
        <v>0</v>
      </c>
      <c r="P1382" s="18">
        <v>14.2</v>
      </c>
      <c r="Q1382" s="18">
        <v>1</v>
      </c>
      <c r="R1382" s="18">
        <v>4</v>
      </c>
      <c r="S1382" s="18">
        <v>35</v>
      </c>
      <c r="T1382" s="18">
        <v>106.8</v>
      </c>
    </row>
    <row r="1383" spans="1:20" x14ac:dyDescent="0.3">
      <c r="A1383" s="18">
        <v>51382</v>
      </c>
      <c r="B1383" s="18">
        <v>0</v>
      </c>
      <c r="C1383" s="18">
        <v>7</v>
      </c>
      <c r="D1383" s="18" t="s">
        <v>36</v>
      </c>
      <c r="E1383" s="18">
        <v>1</v>
      </c>
      <c r="F1383" s="18">
        <v>31</v>
      </c>
      <c r="G1383" s="18" t="s">
        <v>39</v>
      </c>
      <c r="H1383" s="18" t="s">
        <v>33</v>
      </c>
      <c r="I1383" s="18">
        <v>2.9</v>
      </c>
      <c r="J1383" s="18">
        <v>2</v>
      </c>
      <c r="K1383" s="18" t="s">
        <v>40</v>
      </c>
      <c r="L1383" s="18">
        <v>3</v>
      </c>
      <c r="M1383" s="18" t="s">
        <v>35</v>
      </c>
      <c r="N1383" s="18">
        <v>1</v>
      </c>
      <c r="O1383" s="18">
        <v>1</v>
      </c>
      <c r="P1383" s="18">
        <v>17.2</v>
      </c>
      <c r="Q1383" s="18">
        <v>3</v>
      </c>
      <c r="R1383" s="18">
        <v>4</v>
      </c>
      <c r="S1383" s="18">
        <v>15</v>
      </c>
      <c r="T1383" s="18">
        <v>221.39</v>
      </c>
    </row>
    <row r="1384" spans="1:20" x14ac:dyDescent="0.3">
      <c r="A1384" s="18">
        <v>51383</v>
      </c>
      <c r="B1384" s="18">
        <v>0</v>
      </c>
      <c r="C1384" s="18">
        <v>3</v>
      </c>
      <c r="D1384" s="18" t="s">
        <v>31</v>
      </c>
      <c r="E1384" s="18">
        <v>3</v>
      </c>
      <c r="F1384" s="18">
        <v>17</v>
      </c>
      <c r="G1384" s="18" t="s">
        <v>47</v>
      </c>
      <c r="H1384" s="18" t="s">
        <v>33</v>
      </c>
      <c r="I1384" s="18"/>
      <c r="J1384" s="18">
        <v>2</v>
      </c>
      <c r="K1384" s="18" t="s">
        <v>46</v>
      </c>
      <c r="L1384" s="18">
        <v>2</v>
      </c>
      <c r="M1384" s="18" t="s">
        <v>35</v>
      </c>
      <c r="N1384" s="18">
        <v>2</v>
      </c>
      <c r="O1384" s="18">
        <v>0</v>
      </c>
      <c r="P1384" s="18">
        <v>13.5</v>
      </c>
      <c r="Q1384" s="18">
        <v>0</v>
      </c>
      <c r="R1384" s="18">
        <v>3</v>
      </c>
      <c r="S1384" s="18">
        <v>6</v>
      </c>
      <c r="T1384" s="18">
        <v>144.66999999999999</v>
      </c>
    </row>
    <row r="1385" spans="1:20" x14ac:dyDescent="0.3">
      <c r="A1385" s="18">
        <v>51384</v>
      </c>
      <c r="B1385" s="18">
        <v>1</v>
      </c>
      <c r="C1385" s="18">
        <v>2</v>
      </c>
      <c r="D1385" s="18" t="s">
        <v>31</v>
      </c>
      <c r="E1385" s="18">
        <v>1</v>
      </c>
      <c r="F1385" s="18">
        <v>8</v>
      </c>
      <c r="G1385" s="18" t="s">
        <v>39</v>
      </c>
      <c r="H1385" s="18" t="s">
        <v>33</v>
      </c>
      <c r="I1385" s="18">
        <v>2.5</v>
      </c>
      <c r="J1385" s="18">
        <v>3</v>
      </c>
      <c r="K1385" s="18" t="s">
        <v>44</v>
      </c>
      <c r="L1385" s="18">
        <v>3</v>
      </c>
      <c r="M1385" s="18" t="s">
        <v>35</v>
      </c>
      <c r="N1385" s="18">
        <v>1</v>
      </c>
      <c r="O1385" s="18">
        <v>1</v>
      </c>
      <c r="P1385" s="18">
        <v>13.8</v>
      </c>
      <c r="Q1385" s="18">
        <v>1</v>
      </c>
      <c r="R1385" s="18">
        <v>5</v>
      </c>
      <c r="S1385" s="18">
        <v>6</v>
      </c>
      <c r="T1385" s="18">
        <v>213.66</v>
      </c>
    </row>
    <row r="1386" spans="1:20" x14ac:dyDescent="0.3">
      <c r="A1386" s="18">
        <v>51385</v>
      </c>
      <c r="B1386" s="18">
        <v>0</v>
      </c>
      <c r="C1386" s="18">
        <v>0</v>
      </c>
      <c r="D1386" s="18" t="s">
        <v>31</v>
      </c>
      <c r="E1386" s="18">
        <v>3</v>
      </c>
      <c r="F1386" s="18">
        <v>16</v>
      </c>
      <c r="G1386" s="18" t="s">
        <v>39</v>
      </c>
      <c r="H1386" s="18" t="s">
        <v>33</v>
      </c>
      <c r="I1386" s="18">
        <v>1.5</v>
      </c>
      <c r="J1386" s="18">
        <v>2</v>
      </c>
      <c r="K1386" s="18" t="s">
        <v>46</v>
      </c>
      <c r="L1386" s="18">
        <v>3</v>
      </c>
      <c r="M1386" s="18" t="s">
        <v>41</v>
      </c>
      <c r="N1386" s="18">
        <v>10</v>
      </c>
      <c r="O1386" s="18">
        <v>0</v>
      </c>
      <c r="P1386" s="18">
        <v>19.7</v>
      </c>
      <c r="Q1386" s="18">
        <v>2</v>
      </c>
      <c r="R1386" s="18">
        <v>6</v>
      </c>
      <c r="S1386" s="18">
        <v>7</v>
      </c>
      <c r="T1386" s="18">
        <v>133.94</v>
      </c>
    </row>
    <row r="1387" spans="1:20" x14ac:dyDescent="0.3">
      <c r="A1387" s="18">
        <v>51386</v>
      </c>
      <c r="B1387" s="18">
        <v>0</v>
      </c>
      <c r="C1387" s="18">
        <v>3</v>
      </c>
      <c r="D1387" s="18" t="s">
        <v>31</v>
      </c>
      <c r="E1387" s="18">
        <v>1</v>
      </c>
      <c r="F1387" s="18">
        <v>16</v>
      </c>
      <c r="G1387" s="18" t="s">
        <v>39</v>
      </c>
      <c r="H1387" s="18" t="s">
        <v>38</v>
      </c>
      <c r="I1387" s="18">
        <v>4.3</v>
      </c>
      <c r="J1387" s="18">
        <v>3</v>
      </c>
      <c r="K1387" s="18" t="s">
        <v>36</v>
      </c>
      <c r="L1387" s="18">
        <v>4</v>
      </c>
      <c r="M1387" s="18" t="s">
        <v>41</v>
      </c>
      <c r="N1387" s="18">
        <v>5</v>
      </c>
      <c r="O1387" s="18">
        <v>1</v>
      </c>
      <c r="P1387" s="18">
        <v>16.5</v>
      </c>
      <c r="Q1387" s="18">
        <v>4</v>
      </c>
      <c r="R1387" s="18">
        <v>2</v>
      </c>
      <c r="S1387" s="18">
        <v>9</v>
      </c>
      <c r="T1387" s="18">
        <v>187.81</v>
      </c>
    </row>
    <row r="1388" spans="1:20" x14ac:dyDescent="0.3">
      <c r="A1388" s="18">
        <v>51387</v>
      </c>
      <c r="B1388" s="18">
        <v>0</v>
      </c>
      <c r="C1388" s="18">
        <v>10</v>
      </c>
      <c r="D1388" s="18" t="s">
        <v>36</v>
      </c>
      <c r="E1388" s="18">
        <v>2</v>
      </c>
      <c r="F1388" s="18">
        <v>9</v>
      </c>
      <c r="G1388" s="18" t="s">
        <v>39</v>
      </c>
      <c r="H1388" s="18" t="s">
        <v>33</v>
      </c>
      <c r="I1388" s="18">
        <v>3.5</v>
      </c>
      <c r="J1388" s="18">
        <v>3</v>
      </c>
      <c r="K1388" s="18" t="s">
        <v>44</v>
      </c>
      <c r="L1388" s="18">
        <v>4</v>
      </c>
      <c r="M1388" s="18" t="s">
        <v>45</v>
      </c>
      <c r="N1388" s="18">
        <v>4</v>
      </c>
      <c r="O1388" s="18">
        <v>0</v>
      </c>
      <c r="P1388" s="18">
        <v>13.5</v>
      </c>
      <c r="Q1388" s="18">
        <v>4</v>
      </c>
      <c r="R1388" s="18">
        <v>4</v>
      </c>
      <c r="S1388" s="18">
        <v>15</v>
      </c>
      <c r="T1388" s="18">
        <v>275.95</v>
      </c>
    </row>
    <row r="1389" spans="1:20" x14ac:dyDescent="0.3">
      <c r="A1389" s="18">
        <v>51388</v>
      </c>
      <c r="B1389" s="18">
        <v>0</v>
      </c>
      <c r="C1389" s="18">
        <v>27</v>
      </c>
      <c r="D1389" s="18" t="s">
        <v>31</v>
      </c>
      <c r="E1389" s="18">
        <v>2</v>
      </c>
      <c r="F1389" s="18">
        <v>16</v>
      </c>
      <c r="G1389" s="18" t="s">
        <v>32</v>
      </c>
      <c r="H1389" s="18" t="s">
        <v>33</v>
      </c>
      <c r="I1389" s="18"/>
      <c r="J1389" s="18">
        <v>5</v>
      </c>
      <c r="K1389" s="18" t="s">
        <v>46</v>
      </c>
      <c r="L1389" s="18">
        <v>4</v>
      </c>
      <c r="M1389" s="18" t="s">
        <v>35</v>
      </c>
      <c r="N1389" s="18">
        <v>1</v>
      </c>
      <c r="O1389" s="18">
        <v>0</v>
      </c>
      <c r="P1389" s="18">
        <v>16.100000000000001</v>
      </c>
      <c r="Q1389" s="18">
        <v>0</v>
      </c>
      <c r="R1389" s="18">
        <v>7</v>
      </c>
      <c r="S1389" s="18">
        <v>2</v>
      </c>
      <c r="T1389" s="18">
        <v>114.3</v>
      </c>
    </row>
    <row r="1390" spans="1:20" x14ac:dyDescent="0.3">
      <c r="A1390" s="18">
        <v>51389</v>
      </c>
      <c r="B1390" s="18">
        <v>0</v>
      </c>
      <c r="C1390" s="18">
        <v>20</v>
      </c>
      <c r="D1390" s="18" t="s">
        <v>36</v>
      </c>
      <c r="E1390" s="18">
        <v>3</v>
      </c>
      <c r="F1390" s="18">
        <v>10</v>
      </c>
      <c r="G1390" s="18" t="s">
        <v>32</v>
      </c>
      <c r="H1390" s="18" t="s">
        <v>38</v>
      </c>
      <c r="I1390" s="18">
        <v>2.7</v>
      </c>
      <c r="J1390" s="18">
        <v>2</v>
      </c>
      <c r="K1390" s="18" t="s">
        <v>34</v>
      </c>
      <c r="L1390" s="18">
        <v>3</v>
      </c>
      <c r="M1390" s="18" t="s">
        <v>41</v>
      </c>
      <c r="N1390" s="18">
        <v>3</v>
      </c>
      <c r="O1390" s="18">
        <v>0</v>
      </c>
      <c r="P1390" s="18">
        <v>20.8</v>
      </c>
      <c r="Q1390" s="18">
        <v>8</v>
      </c>
      <c r="R1390" s="18">
        <v>2</v>
      </c>
      <c r="S1390" s="18">
        <v>2</v>
      </c>
      <c r="T1390" s="18">
        <v>236.31</v>
      </c>
    </row>
    <row r="1391" spans="1:20" x14ac:dyDescent="0.3">
      <c r="A1391" s="18">
        <v>51390</v>
      </c>
      <c r="B1391" s="18">
        <v>0</v>
      </c>
      <c r="C1391" s="18">
        <v>14</v>
      </c>
      <c r="D1391" s="18" t="s">
        <v>36</v>
      </c>
      <c r="E1391" s="18">
        <v>1</v>
      </c>
      <c r="F1391" s="18">
        <v>11</v>
      </c>
      <c r="G1391" s="18" t="s">
        <v>39</v>
      </c>
      <c r="H1391" s="18" t="s">
        <v>33</v>
      </c>
      <c r="I1391" s="18">
        <v>2.5</v>
      </c>
      <c r="J1391" s="18">
        <v>3</v>
      </c>
      <c r="K1391" s="18" t="s">
        <v>40</v>
      </c>
      <c r="L1391" s="18">
        <v>3</v>
      </c>
      <c r="M1391" s="18" t="s">
        <v>35</v>
      </c>
      <c r="N1391" s="18">
        <v>2</v>
      </c>
      <c r="O1391" s="18">
        <v>0</v>
      </c>
      <c r="P1391" s="18">
        <v>17</v>
      </c>
      <c r="Q1391" s="18">
        <v>1</v>
      </c>
      <c r="R1391" s="18">
        <v>4</v>
      </c>
      <c r="S1391" s="18">
        <v>3</v>
      </c>
      <c r="T1391" s="18">
        <v>217.38</v>
      </c>
    </row>
    <row r="1392" spans="1:20" x14ac:dyDescent="0.3">
      <c r="A1392" s="18">
        <v>51391</v>
      </c>
      <c r="B1392" s="18">
        <v>0</v>
      </c>
      <c r="C1392" s="18">
        <v>15</v>
      </c>
      <c r="D1392" s="18" t="s">
        <v>31</v>
      </c>
      <c r="E1392" s="18">
        <v>1</v>
      </c>
      <c r="F1392" s="18">
        <v>9</v>
      </c>
      <c r="G1392" s="18" t="s">
        <v>37</v>
      </c>
      <c r="H1392" s="18" t="s">
        <v>33</v>
      </c>
      <c r="I1392" s="18">
        <v>4</v>
      </c>
      <c r="J1392" s="18">
        <v>3</v>
      </c>
      <c r="K1392" s="18" t="s">
        <v>44</v>
      </c>
      <c r="L1392" s="18">
        <v>5</v>
      </c>
      <c r="M1392" s="18" t="s">
        <v>35</v>
      </c>
      <c r="N1392" s="18">
        <v>14</v>
      </c>
      <c r="O1392" s="18">
        <v>1</v>
      </c>
      <c r="P1392" s="18">
        <v>18.100000000000001</v>
      </c>
      <c r="Q1392" s="18">
        <v>0</v>
      </c>
      <c r="R1392" s="18">
        <v>2</v>
      </c>
      <c r="S1392" s="18">
        <v>5</v>
      </c>
      <c r="T1392" s="18">
        <v>98.09</v>
      </c>
    </row>
    <row r="1393" spans="1:20" x14ac:dyDescent="0.3">
      <c r="A1393" s="18">
        <v>51392</v>
      </c>
      <c r="B1393" s="18">
        <v>0</v>
      </c>
      <c r="C1393" s="18">
        <v>10</v>
      </c>
      <c r="D1393" s="18" t="s">
        <v>36</v>
      </c>
      <c r="E1393" s="18">
        <v>1</v>
      </c>
      <c r="F1393" s="18">
        <v>5</v>
      </c>
      <c r="G1393" s="18" t="s">
        <v>37</v>
      </c>
      <c r="H1393" s="18" t="s">
        <v>38</v>
      </c>
      <c r="I1393" s="18">
        <v>1.9</v>
      </c>
      <c r="J1393" s="18">
        <v>2</v>
      </c>
      <c r="K1393" s="18" t="s">
        <v>44</v>
      </c>
      <c r="L1393" s="18">
        <v>4</v>
      </c>
      <c r="M1393" s="18" t="s">
        <v>41</v>
      </c>
      <c r="N1393" s="18">
        <v>4</v>
      </c>
      <c r="O1393" s="18">
        <v>0</v>
      </c>
      <c r="P1393" s="18">
        <v>13.4</v>
      </c>
      <c r="Q1393" s="18">
        <v>0</v>
      </c>
      <c r="R1393" s="18">
        <v>4</v>
      </c>
      <c r="S1393" s="18">
        <v>7</v>
      </c>
      <c r="T1393" s="18">
        <v>210.74</v>
      </c>
    </row>
    <row r="1394" spans="1:20" x14ac:dyDescent="0.3">
      <c r="A1394" s="18">
        <v>51393</v>
      </c>
      <c r="B1394" s="18">
        <v>1</v>
      </c>
      <c r="C1394" s="18">
        <v>3</v>
      </c>
      <c r="D1394" s="18" t="s">
        <v>31</v>
      </c>
      <c r="E1394" s="18">
        <v>3</v>
      </c>
      <c r="F1394" s="18">
        <v>16</v>
      </c>
      <c r="G1394" s="18" t="s">
        <v>32</v>
      </c>
      <c r="H1394" s="18" t="s">
        <v>38</v>
      </c>
      <c r="I1394" s="18">
        <v>3</v>
      </c>
      <c r="J1394" s="18">
        <v>4</v>
      </c>
      <c r="K1394" s="18" t="s">
        <v>36</v>
      </c>
      <c r="L1394" s="18">
        <v>3</v>
      </c>
      <c r="M1394" s="18" t="s">
        <v>35</v>
      </c>
      <c r="N1394" s="18">
        <v>3</v>
      </c>
      <c r="O1394" s="18">
        <v>0</v>
      </c>
      <c r="P1394" s="18"/>
      <c r="Q1394" s="18">
        <v>0</v>
      </c>
      <c r="R1394" s="18">
        <v>5</v>
      </c>
      <c r="S1394" s="18">
        <v>10</v>
      </c>
      <c r="T1394" s="18">
        <v>184</v>
      </c>
    </row>
    <row r="1395" spans="1:20" x14ac:dyDescent="0.3">
      <c r="A1395" s="18">
        <v>51394</v>
      </c>
      <c r="B1395" s="18">
        <v>0</v>
      </c>
      <c r="C1395" s="18">
        <v>23</v>
      </c>
      <c r="D1395" s="18" t="s">
        <v>31</v>
      </c>
      <c r="E1395" s="18">
        <v>2</v>
      </c>
      <c r="F1395" s="18">
        <v>19</v>
      </c>
      <c r="G1395" s="18" t="s">
        <v>32</v>
      </c>
      <c r="H1395" s="18" t="s">
        <v>33</v>
      </c>
      <c r="I1395" s="18">
        <v>2.8</v>
      </c>
      <c r="J1395" s="18">
        <v>3</v>
      </c>
      <c r="K1395" s="18" t="s">
        <v>46</v>
      </c>
      <c r="L1395" s="18">
        <v>2</v>
      </c>
      <c r="M1395" s="18" t="s">
        <v>35</v>
      </c>
      <c r="N1395" s="18">
        <v>6</v>
      </c>
      <c r="O1395" s="18">
        <v>0</v>
      </c>
      <c r="P1395" s="18">
        <v>24.1</v>
      </c>
      <c r="Q1395" s="18">
        <v>0</v>
      </c>
      <c r="R1395" s="18">
        <v>5</v>
      </c>
      <c r="S1395" s="18">
        <v>3</v>
      </c>
      <c r="T1395" s="18">
        <v>185.01</v>
      </c>
    </row>
    <row r="1396" spans="1:20" x14ac:dyDescent="0.3">
      <c r="A1396" s="18">
        <v>51395</v>
      </c>
      <c r="B1396" s="18">
        <v>0</v>
      </c>
      <c r="C1396" s="18">
        <v>11</v>
      </c>
      <c r="D1396" s="18" t="s">
        <v>36</v>
      </c>
      <c r="E1396" s="18">
        <v>3</v>
      </c>
      <c r="F1396" s="18">
        <v>19</v>
      </c>
      <c r="G1396" s="18" t="s">
        <v>37</v>
      </c>
      <c r="H1396" s="18" t="s">
        <v>38</v>
      </c>
      <c r="I1396" s="18">
        <v>3.5</v>
      </c>
      <c r="J1396" s="18">
        <v>1</v>
      </c>
      <c r="K1396" s="18" t="s">
        <v>44</v>
      </c>
      <c r="L1396" s="18">
        <v>4</v>
      </c>
      <c r="M1396" s="18" t="s">
        <v>41</v>
      </c>
      <c r="N1396" s="18">
        <v>1</v>
      </c>
      <c r="O1396" s="18">
        <v>1</v>
      </c>
      <c r="P1396" s="18">
        <v>13.2</v>
      </c>
      <c r="Q1396" s="18">
        <v>3</v>
      </c>
      <c r="R1396" s="18">
        <v>4</v>
      </c>
      <c r="S1396" s="18">
        <v>2</v>
      </c>
      <c r="T1396" s="18">
        <v>198.51</v>
      </c>
    </row>
    <row r="1397" spans="1:20" x14ac:dyDescent="0.3">
      <c r="A1397" s="18">
        <v>51396</v>
      </c>
      <c r="B1397" s="18">
        <v>0</v>
      </c>
      <c r="C1397" s="18">
        <v>8</v>
      </c>
      <c r="D1397" s="18" t="s">
        <v>36</v>
      </c>
      <c r="E1397" s="18">
        <v>1</v>
      </c>
      <c r="F1397" s="18">
        <v>21</v>
      </c>
      <c r="G1397" s="18" t="s">
        <v>47</v>
      </c>
      <c r="H1397" s="18" t="s">
        <v>33</v>
      </c>
      <c r="I1397" s="18">
        <v>2.8</v>
      </c>
      <c r="J1397" s="18">
        <v>4</v>
      </c>
      <c r="K1397" s="18" t="s">
        <v>46</v>
      </c>
      <c r="L1397" s="18">
        <v>3</v>
      </c>
      <c r="M1397" s="18" t="s">
        <v>45</v>
      </c>
      <c r="N1397" s="18">
        <v>1</v>
      </c>
      <c r="O1397" s="18">
        <v>0</v>
      </c>
      <c r="P1397" s="18"/>
      <c r="Q1397" s="18"/>
      <c r="R1397" s="18">
        <v>4</v>
      </c>
      <c r="S1397" s="18">
        <v>20</v>
      </c>
      <c r="T1397" s="18">
        <v>160.72999999999999</v>
      </c>
    </row>
    <row r="1398" spans="1:20" x14ac:dyDescent="0.3">
      <c r="A1398" s="18">
        <v>51397</v>
      </c>
      <c r="B1398" s="18">
        <v>0</v>
      </c>
      <c r="C1398" s="18">
        <v>1</v>
      </c>
      <c r="D1398" s="18" t="s">
        <v>36</v>
      </c>
      <c r="E1398" s="18">
        <v>1</v>
      </c>
      <c r="F1398" s="18"/>
      <c r="G1398" s="18" t="s">
        <v>32</v>
      </c>
      <c r="H1398" s="18" t="s">
        <v>33</v>
      </c>
      <c r="I1398" s="18">
        <v>1.7</v>
      </c>
      <c r="J1398" s="18">
        <v>2</v>
      </c>
      <c r="K1398" s="18" t="s">
        <v>44</v>
      </c>
      <c r="L1398" s="18">
        <v>1</v>
      </c>
      <c r="M1398" s="18" t="s">
        <v>41</v>
      </c>
      <c r="N1398" s="18">
        <v>4</v>
      </c>
      <c r="O1398" s="18">
        <v>1</v>
      </c>
      <c r="P1398" s="18">
        <v>16.600000000000001</v>
      </c>
      <c r="Q1398" s="18">
        <v>3</v>
      </c>
      <c r="R1398" s="18">
        <v>4</v>
      </c>
      <c r="S1398" s="18">
        <v>1</v>
      </c>
      <c r="T1398" s="18">
        <v>183.86</v>
      </c>
    </row>
    <row r="1399" spans="1:20" x14ac:dyDescent="0.3">
      <c r="A1399" s="18">
        <v>51398</v>
      </c>
      <c r="B1399" s="18">
        <v>0</v>
      </c>
      <c r="C1399" s="18">
        <v>5</v>
      </c>
      <c r="D1399" s="18" t="s">
        <v>42</v>
      </c>
      <c r="E1399" s="18">
        <v>1</v>
      </c>
      <c r="F1399" s="18">
        <v>10</v>
      </c>
      <c r="G1399" s="18" t="s">
        <v>39</v>
      </c>
      <c r="H1399" s="18" t="s">
        <v>33</v>
      </c>
      <c r="I1399" s="18">
        <v>2.7</v>
      </c>
      <c r="J1399" s="18">
        <v>2</v>
      </c>
      <c r="K1399" s="18" t="s">
        <v>46</v>
      </c>
      <c r="L1399" s="18">
        <v>5</v>
      </c>
      <c r="M1399" s="18" t="s">
        <v>35</v>
      </c>
      <c r="N1399" s="18">
        <v>1</v>
      </c>
      <c r="O1399" s="18">
        <v>1</v>
      </c>
      <c r="P1399" s="18">
        <v>19.100000000000001</v>
      </c>
      <c r="Q1399" s="18">
        <v>2</v>
      </c>
      <c r="R1399" s="18">
        <v>2</v>
      </c>
      <c r="S1399" s="18">
        <v>1</v>
      </c>
      <c r="T1399" s="18">
        <v>193.28</v>
      </c>
    </row>
    <row r="1400" spans="1:20" x14ac:dyDescent="0.3">
      <c r="A1400" s="18">
        <v>51399</v>
      </c>
      <c r="B1400" s="18">
        <v>0</v>
      </c>
      <c r="C1400" s="18">
        <v>6</v>
      </c>
      <c r="D1400" s="18" t="s">
        <v>31</v>
      </c>
      <c r="E1400" s="18">
        <v>3</v>
      </c>
      <c r="F1400" s="18">
        <v>21</v>
      </c>
      <c r="G1400" s="18" t="s">
        <v>37</v>
      </c>
      <c r="H1400" s="18" t="s">
        <v>33</v>
      </c>
      <c r="I1400" s="18">
        <v>2.2000000000000002</v>
      </c>
      <c r="J1400" s="18">
        <v>4</v>
      </c>
      <c r="K1400" s="18" t="s">
        <v>34</v>
      </c>
      <c r="L1400" s="18">
        <v>4</v>
      </c>
      <c r="M1400" s="18" t="s">
        <v>41</v>
      </c>
      <c r="N1400" s="18">
        <v>1</v>
      </c>
      <c r="O1400" s="18">
        <v>1</v>
      </c>
      <c r="P1400" s="18">
        <v>15.7</v>
      </c>
      <c r="Q1400" s="18">
        <v>1</v>
      </c>
      <c r="R1400" s="18">
        <v>3</v>
      </c>
      <c r="S1400" s="18">
        <v>6</v>
      </c>
      <c r="T1400" s="18">
        <v>221.03</v>
      </c>
    </row>
    <row r="1401" spans="1:20" x14ac:dyDescent="0.3">
      <c r="A1401" s="18">
        <v>51400</v>
      </c>
      <c r="B1401" s="18">
        <v>0</v>
      </c>
      <c r="C1401" s="18">
        <v>19</v>
      </c>
      <c r="D1401" s="18" t="s">
        <v>36</v>
      </c>
      <c r="E1401" s="18">
        <v>2</v>
      </c>
      <c r="F1401" s="18">
        <v>5</v>
      </c>
      <c r="G1401" s="18" t="s">
        <v>43</v>
      </c>
      <c r="H1401" s="18" t="s">
        <v>38</v>
      </c>
      <c r="I1401" s="18">
        <v>3</v>
      </c>
      <c r="J1401" s="18">
        <v>3</v>
      </c>
      <c r="K1401" s="18" t="s">
        <v>36</v>
      </c>
      <c r="L1401" s="18">
        <v>4</v>
      </c>
      <c r="M1401" s="18" t="s">
        <v>35</v>
      </c>
      <c r="N1401" s="18">
        <v>4</v>
      </c>
      <c r="O1401" s="18">
        <v>0</v>
      </c>
      <c r="P1401" s="18">
        <v>12.3</v>
      </c>
      <c r="Q1401" s="18">
        <v>3</v>
      </c>
      <c r="R1401" s="18">
        <v>5</v>
      </c>
      <c r="S1401" s="18">
        <v>0</v>
      </c>
      <c r="T1401" s="18">
        <v>96.01</v>
      </c>
    </row>
    <row r="1402" spans="1:20" x14ac:dyDescent="0.3">
      <c r="A1402" s="18">
        <v>51401</v>
      </c>
      <c r="B1402" s="18">
        <v>0</v>
      </c>
      <c r="C1402" s="18">
        <v>7</v>
      </c>
      <c r="D1402" s="18" t="s">
        <v>36</v>
      </c>
      <c r="E1402" s="18">
        <v>3</v>
      </c>
      <c r="F1402" s="18">
        <v>7</v>
      </c>
      <c r="G1402" s="18" t="s">
        <v>47</v>
      </c>
      <c r="H1402" s="18" t="s">
        <v>38</v>
      </c>
      <c r="I1402" s="18">
        <v>3.9</v>
      </c>
      <c r="J1402" s="18">
        <v>4</v>
      </c>
      <c r="K1402" s="18" t="s">
        <v>36</v>
      </c>
      <c r="L1402" s="18">
        <v>1</v>
      </c>
      <c r="M1402" s="18" t="s">
        <v>41</v>
      </c>
      <c r="N1402" s="18">
        <v>1</v>
      </c>
      <c r="O1402" s="18">
        <v>0</v>
      </c>
      <c r="P1402" s="18">
        <v>15.6</v>
      </c>
      <c r="Q1402" s="18">
        <v>0</v>
      </c>
      <c r="R1402" s="18">
        <v>3</v>
      </c>
      <c r="S1402" s="18">
        <v>2</v>
      </c>
      <c r="T1402" s="18">
        <v>251</v>
      </c>
    </row>
    <row r="1403" spans="1:20" x14ac:dyDescent="0.3">
      <c r="A1403" s="18">
        <v>51402</v>
      </c>
      <c r="B1403" s="18">
        <v>1</v>
      </c>
      <c r="C1403" s="18">
        <v>4</v>
      </c>
      <c r="D1403" s="18" t="s">
        <v>31</v>
      </c>
      <c r="E1403" s="18">
        <v>1</v>
      </c>
      <c r="F1403" s="18"/>
      <c r="G1403" s="18" t="s">
        <v>37</v>
      </c>
      <c r="H1403" s="18" t="s">
        <v>33</v>
      </c>
      <c r="I1403" s="18"/>
      <c r="J1403" s="18">
        <v>4</v>
      </c>
      <c r="K1403" s="18" t="s">
        <v>46</v>
      </c>
      <c r="L1403" s="18">
        <v>3</v>
      </c>
      <c r="M1403" s="18" t="s">
        <v>41</v>
      </c>
      <c r="N1403" s="18">
        <v>3</v>
      </c>
      <c r="O1403" s="18">
        <v>0</v>
      </c>
      <c r="P1403" s="18">
        <v>18.100000000000001</v>
      </c>
      <c r="Q1403" s="18">
        <v>1</v>
      </c>
      <c r="R1403" s="18">
        <v>6</v>
      </c>
      <c r="S1403" s="18">
        <v>1</v>
      </c>
      <c r="T1403" s="18">
        <v>116.46</v>
      </c>
    </row>
    <row r="1404" spans="1:20" x14ac:dyDescent="0.3">
      <c r="A1404" s="18">
        <v>51403</v>
      </c>
      <c r="B1404" s="18">
        <v>0</v>
      </c>
      <c r="C1404" s="18">
        <v>37</v>
      </c>
      <c r="D1404" s="18" t="s">
        <v>42</v>
      </c>
      <c r="E1404" s="18">
        <v>2</v>
      </c>
      <c r="F1404" s="18">
        <v>23</v>
      </c>
      <c r="G1404" s="18" t="s">
        <v>37</v>
      </c>
      <c r="H1404" s="18" t="s">
        <v>33</v>
      </c>
      <c r="I1404" s="18">
        <v>2.2999999999999998</v>
      </c>
      <c r="J1404" s="18">
        <v>3</v>
      </c>
      <c r="K1404" s="18" t="s">
        <v>36</v>
      </c>
      <c r="L1404" s="18">
        <v>5</v>
      </c>
      <c r="M1404" s="18" t="s">
        <v>35</v>
      </c>
      <c r="N1404" s="18">
        <v>8</v>
      </c>
      <c r="O1404" s="18">
        <v>1</v>
      </c>
      <c r="P1404" s="18"/>
      <c r="Q1404" s="18">
        <v>3</v>
      </c>
      <c r="R1404" s="18">
        <v>1</v>
      </c>
      <c r="S1404" s="18"/>
      <c r="T1404" s="18">
        <v>221.89</v>
      </c>
    </row>
    <row r="1405" spans="1:20" x14ac:dyDescent="0.3">
      <c r="A1405" s="18">
        <v>51404</v>
      </c>
      <c r="B1405" s="18">
        <v>0</v>
      </c>
      <c r="C1405" s="18">
        <v>1</v>
      </c>
      <c r="D1405" s="18" t="s">
        <v>36</v>
      </c>
      <c r="E1405" s="18">
        <v>2</v>
      </c>
      <c r="F1405" s="18">
        <v>22</v>
      </c>
      <c r="G1405" s="18" t="s">
        <v>39</v>
      </c>
      <c r="H1405" s="18" t="s">
        <v>38</v>
      </c>
      <c r="I1405" s="18">
        <v>2.5</v>
      </c>
      <c r="J1405" s="18">
        <v>4</v>
      </c>
      <c r="K1405" s="18" t="s">
        <v>40</v>
      </c>
      <c r="L1405" s="18">
        <v>5</v>
      </c>
      <c r="M1405" s="18" t="s">
        <v>41</v>
      </c>
      <c r="N1405" s="18">
        <v>1</v>
      </c>
      <c r="O1405" s="18">
        <v>1</v>
      </c>
      <c r="P1405" s="18">
        <v>18.100000000000001</v>
      </c>
      <c r="Q1405" s="18">
        <v>4</v>
      </c>
      <c r="R1405" s="18">
        <v>4</v>
      </c>
      <c r="S1405" s="18">
        <v>4</v>
      </c>
      <c r="T1405" s="18">
        <v>184.37</v>
      </c>
    </row>
    <row r="1406" spans="1:20" x14ac:dyDescent="0.3">
      <c r="A1406" s="18">
        <v>51405</v>
      </c>
      <c r="B1406" s="18">
        <v>0</v>
      </c>
      <c r="C1406" s="18">
        <v>5</v>
      </c>
      <c r="D1406" s="18" t="s">
        <v>36</v>
      </c>
      <c r="E1406" s="18">
        <v>1</v>
      </c>
      <c r="F1406" s="18">
        <v>18</v>
      </c>
      <c r="G1406" s="18" t="s">
        <v>37</v>
      </c>
      <c r="H1406" s="18" t="s">
        <v>33</v>
      </c>
      <c r="I1406" s="18">
        <v>2.6</v>
      </c>
      <c r="J1406" s="18">
        <v>2</v>
      </c>
      <c r="K1406" s="18" t="s">
        <v>40</v>
      </c>
      <c r="L1406" s="18">
        <v>3</v>
      </c>
      <c r="M1406" s="18" t="s">
        <v>35</v>
      </c>
      <c r="N1406" s="18">
        <v>1</v>
      </c>
      <c r="O1406" s="18">
        <v>0</v>
      </c>
      <c r="P1406" s="18">
        <v>20.100000000000001</v>
      </c>
      <c r="Q1406" s="18">
        <v>1</v>
      </c>
      <c r="R1406" s="18">
        <v>3</v>
      </c>
      <c r="S1406" s="18">
        <v>2</v>
      </c>
      <c r="T1406" s="18">
        <v>109.54</v>
      </c>
    </row>
    <row r="1407" spans="1:20" x14ac:dyDescent="0.3">
      <c r="A1407" s="18">
        <v>51406</v>
      </c>
      <c r="B1407" s="18">
        <v>0</v>
      </c>
      <c r="C1407" s="18">
        <v>0</v>
      </c>
      <c r="D1407" s="18" t="s">
        <v>42</v>
      </c>
      <c r="E1407" s="18">
        <v>3</v>
      </c>
      <c r="F1407" s="18">
        <v>23</v>
      </c>
      <c r="G1407" s="18" t="s">
        <v>47</v>
      </c>
      <c r="H1407" s="18" t="s">
        <v>33</v>
      </c>
      <c r="I1407" s="18">
        <v>3.4</v>
      </c>
      <c r="J1407" s="18">
        <v>5</v>
      </c>
      <c r="K1407" s="18" t="s">
        <v>44</v>
      </c>
      <c r="L1407" s="18">
        <v>2</v>
      </c>
      <c r="M1407" s="18" t="s">
        <v>35</v>
      </c>
      <c r="N1407" s="18">
        <v>1</v>
      </c>
      <c r="O1407" s="18">
        <v>1</v>
      </c>
      <c r="P1407" s="18">
        <v>16.8</v>
      </c>
      <c r="Q1407" s="18">
        <v>1</v>
      </c>
      <c r="R1407" s="18">
        <v>6</v>
      </c>
      <c r="S1407" s="18">
        <v>3</v>
      </c>
      <c r="T1407" s="18">
        <v>209.05</v>
      </c>
    </row>
    <row r="1408" spans="1:20" x14ac:dyDescent="0.3">
      <c r="A1408" s="18">
        <v>51407</v>
      </c>
      <c r="B1408" s="18">
        <v>0</v>
      </c>
      <c r="C1408" s="18">
        <v>13</v>
      </c>
      <c r="D1408" s="18" t="s">
        <v>36</v>
      </c>
      <c r="E1408" s="18">
        <v>3</v>
      </c>
      <c r="F1408" s="18">
        <v>7</v>
      </c>
      <c r="G1408" s="18" t="s">
        <v>37</v>
      </c>
      <c r="H1408" s="18" t="s">
        <v>38</v>
      </c>
      <c r="I1408" s="18">
        <v>2.8</v>
      </c>
      <c r="J1408" s="18">
        <v>3</v>
      </c>
      <c r="K1408" s="18" t="s">
        <v>46</v>
      </c>
      <c r="L1408" s="18">
        <v>3</v>
      </c>
      <c r="M1408" s="18" t="s">
        <v>45</v>
      </c>
      <c r="N1408" s="18">
        <v>1</v>
      </c>
      <c r="O1408" s="18">
        <v>0</v>
      </c>
      <c r="P1408" s="18">
        <v>15.9</v>
      </c>
      <c r="Q1408" s="18">
        <v>3</v>
      </c>
      <c r="R1408" s="18">
        <v>7</v>
      </c>
      <c r="S1408" s="18">
        <v>1</v>
      </c>
      <c r="T1408" s="18">
        <v>128</v>
      </c>
    </row>
    <row r="1409" spans="1:20" x14ac:dyDescent="0.3">
      <c r="A1409" s="18">
        <v>51408</v>
      </c>
      <c r="B1409" s="18">
        <v>0</v>
      </c>
      <c r="C1409" s="18">
        <v>25</v>
      </c>
      <c r="D1409" s="18" t="s">
        <v>36</v>
      </c>
      <c r="E1409" s="18">
        <v>3</v>
      </c>
      <c r="F1409" s="18">
        <v>17</v>
      </c>
      <c r="G1409" s="18" t="s">
        <v>47</v>
      </c>
      <c r="H1409" s="18" t="s">
        <v>38</v>
      </c>
      <c r="I1409" s="18">
        <v>3.2</v>
      </c>
      <c r="J1409" s="18">
        <v>4</v>
      </c>
      <c r="K1409" s="18" t="s">
        <v>44</v>
      </c>
      <c r="L1409" s="18">
        <v>3</v>
      </c>
      <c r="M1409" s="18" t="s">
        <v>35</v>
      </c>
      <c r="N1409" s="18">
        <v>1</v>
      </c>
      <c r="O1409" s="18">
        <v>0</v>
      </c>
      <c r="P1409" s="18">
        <v>18.899999999999999</v>
      </c>
      <c r="Q1409" s="18"/>
      <c r="R1409" s="18">
        <v>4</v>
      </c>
      <c r="S1409" s="18">
        <v>7</v>
      </c>
      <c r="T1409" s="18">
        <v>238.78</v>
      </c>
    </row>
    <row r="1410" spans="1:20" x14ac:dyDescent="0.3">
      <c r="A1410" s="18">
        <v>51409</v>
      </c>
      <c r="B1410" s="18">
        <v>0</v>
      </c>
      <c r="C1410" s="18">
        <v>3</v>
      </c>
      <c r="D1410" s="18" t="s">
        <v>42</v>
      </c>
      <c r="E1410" s="18">
        <v>3</v>
      </c>
      <c r="F1410" s="18">
        <v>13</v>
      </c>
      <c r="G1410" s="18" t="s">
        <v>32</v>
      </c>
      <c r="H1410" s="18" t="s">
        <v>38</v>
      </c>
      <c r="I1410" s="18">
        <v>2.5</v>
      </c>
      <c r="J1410" s="18">
        <v>4</v>
      </c>
      <c r="K1410" s="18" t="s">
        <v>34</v>
      </c>
      <c r="L1410" s="18">
        <v>4</v>
      </c>
      <c r="M1410" s="18" t="s">
        <v>41</v>
      </c>
      <c r="N1410" s="18">
        <v>1</v>
      </c>
      <c r="O1410" s="18">
        <v>0</v>
      </c>
      <c r="P1410" s="18">
        <v>13</v>
      </c>
      <c r="Q1410" s="18">
        <v>0</v>
      </c>
      <c r="R1410" s="18">
        <v>2</v>
      </c>
      <c r="S1410" s="18">
        <v>1</v>
      </c>
      <c r="T1410" s="18">
        <v>140.9</v>
      </c>
    </row>
    <row r="1411" spans="1:20" x14ac:dyDescent="0.3">
      <c r="A1411" s="18">
        <v>51410</v>
      </c>
      <c r="B1411" s="18">
        <v>0</v>
      </c>
      <c r="C1411" s="18">
        <v>19</v>
      </c>
      <c r="D1411" s="18" t="s">
        <v>31</v>
      </c>
      <c r="E1411" s="18">
        <v>1</v>
      </c>
      <c r="F1411" s="18">
        <v>21</v>
      </c>
      <c r="G1411" s="18" t="s">
        <v>39</v>
      </c>
      <c r="H1411" s="18" t="s">
        <v>33</v>
      </c>
      <c r="I1411" s="18">
        <v>3.1</v>
      </c>
      <c r="J1411" s="18">
        <v>4</v>
      </c>
      <c r="K1411" s="18" t="s">
        <v>44</v>
      </c>
      <c r="L1411" s="18">
        <v>5</v>
      </c>
      <c r="M1411" s="18" t="s">
        <v>41</v>
      </c>
      <c r="N1411" s="18">
        <v>1</v>
      </c>
      <c r="O1411" s="18">
        <v>1</v>
      </c>
      <c r="P1411" s="18">
        <v>12.7</v>
      </c>
      <c r="Q1411" s="18">
        <v>2</v>
      </c>
      <c r="R1411" s="18">
        <v>5</v>
      </c>
      <c r="S1411" s="18">
        <v>2</v>
      </c>
      <c r="T1411" s="18">
        <v>97.78</v>
      </c>
    </row>
    <row r="1412" spans="1:20" x14ac:dyDescent="0.3">
      <c r="A1412" s="18">
        <v>51411</v>
      </c>
      <c r="B1412" s="18">
        <v>1</v>
      </c>
      <c r="C1412" s="18">
        <v>3</v>
      </c>
      <c r="D1412" s="18" t="s">
        <v>36</v>
      </c>
      <c r="E1412" s="18">
        <v>1</v>
      </c>
      <c r="F1412" s="18">
        <v>14</v>
      </c>
      <c r="G1412" s="18" t="s">
        <v>37</v>
      </c>
      <c r="H1412" s="18" t="s">
        <v>38</v>
      </c>
      <c r="I1412" s="18">
        <v>3.4</v>
      </c>
      <c r="J1412" s="18">
        <v>3</v>
      </c>
      <c r="K1412" s="18" t="s">
        <v>40</v>
      </c>
      <c r="L1412" s="18">
        <v>3</v>
      </c>
      <c r="M1412" s="18" t="s">
        <v>45</v>
      </c>
      <c r="N1412" s="18">
        <v>1</v>
      </c>
      <c r="O1412" s="18">
        <v>1</v>
      </c>
      <c r="P1412" s="18">
        <v>15.1</v>
      </c>
      <c r="Q1412" s="18">
        <v>0</v>
      </c>
      <c r="R1412" s="18">
        <v>2</v>
      </c>
      <c r="S1412" s="18">
        <v>1</v>
      </c>
      <c r="T1412" s="18">
        <v>264.36</v>
      </c>
    </row>
    <row r="1413" spans="1:20" x14ac:dyDescent="0.3">
      <c r="A1413" s="18">
        <v>51412</v>
      </c>
      <c r="B1413" s="18">
        <v>0</v>
      </c>
      <c r="C1413" s="18">
        <v>24</v>
      </c>
      <c r="D1413" s="18" t="s">
        <v>36</v>
      </c>
      <c r="E1413" s="18">
        <v>3</v>
      </c>
      <c r="F1413" s="18">
        <v>11</v>
      </c>
      <c r="G1413" s="18" t="s">
        <v>37</v>
      </c>
      <c r="H1413" s="18" t="s">
        <v>33</v>
      </c>
      <c r="I1413" s="18">
        <v>2.4</v>
      </c>
      <c r="J1413" s="18">
        <v>3</v>
      </c>
      <c r="K1413" s="18" t="s">
        <v>44</v>
      </c>
      <c r="L1413" s="18">
        <v>1</v>
      </c>
      <c r="M1413" s="18" t="s">
        <v>35</v>
      </c>
      <c r="N1413" s="18">
        <v>4</v>
      </c>
      <c r="O1413" s="18">
        <v>1</v>
      </c>
      <c r="P1413" s="18">
        <v>14.3</v>
      </c>
      <c r="Q1413" s="18">
        <v>0</v>
      </c>
      <c r="R1413" s="18">
        <v>5</v>
      </c>
      <c r="S1413" s="18">
        <v>2</v>
      </c>
      <c r="T1413" s="18">
        <v>189.97</v>
      </c>
    </row>
    <row r="1414" spans="1:20" x14ac:dyDescent="0.3">
      <c r="A1414" s="18">
        <v>51413</v>
      </c>
      <c r="B1414" s="18">
        <v>0</v>
      </c>
      <c r="C1414" s="18">
        <v>14</v>
      </c>
      <c r="D1414" s="18" t="s">
        <v>36</v>
      </c>
      <c r="E1414" s="18">
        <v>1</v>
      </c>
      <c r="F1414" s="18">
        <v>19</v>
      </c>
      <c r="G1414" s="18" t="s">
        <v>47</v>
      </c>
      <c r="H1414" s="18" t="s">
        <v>33</v>
      </c>
      <c r="I1414" s="18">
        <v>3.4</v>
      </c>
      <c r="J1414" s="18">
        <v>1</v>
      </c>
      <c r="K1414" s="18" t="s">
        <v>44</v>
      </c>
      <c r="L1414" s="18">
        <v>5</v>
      </c>
      <c r="M1414" s="18" t="s">
        <v>41</v>
      </c>
      <c r="N1414" s="18">
        <v>7</v>
      </c>
      <c r="O1414" s="18">
        <v>1</v>
      </c>
      <c r="P1414" s="18">
        <v>13.2</v>
      </c>
      <c r="Q1414" s="18">
        <v>5</v>
      </c>
      <c r="R1414" s="18">
        <v>2</v>
      </c>
      <c r="S1414" s="18">
        <v>3</v>
      </c>
      <c r="T1414" s="18">
        <v>227.7</v>
      </c>
    </row>
    <row r="1415" spans="1:20" x14ac:dyDescent="0.3">
      <c r="A1415" s="18">
        <v>51414</v>
      </c>
      <c r="B1415" s="18">
        <v>0</v>
      </c>
      <c r="C1415" s="18">
        <v>16</v>
      </c>
      <c r="D1415" s="18" t="s">
        <v>36</v>
      </c>
      <c r="E1415" s="18">
        <v>3</v>
      </c>
      <c r="F1415" s="18">
        <v>22</v>
      </c>
      <c r="G1415" s="18" t="s">
        <v>39</v>
      </c>
      <c r="H1415" s="18" t="s">
        <v>33</v>
      </c>
      <c r="I1415" s="18">
        <v>2.9</v>
      </c>
      <c r="J1415" s="18">
        <v>3</v>
      </c>
      <c r="K1415" s="18" t="s">
        <v>44</v>
      </c>
      <c r="L1415" s="18">
        <v>1</v>
      </c>
      <c r="M1415" s="18" t="s">
        <v>35</v>
      </c>
      <c r="N1415" s="18">
        <v>5</v>
      </c>
      <c r="O1415" s="18">
        <v>0</v>
      </c>
      <c r="P1415" s="18">
        <v>22.4</v>
      </c>
      <c r="Q1415" s="18">
        <v>2</v>
      </c>
      <c r="R1415" s="18">
        <v>5</v>
      </c>
      <c r="S1415" s="18">
        <v>3</v>
      </c>
      <c r="T1415" s="18">
        <v>133.16999999999999</v>
      </c>
    </row>
    <row r="1416" spans="1:20" x14ac:dyDescent="0.3">
      <c r="A1416" s="18">
        <v>51415</v>
      </c>
      <c r="B1416" s="18">
        <v>1</v>
      </c>
      <c r="C1416" s="18">
        <v>0</v>
      </c>
      <c r="D1416" s="18" t="s">
        <v>42</v>
      </c>
      <c r="E1416" s="18">
        <v>3</v>
      </c>
      <c r="F1416" s="18">
        <v>9</v>
      </c>
      <c r="G1416" s="18" t="s">
        <v>47</v>
      </c>
      <c r="H1416" s="18" t="s">
        <v>33</v>
      </c>
      <c r="I1416" s="18">
        <v>3.6</v>
      </c>
      <c r="J1416" s="18">
        <v>4</v>
      </c>
      <c r="K1416" s="18" t="s">
        <v>40</v>
      </c>
      <c r="L1416" s="18">
        <v>5</v>
      </c>
      <c r="M1416" s="18" t="s">
        <v>35</v>
      </c>
      <c r="N1416" s="18">
        <v>2</v>
      </c>
      <c r="O1416" s="18">
        <v>1</v>
      </c>
      <c r="P1416" s="18">
        <v>23.6</v>
      </c>
      <c r="Q1416" s="18">
        <v>1</v>
      </c>
      <c r="R1416" s="18">
        <v>2</v>
      </c>
      <c r="S1416" s="18">
        <v>17</v>
      </c>
      <c r="T1416" s="18">
        <v>75.95</v>
      </c>
    </row>
    <row r="1417" spans="1:20" x14ac:dyDescent="0.3">
      <c r="A1417" s="18">
        <v>51416</v>
      </c>
      <c r="B1417" s="18">
        <v>0</v>
      </c>
      <c r="C1417" s="18">
        <v>32</v>
      </c>
      <c r="D1417" s="18" t="s">
        <v>36</v>
      </c>
      <c r="E1417" s="18">
        <v>2</v>
      </c>
      <c r="F1417" s="18">
        <v>14</v>
      </c>
      <c r="G1417" s="18" t="s">
        <v>32</v>
      </c>
      <c r="H1417" s="18" t="s">
        <v>33</v>
      </c>
      <c r="I1417" s="18">
        <v>2.8</v>
      </c>
      <c r="J1417" s="18">
        <v>3</v>
      </c>
      <c r="K1417" s="18" t="s">
        <v>36</v>
      </c>
      <c r="L1417" s="18">
        <v>4</v>
      </c>
      <c r="M1417" s="18" t="s">
        <v>45</v>
      </c>
      <c r="N1417" s="18">
        <v>1</v>
      </c>
      <c r="O1417" s="18">
        <v>0</v>
      </c>
      <c r="P1417" s="18">
        <v>14.8</v>
      </c>
      <c r="Q1417" s="18">
        <v>1</v>
      </c>
      <c r="R1417" s="18">
        <v>6</v>
      </c>
      <c r="S1417" s="18">
        <v>11</v>
      </c>
      <c r="T1417" s="18">
        <v>272.14</v>
      </c>
    </row>
    <row r="1418" spans="1:20" x14ac:dyDescent="0.3">
      <c r="A1418" s="18">
        <v>51417</v>
      </c>
      <c r="B1418" s="18">
        <v>0</v>
      </c>
      <c r="C1418" s="18">
        <v>12</v>
      </c>
      <c r="D1418" s="18" t="s">
        <v>31</v>
      </c>
      <c r="E1418" s="18">
        <v>3</v>
      </c>
      <c r="F1418" s="18">
        <v>6</v>
      </c>
      <c r="G1418" s="18" t="s">
        <v>37</v>
      </c>
      <c r="H1418" s="18" t="s">
        <v>33</v>
      </c>
      <c r="I1418" s="18">
        <v>3.2</v>
      </c>
      <c r="J1418" s="18">
        <v>1</v>
      </c>
      <c r="K1418" s="18" t="s">
        <v>46</v>
      </c>
      <c r="L1418" s="18">
        <v>5</v>
      </c>
      <c r="M1418" s="18" t="s">
        <v>45</v>
      </c>
      <c r="N1418" s="18">
        <v>4</v>
      </c>
      <c r="O1418" s="18">
        <v>1</v>
      </c>
      <c r="P1418" s="18">
        <v>16.3</v>
      </c>
      <c r="Q1418" s="18">
        <v>2</v>
      </c>
      <c r="R1418" s="18">
        <v>3</v>
      </c>
      <c r="S1418" s="18">
        <v>4</v>
      </c>
      <c r="T1418" s="18">
        <v>179.65</v>
      </c>
    </row>
    <row r="1419" spans="1:20" x14ac:dyDescent="0.3">
      <c r="A1419" s="18">
        <v>51418</v>
      </c>
      <c r="B1419" s="18">
        <v>0</v>
      </c>
      <c r="C1419" s="18">
        <v>3</v>
      </c>
      <c r="D1419" s="18" t="s">
        <v>42</v>
      </c>
      <c r="E1419" s="18">
        <v>1</v>
      </c>
      <c r="F1419" s="18">
        <v>5</v>
      </c>
      <c r="G1419" s="18" t="s">
        <v>43</v>
      </c>
      <c r="H1419" s="18" t="s">
        <v>33</v>
      </c>
      <c r="I1419" s="18">
        <v>2.9</v>
      </c>
      <c r="J1419" s="18">
        <v>2</v>
      </c>
      <c r="K1419" s="18" t="s">
        <v>44</v>
      </c>
      <c r="L1419" s="18">
        <v>2</v>
      </c>
      <c r="M1419" s="18" t="s">
        <v>45</v>
      </c>
      <c r="N1419" s="18">
        <v>1</v>
      </c>
      <c r="O1419" s="18">
        <v>1</v>
      </c>
      <c r="P1419" s="18">
        <v>15.3</v>
      </c>
      <c r="Q1419" s="18">
        <v>3</v>
      </c>
      <c r="R1419" s="18">
        <v>6</v>
      </c>
      <c r="S1419" s="18">
        <v>0</v>
      </c>
      <c r="T1419" s="18">
        <v>207.02</v>
      </c>
    </row>
    <row r="1420" spans="1:20" x14ac:dyDescent="0.3">
      <c r="A1420" s="18">
        <v>51419</v>
      </c>
      <c r="B1420" s="18">
        <v>0</v>
      </c>
      <c r="C1420" s="18">
        <v>17</v>
      </c>
      <c r="D1420" s="18" t="s">
        <v>36</v>
      </c>
      <c r="E1420" s="18">
        <v>1</v>
      </c>
      <c r="F1420" s="18">
        <v>16</v>
      </c>
      <c r="G1420" s="18" t="s">
        <v>43</v>
      </c>
      <c r="H1420" s="18" t="s">
        <v>38</v>
      </c>
      <c r="I1420" s="18">
        <v>2.8</v>
      </c>
      <c r="J1420" s="18">
        <v>2</v>
      </c>
      <c r="K1420" s="18" t="s">
        <v>40</v>
      </c>
      <c r="L1420" s="18">
        <v>1</v>
      </c>
      <c r="M1420" s="18" t="s">
        <v>35</v>
      </c>
      <c r="N1420" s="18">
        <v>1</v>
      </c>
      <c r="O1420" s="18">
        <v>0</v>
      </c>
      <c r="P1420" s="18">
        <v>19.899999999999999</v>
      </c>
      <c r="Q1420" s="18">
        <v>1</v>
      </c>
      <c r="R1420" s="18">
        <v>3</v>
      </c>
      <c r="S1420" s="18">
        <v>4</v>
      </c>
      <c r="T1420" s="18">
        <v>216.11</v>
      </c>
    </row>
    <row r="1421" spans="1:20" x14ac:dyDescent="0.3">
      <c r="A1421" s="18">
        <v>51420</v>
      </c>
      <c r="B1421" s="18">
        <v>0</v>
      </c>
      <c r="C1421" s="18">
        <v>3</v>
      </c>
      <c r="D1421" s="18" t="s">
        <v>36</v>
      </c>
      <c r="E1421" s="18">
        <v>1</v>
      </c>
      <c r="F1421" s="18">
        <v>19</v>
      </c>
      <c r="G1421" s="18" t="s">
        <v>39</v>
      </c>
      <c r="H1421" s="18" t="s">
        <v>33</v>
      </c>
      <c r="I1421" s="18">
        <v>3.1</v>
      </c>
      <c r="J1421" s="18">
        <v>3</v>
      </c>
      <c r="K1421" s="18" t="s">
        <v>40</v>
      </c>
      <c r="L1421" s="18">
        <v>3</v>
      </c>
      <c r="M1421" s="18" t="s">
        <v>45</v>
      </c>
      <c r="N1421" s="18">
        <v>6</v>
      </c>
      <c r="O1421" s="18">
        <v>0</v>
      </c>
      <c r="P1421" s="18">
        <v>20.6</v>
      </c>
      <c r="Q1421" s="18">
        <v>3</v>
      </c>
      <c r="R1421" s="18">
        <v>4</v>
      </c>
      <c r="S1421" s="18">
        <v>0</v>
      </c>
      <c r="T1421" s="18">
        <v>161.55000000000001</v>
      </c>
    </row>
    <row r="1422" spans="1:20" x14ac:dyDescent="0.3">
      <c r="A1422" s="18">
        <v>51421</v>
      </c>
      <c r="B1422" s="18">
        <v>0</v>
      </c>
      <c r="C1422" s="18">
        <v>20</v>
      </c>
      <c r="D1422" s="18" t="s">
        <v>36</v>
      </c>
      <c r="E1422" s="18">
        <v>1</v>
      </c>
      <c r="F1422" s="18">
        <v>17</v>
      </c>
      <c r="G1422" s="18" t="s">
        <v>39</v>
      </c>
      <c r="H1422" s="18" t="s">
        <v>33</v>
      </c>
      <c r="I1422" s="18">
        <v>3.3</v>
      </c>
      <c r="J1422" s="18">
        <v>3</v>
      </c>
      <c r="K1422" s="18" t="s">
        <v>44</v>
      </c>
      <c r="L1422" s="18">
        <v>3</v>
      </c>
      <c r="M1422" s="18" t="s">
        <v>41</v>
      </c>
      <c r="N1422" s="18">
        <v>1</v>
      </c>
      <c r="O1422" s="18">
        <v>0</v>
      </c>
      <c r="P1422" s="18">
        <v>11</v>
      </c>
      <c r="Q1422" s="18">
        <v>4</v>
      </c>
      <c r="R1422" s="18">
        <v>3</v>
      </c>
      <c r="S1422" s="18">
        <v>6</v>
      </c>
      <c r="T1422" s="18">
        <v>192.44</v>
      </c>
    </row>
    <row r="1423" spans="1:20" x14ac:dyDescent="0.3">
      <c r="A1423" s="18">
        <v>51422</v>
      </c>
      <c r="B1423" s="18">
        <v>0</v>
      </c>
      <c r="C1423" s="18">
        <v>1</v>
      </c>
      <c r="D1423" s="18" t="s">
        <v>42</v>
      </c>
      <c r="E1423" s="18">
        <v>1</v>
      </c>
      <c r="F1423" s="18">
        <v>5</v>
      </c>
      <c r="G1423" s="18" t="s">
        <v>43</v>
      </c>
      <c r="H1423" s="18" t="s">
        <v>33</v>
      </c>
      <c r="I1423" s="18">
        <v>2</v>
      </c>
      <c r="J1423" s="18">
        <v>3</v>
      </c>
      <c r="K1423" s="18" t="s">
        <v>36</v>
      </c>
      <c r="L1423" s="18">
        <v>3</v>
      </c>
      <c r="M1423" s="18" t="s">
        <v>35</v>
      </c>
      <c r="N1423" s="18">
        <v>1</v>
      </c>
      <c r="O1423" s="18">
        <v>1</v>
      </c>
      <c r="P1423" s="18">
        <v>17.7</v>
      </c>
      <c r="Q1423" s="18">
        <v>1</v>
      </c>
      <c r="R1423" s="18">
        <v>2</v>
      </c>
      <c r="S1423" s="18">
        <v>2</v>
      </c>
      <c r="T1423" s="18">
        <v>267.67</v>
      </c>
    </row>
    <row r="1424" spans="1:20" x14ac:dyDescent="0.3">
      <c r="A1424" s="18">
        <v>51423</v>
      </c>
      <c r="B1424" s="18">
        <v>0</v>
      </c>
      <c r="C1424" s="18">
        <v>12</v>
      </c>
      <c r="D1424" s="18" t="s">
        <v>42</v>
      </c>
      <c r="E1424" s="18">
        <v>1</v>
      </c>
      <c r="F1424" s="18">
        <v>12</v>
      </c>
      <c r="G1424" s="18" t="s">
        <v>43</v>
      </c>
      <c r="H1424" s="18" t="s">
        <v>33</v>
      </c>
      <c r="I1424" s="18">
        <v>3.9</v>
      </c>
      <c r="J1424" s="18">
        <v>4</v>
      </c>
      <c r="K1424" s="18" t="s">
        <v>36</v>
      </c>
      <c r="L1424" s="18">
        <v>5</v>
      </c>
      <c r="M1424" s="18" t="s">
        <v>35</v>
      </c>
      <c r="N1424" s="18">
        <v>7</v>
      </c>
      <c r="O1424" s="18">
        <v>0</v>
      </c>
      <c r="P1424" s="18">
        <v>11.4</v>
      </c>
      <c r="Q1424" s="18">
        <v>2</v>
      </c>
      <c r="R1424" s="18">
        <v>8</v>
      </c>
      <c r="S1424" s="18">
        <v>9</v>
      </c>
      <c r="T1424" s="18">
        <v>178.22</v>
      </c>
    </row>
    <row r="1425" spans="1:20" x14ac:dyDescent="0.3">
      <c r="A1425" s="18">
        <v>51424</v>
      </c>
      <c r="B1425" s="18">
        <v>0</v>
      </c>
      <c r="C1425" s="18">
        <v>7</v>
      </c>
      <c r="D1425" s="18" t="s">
        <v>36</v>
      </c>
      <c r="E1425" s="18">
        <v>3</v>
      </c>
      <c r="F1425" s="18">
        <v>5</v>
      </c>
      <c r="G1425" s="18" t="s">
        <v>39</v>
      </c>
      <c r="H1425" s="18" t="s">
        <v>38</v>
      </c>
      <c r="I1425" s="18">
        <v>1.6</v>
      </c>
      <c r="J1425" s="18">
        <v>2</v>
      </c>
      <c r="K1425" s="18" t="s">
        <v>36</v>
      </c>
      <c r="L1425" s="18">
        <v>4</v>
      </c>
      <c r="M1425" s="18" t="s">
        <v>45</v>
      </c>
      <c r="N1425" s="18">
        <v>8</v>
      </c>
      <c r="O1425" s="18">
        <v>0</v>
      </c>
      <c r="P1425" s="18">
        <v>22.2</v>
      </c>
      <c r="Q1425" s="18">
        <v>3</v>
      </c>
      <c r="R1425" s="18">
        <v>5</v>
      </c>
      <c r="S1425" s="18">
        <v>14</v>
      </c>
      <c r="T1425" s="18">
        <v>231.82</v>
      </c>
    </row>
    <row r="1426" spans="1:20" x14ac:dyDescent="0.3">
      <c r="A1426" s="18">
        <v>51425</v>
      </c>
      <c r="B1426" s="18">
        <v>0</v>
      </c>
      <c r="C1426" s="18">
        <v>1</v>
      </c>
      <c r="D1426" s="18" t="s">
        <v>31</v>
      </c>
      <c r="E1426" s="18">
        <v>3</v>
      </c>
      <c r="F1426" s="18">
        <v>25</v>
      </c>
      <c r="G1426" s="18" t="s">
        <v>39</v>
      </c>
      <c r="H1426" s="18" t="s">
        <v>33</v>
      </c>
      <c r="I1426" s="18">
        <v>2.4</v>
      </c>
      <c r="J1426" s="18">
        <v>4</v>
      </c>
      <c r="K1426" s="18" t="s">
        <v>36</v>
      </c>
      <c r="L1426" s="18">
        <v>4</v>
      </c>
      <c r="M1426" s="18" t="s">
        <v>35</v>
      </c>
      <c r="N1426" s="18">
        <v>1</v>
      </c>
      <c r="O1426" s="18">
        <v>1</v>
      </c>
      <c r="P1426" s="18">
        <v>17.5</v>
      </c>
      <c r="Q1426" s="18">
        <v>3</v>
      </c>
      <c r="R1426" s="18">
        <v>4</v>
      </c>
      <c r="S1426" s="18">
        <v>2</v>
      </c>
      <c r="T1426" s="18">
        <v>70.48</v>
      </c>
    </row>
    <row r="1427" spans="1:20" x14ac:dyDescent="0.3">
      <c r="A1427" s="18">
        <v>51426</v>
      </c>
      <c r="B1427" s="18">
        <v>0</v>
      </c>
      <c r="C1427" s="18">
        <v>2</v>
      </c>
      <c r="D1427" s="18" t="s">
        <v>31</v>
      </c>
      <c r="E1427" s="18">
        <v>1</v>
      </c>
      <c r="F1427" s="18">
        <v>6</v>
      </c>
      <c r="G1427" s="18" t="s">
        <v>39</v>
      </c>
      <c r="H1427" s="18" t="s">
        <v>38</v>
      </c>
      <c r="I1427" s="18"/>
      <c r="J1427" s="18">
        <v>4</v>
      </c>
      <c r="K1427" s="18" t="s">
        <v>40</v>
      </c>
      <c r="L1427" s="18">
        <v>2</v>
      </c>
      <c r="M1427" s="18" t="s">
        <v>41</v>
      </c>
      <c r="N1427" s="18">
        <v>1</v>
      </c>
      <c r="O1427" s="18">
        <v>0</v>
      </c>
      <c r="P1427" s="18">
        <v>13.1</v>
      </c>
      <c r="Q1427" s="18">
        <v>0</v>
      </c>
      <c r="R1427" s="18">
        <v>7</v>
      </c>
      <c r="S1427" s="18">
        <v>3</v>
      </c>
      <c r="T1427" s="18">
        <v>241.81</v>
      </c>
    </row>
    <row r="1428" spans="1:20" x14ac:dyDescent="0.3">
      <c r="A1428" s="18">
        <v>51427</v>
      </c>
      <c r="B1428" s="18">
        <v>0</v>
      </c>
      <c r="C1428" s="18">
        <v>0</v>
      </c>
      <c r="D1428" s="18" t="s">
        <v>42</v>
      </c>
      <c r="E1428" s="18">
        <v>1</v>
      </c>
      <c r="F1428" s="18">
        <v>25</v>
      </c>
      <c r="G1428" s="18" t="s">
        <v>43</v>
      </c>
      <c r="H1428" s="18" t="s">
        <v>33</v>
      </c>
      <c r="I1428" s="18">
        <v>3.2</v>
      </c>
      <c r="J1428" s="18">
        <v>4</v>
      </c>
      <c r="K1428" s="18" t="s">
        <v>44</v>
      </c>
      <c r="L1428" s="18">
        <v>4</v>
      </c>
      <c r="M1428" s="18" t="s">
        <v>35</v>
      </c>
      <c r="N1428" s="18">
        <v>3</v>
      </c>
      <c r="O1428" s="18">
        <v>0</v>
      </c>
      <c r="P1428" s="18">
        <v>15.2</v>
      </c>
      <c r="Q1428" s="18">
        <v>2</v>
      </c>
      <c r="R1428" s="18">
        <v>2</v>
      </c>
      <c r="S1428" s="18">
        <v>4</v>
      </c>
      <c r="T1428" s="18">
        <v>96.29</v>
      </c>
    </row>
    <row r="1429" spans="1:20" x14ac:dyDescent="0.3">
      <c r="A1429" s="18">
        <v>51428</v>
      </c>
      <c r="B1429" s="18">
        <v>0</v>
      </c>
      <c r="C1429" s="18">
        <v>6</v>
      </c>
      <c r="D1429" s="18" t="s">
        <v>36</v>
      </c>
      <c r="E1429" s="18">
        <v>3</v>
      </c>
      <c r="F1429" s="18">
        <v>22</v>
      </c>
      <c r="G1429" s="18" t="s">
        <v>39</v>
      </c>
      <c r="H1429" s="18" t="s">
        <v>33</v>
      </c>
      <c r="I1429" s="18">
        <v>4</v>
      </c>
      <c r="J1429" s="18">
        <v>3</v>
      </c>
      <c r="K1429" s="18" t="s">
        <v>40</v>
      </c>
      <c r="L1429" s="18">
        <v>4</v>
      </c>
      <c r="M1429" s="18" t="s">
        <v>35</v>
      </c>
      <c r="N1429" s="18">
        <v>4</v>
      </c>
      <c r="O1429" s="18">
        <v>0</v>
      </c>
      <c r="P1429" s="18">
        <v>15</v>
      </c>
      <c r="Q1429" s="18">
        <v>3</v>
      </c>
      <c r="R1429" s="18">
        <v>4</v>
      </c>
      <c r="S1429" s="18">
        <v>1</v>
      </c>
      <c r="T1429" s="18">
        <v>235.52</v>
      </c>
    </row>
    <row r="1430" spans="1:20" x14ac:dyDescent="0.3">
      <c r="A1430" s="18">
        <v>51429</v>
      </c>
      <c r="B1430" s="18">
        <v>0</v>
      </c>
      <c r="C1430" s="18">
        <v>3</v>
      </c>
      <c r="D1430" s="18" t="s">
        <v>36</v>
      </c>
      <c r="E1430" s="18">
        <v>1</v>
      </c>
      <c r="F1430" s="18">
        <v>7</v>
      </c>
      <c r="G1430" s="18" t="s">
        <v>37</v>
      </c>
      <c r="H1430" s="18" t="s">
        <v>38</v>
      </c>
      <c r="I1430" s="18">
        <v>1.6</v>
      </c>
      <c r="J1430" s="18">
        <v>5</v>
      </c>
      <c r="K1430" s="18" t="s">
        <v>34</v>
      </c>
      <c r="L1430" s="18">
        <v>3</v>
      </c>
      <c r="M1430" s="18" t="s">
        <v>41</v>
      </c>
      <c r="N1430" s="18">
        <v>1</v>
      </c>
      <c r="O1430" s="18">
        <v>0</v>
      </c>
      <c r="P1430" s="18">
        <v>17.8</v>
      </c>
      <c r="Q1430" s="18">
        <v>2</v>
      </c>
      <c r="R1430" s="18">
        <v>6</v>
      </c>
      <c r="S1430" s="18">
        <v>13</v>
      </c>
      <c r="T1430" s="18">
        <v>201.48</v>
      </c>
    </row>
    <row r="1431" spans="1:20" x14ac:dyDescent="0.3">
      <c r="A1431" s="18">
        <v>51430</v>
      </c>
      <c r="B1431" s="18">
        <v>0</v>
      </c>
      <c r="C1431" s="18">
        <v>9</v>
      </c>
      <c r="D1431" s="18" t="s">
        <v>42</v>
      </c>
      <c r="E1431" s="18">
        <v>1</v>
      </c>
      <c r="F1431" s="18">
        <v>5</v>
      </c>
      <c r="G1431" s="18" t="s">
        <v>32</v>
      </c>
      <c r="H1431" s="18" t="s">
        <v>38</v>
      </c>
      <c r="I1431" s="18"/>
      <c r="J1431" s="18">
        <v>4</v>
      </c>
      <c r="K1431" s="18" t="s">
        <v>36</v>
      </c>
      <c r="L1431" s="18">
        <v>5</v>
      </c>
      <c r="M1431" s="18" t="s">
        <v>41</v>
      </c>
      <c r="N1431" s="18">
        <v>3</v>
      </c>
      <c r="O1431" s="18">
        <v>1</v>
      </c>
      <c r="P1431" s="18">
        <v>19.600000000000001</v>
      </c>
      <c r="Q1431" s="18">
        <v>1</v>
      </c>
      <c r="R1431" s="18">
        <v>4</v>
      </c>
      <c r="S1431" s="18">
        <v>2</v>
      </c>
      <c r="T1431" s="18">
        <v>174.72</v>
      </c>
    </row>
    <row r="1432" spans="1:20" x14ac:dyDescent="0.3">
      <c r="A1432" s="18">
        <v>51431</v>
      </c>
      <c r="B1432" s="18">
        <v>0</v>
      </c>
      <c r="C1432" s="18">
        <v>3</v>
      </c>
      <c r="D1432" s="18" t="s">
        <v>36</v>
      </c>
      <c r="E1432" s="18">
        <v>1</v>
      </c>
      <c r="F1432" s="18">
        <v>17</v>
      </c>
      <c r="G1432" s="18" t="s">
        <v>39</v>
      </c>
      <c r="H1432" s="18" t="s">
        <v>33</v>
      </c>
      <c r="I1432" s="18">
        <v>1.4</v>
      </c>
      <c r="J1432" s="18">
        <v>2</v>
      </c>
      <c r="K1432" s="18" t="s">
        <v>40</v>
      </c>
      <c r="L1432" s="18">
        <v>2</v>
      </c>
      <c r="M1432" s="18" t="s">
        <v>35</v>
      </c>
      <c r="N1432" s="18">
        <v>10</v>
      </c>
      <c r="O1432" s="18">
        <v>0</v>
      </c>
      <c r="P1432" s="18">
        <v>12</v>
      </c>
      <c r="Q1432" s="18">
        <v>2</v>
      </c>
      <c r="R1432" s="18">
        <v>4</v>
      </c>
      <c r="S1432" s="18">
        <v>0</v>
      </c>
      <c r="T1432" s="18">
        <v>174.52</v>
      </c>
    </row>
    <row r="1433" spans="1:20" x14ac:dyDescent="0.3">
      <c r="A1433" s="18">
        <v>51432</v>
      </c>
      <c r="B1433" s="18">
        <v>1</v>
      </c>
      <c r="C1433" s="18">
        <v>3</v>
      </c>
      <c r="D1433" s="18" t="s">
        <v>36</v>
      </c>
      <c r="E1433" s="18">
        <v>2</v>
      </c>
      <c r="F1433" s="18">
        <v>8</v>
      </c>
      <c r="G1433" s="18" t="s">
        <v>47</v>
      </c>
      <c r="H1433" s="18" t="s">
        <v>38</v>
      </c>
      <c r="I1433" s="18">
        <v>2.9</v>
      </c>
      <c r="J1433" s="18">
        <v>3</v>
      </c>
      <c r="K1433" s="18" t="s">
        <v>44</v>
      </c>
      <c r="L1433" s="18">
        <v>3</v>
      </c>
      <c r="M1433" s="18" t="s">
        <v>41</v>
      </c>
      <c r="N1433" s="18">
        <v>1</v>
      </c>
      <c r="O1433" s="18">
        <v>0</v>
      </c>
      <c r="P1433" s="18">
        <v>22.4</v>
      </c>
      <c r="Q1433" s="18">
        <v>1</v>
      </c>
      <c r="R1433" s="18">
        <v>2</v>
      </c>
      <c r="S1433" s="18">
        <v>7</v>
      </c>
      <c r="T1433" s="18">
        <v>166.1</v>
      </c>
    </row>
    <row r="1434" spans="1:20" x14ac:dyDescent="0.3">
      <c r="A1434" s="18">
        <v>51433</v>
      </c>
      <c r="B1434" s="18">
        <v>0</v>
      </c>
      <c r="C1434" s="18">
        <v>13</v>
      </c>
      <c r="D1434" s="18" t="s">
        <v>36</v>
      </c>
      <c r="E1434" s="18">
        <v>1</v>
      </c>
      <c r="F1434" s="18">
        <v>15</v>
      </c>
      <c r="G1434" s="18" t="s">
        <v>39</v>
      </c>
      <c r="H1434" s="18" t="s">
        <v>33</v>
      </c>
      <c r="I1434" s="18">
        <v>3.1</v>
      </c>
      <c r="J1434" s="18">
        <v>4</v>
      </c>
      <c r="K1434" s="18" t="s">
        <v>46</v>
      </c>
      <c r="L1434" s="18">
        <v>1</v>
      </c>
      <c r="M1434" s="18" t="s">
        <v>41</v>
      </c>
      <c r="N1434" s="18">
        <v>8</v>
      </c>
      <c r="O1434" s="18">
        <v>0</v>
      </c>
      <c r="P1434" s="18">
        <v>21.6</v>
      </c>
      <c r="Q1434" s="18">
        <v>3</v>
      </c>
      <c r="R1434" s="18">
        <v>5</v>
      </c>
      <c r="S1434" s="18">
        <v>1</v>
      </c>
      <c r="T1434" s="18">
        <v>134.86000000000001</v>
      </c>
    </row>
    <row r="1435" spans="1:20" x14ac:dyDescent="0.3">
      <c r="A1435" s="18">
        <v>51434</v>
      </c>
      <c r="B1435" s="18">
        <v>0</v>
      </c>
      <c r="C1435" s="18">
        <v>0</v>
      </c>
      <c r="D1435" s="18" t="s">
        <v>36</v>
      </c>
      <c r="E1435" s="18">
        <v>3</v>
      </c>
      <c r="F1435" s="18">
        <v>11</v>
      </c>
      <c r="G1435" s="18" t="s">
        <v>32</v>
      </c>
      <c r="H1435" s="18" t="s">
        <v>38</v>
      </c>
      <c r="I1435" s="18">
        <v>4</v>
      </c>
      <c r="J1435" s="18">
        <v>3</v>
      </c>
      <c r="K1435" s="18" t="s">
        <v>44</v>
      </c>
      <c r="L1435" s="18">
        <v>4</v>
      </c>
      <c r="M1435" s="18" t="s">
        <v>41</v>
      </c>
      <c r="N1435" s="18">
        <v>10</v>
      </c>
      <c r="O1435" s="18">
        <v>0</v>
      </c>
      <c r="P1435" s="18">
        <v>12.9</v>
      </c>
      <c r="Q1435" s="18">
        <v>2</v>
      </c>
      <c r="R1435" s="18">
        <v>5</v>
      </c>
      <c r="S1435" s="18">
        <v>0</v>
      </c>
      <c r="T1435" s="18">
        <v>168.67</v>
      </c>
    </row>
    <row r="1436" spans="1:20" x14ac:dyDescent="0.3">
      <c r="A1436" s="18">
        <v>51435</v>
      </c>
      <c r="B1436" s="18">
        <v>0</v>
      </c>
      <c r="C1436" s="18">
        <v>23</v>
      </c>
      <c r="D1436" s="18" t="s">
        <v>36</v>
      </c>
      <c r="E1436" s="18">
        <v>1</v>
      </c>
      <c r="F1436" s="18">
        <v>5</v>
      </c>
      <c r="G1436" s="18" t="s">
        <v>39</v>
      </c>
      <c r="H1436" s="18" t="s">
        <v>38</v>
      </c>
      <c r="I1436" s="18">
        <v>3</v>
      </c>
      <c r="J1436" s="18">
        <v>4</v>
      </c>
      <c r="K1436" s="18" t="s">
        <v>40</v>
      </c>
      <c r="L1436" s="18">
        <v>4</v>
      </c>
      <c r="M1436" s="18" t="s">
        <v>45</v>
      </c>
      <c r="N1436" s="18">
        <v>1</v>
      </c>
      <c r="O1436" s="18">
        <v>1</v>
      </c>
      <c r="P1436" s="18">
        <v>16.3</v>
      </c>
      <c r="Q1436" s="18">
        <v>1</v>
      </c>
      <c r="R1436" s="18">
        <v>6</v>
      </c>
      <c r="S1436" s="18">
        <v>4</v>
      </c>
      <c r="T1436" s="18">
        <v>301.44</v>
      </c>
    </row>
    <row r="1437" spans="1:20" x14ac:dyDescent="0.3">
      <c r="A1437" s="18">
        <v>51436</v>
      </c>
      <c r="B1437" s="18">
        <v>0</v>
      </c>
      <c r="C1437" s="18">
        <v>19</v>
      </c>
      <c r="D1437" s="18" t="s">
        <v>42</v>
      </c>
      <c r="E1437" s="18">
        <v>2</v>
      </c>
      <c r="F1437" s="18">
        <v>5</v>
      </c>
      <c r="G1437" s="18" t="s">
        <v>47</v>
      </c>
      <c r="H1437" s="18" t="s">
        <v>38</v>
      </c>
      <c r="I1437" s="18">
        <v>3.6</v>
      </c>
      <c r="J1437" s="18">
        <v>4</v>
      </c>
      <c r="K1437" s="18" t="s">
        <v>34</v>
      </c>
      <c r="L1437" s="18">
        <v>3</v>
      </c>
      <c r="M1437" s="18" t="s">
        <v>35</v>
      </c>
      <c r="N1437" s="18">
        <v>4</v>
      </c>
      <c r="O1437" s="18">
        <v>1</v>
      </c>
      <c r="P1437" s="18">
        <v>22</v>
      </c>
      <c r="Q1437" s="18">
        <v>3</v>
      </c>
      <c r="R1437" s="18">
        <v>3</v>
      </c>
      <c r="S1437" s="18">
        <v>5</v>
      </c>
      <c r="T1437" s="18">
        <v>251.63</v>
      </c>
    </row>
    <row r="1438" spans="1:20" x14ac:dyDescent="0.3">
      <c r="A1438" s="18">
        <v>51437</v>
      </c>
      <c r="B1438" s="18">
        <v>0</v>
      </c>
      <c r="C1438" s="18">
        <v>11</v>
      </c>
      <c r="D1438" s="18" t="s">
        <v>36</v>
      </c>
      <c r="E1438" s="18">
        <v>1</v>
      </c>
      <c r="F1438" s="18">
        <v>16</v>
      </c>
      <c r="G1438" s="18" t="s">
        <v>47</v>
      </c>
      <c r="H1438" s="18" t="s">
        <v>38</v>
      </c>
      <c r="I1438" s="18">
        <v>3.3</v>
      </c>
      <c r="J1438" s="18">
        <v>1</v>
      </c>
      <c r="K1438" s="18" t="s">
        <v>36</v>
      </c>
      <c r="L1438" s="18">
        <v>2</v>
      </c>
      <c r="M1438" s="18" t="s">
        <v>41</v>
      </c>
      <c r="N1438" s="18">
        <v>1</v>
      </c>
      <c r="O1438" s="18">
        <v>0</v>
      </c>
      <c r="P1438" s="18">
        <v>20.3</v>
      </c>
      <c r="Q1438" s="18">
        <v>5</v>
      </c>
      <c r="R1438" s="18">
        <v>3</v>
      </c>
      <c r="S1438" s="18">
        <v>4</v>
      </c>
      <c r="T1438" s="18">
        <v>132.09</v>
      </c>
    </row>
    <row r="1439" spans="1:20" x14ac:dyDescent="0.3">
      <c r="A1439" s="18">
        <v>51438</v>
      </c>
      <c r="B1439" s="18">
        <v>0</v>
      </c>
      <c r="C1439" s="18">
        <v>8</v>
      </c>
      <c r="D1439" s="18" t="s">
        <v>36</v>
      </c>
      <c r="E1439" s="18">
        <v>1</v>
      </c>
      <c r="F1439" s="18">
        <v>10</v>
      </c>
      <c r="G1439" s="18" t="s">
        <v>39</v>
      </c>
      <c r="H1439" s="18" t="s">
        <v>33</v>
      </c>
      <c r="I1439" s="18">
        <v>2.6</v>
      </c>
      <c r="J1439" s="18">
        <v>3</v>
      </c>
      <c r="K1439" s="18" t="s">
        <v>40</v>
      </c>
      <c r="L1439" s="18">
        <v>1</v>
      </c>
      <c r="M1439" s="18" t="s">
        <v>35</v>
      </c>
      <c r="N1439" s="18">
        <v>4</v>
      </c>
      <c r="O1439" s="18">
        <v>0</v>
      </c>
      <c r="P1439" s="18">
        <v>14.8</v>
      </c>
      <c r="Q1439" s="18">
        <v>2</v>
      </c>
      <c r="R1439" s="18">
        <v>3</v>
      </c>
      <c r="S1439" s="18">
        <v>5</v>
      </c>
      <c r="T1439" s="18">
        <v>194.72</v>
      </c>
    </row>
    <row r="1440" spans="1:20" x14ac:dyDescent="0.3">
      <c r="A1440" s="18">
        <v>51439</v>
      </c>
      <c r="B1440" s="18">
        <v>0</v>
      </c>
      <c r="C1440" s="18">
        <v>22</v>
      </c>
      <c r="D1440" s="18" t="s">
        <v>31</v>
      </c>
      <c r="E1440" s="18">
        <v>2</v>
      </c>
      <c r="F1440" s="18">
        <v>10</v>
      </c>
      <c r="G1440" s="18" t="s">
        <v>39</v>
      </c>
      <c r="H1440" s="18" t="s">
        <v>38</v>
      </c>
      <c r="I1440" s="18">
        <v>1.9</v>
      </c>
      <c r="J1440" s="18">
        <v>3</v>
      </c>
      <c r="K1440" s="18" t="s">
        <v>36</v>
      </c>
      <c r="L1440" s="18">
        <v>2</v>
      </c>
      <c r="M1440" s="18" t="s">
        <v>35</v>
      </c>
      <c r="N1440" s="18">
        <v>5</v>
      </c>
      <c r="O1440" s="18">
        <v>0</v>
      </c>
      <c r="P1440" s="18">
        <v>18.899999999999999</v>
      </c>
      <c r="Q1440" s="18">
        <v>0</v>
      </c>
      <c r="R1440" s="18">
        <v>4</v>
      </c>
      <c r="S1440" s="18">
        <v>0</v>
      </c>
      <c r="T1440" s="18">
        <v>185.28</v>
      </c>
    </row>
    <row r="1441" spans="1:20" x14ac:dyDescent="0.3">
      <c r="A1441" s="18">
        <v>51440</v>
      </c>
      <c r="B1441" s="18">
        <v>0</v>
      </c>
      <c r="C1441" s="18">
        <v>2</v>
      </c>
      <c r="D1441" s="18" t="s">
        <v>36</v>
      </c>
      <c r="E1441" s="18">
        <v>3</v>
      </c>
      <c r="F1441" s="18">
        <v>20</v>
      </c>
      <c r="G1441" s="18" t="s">
        <v>37</v>
      </c>
      <c r="H1441" s="18" t="s">
        <v>33</v>
      </c>
      <c r="I1441" s="18">
        <v>3.1</v>
      </c>
      <c r="J1441" s="18">
        <v>4</v>
      </c>
      <c r="K1441" s="18" t="s">
        <v>44</v>
      </c>
      <c r="L1441" s="18">
        <v>3</v>
      </c>
      <c r="M1441" s="18" t="s">
        <v>41</v>
      </c>
      <c r="N1441" s="18">
        <v>1</v>
      </c>
      <c r="O1441" s="18">
        <v>0</v>
      </c>
      <c r="P1441" s="18">
        <v>26</v>
      </c>
      <c r="Q1441" s="18">
        <v>1</v>
      </c>
      <c r="R1441" s="18">
        <v>4</v>
      </c>
      <c r="S1441" s="18">
        <v>3</v>
      </c>
      <c r="T1441" s="18">
        <v>172.17</v>
      </c>
    </row>
    <row r="1442" spans="1:20" x14ac:dyDescent="0.3">
      <c r="A1442" s="18">
        <v>51441</v>
      </c>
      <c r="B1442" s="18">
        <v>0</v>
      </c>
      <c r="C1442" s="18">
        <v>0</v>
      </c>
      <c r="D1442" s="18" t="s">
        <v>36</v>
      </c>
      <c r="E1442" s="18">
        <v>3</v>
      </c>
      <c r="F1442" s="18">
        <v>24</v>
      </c>
      <c r="G1442" s="18" t="s">
        <v>39</v>
      </c>
      <c r="H1442" s="18" t="s">
        <v>33</v>
      </c>
      <c r="I1442" s="18">
        <v>1.9</v>
      </c>
      <c r="J1442" s="18">
        <v>4</v>
      </c>
      <c r="K1442" s="18" t="s">
        <v>46</v>
      </c>
      <c r="L1442" s="18">
        <v>2</v>
      </c>
      <c r="M1442" s="18" t="s">
        <v>41</v>
      </c>
      <c r="N1442" s="18">
        <v>4</v>
      </c>
      <c r="O1442" s="18">
        <v>0</v>
      </c>
      <c r="P1442" s="18">
        <v>16.399999999999999</v>
      </c>
      <c r="Q1442" s="18">
        <v>3</v>
      </c>
      <c r="R1442" s="18">
        <v>3</v>
      </c>
      <c r="S1442" s="18">
        <v>2</v>
      </c>
      <c r="T1442" s="18">
        <v>124.85</v>
      </c>
    </row>
    <row r="1443" spans="1:20" x14ac:dyDescent="0.3">
      <c r="A1443" s="18">
        <v>51442</v>
      </c>
      <c r="B1443" s="18">
        <v>0</v>
      </c>
      <c r="C1443" s="18">
        <v>2</v>
      </c>
      <c r="D1443" s="18" t="s">
        <v>31</v>
      </c>
      <c r="E1443" s="18">
        <v>2</v>
      </c>
      <c r="F1443" s="18"/>
      <c r="G1443" s="18" t="s">
        <v>32</v>
      </c>
      <c r="H1443" s="18" t="s">
        <v>33</v>
      </c>
      <c r="I1443" s="18">
        <v>3.8</v>
      </c>
      <c r="J1443" s="18">
        <v>3</v>
      </c>
      <c r="K1443" s="18" t="s">
        <v>44</v>
      </c>
      <c r="L1443" s="18">
        <v>3</v>
      </c>
      <c r="M1443" s="18" t="s">
        <v>35</v>
      </c>
      <c r="N1443" s="18">
        <v>5</v>
      </c>
      <c r="O1443" s="18">
        <v>1</v>
      </c>
      <c r="P1443" s="18">
        <v>13.8</v>
      </c>
      <c r="Q1443" s="18">
        <v>3</v>
      </c>
      <c r="R1443" s="18">
        <v>3</v>
      </c>
      <c r="S1443" s="18">
        <v>18</v>
      </c>
      <c r="T1443" s="18">
        <v>204.52</v>
      </c>
    </row>
    <row r="1444" spans="1:20" x14ac:dyDescent="0.3">
      <c r="A1444" s="18">
        <v>51443</v>
      </c>
      <c r="B1444" s="18">
        <v>0</v>
      </c>
      <c r="C1444" s="18">
        <v>15</v>
      </c>
      <c r="D1444" s="18" t="s">
        <v>42</v>
      </c>
      <c r="E1444" s="18">
        <v>3</v>
      </c>
      <c r="F1444" s="18"/>
      <c r="G1444" s="18" t="s">
        <v>32</v>
      </c>
      <c r="H1444" s="18" t="s">
        <v>33</v>
      </c>
      <c r="I1444" s="18">
        <v>2.8</v>
      </c>
      <c r="J1444" s="18">
        <v>5</v>
      </c>
      <c r="K1444" s="18" t="s">
        <v>40</v>
      </c>
      <c r="L1444" s="18">
        <v>5</v>
      </c>
      <c r="M1444" s="18" t="s">
        <v>35</v>
      </c>
      <c r="N1444" s="18">
        <v>1</v>
      </c>
      <c r="O1444" s="18">
        <v>0</v>
      </c>
      <c r="P1444" s="18">
        <v>16.600000000000001</v>
      </c>
      <c r="Q1444" s="18">
        <v>2</v>
      </c>
      <c r="R1444" s="18">
        <v>3</v>
      </c>
      <c r="S1444" s="18">
        <v>0</v>
      </c>
      <c r="T1444" s="18">
        <v>226.53</v>
      </c>
    </row>
    <row r="1445" spans="1:20" x14ac:dyDescent="0.3">
      <c r="A1445" s="18">
        <v>51444</v>
      </c>
      <c r="B1445" s="18">
        <v>0</v>
      </c>
      <c r="C1445" s="18">
        <v>0</v>
      </c>
      <c r="D1445" s="18" t="s">
        <v>31</v>
      </c>
      <c r="E1445" s="18">
        <v>3</v>
      </c>
      <c r="F1445" s="18">
        <v>19</v>
      </c>
      <c r="G1445" s="18" t="s">
        <v>37</v>
      </c>
      <c r="H1445" s="18" t="s">
        <v>38</v>
      </c>
      <c r="I1445" s="18">
        <v>3.7</v>
      </c>
      <c r="J1445" s="18">
        <v>3</v>
      </c>
      <c r="K1445" s="18" t="s">
        <v>44</v>
      </c>
      <c r="L1445" s="18">
        <v>3</v>
      </c>
      <c r="M1445" s="18" t="s">
        <v>35</v>
      </c>
      <c r="N1445" s="18">
        <v>1</v>
      </c>
      <c r="O1445" s="18">
        <v>0</v>
      </c>
      <c r="P1445" s="18">
        <v>16.899999999999999</v>
      </c>
      <c r="Q1445" s="18"/>
      <c r="R1445" s="18">
        <v>6</v>
      </c>
      <c r="S1445" s="18">
        <v>1</v>
      </c>
      <c r="T1445" s="18">
        <v>134.13999999999999</v>
      </c>
    </row>
    <row r="1446" spans="1:20" x14ac:dyDescent="0.3">
      <c r="A1446" s="18">
        <v>51445</v>
      </c>
      <c r="B1446" s="18">
        <v>0</v>
      </c>
      <c r="C1446" s="18">
        <v>8</v>
      </c>
      <c r="D1446" s="18" t="s">
        <v>31</v>
      </c>
      <c r="E1446" s="18">
        <v>3</v>
      </c>
      <c r="F1446" s="18">
        <v>5</v>
      </c>
      <c r="G1446" s="18" t="s">
        <v>47</v>
      </c>
      <c r="H1446" s="18" t="s">
        <v>33</v>
      </c>
      <c r="I1446" s="18">
        <v>2.6</v>
      </c>
      <c r="J1446" s="18">
        <v>4</v>
      </c>
      <c r="K1446" s="18" t="s">
        <v>46</v>
      </c>
      <c r="L1446" s="18">
        <v>4</v>
      </c>
      <c r="M1446" s="18" t="s">
        <v>35</v>
      </c>
      <c r="N1446" s="18">
        <v>1</v>
      </c>
      <c r="O1446" s="18">
        <v>0</v>
      </c>
      <c r="P1446" s="18">
        <v>14.2</v>
      </c>
      <c r="Q1446" s="18">
        <v>1</v>
      </c>
      <c r="R1446" s="18">
        <v>3</v>
      </c>
      <c r="S1446" s="18">
        <v>14</v>
      </c>
      <c r="T1446" s="18">
        <v>287.55</v>
      </c>
    </row>
    <row r="1447" spans="1:20" x14ac:dyDescent="0.3">
      <c r="A1447" s="18">
        <v>51446</v>
      </c>
      <c r="B1447" s="18">
        <v>0</v>
      </c>
      <c r="C1447" s="18">
        <v>53</v>
      </c>
      <c r="D1447" s="18" t="s">
        <v>36</v>
      </c>
      <c r="E1447" s="18">
        <v>1</v>
      </c>
      <c r="F1447" s="18">
        <v>16</v>
      </c>
      <c r="G1447" s="18" t="s">
        <v>47</v>
      </c>
      <c r="H1447" s="18" t="s">
        <v>33</v>
      </c>
      <c r="I1447" s="18">
        <v>3.1</v>
      </c>
      <c r="J1447" s="18">
        <v>4</v>
      </c>
      <c r="K1447" s="18" t="s">
        <v>44</v>
      </c>
      <c r="L1447" s="18">
        <v>1</v>
      </c>
      <c r="M1447" s="18" t="s">
        <v>41</v>
      </c>
      <c r="N1447" s="18">
        <v>2</v>
      </c>
      <c r="O1447" s="18">
        <v>0</v>
      </c>
      <c r="P1447" s="18">
        <v>17.5</v>
      </c>
      <c r="Q1447" s="18">
        <v>2</v>
      </c>
      <c r="R1447" s="18">
        <v>4</v>
      </c>
      <c r="S1447" s="18">
        <v>20</v>
      </c>
      <c r="T1447" s="18">
        <v>263.70999999999998</v>
      </c>
    </row>
    <row r="1448" spans="1:20" x14ac:dyDescent="0.3">
      <c r="A1448" s="18">
        <v>51447</v>
      </c>
      <c r="B1448" s="18">
        <v>0</v>
      </c>
      <c r="C1448" s="18">
        <v>19</v>
      </c>
      <c r="D1448" s="18" t="s">
        <v>42</v>
      </c>
      <c r="E1448" s="18">
        <v>1</v>
      </c>
      <c r="F1448" s="18">
        <v>19</v>
      </c>
      <c r="G1448" s="18" t="s">
        <v>32</v>
      </c>
      <c r="H1448" s="18" t="s">
        <v>33</v>
      </c>
      <c r="I1448" s="18">
        <v>3</v>
      </c>
      <c r="J1448" s="18">
        <v>3</v>
      </c>
      <c r="K1448" s="18" t="s">
        <v>36</v>
      </c>
      <c r="L1448" s="18">
        <v>3</v>
      </c>
      <c r="M1448" s="18" t="s">
        <v>45</v>
      </c>
      <c r="N1448" s="18">
        <v>13</v>
      </c>
      <c r="O1448" s="18">
        <v>0</v>
      </c>
      <c r="P1448" s="18">
        <v>11.6</v>
      </c>
      <c r="Q1448" s="18">
        <v>3</v>
      </c>
      <c r="R1448" s="18">
        <v>5</v>
      </c>
      <c r="S1448" s="18">
        <v>8</v>
      </c>
      <c r="T1448" s="18">
        <v>210.15</v>
      </c>
    </row>
    <row r="1449" spans="1:20" x14ac:dyDescent="0.3">
      <c r="A1449" s="18">
        <v>51448</v>
      </c>
      <c r="B1449" s="18">
        <v>0</v>
      </c>
      <c r="C1449" s="18">
        <v>7</v>
      </c>
      <c r="D1449" s="18" t="s">
        <v>36</v>
      </c>
      <c r="E1449" s="18">
        <v>1</v>
      </c>
      <c r="F1449" s="18">
        <v>20</v>
      </c>
      <c r="G1449" s="18" t="s">
        <v>37</v>
      </c>
      <c r="H1449" s="18" t="s">
        <v>33</v>
      </c>
      <c r="I1449" s="18">
        <v>2.9</v>
      </c>
      <c r="J1449" s="18">
        <v>4</v>
      </c>
      <c r="K1449" s="18" t="s">
        <v>36</v>
      </c>
      <c r="L1449" s="18">
        <v>3</v>
      </c>
      <c r="M1449" s="18" t="s">
        <v>41</v>
      </c>
      <c r="N1449" s="18">
        <v>6</v>
      </c>
      <c r="O1449" s="18">
        <v>0</v>
      </c>
      <c r="P1449" s="18">
        <v>13.7</v>
      </c>
      <c r="Q1449" s="18">
        <v>0</v>
      </c>
      <c r="R1449" s="18">
        <v>3</v>
      </c>
      <c r="S1449" s="18">
        <v>0</v>
      </c>
      <c r="T1449" s="18">
        <v>112.26</v>
      </c>
    </row>
    <row r="1450" spans="1:20" x14ac:dyDescent="0.3">
      <c r="A1450" s="18">
        <v>51449</v>
      </c>
      <c r="B1450" s="18">
        <v>0</v>
      </c>
      <c r="C1450" s="18">
        <v>0</v>
      </c>
      <c r="D1450" s="18" t="s">
        <v>31</v>
      </c>
      <c r="E1450" s="18">
        <v>2</v>
      </c>
      <c r="F1450" s="18">
        <v>5</v>
      </c>
      <c r="G1450" s="18" t="s">
        <v>39</v>
      </c>
      <c r="H1450" s="18" t="s">
        <v>38</v>
      </c>
      <c r="I1450" s="18">
        <v>2.6</v>
      </c>
      <c r="J1450" s="18">
        <v>3</v>
      </c>
      <c r="K1450" s="18" t="s">
        <v>36</v>
      </c>
      <c r="L1450" s="18">
        <v>2</v>
      </c>
      <c r="M1450" s="18" t="s">
        <v>35</v>
      </c>
      <c r="N1450" s="18">
        <v>2</v>
      </c>
      <c r="O1450" s="18">
        <v>0</v>
      </c>
      <c r="P1450" s="18">
        <v>18.7</v>
      </c>
      <c r="Q1450" s="18">
        <v>2</v>
      </c>
      <c r="R1450" s="18">
        <v>2</v>
      </c>
      <c r="S1450" s="18">
        <v>4</v>
      </c>
      <c r="T1450" s="18">
        <v>202.08</v>
      </c>
    </row>
    <row r="1451" spans="1:20" x14ac:dyDescent="0.3">
      <c r="A1451" s="18">
        <v>51450</v>
      </c>
      <c r="B1451" s="18">
        <v>0</v>
      </c>
      <c r="C1451" s="18">
        <v>17</v>
      </c>
      <c r="D1451" s="18" t="s">
        <v>36</v>
      </c>
      <c r="E1451" s="18">
        <v>1</v>
      </c>
      <c r="F1451" s="18">
        <v>8</v>
      </c>
      <c r="G1451" s="18" t="s">
        <v>39</v>
      </c>
      <c r="H1451" s="18" t="s">
        <v>33</v>
      </c>
      <c r="I1451" s="18">
        <v>3.2</v>
      </c>
      <c r="J1451" s="18">
        <v>3</v>
      </c>
      <c r="K1451" s="18" t="s">
        <v>36</v>
      </c>
      <c r="L1451" s="18">
        <v>2</v>
      </c>
      <c r="M1451" s="18" t="s">
        <v>41</v>
      </c>
      <c r="N1451" s="18">
        <v>2</v>
      </c>
      <c r="O1451" s="18">
        <v>0</v>
      </c>
      <c r="P1451" s="18">
        <v>11</v>
      </c>
      <c r="Q1451" s="18">
        <v>2</v>
      </c>
      <c r="R1451" s="18">
        <v>6</v>
      </c>
      <c r="S1451" s="18">
        <v>2</v>
      </c>
      <c r="T1451" s="18">
        <v>195.51</v>
      </c>
    </row>
    <row r="1452" spans="1:20" x14ac:dyDescent="0.3">
      <c r="A1452" s="18">
        <v>51451</v>
      </c>
      <c r="B1452" s="18">
        <v>0</v>
      </c>
      <c r="C1452" s="18">
        <v>9</v>
      </c>
      <c r="D1452" s="18" t="s">
        <v>42</v>
      </c>
      <c r="E1452" s="18">
        <v>1</v>
      </c>
      <c r="F1452" s="18">
        <v>7</v>
      </c>
      <c r="G1452" s="18" t="s">
        <v>37</v>
      </c>
      <c r="H1452" s="18" t="s">
        <v>38</v>
      </c>
      <c r="I1452" s="18">
        <v>2.2999999999999998</v>
      </c>
      <c r="J1452" s="18">
        <v>2</v>
      </c>
      <c r="K1452" s="18" t="s">
        <v>36</v>
      </c>
      <c r="L1452" s="18">
        <v>5</v>
      </c>
      <c r="M1452" s="18" t="s">
        <v>41</v>
      </c>
      <c r="N1452" s="18">
        <v>1</v>
      </c>
      <c r="O1452" s="18">
        <v>1</v>
      </c>
      <c r="P1452" s="18">
        <v>19.2</v>
      </c>
      <c r="Q1452" s="18">
        <v>0</v>
      </c>
      <c r="R1452" s="18">
        <v>5</v>
      </c>
      <c r="S1452" s="18">
        <v>8</v>
      </c>
      <c r="T1452" s="18">
        <v>208.22</v>
      </c>
    </row>
    <row r="1453" spans="1:20" x14ac:dyDescent="0.3">
      <c r="A1453" s="18">
        <v>51452</v>
      </c>
      <c r="B1453" s="18">
        <v>0</v>
      </c>
      <c r="C1453" s="18">
        <v>1</v>
      </c>
      <c r="D1453" s="18" t="s">
        <v>31</v>
      </c>
      <c r="E1453" s="18">
        <v>3</v>
      </c>
      <c r="F1453" s="18">
        <v>15</v>
      </c>
      <c r="G1453" s="18" t="s">
        <v>37</v>
      </c>
      <c r="H1453" s="18" t="s">
        <v>38</v>
      </c>
      <c r="I1453" s="18">
        <v>2.1</v>
      </c>
      <c r="J1453" s="18">
        <v>3</v>
      </c>
      <c r="K1453" s="18" t="s">
        <v>44</v>
      </c>
      <c r="L1453" s="18">
        <v>5</v>
      </c>
      <c r="M1453" s="18" t="s">
        <v>35</v>
      </c>
      <c r="N1453" s="18">
        <v>1</v>
      </c>
      <c r="O1453" s="18">
        <v>0</v>
      </c>
      <c r="P1453" s="18">
        <v>11</v>
      </c>
      <c r="Q1453" s="18">
        <v>3</v>
      </c>
      <c r="R1453" s="18">
        <v>5</v>
      </c>
      <c r="S1453" s="18">
        <v>0</v>
      </c>
      <c r="T1453" s="18">
        <v>267.48</v>
      </c>
    </row>
    <row r="1454" spans="1:20" x14ac:dyDescent="0.3">
      <c r="A1454" s="18">
        <v>51453</v>
      </c>
      <c r="B1454" s="18">
        <v>1</v>
      </c>
      <c r="C1454" s="18">
        <v>0</v>
      </c>
      <c r="D1454" s="18" t="s">
        <v>31</v>
      </c>
      <c r="E1454" s="18">
        <v>3</v>
      </c>
      <c r="F1454" s="18">
        <v>18</v>
      </c>
      <c r="G1454" s="18" t="s">
        <v>37</v>
      </c>
      <c r="H1454" s="18" t="s">
        <v>38</v>
      </c>
      <c r="I1454" s="18">
        <v>3.8</v>
      </c>
      <c r="J1454" s="18">
        <v>4</v>
      </c>
      <c r="K1454" s="18" t="s">
        <v>36</v>
      </c>
      <c r="L1454" s="18">
        <v>1</v>
      </c>
      <c r="M1454" s="18" t="s">
        <v>41</v>
      </c>
      <c r="N1454" s="18">
        <v>2</v>
      </c>
      <c r="O1454" s="18">
        <v>1</v>
      </c>
      <c r="P1454" s="18">
        <v>11</v>
      </c>
      <c r="Q1454" s="18">
        <v>3</v>
      </c>
      <c r="R1454" s="18">
        <v>4</v>
      </c>
      <c r="S1454" s="18">
        <v>1</v>
      </c>
      <c r="T1454" s="18">
        <v>170.32</v>
      </c>
    </row>
    <row r="1455" spans="1:20" x14ac:dyDescent="0.3">
      <c r="A1455" s="18">
        <v>51454</v>
      </c>
      <c r="B1455" s="18">
        <v>0</v>
      </c>
      <c r="C1455" s="18">
        <v>24</v>
      </c>
      <c r="D1455" s="18" t="s">
        <v>36</v>
      </c>
      <c r="E1455" s="18">
        <v>3</v>
      </c>
      <c r="F1455" s="18">
        <v>26</v>
      </c>
      <c r="G1455" s="18" t="s">
        <v>39</v>
      </c>
      <c r="H1455" s="18" t="s">
        <v>33</v>
      </c>
      <c r="I1455" s="18">
        <v>3.4</v>
      </c>
      <c r="J1455" s="18">
        <v>4</v>
      </c>
      <c r="K1455" s="18" t="s">
        <v>36</v>
      </c>
      <c r="L1455" s="18">
        <v>3</v>
      </c>
      <c r="M1455" s="18" t="s">
        <v>35</v>
      </c>
      <c r="N1455" s="18">
        <v>2</v>
      </c>
      <c r="O1455" s="18">
        <v>0</v>
      </c>
      <c r="P1455" s="18">
        <v>14.3</v>
      </c>
      <c r="Q1455" s="18">
        <v>2</v>
      </c>
      <c r="R1455" s="18">
        <v>4</v>
      </c>
      <c r="S1455" s="18">
        <v>3</v>
      </c>
      <c r="T1455" s="18">
        <v>292.63</v>
      </c>
    </row>
    <row r="1456" spans="1:20" x14ac:dyDescent="0.3">
      <c r="A1456" s="18">
        <v>51455</v>
      </c>
      <c r="B1456" s="18">
        <v>0</v>
      </c>
      <c r="C1456" s="18">
        <v>11</v>
      </c>
      <c r="D1456" s="18" t="s">
        <v>36</v>
      </c>
      <c r="E1456" s="18">
        <v>1</v>
      </c>
      <c r="F1456" s="18">
        <v>11</v>
      </c>
      <c r="G1456" s="18" t="s">
        <v>47</v>
      </c>
      <c r="H1456" s="18" t="s">
        <v>38</v>
      </c>
      <c r="I1456" s="18">
        <v>2.9</v>
      </c>
      <c r="J1456" s="18">
        <v>4</v>
      </c>
      <c r="K1456" s="18" t="s">
        <v>36</v>
      </c>
      <c r="L1456" s="18">
        <v>5</v>
      </c>
      <c r="M1456" s="18" t="s">
        <v>41</v>
      </c>
      <c r="N1456" s="18">
        <v>2</v>
      </c>
      <c r="O1456" s="18">
        <v>1</v>
      </c>
      <c r="P1456" s="18">
        <v>17</v>
      </c>
      <c r="Q1456" s="18">
        <v>1</v>
      </c>
      <c r="R1456" s="18">
        <v>7</v>
      </c>
      <c r="S1456" s="18">
        <v>0</v>
      </c>
      <c r="T1456" s="18">
        <v>202.36</v>
      </c>
    </row>
    <row r="1457" spans="1:20" x14ac:dyDescent="0.3">
      <c r="A1457" s="18">
        <v>51456</v>
      </c>
      <c r="B1457" s="18">
        <v>0</v>
      </c>
      <c r="C1457" s="18">
        <v>17</v>
      </c>
      <c r="D1457" s="18" t="s">
        <v>31</v>
      </c>
      <c r="E1457" s="18">
        <v>2</v>
      </c>
      <c r="F1457" s="18">
        <v>11</v>
      </c>
      <c r="G1457" s="18" t="s">
        <v>39</v>
      </c>
      <c r="H1457" s="18" t="s">
        <v>33</v>
      </c>
      <c r="I1457" s="18">
        <v>4.0999999999999996</v>
      </c>
      <c r="J1457" s="18">
        <v>3</v>
      </c>
      <c r="K1457" s="18" t="s">
        <v>44</v>
      </c>
      <c r="L1457" s="18">
        <v>1</v>
      </c>
      <c r="M1457" s="18" t="s">
        <v>35</v>
      </c>
      <c r="N1457" s="18">
        <v>10</v>
      </c>
      <c r="O1457" s="18">
        <v>1</v>
      </c>
      <c r="P1457" s="18">
        <v>20.6</v>
      </c>
      <c r="Q1457" s="18">
        <v>2</v>
      </c>
      <c r="R1457" s="18">
        <v>2</v>
      </c>
      <c r="S1457" s="18">
        <v>5</v>
      </c>
      <c r="T1457" s="18">
        <v>164.02</v>
      </c>
    </row>
    <row r="1458" spans="1:20" x14ac:dyDescent="0.3">
      <c r="A1458" s="18">
        <v>51457</v>
      </c>
      <c r="B1458" s="18">
        <v>0</v>
      </c>
      <c r="C1458" s="18">
        <v>21</v>
      </c>
      <c r="D1458" s="18" t="s">
        <v>31</v>
      </c>
      <c r="E1458" s="18">
        <v>1</v>
      </c>
      <c r="F1458" s="18">
        <v>24</v>
      </c>
      <c r="G1458" s="18" t="s">
        <v>39</v>
      </c>
      <c r="H1458" s="18" t="s">
        <v>38</v>
      </c>
      <c r="I1458" s="18">
        <v>2.7</v>
      </c>
      <c r="J1458" s="18">
        <v>2</v>
      </c>
      <c r="K1458" s="18" t="s">
        <v>34</v>
      </c>
      <c r="L1458" s="18">
        <v>4</v>
      </c>
      <c r="M1458" s="18" t="s">
        <v>35</v>
      </c>
      <c r="N1458" s="18">
        <v>3</v>
      </c>
      <c r="O1458" s="18">
        <v>0</v>
      </c>
      <c r="P1458" s="18">
        <v>16.2</v>
      </c>
      <c r="Q1458" s="18">
        <v>3</v>
      </c>
      <c r="R1458" s="18">
        <v>6</v>
      </c>
      <c r="S1458" s="18">
        <v>8</v>
      </c>
      <c r="T1458" s="18">
        <v>311.97000000000003</v>
      </c>
    </row>
    <row r="1459" spans="1:20" x14ac:dyDescent="0.3">
      <c r="A1459" s="18">
        <v>51458</v>
      </c>
      <c r="B1459" s="18">
        <v>0</v>
      </c>
      <c r="C1459" s="18">
        <v>8</v>
      </c>
      <c r="D1459" s="18" t="s">
        <v>36</v>
      </c>
      <c r="E1459" s="18">
        <v>1</v>
      </c>
      <c r="F1459" s="18">
        <v>17</v>
      </c>
      <c r="G1459" s="18" t="s">
        <v>37</v>
      </c>
      <c r="H1459" s="18" t="s">
        <v>33</v>
      </c>
      <c r="I1459" s="18">
        <v>3.8</v>
      </c>
      <c r="J1459" s="18">
        <v>4</v>
      </c>
      <c r="K1459" s="18" t="s">
        <v>36</v>
      </c>
      <c r="L1459" s="18">
        <v>5</v>
      </c>
      <c r="M1459" s="18" t="s">
        <v>41</v>
      </c>
      <c r="N1459" s="18">
        <v>3</v>
      </c>
      <c r="O1459" s="18">
        <v>1</v>
      </c>
      <c r="P1459" s="18">
        <v>15.1</v>
      </c>
      <c r="Q1459" s="18">
        <v>2</v>
      </c>
      <c r="R1459" s="18">
        <v>6</v>
      </c>
      <c r="S1459" s="18">
        <v>6</v>
      </c>
      <c r="T1459" s="18">
        <v>225.64</v>
      </c>
    </row>
    <row r="1460" spans="1:20" x14ac:dyDescent="0.3">
      <c r="A1460" s="18">
        <v>51459</v>
      </c>
      <c r="B1460" s="18">
        <v>0</v>
      </c>
      <c r="C1460" s="18">
        <v>7</v>
      </c>
      <c r="D1460" s="18" t="s">
        <v>42</v>
      </c>
      <c r="E1460" s="18">
        <v>1</v>
      </c>
      <c r="F1460" s="18"/>
      <c r="G1460" s="18" t="s">
        <v>39</v>
      </c>
      <c r="H1460" s="18" t="s">
        <v>33</v>
      </c>
      <c r="I1460" s="18">
        <v>3</v>
      </c>
      <c r="J1460" s="18">
        <v>4</v>
      </c>
      <c r="K1460" s="18" t="s">
        <v>44</v>
      </c>
      <c r="L1460" s="18">
        <v>5</v>
      </c>
      <c r="M1460" s="18" t="s">
        <v>35</v>
      </c>
      <c r="N1460" s="18">
        <v>1</v>
      </c>
      <c r="O1460" s="18">
        <v>0</v>
      </c>
      <c r="P1460" s="18">
        <v>18</v>
      </c>
      <c r="Q1460" s="18">
        <v>2</v>
      </c>
      <c r="R1460" s="18">
        <v>6</v>
      </c>
      <c r="S1460" s="18">
        <v>2</v>
      </c>
      <c r="T1460" s="18">
        <v>154.99</v>
      </c>
    </row>
    <row r="1461" spans="1:20" x14ac:dyDescent="0.3">
      <c r="A1461" s="18">
        <v>51460</v>
      </c>
      <c r="B1461" s="18">
        <v>0</v>
      </c>
      <c r="C1461" s="18">
        <v>5</v>
      </c>
      <c r="D1461" s="18" t="s">
        <v>42</v>
      </c>
      <c r="E1461" s="18">
        <v>1</v>
      </c>
      <c r="F1461" s="18">
        <v>17</v>
      </c>
      <c r="G1461" s="18" t="s">
        <v>37</v>
      </c>
      <c r="H1461" s="18" t="s">
        <v>33</v>
      </c>
      <c r="I1461" s="18">
        <v>2.2000000000000002</v>
      </c>
      <c r="J1461" s="18">
        <v>4</v>
      </c>
      <c r="K1461" s="18" t="s">
        <v>36</v>
      </c>
      <c r="L1461" s="18">
        <v>3</v>
      </c>
      <c r="M1461" s="18" t="s">
        <v>41</v>
      </c>
      <c r="N1461" s="18">
        <v>19</v>
      </c>
      <c r="O1461" s="18">
        <v>0</v>
      </c>
      <c r="P1461" s="18">
        <v>13</v>
      </c>
      <c r="Q1461" s="18">
        <v>3</v>
      </c>
      <c r="R1461" s="18">
        <v>7</v>
      </c>
      <c r="S1461" s="18">
        <v>10</v>
      </c>
      <c r="T1461" s="18">
        <v>184.63</v>
      </c>
    </row>
    <row r="1462" spans="1:20" x14ac:dyDescent="0.3">
      <c r="A1462" s="18">
        <v>51461</v>
      </c>
      <c r="B1462" s="18">
        <v>1</v>
      </c>
      <c r="C1462" s="18">
        <v>3</v>
      </c>
      <c r="D1462" s="18" t="s">
        <v>36</v>
      </c>
      <c r="E1462" s="18">
        <v>1</v>
      </c>
      <c r="F1462" s="18">
        <v>5</v>
      </c>
      <c r="G1462" s="18" t="s">
        <v>37</v>
      </c>
      <c r="H1462" s="18" t="s">
        <v>38</v>
      </c>
      <c r="I1462" s="18">
        <v>4.2</v>
      </c>
      <c r="J1462" s="18">
        <v>4</v>
      </c>
      <c r="K1462" s="18" t="s">
        <v>46</v>
      </c>
      <c r="L1462" s="18">
        <v>2</v>
      </c>
      <c r="M1462" s="18" t="s">
        <v>41</v>
      </c>
      <c r="N1462" s="18">
        <v>5</v>
      </c>
      <c r="O1462" s="18">
        <v>0</v>
      </c>
      <c r="P1462" s="18">
        <v>16.5</v>
      </c>
      <c r="Q1462" s="18">
        <v>2</v>
      </c>
      <c r="R1462" s="18">
        <v>3</v>
      </c>
      <c r="S1462" s="18">
        <v>0</v>
      </c>
      <c r="T1462" s="18">
        <v>214.94</v>
      </c>
    </row>
    <row r="1463" spans="1:20" x14ac:dyDescent="0.3">
      <c r="A1463" s="18">
        <v>51462</v>
      </c>
      <c r="B1463" s="18">
        <v>0</v>
      </c>
      <c r="C1463" s="18">
        <v>5</v>
      </c>
      <c r="D1463" s="18" t="s">
        <v>42</v>
      </c>
      <c r="E1463" s="18">
        <v>3</v>
      </c>
      <c r="F1463" s="18">
        <v>5</v>
      </c>
      <c r="G1463" s="18" t="s">
        <v>37</v>
      </c>
      <c r="H1463" s="18" t="s">
        <v>33</v>
      </c>
      <c r="I1463" s="18">
        <v>3.6</v>
      </c>
      <c r="J1463" s="18">
        <v>3</v>
      </c>
      <c r="K1463" s="18" t="s">
        <v>44</v>
      </c>
      <c r="L1463" s="18">
        <v>2</v>
      </c>
      <c r="M1463" s="18" t="s">
        <v>35</v>
      </c>
      <c r="N1463" s="18">
        <v>7</v>
      </c>
      <c r="O1463" s="18">
        <v>0</v>
      </c>
      <c r="P1463" s="18">
        <v>11.8</v>
      </c>
      <c r="Q1463" s="18">
        <v>1</v>
      </c>
      <c r="R1463" s="18">
        <v>4</v>
      </c>
      <c r="S1463" s="18">
        <v>1</v>
      </c>
      <c r="T1463" s="18">
        <v>171.7</v>
      </c>
    </row>
    <row r="1464" spans="1:20" x14ac:dyDescent="0.3">
      <c r="A1464" s="18">
        <v>51463</v>
      </c>
      <c r="B1464" s="18">
        <v>0</v>
      </c>
      <c r="C1464" s="18">
        <v>14</v>
      </c>
      <c r="D1464" s="18" t="s">
        <v>36</v>
      </c>
      <c r="E1464" s="18">
        <v>1</v>
      </c>
      <c r="F1464" s="18">
        <v>5</v>
      </c>
      <c r="G1464" s="18" t="s">
        <v>37</v>
      </c>
      <c r="H1464" s="18" t="s">
        <v>33</v>
      </c>
      <c r="I1464" s="18">
        <v>2.8</v>
      </c>
      <c r="J1464" s="18">
        <v>3</v>
      </c>
      <c r="K1464" s="18" t="s">
        <v>40</v>
      </c>
      <c r="L1464" s="18">
        <v>5</v>
      </c>
      <c r="M1464" s="18" t="s">
        <v>35</v>
      </c>
      <c r="N1464" s="18">
        <v>1</v>
      </c>
      <c r="O1464" s="18">
        <v>0</v>
      </c>
      <c r="P1464" s="18">
        <v>16.3</v>
      </c>
      <c r="Q1464" s="18">
        <v>1</v>
      </c>
      <c r="R1464" s="18">
        <v>7</v>
      </c>
      <c r="S1464" s="18">
        <v>3</v>
      </c>
      <c r="T1464" s="18">
        <v>187.36</v>
      </c>
    </row>
    <row r="1465" spans="1:20" x14ac:dyDescent="0.3">
      <c r="A1465" s="18">
        <v>51464</v>
      </c>
      <c r="B1465" s="18">
        <v>1</v>
      </c>
      <c r="C1465" s="18">
        <v>9</v>
      </c>
      <c r="D1465" s="18" t="s">
        <v>36</v>
      </c>
      <c r="E1465" s="18">
        <v>3</v>
      </c>
      <c r="F1465" s="18">
        <v>20</v>
      </c>
      <c r="G1465" s="18" t="s">
        <v>39</v>
      </c>
      <c r="H1465" s="18" t="s">
        <v>33</v>
      </c>
      <c r="I1465" s="18">
        <v>3.4</v>
      </c>
      <c r="J1465" s="18">
        <v>2</v>
      </c>
      <c r="K1465" s="18" t="s">
        <v>36</v>
      </c>
      <c r="L1465" s="18">
        <v>5</v>
      </c>
      <c r="M1465" s="18" t="s">
        <v>35</v>
      </c>
      <c r="N1465" s="18">
        <v>2</v>
      </c>
      <c r="O1465" s="18">
        <v>1</v>
      </c>
      <c r="P1465" s="18">
        <v>15.5</v>
      </c>
      <c r="Q1465" s="18">
        <v>2</v>
      </c>
      <c r="R1465" s="18">
        <v>2</v>
      </c>
      <c r="S1465" s="18">
        <v>0</v>
      </c>
      <c r="T1465" s="18">
        <v>135.05000000000001</v>
      </c>
    </row>
    <row r="1466" spans="1:20" x14ac:dyDescent="0.3">
      <c r="A1466" s="18">
        <v>51465</v>
      </c>
      <c r="B1466" s="18">
        <v>0</v>
      </c>
      <c r="C1466" s="18">
        <v>22</v>
      </c>
      <c r="D1466" s="18" t="s">
        <v>36</v>
      </c>
      <c r="E1466" s="18">
        <v>2</v>
      </c>
      <c r="F1466" s="18">
        <v>24</v>
      </c>
      <c r="G1466" s="18" t="s">
        <v>39</v>
      </c>
      <c r="H1466" s="18" t="s">
        <v>38</v>
      </c>
      <c r="I1466" s="18">
        <v>2.6</v>
      </c>
      <c r="J1466" s="18">
        <v>3</v>
      </c>
      <c r="K1466" s="18" t="s">
        <v>44</v>
      </c>
      <c r="L1466" s="18">
        <v>4</v>
      </c>
      <c r="M1466" s="18" t="s">
        <v>41</v>
      </c>
      <c r="N1466" s="18">
        <v>2</v>
      </c>
      <c r="O1466" s="18">
        <v>1</v>
      </c>
      <c r="P1466" s="18">
        <v>13.2</v>
      </c>
      <c r="Q1466" s="18">
        <v>1</v>
      </c>
      <c r="R1466" s="18">
        <v>3</v>
      </c>
      <c r="S1466" s="18">
        <v>0</v>
      </c>
      <c r="T1466" s="18">
        <v>87.31</v>
      </c>
    </row>
    <row r="1467" spans="1:20" x14ac:dyDescent="0.3">
      <c r="A1467" s="18">
        <v>51466</v>
      </c>
      <c r="B1467" s="18">
        <v>0</v>
      </c>
      <c r="C1467" s="18">
        <v>5</v>
      </c>
      <c r="D1467" s="18" t="s">
        <v>31</v>
      </c>
      <c r="E1467" s="18">
        <v>1</v>
      </c>
      <c r="F1467" s="18">
        <v>29</v>
      </c>
      <c r="G1467" s="18" t="s">
        <v>32</v>
      </c>
      <c r="H1467" s="18" t="s">
        <v>38</v>
      </c>
      <c r="I1467" s="18">
        <v>3.5</v>
      </c>
      <c r="J1467" s="18">
        <v>3</v>
      </c>
      <c r="K1467" s="18" t="s">
        <v>46</v>
      </c>
      <c r="L1467" s="18">
        <v>4</v>
      </c>
      <c r="M1467" s="18" t="s">
        <v>35</v>
      </c>
      <c r="N1467" s="18">
        <v>1</v>
      </c>
      <c r="O1467" s="18">
        <v>0</v>
      </c>
      <c r="P1467" s="18">
        <v>16.600000000000001</v>
      </c>
      <c r="Q1467" s="18">
        <v>0</v>
      </c>
      <c r="R1467" s="18">
        <v>5</v>
      </c>
      <c r="S1467" s="18">
        <v>2</v>
      </c>
      <c r="T1467" s="18">
        <v>185.85</v>
      </c>
    </row>
    <row r="1468" spans="1:20" x14ac:dyDescent="0.3">
      <c r="A1468" s="18">
        <v>51467</v>
      </c>
      <c r="B1468" s="18">
        <v>0</v>
      </c>
      <c r="C1468" s="18">
        <v>9</v>
      </c>
      <c r="D1468" s="18" t="s">
        <v>31</v>
      </c>
      <c r="E1468" s="18">
        <v>1</v>
      </c>
      <c r="F1468" s="18">
        <v>21</v>
      </c>
      <c r="G1468" s="18" t="s">
        <v>37</v>
      </c>
      <c r="H1468" s="18" t="s">
        <v>33</v>
      </c>
      <c r="I1468" s="18">
        <v>1.2</v>
      </c>
      <c r="J1468" s="18">
        <v>3</v>
      </c>
      <c r="K1468" s="18" t="s">
        <v>36</v>
      </c>
      <c r="L1468" s="18">
        <v>4</v>
      </c>
      <c r="M1468" s="18" t="s">
        <v>35</v>
      </c>
      <c r="N1468" s="18">
        <v>4</v>
      </c>
      <c r="O1468" s="18">
        <v>1</v>
      </c>
      <c r="P1468" s="18"/>
      <c r="Q1468" s="18">
        <v>3</v>
      </c>
      <c r="R1468" s="18">
        <v>2</v>
      </c>
      <c r="S1468" s="18">
        <v>14</v>
      </c>
      <c r="T1468" s="18">
        <v>187.7</v>
      </c>
    </row>
    <row r="1469" spans="1:20" x14ac:dyDescent="0.3">
      <c r="A1469" s="18">
        <v>51468</v>
      </c>
      <c r="B1469" s="18">
        <v>0</v>
      </c>
      <c r="C1469" s="18">
        <v>9</v>
      </c>
      <c r="D1469" s="18" t="s">
        <v>36</v>
      </c>
      <c r="E1469" s="18">
        <v>1</v>
      </c>
      <c r="F1469" s="18">
        <v>24</v>
      </c>
      <c r="G1469" s="18" t="s">
        <v>37</v>
      </c>
      <c r="H1469" s="18" t="s">
        <v>38</v>
      </c>
      <c r="I1469" s="18">
        <v>2.2000000000000002</v>
      </c>
      <c r="J1469" s="18">
        <v>3</v>
      </c>
      <c r="K1469" s="18" t="s">
        <v>44</v>
      </c>
      <c r="L1469" s="18">
        <v>4</v>
      </c>
      <c r="M1469" s="18" t="s">
        <v>41</v>
      </c>
      <c r="N1469" s="18">
        <v>8</v>
      </c>
      <c r="O1469" s="18">
        <v>0</v>
      </c>
      <c r="P1469" s="18">
        <v>20.100000000000001</v>
      </c>
      <c r="Q1469" s="18"/>
      <c r="R1469" s="18">
        <v>3</v>
      </c>
      <c r="S1469" s="18">
        <v>11</v>
      </c>
      <c r="T1469" s="18">
        <v>208.99</v>
      </c>
    </row>
    <row r="1470" spans="1:20" x14ac:dyDescent="0.3">
      <c r="A1470" s="18">
        <v>51469</v>
      </c>
      <c r="B1470" s="18">
        <v>0</v>
      </c>
      <c r="C1470" s="18">
        <v>8</v>
      </c>
      <c r="D1470" s="18" t="s">
        <v>31</v>
      </c>
      <c r="E1470" s="18">
        <v>2</v>
      </c>
      <c r="F1470" s="18">
        <v>10</v>
      </c>
      <c r="G1470" s="18" t="s">
        <v>39</v>
      </c>
      <c r="H1470" s="18" t="s">
        <v>33</v>
      </c>
      <c r="I1470" s="18">
        <v>3.6</v>
      </c>
      <c r="J1470" s="18">
        <v>3</v>
      </c>
      <c r="K1470" s="18" t="s">
        <v>46</v>
      </c>
      <c r="L1470" s="18">
        <v>4</v>
      </c>
      <c r="M1470" s="18" t="s">
        <v>41</v>
      </c>
      <c r="N1470" s="18">
        <v>1</v>
      </c>
      <c r="O1470" s="18">
        <v>0</v>
      </c>
      <c r="P1470" s="18">
        <v>11</v>
      </c>
      <c r="Q1470" s="18">
        <v>4</v>
      </c>
      <c r="R1470" s="18">
        <v>4</v>
      </c>
      <c r="S1470" s="18">
        <v>3</v>
      </c>
      <c r="T1470" s="18">
        <v>148.31</v>
      </c>
    </row>
    <row r="1471" spans="1:20" x14ac:dyDescent="0.3">
      <c r="A1471" s="18">
        <v>51470</v>
      </c>
      <c r="B1471" s="18">
        <v>0</v>
      </c>
      <c r="C1471" s="18">
        <v>12</v>
      </c>
      <c r="D1471" s="18" t="s">
        <v>31</v>
      </c>
      <c r="E1471" s="18">
        <v>1</v>
      </c>
      <c r="F1471" s="18">
        <v>5</v>
      </c>
      <c r="G1471" s="18" t="s">
        <v>37</v>
      </c>
      <c r="H1471" s="18" t="s">
        <v>33</v>
      </c>
      <c r="I1471" s="18">
        <v>2.7</v>
      </c>
      <c r="J1471" s="18">
        <v>2</v>
      </c>
      <c r="K1471" s="18" t="s">
        <v>40</v>
      </c>
      <c r="L1471" s="18">
        <v>4</v>
      </c>
      <c r="M1471" s="18" t="s">
        <v>35</v>
      </c>
      <c r="N1471" s="18">
        <v>1</v>
      </c>
      <c r="O1471" s="18">
        <v>1</v>
      </c>
      <c r="P1471" s="18">
        <v>15.7</v>
      </c>
      <c r="Q1471" s="18">
        <v>2</v>
      </c>
      <c r="R1471" s="18">
        <v>1</v>
      </c>
      <c r="S1471" s="18">
        <v>0</v>
      </c>
      <c r="T1471" s="18">
        <v>106.27</v>
      </c>
    </row>
    <row r="1472" spans="1:20" x14ac:dyDescent="0.3">
      <c r="A1472" s="18">
        <v>51471</v>
      </c>
      <c r="B1472" s="18">
        <v>0</v>
      </c>
      <c r="C1472" s="18">
        <v>2</v>
      </c>
      <c r="D1472" s="18" t="s">
        <v>31</v>
      </c>
      <c r="E1472" s="18">
        <v>1</v>
      </c>
      <c r="F1472" s="18">
        <v>21</v>
      </c>
      <c r="G1472" s="18" t="s">
        <v>37</v>
      </c>
      <c r="H1472" s="18" t="s">
        <v>38</v>
      </c>
      <c r="I1472" s="18">
        <v>3</v>
      </c>
      <c r="J1472" s="18">
        <v>4</v>
      </c>
      <c r="K1472" s="18" t="s">
        <v>46</v>
      </c>
      <c r="L1472" s="18">
        <v>3</v>
      </c>
      <c r="M1472" s="18" t="s">
        <v>35</v>
      </c>
      <c r="N1472" s="18">
        <v>4</v>
      </c>
      <c r="O1472" s="18">
        <v>0</v>
      </c>
      <c r="P1472" s="18">
        <v>13.3</v>
      </c>
      <c r="Q1472" s="18">
        <v>3</v>
      </c>
      <c r="R1472" s="18">
        <v>4</v>
      </c>
      <c r="S1472" s="18">
        <v>0</v>
      </c>
      <c r="T1472" s="18">
        <v>126.91</v>
      </c>
    </row>
    <row r="1473" spans="1:20" x14ac:dyDescent="0.3">
      <c r="A1473" s="18">
        <v>51472</v>
      </c>
      <c r="B1473" s="18">
        <v>0</v>
      </c>
      <c r="C1473" s="18">
        <v>7</v>
      </c>
      <c r="D1473" s="18" t="s">
        <v>36</v>
      </c>
      <c r="E1473" s="18">
        <v>1</v>
      </c>
      <c r="F1473" s="18">
        <v>18</v>
      </c>
      <c r="G1473" s="18" t="s">
        <v>37</v>
      </c>
      <c r="H1473" s="18" t="s">
        <v>33</v>
      </c>
      <c r="I1473" s="18">
        <v>2</v>
      </c>
      <c r="J1473" s="18">
        <v>3</v>
      </c>
      <c r="K1473" s="18" t="s">
        <v>40</v>
      </c>
      <c r="L1473" s="18">
        <v>2</v>
      </c>
      <c r="M1473" s="18" t="s">
        <v>41</v>
      </c>
      <c r="N1473" s="18">
        <v>1</v>
      </c>
      <c r="O1473" s="18">
        <v>0</v>
      </c>
      <c r="P1473" s="18">
        <v>19</v>
      </c>
      <c r="Q1473" s="18">
        <v>1</v>
      </c>
      <c r="R1473" s="18">
        <v>3</v>
      </c>
      <c r="S1473" s="18">
        <v>2</v>
      </c>
      <c r="T1473" s="18">
        <v>238.06</v>
      </c>
    </row>
    <row r="1474" spans="1:20" x14ac:dyDescent="0.3">
      <c r="A1474" s="18">
        <v>51473</v>
      </c>
      <c r="B1474" s="18">
        <v>0</v>
      </c>
      <c r="C1474" s="18">
        <v>1</v>
      </c>
      <c r="D1474" s="18" t="s">
        <v>42</v>
      </c>
      <c r="E1474" s="18">
        <v>2</v>
      </c>
      <c r="F1474" s="18">
        <v>15</v>
      </c>
      <c r="G1474" s="18" t="s">
        <v>47</v>
      </c>
      <c r="H1474" s="18" t="s">
        <v>33</v>
      </c>
      <c r="I1474" s="18">
        <v>4.2</v>
      </c>
      <c r="J1474" s="18">
        <v>3</v>
      </c>
      <c r="K1474" s="18" t="s">
        <v>40</v>
      </c>
      <c r="L1474" s="18">
        <v>4</v>
      </c>
      <c r="M1474" s="18" t="s">
        <v>41</v>
      </c>
      <c r="N1474" s="18">
        <v>3</v>
      </c>
      <c r="O1474" s="18">
        <v>1</v>
      </c>
      <c r="P1474" s="18">
        <v>18.600000000000001</v>
      </c>
      <c r="Q1474" s="18">
        <v>1</v>
      </c>
      <c r="R1474" s="18">
        <v>1</v>
      </c>
      <c r="S1474" s="18"/>
      <c r="T1474" s="18">
        <v>143.34</v>
      </c>
    </row>
    <row r="1475" spans="1:20" x14ac:dyDescent="0.3">
      <c r="A1475" s="18">
        <v>51474</v>
      </c>
      <c r="B1475" s="18">
        <v>0</v>
      </c>
      <c r="C1475" s="18">
        <v>4</v>
      </c>
      <c r="D1475" s="18" t="s">
        <v>36</v>
      </c>
      <c r="E1475" s="18">
        <v>3</v>
      </c>
      <c r="F1475" s="18">
        <v>18</v>
      </c>
      <c r="G1475" s="18" t="s">
        <v>39</v>
      </c>
      <c r="H1475" s="18" t="s">
        <v>33</v>
      </c>
      <c r="I1475" s="18">
        <v>3.7</v>
      </c>
      <c r="J1475" s="18">
        <v>2</v>
      </c>
      <c r="K1475" s="18" t="s">
        <v>46</v>
      </c>
      <c r="L1475" s="18">
        <v>3</v>
      </c>
      <c r="M1475" s="18" t="s">
        <v>41</v>
      </c>
      <c r="N1475" s="18">
        <v>4</v>
      </c>
      <c r="O1475" s="18">
        <v>0</v>
      </c>
      <c r="P1475" s="18">
        <v>17.8</v>
      </c>
      <c r="Q1475" s="18">
        <v>3</v>
      </c>
      <c r="R1475" s="18">
        <v>3</v>
      </c>
      <c r="S1475" s="18">
        <v>0</v>
      </c>
      <c r="T1475" s="18">
        <v>155.69</v>
      </c>
    </row>
    <row r="1476" spans="1:20" x14ac:dyDescent="0.3">
      <c r="A1476" s="18">
        <v>51475</v>
      </c>
      <c r="B1476" s="18">
        <v>0</v>
      </c>
      <c r="C1476" s="18">
        <v>6</v>
      </c>
      <c r="D1476" s="18" t="s">
        <v>36</v>
      </c>
      <c r="E1476" s="18">
        <v>1</v>
      </c>
      <c r="F1476" s="18">
        <v>17</v>
      </c>
      <c r="G1476" s="18" t="s">
        <v>39</v>
      </c>
      <c r="H1476" s="18" t="s">
        <v>33</v>
      </c>
      <c r="I1476" s="18">
        <v>2.8</v>
      </c>
      <c r="J1476" s="18">
        <v>2</v>
      </c>
      <c r="K1476" s="18" t="s">
        <v>44</v>
      </c>
      <c r="L1476" s="18">
        <v>3</v>
      </c>
      <c r="M1476" s="18" t="s">
        <v>35</v>
      </c>
      <c r="N1476" s="18">
        <v>1</v>
      </c>
      <c r="O1476" s="18">
        <v>0</v>
      </c>
      <c r="P1476" s="18">
        <v>13.5</v>
      </c>
      <c r="Q1476" s="18">
        <v>2</v>
      </c>
      <c r="R1476" s="18">
        <v>4</v>
      </c>
      <c r="S1476" s="18">
        <v>5</v>
      </c>
      <c r="T1476" s="18">
        <v>162.82</v>
      </c>
    </row>
    <row r="1477" spans="1:20" x14ac:dyDescent="0.3">
      <c r="A1477" s="18">
        <v>51476</v>
      </c>
      <c r="B1477" s="18">
        <v>0</v>
      </c>
      <c r="C1477" s="18">
        <v>10</v>
      </c>
      <c r="D1477" s="18" t="s">
        <v>36</v>
      </c>
      <c r="E1477" s="18">
        <v>3</v>
      </c>
      <c r="F1477" s="18">
        <v>25</v>
      </c>
      <c r="G1477" s="18" t="s">
        <v>32</v>
      </c>
      <c r="H1477" s="18" t="s">
        <v>33</v>
      </c>
      <c r="I1477" s="18">
        <v>2.6</v>
      </c>
      <c r="J1477" s="18">
        <v>5</v>
      </c>
      <c r="K1477" s="18" t="s">
        <v>40</v>
      </c>
      <c r="L1477" s="18">
        <v>4</v>
      </c>
      <c r="M1477" s="18" t="s">
        <v>35</v>
      </c>
      <c r="N1477" s="18">
        <v>5</v>
      </c>
      <c r="O1477" s="18">
        <v>0</v>
      </c>
      <c r="P1477" s="18">
        <v>19.100000000000001</v>
      </c>
      <c r="Q1477" s="18">
        <v>1</v>
      </c>
      <c r="R1477" s="18">
        <v>1</v>
      </c>
      <c r="S1477" s="18"/>
      <c r="T1477" s="18">
        <v>145.94</v>
      </c>
    </row>
    <row r="1478" spans="1:20" x14ac:dyDescent="0.3">
      <c r="A1478" s="18">
        <v>51477</v>
      </c>
      <c r="B1478" s="18">
        <v>0</v>
      </c>
      <c r="C1478" s="18">
        <v>30</v>
      </c>
      <c r="D1478" s="18" t="s">
        <v>36</v>
      </c>
      <c r="E1478" s="18">
        <v>2</v>
      </c>
      <c r="F1478" s="18">
        <v>25</v>
      </c>
      <c r="G1478" s="18" t="s">
        <v>43</v>
      </c>
      <c r="H1478" s="18" t="s">
        <v>33</v>
      </c>
      <c r="I1478" s="18">
        <v>3.6</v>
      </c>
      <c r="J1478" s="18">
        <v>4</v>
      </c>
      <c r="K1478" s="18" t="s">
        <v>40</v>
      </c>
      <c r="L1478" s="18">
        <v>4</v>
      </c>
      <c r="M1478" s="18" t="s">
        <v>35</v>
      </c>
      <c r="N1478" s="18">
        <v>2</v>
      </c>
      <c r="O1478" s="18">
        <v>0</v>
      </c>
      <c r="P1478" s="18">
        <v>11</v>
      </c>
      <c r="Q1478" s="18">
        <v>3</v>
      </c>
      <c r="R1478" s="18">
        <v>3</v>
      </c>
      <c r="S1478" s="18">
        <v>1</v>
      </c>
      <c r="T1478" s="18">
        <v>141.87</v>
      </c>
    </row>
    <row r="1479" spans="1:20" x14ac:dyDescent="0.3">
      <c r="A1479" s="18">
        <v>51478</v>
      </c>
      <c r="B1479" s="18">
        <v>0</v>
      </c>
      <c r="C1479" s="18">
        <v>9</v>
      </c>
      <c r="D1479" s="18" t="s">
        <v>42</v>
      </c>
      <c r="E1479" s="18">
        <v>3</v>
      </c>
      <c r="F1479" s="18">
        <v>19</v>
      </c>
      <c r="G1479" s="18" t="s">
        <v>39</v>
      </c>
      <c r="H1479" s="18" t="s">
        <v>33</v>
      </c>
      <c r="I1479" s="18">
        <v>4.3</v>
      </c>
      <c r="J1479" s="18">
        <v>2</v>
      </c>
      <c r="K1479" s="18" t="s">
        <v>44</v>
      </c>
      <c r="L1479" s="18">
        <v>5</v>
      </c>
      <c r="M1479" s="18" t="s">
        <v>35</v>
      </c>
      <c r="N1479" s="18">
        <v>7</v>
      </c>
      <c r="O1479" s="18">
        <v>1</v>
      </c>
      <c r="P1479" s="18">
        <v>11</v>
      </c>
      <c r="Q1479" s="18">
        <v>0</v>
      </c>
      <c r="R1479" s="18">
        <v>4</v>
      </c>
      <c r="S1479" s="18">
        <v>7</v>
      </c>
      <c r="T1479" s="18">
        <v>132.09</v>
      </c>
    </row>
    <row r="1480" spans="1:20" x14ac:dyDescent="0.3">
      <c r="A1480" s="18">
        <v>51479</v>
      </c>
      <c r="B1480" s="18">
        <v>0</v>
      </c>
      <c r="C1480" s="18">
        <v>13</v>
      </c>
      <c r="D1480" s="18" t="s">
        <v>36</v>
      </c>
      <c r="E1480" s="18">
        <v>3</v>
      </c>
      <c r="F1480" s="18">
        <v>21</v>
      </c>
      <c r="G1480" s="18" t="s">
        <v>37</v>
      </c>
      <c r="H1480" s="18" t="s">
        <v>33</v>
      </c>
      <c r="I1480" s="18">
        <v>3.6</v>
      </c>
      <c r="J1480" s="18">
        <v>4</v>
      </c>
      <c r="K1480" s="18" t="s">
        <v>36</v>
      </c>
      <c r="L1480" s="18">
        <v>2</v>
      </c>
      <c r="M1480" s="18" t="s">
        <v>45</v>
      </c>
      <c r="N1480" s="18">
        <v>5</v>
      </c>
      <c r="O1480" s="18">
        <v>0</v>
      </c>
      <c r="P1480" s="18">
        <v>11.5</v>
      </c>
      <c r="Q1480" s="18">
        <v>1</v>
      </c>
      <c r="R1480" s="18">
        <v>2</v>
      </c>
      <c r="S1480" s="18">
        <v>7</v>
      </c>
      <c r="T1480" s="18">
        <v>257.04000000000002</v>
      </c>
    </row>
    <row r="1481" spans="1:20" x14ac:dyDescent="0.3">
      <c r="A1481" s="18">
        <v>51480</v>
      </c>
      <c r="B1481" s="18">
        <v>0</v>
      </c>
      <c r="C1481" s="18">
        <v>7</v>
      </c>
      <c r="D1481" s="18" t="s">
        <v>31</v>
      </c>
      <c r="E1481" s="18">
        <v>2</v>
      </c>
      <c r="F1481" s="18">
        <v>19</v>
      </c>
      <c r="G1481" s="18" t="s">
        <v>39</v>
      </c>
      <c r="H1481" s="18" t="s">
        <v>33</v>
      </c>
      <c r="I1481" s="18">
        <v>4.4000000000000004</v>
      </c>
      <c r="J1481" s="18">
        <v>4</v>
      </c>
      <c r="K1481" s="18" t="s">
        <v>44</v>
      </c>
      <c r="L1481" s="18">
        <v>4</v>
      </c>
      <c r="M1481" s="18" t="s">
        <v>35</v>
      </c>
      <c r="N1481" s="18">
        <v>7</v>
      </c>
      <c r="O1481" s="18">
        <v>0</v>
      </c>
      <c r="P1481" s="18">
        <v>15.9</v>
      </c>
      <c r="Q1481" s="18">
        <v>2</v>
      </c>
      <c r="R1481" s="18">
        <v>7</v>
      </c>
      <c r="S1481" s="18"/>
      <c r="T1481" s="18">
        <v>217.41</v>
      </c>
    </row>
    <row r="1482" spans="1:20" x14ac:dyDescent="0.3">
      <c r="A1482" s="18">
        <v>51481</v>
      </c>
      <c r="B1482" s="18">
        <v>0</v>
      </c>
      <c r="C1482" s="18">
        <v>10</v>
      </c>
      <c r="D1482" s="18" t="s">
        <v>36</v>
      </c>
      <c r="E1482" s="18">
        <v>2</v>
      </c>
      <c r="F1482" s="18">
        <v>11</v>
      </c>
      <c r="G1482" s="18" t="s">
        <v>39</v>
      </c>
      <c r="H1482" s="18" t="s">
        <v>33</v>
      </c>
      <c r="I1482" s="18">
        <v>2.2999999999999998</v>
      </c>
      <c r="J1482" s="18">
        <v>3</v>
      </c>
      <c r="K1482" s="18" t="s">
        <v>40</v>
      </c>
      <c r="L1482" s="18">
        <v>2</v>
      </c>
      <c r="M1482" s="18" t="s">
        <v>35</v>
      </c>
      <c r="N1482" s="18">
        <v>1</v>
      </c>
      <c r="O1482" s="18">
        <v>0</v>
      </c>
      <c r="P1482" s="18">
        <v>18.399999999999999</v>
      </c>
      <c r="Q1482" s="18">
        <v>2</v>
      </c>
      <c r="R1482" s="18">
        <v>4</v>
      </c>
      <c r="S1482" s="18">
        <v>0</v>
      </c>
      <c r="T1482" s="18">
        <v>248.63</v>
      </c>
    </row>
    <row r="1483" spans="1:20" x14ac:dyDescent="0.3">
      <c r="A1483" s="18">
        <v>51482</v>
      </c>
      <c r="B1483" s="18">
        <v>0</v>
      </c>
      <c r="C1483" s="18">
        <v>0</v>
      </c>
      <c r="D1483" s="18" t="s">
        <v>36</v>
      </c>
      <c r="E1483" s="18">
        <v>3</v>
      </c>
      <c r="F1483" s="18">
        <v>21</v>
      </c>
      <c r="G1483" s="18" t="s">
        <v>39</v>
      </c>
      <c r="H1483" s="18" t="s">
        <v>33</v>
      </c>
      <c r="I1483" s="18">
        <v>2.2999999999999998</v>
      </c>
      <c r="J1483" s="18">
        <v>5</v>
      </c>
      <c r="K1483" s="18" t="s">
        <v>36</v>
      </c>
      <c r="L1483" s="18">
        <v>5</v>
      </c>
      <c r="M1483" s="18" t="s">
        <v>41</v>
      </c>
      <c r="N1483" s="18">
        <v>1</v>
      </c>
      <c r="O1483" s="18">
        <v>0</v>
      </c>
      <c r="P1483" s="18">
        <v>11</v>
      </c>
      <c r="Q1483" s="18">
        <v>2</v>
      </c>
      <c r="R1483" s="18">
        <v>2</v>
      </c>
      <c r="S1483" s="18">
        <v>12</v>
      </c>
      <c r="T1483" s="18">
        <v>259.70999999999998</v>
      </c>
    </row>
    <row r="1484" spans="1:20" x14ac:dyDescent="0.3">
      <c r="A1484" s="18">
        <v>51483</v>
      </c>
      <c r="B1484" s="18">
        <v>0</v>
      </c>
      <c r="C1484" s="18">
        <v>2</v>
      </c>
      <c r="D1484" s="18" t="s">
        <v>42</v>
      </c>
      <c r="E1484" s="18">
        <v>1</v>
      </c>
      <c r="F1484" s="18">
        <v>5</v>
      </c>
      <c r="G1484" s="18" t="s">
        <v>39</v>
      </c>
      <c r="H1484" s="18" t="s">
        <v>38</v>
      </c>
      <c r="I1484" s="18">
        <v>2.1</v>
      </c>
      <c r="J1484" s="18">
        <v>3</v>
      </c>
      <c r="K1484" s="18" t="s">
        <v>34</v>
      </c>
      <c r="L1484" s="18">
        <v>1</v>
      </c>
      <c r="M1484" s="18" t="s">
        <v>35</v>
      </c>
      <c r="N1484" s="18">
        <v>1</v>
      </c>
      <c r="O1484" s="18">
        <v>0</v>
      </c>
      <c r="P1484" s="18">
        <v>20.6</v>
      </c>
      <c r="Q1484" s="18">
        <v>1</v>
      </c>
      <c r="R1484" s="18">
        <v>3</v>
      </c>
      <c r="S1484" s="18">
        <v>5</v>
      </c>
      <c r="T1484" s="18">
        <v>50.76</v>
      </c>
    </row>
    <row r="1485" spans="1:20" x14ac:dyDescent="0.3">
      <c r="A1485" s="18">
        <v>51484</v>
      </c>
      <c r="B1485" s="18">
        <v>0</v>
      </c>
      <c r="C1485" s="18">
        <v>4</v>
      </c>
      <c r="D1485" s="18" t="s">
        <v>31</v>
      </c>
      <c r="E1485" s="18">
        <v>1</v>
      </c>
      <c r="F1485" s="18">
        <v>23</v>
      </c>
      <c r="G1485" s="18" t="s">
        <v>47</v>
      </c>
      <c r="H1485" s="18" t="s">
        <v>33</v>
      </c>
      <c r="I1485" s="18">
        <v>3.2</v>
      </c>
      <c r="J1485" s="18">
        <v>2</v>
      </c>
      <c r="K1485" s="18" t="s">
        <v>44</v>
      </c>
      <c r="L1485" s="18">
        <v>4</v>
      </c>
      <c r="M1485" s="18" t="s">
        <v>35</v>
      </c>
      <c r="N1485" s="18">
        <v>2</v>
      </c>
      <c r="O1485" s="18">
        <v>0</v>
      </c>
      <c r="P1485" s="18">
        <v>16.5</v>
      </c>
      <c r="Q1485" s="18">
        <v>1</v>
      </c>
      <c r="R1485" s="18">
        <v>5</v>
      </c>
      <c r="S1485" s="18">
        <v>1</v>
      </c>
      <c r="T1485" s="18">
        <v>198.89</v>
      </c>
    </row>
    <row r="1486" spans="1:20" x14ac:dyDescent="0.3">
      <c r="A1486" s="18">
        <v>51485</v>
      </c>
      <c r="B1486" s="18">
        <v>0</v>
      </c>
      <c r="C1486" s="18">
        <v>6</v>
      </c>
      <c r="D1486" s="18" t="s">
        <v>36</v>
      </c>
      <c r="E1486" s="18">
        <v>1</v>
      </c>
      <c r="F1486" s="18">
        <v>5</v>
      </c>
      <c r="G1486" s="18" t="s">
        <v>37</v>
      </c>
      <c r="H1486" s="18" t="s">
        <v>38</v>
      </c>
      <c r="I1486" s="18">
        <v>3</v>
      </c>
      <c r="J1486" s="18">
        <v>4</v>
      </c>
      <c r="K1486" s="18" t="s">
        <v>40</v>
      </c>
      <c r="L1486" s="18">
        <v>4</v>
      </c>
      <c r="M1486" s="18" t="s">
        <v>41</v>
      </c>
      <c r="N1486" s="18">
        <v>7</v>
      </c>
      <c r="O1486" s="18">
        <v>0</v>
      </c>
      <c r="P1486" s="18">
        <v>11</v>
      </c>
      <c r="Q1486" s="18">
        <v>3</v>
      </c>
      <c r="R1486" s="18">
        <v>2</v>
      </c>
      <c r="S1486" s="18">
        <v>4</v>
      </c>
      <c r="T1486" s="18">
        <v>147.76</v>
      </c>
    </row>
    <row r="1487" spans="1:20" x14ac:dyDescent="0.3">
      <c r="A1487" s="18">
        <v>51486</v>
      </c>
      <c r="B1487" s="18">
        <v>0</v>
      </c>
      <c r="C1487" s="18">
        <v>0</v>
      </c>
      <c r="D1487" s="18" t="s">
        <v>36</v>
      </c>
      <c r="E1487" s="18">
        <v>3</v>
      </c>
      <c r="F1487" s="18">
        <v>17</v>
      </c>
      <c r="G1487" s="18" t="s">
        <v>39</v>
      </c>
      <c r="H1487" s="18" t="s">
        <v>38</v>
      </c>
      <c r="I1487" s="18">
        <v>2.8</v>
      </c>
      <c r="J1487" s="18">
        <v>3</v>
      </c>
      <c r="K1487" s="18" t="s">
        <v>44</v>
      </c>
      <c r="L1487" s="18">
        <v>3</v>
      </c>
      <c r="M1487" s="18" t="s">
        <v>45</v>
      </c>
      <c r="N1487" s="18">
        <v>2</v>
      </c>
      <c r="O1487" s="18">
        <v>0</v>
      </c>
      <c r="P1487" s="18">
        <v>16.399999999999999</v>
      </c>
      <c r="Q1487" s="18">
        <v>2</v>
      </c>
      <c r="R1487" s="18">
        <v>6</v>
      </c>
      <c r="S1487" s="18">
        <v>2</v>
      </c>
      <c r="T1487" s="18">
        <v>241.42</v>
      </c>
    </row>
    <row r="1488" spans="1:20" x14ac:dyDescent="0.3">
      <c r="A1488" s="18">
        <v>51487</v>
      </c>
      <c r="B1488" s="18">
        <v>0</v>
      </c>
      <c r="C1488" s="18">
        <v>1</v>
      </c>
      <c r="D1488" s="18" t="s">
        <v>36</v>
      </c>
      <c r="E1488" s="18">
        <v>3</v>
      </c>
      <c r="F1488" s="18">
        <v>8</v>
      </c>
      <c r="G1488" s="18" t="s">
        <v>39</v>
      </c>
      <c r="H1488" s="18" t="s">
        <v>38</v>
      </c>
      <c r="I1488" s="18">
        <v>3.5</v>
      </c>
      <c r="J1488" s="18">
        <v>3</v>
      </c>
      <c r="K1488" s="18" t="s">
        <v>40</v>
      </c>
      <c r="L1488" s="18">
        <v>5</v>
      </c>
      <c r="M1488" s="18" t="s">
        <v>45</v>
      </c>
      <c r="N1488" s="18">
        <v>6</v>
      </c>
      <c r="O1488" s="18">
        <v>0</v>
      </c>
      <c r="P1488" s="18">
        <v>19.8</v>
      </c>
      <c r="Q1488" s="18">
        <v>4</v>
      </c>
      <c r="R1488" s="18">
        <v>6</v>
      </c>
      <c r="S1488" s="18">
        <v>5</v>
      </c>
      <c r="T1488" s="18">
        <v>139.22</v>
      </c>
    </row>
    <row r="1489" spans="1:20" x14ac:dyDescent="0.3">
      <c r="A1489" s="18">
        <v>51488</v>
      </c>
      <c r="B1489" s="18">
        <v>0</v>
      </c>
      <c r="C1489" s="18">
        <v>3</v>
      </c>
      <c r="D1489" s="18" t="s">
        <v>36</v>
      </c>
      <c r="E1489" s="18">
        <v>1</v>
      </c>
      <c r="F1489" s="18">
        <v>19</v>
      </c>
      <c r="G1489" s="18" t="s">
        <v>32</v>
      </c>
      <c r="H1489" s="18" t="s">
        <v>33</v>
      </c>
      <c r="I1489" s="18">
        <v>3.8</v>
      </c>
      <c r="J1489" s="18">
        <v>4</v>
      </c>
      <c r="K1489" s="18" t="s">
        <v>40</v>
      </c>
      <c r="L1489" s="18">
        <v>5</v>
      </c>
      <c r="M1489" s="18" t="s">
        <v>35</v>
      </c>
      <c r="N1489" s="18">
        <v>1</v>
      </c>
      <c r="O1489" s="18">
        <v>0</v>
      </c>
      <c r="P1489" s="18">
        <v>18.100000000000001</v>
      </c>
      <c r="Q1489" s="18">
        <v>3</v>
      </c>
      <c r="R1489" s="18">
        <v>2</v>
      </c>
      <c r="S1489" s="18">
        <v>3</v>
      </c>
      <c r="T1489" s="18">
        <v>122.02</v>
      </c>
    </row>
    <row r="1490" spans="1:20" x14ac:dyDescent="0.3">
      <c r="A1490" s="18">
        <v>51489</v>
      </c>
      <c r="B1490" s="18">
        <v>1</v>
      </c>
      <c r="C1490" s="18">
        <v>35</v>
      </c>
      <c r="D1490" s="18" t="s">
        <v>31</v>
      </c>
      <c r="E1490" s="18">
        <v>2</v>
      </c>
      <c r="F1490" s="18">
        <v>14</v>
      </c>
      <c r="G1490" s="18" t="s">
        <v>39</v>
      </c>
      <c r="H1490" s="18" t="s">
        <v>33</v>
      </c>
      <c r="I1490" s="18">
        <v>1.8</v>
      </c>
      <c r="J1490" s="18">
        <v>2</v>
      </c>
      <c r="K1490" s="18" t="s">
        <v>40</v>
      </c>
      <c r="L1490" s="18">
        <v>3</v>
      </c>
      <c r="M1490" s="18" t="s">
        <v>35</v>
      </c>
      <c r="N1490" s="18">
        <v>1</v>
      </c>
      <c r="O1490" s="18">
        <v>1</v>
      </c>
      <c r="P1490" s="18">
        <v>19.8</v>
      </c>
      <c r="Q1490" s="18">
        <v>2</v>
      </c>
      <c r="R1490" s="18">
        <v>3</v>
      </c>
      <c r="S1490" s="18">
        <v>3</v>
      </c>
      <c r="T1490" s="18">
        <v>101.13</v>
      </c>
    </row>
    <row r="1491" spans="1:20" x14ac:dyDescent="0.3">
      <c r="A1491" s="18">
        <v>51490</v>
      </c>
      <c r="B1491" s="18">
        <v>1</v>
      </c>
      <c r="C1491" s="18">
        <v>4</v>
      </c>
      <c r="D1491" s="18" t="s">
        <v>31</v>
      </c>
      <c r="E1491" s="18">
        <v>1</v>
      </c>
      <c r="F1491" s="18">
        <v>5</v>
      </c>
      <c r="G1491" s="18" t="s">
        <v>47</v>
      </c>
      <c r="H1491" s="18" t="s">
        <v>33</v>
      </c>
      <c r="I1491" s="18">
        <v>2.5</v>
      </c>
      <c r="J1491" s="18">
        <v>4</v>
      </c>
      <c r="K1491" s="18" t="s">
        <v>46</v>
      </c>
      <c r="L1491" s="18">
        <v>1</v>
      </c>
      <c r="M1491" s="18" t="s">
        <v>35</v>
      </c>
      <c r="N1491" s="18">
        <v>7</v>
      </c>
      <c r="O1491" s="18">
        <v>1</v>
      </c>
      <c r="P1491" s="18">
        <v>11.2</v>
      </c>
      <c r="Q1491" s="18"/>
      <c r="R1491" s="18">
        <v>3</v>
      </c>
      <c r="S1491" s="18">
        <v>6</v>
      </c>
      <c r="T1491" s="18">
        <v>163.35</v>
      </c>
    </row>
    <row r="1492" spans="1:20" x14ac:dyDescent="0.3">
      <c r="A1492" s="18">
        <v>51491</v>
      </c>
      <c r="B1492" s="18">
        <v>0</v>
      </c>
      <c r="C1492" s="18">
        <v>6</v>
      </c>
      <c r="D1492" s="18" t="s">
        <v>36</v>
      </c>
      <c r="E1492" s="18">
        <v>1</v>
      </c>
      <c r="F1492" s="18">
        <v>18</v>
      </c>
      <c r="G1492" s="18" t="s">
        <v>39</v>
      </c>
      <c r="H1492" s="18" t="s">
        <v>38</v>
      </c>
      <c r="I1492" s="18">
        <v>3.5</v>
      </c>
      <c r="J1492" s="18">
        <v>2</v>
      </c>
      <c r="K1492" s="18" t="s">
        <v>46</v>
      </c>
      <c r="L1492" s="18">
        <v>3</v>
      </c>
      <c r="M1492" s="18" t="s">
        <v>41</v>
      </c>
      <c r="N1492" s="18">
        <v>1</v>
      </c>
      <c r="O1492" s="18">
        <v>0</v>
      </c>
      <c r="P1492" s="18">
        <v>14.6</v>
      </c>
      <c r="Q1492" s="18">
        <v>3</v>
      </c>
      <c r="R1492" s="18">
        <v>5</v>
      </c>
      <c r="S1492" s="18">
        <v>4</v>
      </c>
      <c r="T1492" s="18">
        <v>230.32</v>
      </c>
    </row>
    <row r="1493" spans="1:20" x14ac:dyDescent="0.3">
      <c r="A1493" s="18">
        <v>51492</v>
      </c>
      <c r="B1493" s="18">
        <v>0</v>
      </c>
      <c r="C1493" s="18">
        <v>2</v>
      </c>
      <c r="D1493" s="18" t="s">
        <v>42</v>
      </c>
      <c r="E1493" s="18">
        <v>3</v>
      </c>
      <c r="F1493" s="18">
        <v>10</v>
      </c>
      <c r="G1493" s="18" t="s">
        <v>37</v>
      </c>
      <c r="H1493" s="18" t="s">
        <v>33</v>
      </c>
      <c r="I1493" s="18">
        <v>2.6</v>
      </c>
      <c r="J1493" s="18">
        <v>2</v>
      </c>
      <c r="K1493" s="18" t="s">
        <v>44</v>
      </c>
      <c r="L1493" s="18">
        <v>3</v>
      </c>
      <c r="M1493" s="18" t="s">
        <v>41</v>
      </c>
      <c r="N1493" s="18">
        <v>5</v>
      </c>
      <c r="O1493" s="18">
        <v>0</v>
      </c>
      <c r="P1493" s="18">
        <v>12.8</v>
      </c>
      <c r="Q1493" s="18">
        <v>0</v>
      </c>
      <c r="R1493" s="18">
        <v>3</v>
      </c>
      <c r="S1493" s="18">
        <v>0</v>
      </c>
      <c r="T1493" s="18">
        <v>194.09</v>
      </c>
    </row>
    <row r="1494" spans="1:20" x14ac:dyDescent="0.3">
      <c r="A1494" s="18">
        <v>51493</v>
      </c>
      <c r="B1494" s="18">
        <v>0</v>
      </c>
      <c r="C1494" s="18">
        <v>9</v>
      </c>
      <c r="D1494" s="18" t="s">
        <v>31</v>
      </c>
      <c r="E1494" s="18">
        <v>1</v>
      </c>
      <c r="F1494" s="18">
        <v>22</v>
      </c>
      <c r="G1494" s="18" t="s">
        <v>39</v>
      </c>
      <c r="H1494" s="18" t="s">
        <v>38</v>
      </c>
      <c r="I1494" s="18">
        <v>2.2999999999999998</v>
      </c>
      <c r="J1494" s="18">
        <v>3</v>
      </c>
      <c r="K1494" s="18" t="s">
        <v>36</v>
      </c>
      <c r="L1494" s="18">
        <v>5</v>
      </c>
      <c r="M1494" s="18" t="s">
        <v>35</v>
      </c>
      <c r="N1494" s="18">
        <v>1</v>
      </c>
      <c r="O1494" s="18">
        <v>1</v>
      </c>
      <c r="P1494" s="18">
        <v>22</v>
      </c>
      <c r="Q1494" s="18">
        <v>2</v>
      </c>
      <c r="R1494" s="18">
        <v>3</v>
      </c>
      <c r="S1494" s="18">
        <v>0</v>
      </c>
      <c r="T1494" s="18">
        <v>113.85</v>
      </c>
    </row>
    <row r="1495" spans="1:20" x14ac:dyDescent="0.3">
      <c r="A1495" s="18">
        <v>51494</v>
      </c>
      <c r="B1495" s="18">
        <v>0</v>
      </c>
      <c r="C1495" s="18">
        <v>3</v>
      </c>
      <c r="D1495" s="18" t="s">
        <v>36</v>
      </c>
      <c r="E1495" s="18">
        <v>1</v>
      </c>
      <c r="F1495" s="18">
        <v>15</v>
      </c>
      <c r="G1495" s="18" t="s">
        <v>39</v>
      </c>
      <c r="H1495" s="18" t="s">
        <v>38</v>
      </c>
      <c r="I1495" s="18">
        <v>3.6</v>
      </c>
      <c r="J1495" s="18">
        <v>4</v>
      </c>
      <c r="K1495" s="18" t="s">
        <v>40</v>
      </c>
      <c r="L1495" s="18">
        <v>5</v>
      </c>
      <c r="M1495" s="18" t="s">
        <v>35</v>
      </c>
      <c r="N1495" s="18">
        <v>10</v>
      </c>
      <c r="O1495" s="18">
        <v>0</v>
      </c>
      <c r="P1495" s="18">
        <v>18.2</v>
      </c>
      <c r="Q1495" s="18">
        <v>0</v>
      </c>
      <c r="R1495" s="18">
        <v>4</v>
      </c>
      <c r="S1495" s="18">
        <v>1</v>
      </c>
      <c r="T1495" s="18">
        <v>298.39999999999998</v>
      </c>
    </row>
    <row r="1496" spans="1:20" x14ac:dyDescent="0.3">
      <c r="A1496" s="18">
        <v>51495</v>
      </c>
      <c r="B1496" s="18">
        <v>0</v>
      </c>
      <c r="C1496" s="18">
        <v>2</v>
      </c>
      <c r="D1496" s="18" t="s">
        <v>36</v>
      </c>
      <c r="E1496" s="18">
        <v>2</v>
      </c>
      <c r="F1496" s="18">
        <v>18</v>
      </c>
      <c r="G1496" s="18" t="s">
        <v>39</v>
      </c>
      <c r="H1496" s="18" t="s">
        <v>33</v>
      </c>
      <c r="I1496" s="18">
        <v>2</v>
      </c>
      <c r="J1496" s="18">
        <v>3</v>
      </c>
      <c r="K1496" s="18" t="s">
        <v>36</v>
      </c>
      <c r="L1496" s="18">
        <v>1</v>
      </c>
      <c r="M1496" s="18" t="s">
        <v>45</v>
      </c>
      <c r="N1496" s="18">
        <v>2</v>
      </c>
      <c r="O1496" s="18">
        <v>0</v>
      </c>
      <c r="P1496" s="18">
        <v>26</v>
      </c>
      <c r="Q1496" s="18">
        <v>2</v>
      </c>
      <c r="R1496" s="18">
        <v>7</v>
      </c>
      <c r="S1496" s="18">
        <v>2</v>
      </c>
      <c r="T1496" s="18">
        <v>215.72</v>
      </c>
    </row>
    <row r="1497" spans="1:20" x14ac:dyDescent="0.3">
      <c r="A1497" s="18">
        <v>51496</v>
      </c>
      <c r="B1497" s="18">
        <v>0</v>
      </c>
      <c r="C1497" s="18">
        <v>7</v>
      </c>
      <c r="D1497" s="18" t="s">
        <v>31</v>
      </c>
      <c r="E1497" s="18">
        <v>3</v>
      </c>
      <c r="F1497" s="18">
        <v>7</v>
      </c>
      <c r="G1497" s="18" t="s">
        <v>39</v>
      </c>
      <c r="H1497" s="18" t="s">
        <v>33</v>
      </c>
      <c r="I1497" s="18">
        <v>2.7</v>
      </c>
      <c r="J1497" s="18">
        <v>2</v>
      </c>
      <c r="K1497" s="18" t="s">
        <v>44</v>
      </c>
      <c r="L1497" s="18">
        <v>3</v>
      </c>
      <c r="M1497" s="18" t="s">
        <v>41</v>
      </c>
      <c r="N1497" s="18">
        <v>4</v>
      </c>
      <c r="O1497" s="18">
        <v>1</v>
      </c>
      <c r="P1497" s="18">
        <v>14.4</v>
      </c>
      <c r="Q1497" s="18">
        <v>3</v>
      </c>
      <c r="R1497" s="18">
        <v>3</v>
      </c>
      <c r="S1497" s="18">
        <v>1</v>
      </c>
      <c r="T1497" s="18">
        <v>222.76</v>
      </c>
    </row>
    <row r="1498" spans="1:20" x14ac:dyDescent="0.3">
      <c r="A1498" s="18">
        <v>51497</v>
      </c>
      <c r="B1498" s="18">
        <v>0</v>
      </c>
      <c r="C1498" s="18">
        <v>0</v>
      </c>
      <c r="D1498" s="18" t="s">
        <v>31</v>
      </c>
      <c r="E1498" s="18">
        <v>1</v>
      </c>
      <c r="F1498" s="18">
        <v>10</v>
      </c>
      <c r="G1498" s="18" t="s">
        <v>37</v>
      </c>
      <c r="H1498" s="18" t="s">
        <v>38</v>
      </c>
      <c r="I1498" s="18">
        <v>3.1</v>
      </c>
      <c r="J1498" s="18">
        <v>3</v>
      </c>
      <c r="K1498" s="18" t="s">
        <v>36</v>
      </c>
      <c r="L1498" s="18">
        <v>3</v>
      </c>
      <c r="M1498" s="18" t="s">
        <v>35</v>
      </c>
      <c r="N1498" s="18">
        <v>1</v>
      </c>
      <c r="O1498" s="18">
        <v>1</v>
      </c>
      <c r="P1498" s="18">
        <v>13.5</v>
      </c>
      <c r="Q1498" s="18">
        <v>2</v>
      </c>
      <c r="R1498" s="18">
        <v>4</v>
      </c>
      <c r="S1498" s="18">
        <v>5</v>
      </c>
      <c r="T1498" s="18">
        <v>250.68</v>
      </c>
    </row>
    <row r="1499" spans="1:20" x14ac:dyDescent="0.3">
      <c r="A1499" s="18">
        <v>51498</v>
      </c>
      <c r="B1499" s="18">
        <v>0</v>
      </c>
      <c r="C1499" s="18">
        <v>0</v>
      </c>
      <c r="D1499" s="18" t="s">
        <v>36</v>
      </c>
      <c r="E1499" s="18">
        <v>2</v>
      </c>
      <c r="F1499" s="18">
        <v>11</v>
      </c>
      <c r="G1499" s="18" t="s">
        <v>47</v>
      </c>
      <c r="H1499" s="18" t="s">
        <v>33</v>
      </c>
      <c r="I1499" s="18">
        <v>2.5</v>
      </c>
      <c r="J1499" s="18">
        <v>2</v>
      </c>
      <c r="K1499" s="18" t="s">
        <v>36</v>
      </c>
      <c r="L1499" s="18">
        <v>1</v>
      </c>
      <c r="M1499" s="18" t="s">
        <v>35</v>
      </c>
      <c r="N1499" s="18">
        <v>2</v>
      </c>
      <c r="O1499" s="18">
        <v>1</v>
      </c>
      <c r="P1499" s="18">
        <v>15.5</v>
      </c>
      <c r="Q1499" s="18">
        <v>1</v>
      </c>
      <c r="R1499" s="18">
        <v>4</v>
      </c>
      <c r="S1499" s="18">
        <v>1</v>
      </c>
      <c r="T1499" s="18">
        <v>89.79</v>
      </c>
    </row>
    <row r="1500" spans="1:20" x14ac:dyDescent="0.3">
      <c r="A1500" s="18">
        <v>51499</v>
      </c>
      <c r="B1500" s="18">
        <v>1</v>
      </c>
      <c r="C1500" s="18">
        <v>2</v>
      </c>
      <c r="D1500" s="18" t="s">
        <v>36</v>
      </c>
      <c r="E1500" s="18">
        <v>2</v>
      </c>
      <c r="F1500" s="18">
        <v>21</v>
      </c>
      <c r="G1500" s="18" t="s">
        <v>39</v>
      </c>
      <c r="H1500" s="18" t="s">
        <v>33</v>
      </c>
      <c r="I1500" s="18">
        <v>3.4</v>
      </c>
      <c r="J1500" s="18">
        <v>3</v>
      </c>
      <c r="K1500" s="18" t="s">
        <v>36</v>
      </c>
      <c r="L1500" s="18">
        <v>3</v>
      </c>
      <c r="M1500" s="18" t="s">
        <v>35</v>
      </c>
      <c r="N1500" s="18">
        <v>8</v>
      </c>
      <c r="O1500" s="18">
        <v>1</v>
      </c>
      <c r="P1500" s="18">
        <v>20.8</v>
      </c>
      <c r="Q1500" s="18">
        <v>0</v>
      </c>
      <c r="R1500" s="18">
        <v>4</v>
      </c>
      <c r="S1500" s="18">
        <v>6</v>
      </c>
      <c r="T1500" s="18">
        <v>129.87</v>
      </c>
    </row>
    <row r="1501" spans="1:20" x14ac:dyDescent="0.3">
      <c r="A1501" s="18">
        <v>51500</v>
      </c>
      <c r="B1501" s="18">
        <v>1</v>
      </c>
      <c r="C1501" s="18">
        <v>0</v>
      </c>
      <c r="D1501" s="18" t="s">
        <v>36</v>
      </c>
      <c r="E1501" s="18">
        <v>1</v>
      </c>
      <c r="F1501" s="18">
        <v>28</v>
      </c>
      <c r="G1501" s="18" t="s">
        <v>39</v>
      </c>
      <c r="H1501" s="18" t="s">
        <v>38</v>
      </c>
      <c r="I1501" s="18">
        <v>2.5</v>
      </c>
      <c r="J1501" s="18">
        <v>4</v>
      </c>
      <c r="K1501" s="18" t="s">
        <v>46</v>
      </c>
      <c r="L1501" s="18">
        <v>3</v>
      </c>
      <c r="M1501" s="18" t="s">
        <v>45</v>
      </c>
      <c r="N1501" s="18">
        <v>7</v>
      </c>
      <c r="O1501" s="18">
        <v>0</v>
      </c>
      <c r="P1501" s="18">
        <v>14.7</v>
      </c>
      <c r="Q1501" s="18">
        <v>2</v>
      </c>
      <c r="R1501" s="18">
        <v>4</v>
      </c>
      <c r="S1501" s="18">
        <v>7</v>
      </c>
      <c r="T1501" s="18">
        <v>225.27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33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0" customWidth="1"/>
    <col min="3" max="3" width="42" customWidth="1"/>
  </cols>
  <sheetData>
    <row r="2" spans="2:3" ht="21" x14ac:dyDescent="0.4">
      <c r="B2" s="15" t="s">
        <v>48</v>
      </c>
    </row>
    <row r="3" spans="2:3" x14ac:dyDescent="0.3">
      <c r="B3" s="16" t="s">
        <v>49</v>
      </c>
    </row>
    <row r="5" spans="2:3" ht="15.6" x14ac:dyDescent="0.3">
      <c r="B5" s="19" t="s">
        <v>50</v>
      </c>
    </row>
    <row r="6" spans="2:3" x14ac:dyDescent="0.3">
      <c r="B6" s="17" t="s">
        <v>15</v>
      </c>
      <c r="C6" s="17" t="s">
        <v>51</v>
      </c>
    </row>
    <row r="7" spans="2:3" x14ac:dyDescent="0.3">
      <c r="B7" s="20">
        <v>1</v>
      </c>
      <c r="C7" s="20" t="s">
        <v>52</v>
      </c>
    </row>
    <row r="8" spans="2:3" x14ac:dyDescent="0.3">
      <c r="B8" s="20">
        <v>2</v>
      </c>
      <c r="C8" s="20" t="s">
        <v>53</v>
      </c>
    </row>
    <row r="9" spans="2:3" x14ac:dyDescent="0.3">
      <c r="B9" s="20">
        <v>3</v>
      </c>
      <c r="C9" s="20" t="s">
        <v>54</v>
      </c>
    </row>
    <row r="12" spans="2:3" ht="15.6" x14ac:dyDescent="0.3">
      <c r="B12" s="19" t="s">
        <v>55</v>
      </c>
    </row>
    <row r="13" spans="2:3" x14ac:dyDescent="0.3">
      <c r="B13" s="17" t="s">
        <v>22</v>
      </c>
      <c r="C13" s="17" t="s">
        <v>56</v>
      </c>
    </row>
    <row r="14" spans="2:3" x14ac:dyDescent="0.3">
      <c r="B14" s="20">
        <v>1</v>
      </c>
      <c r="C14" s="20" t="s">
        <v>57</v>
      </c>
    </row>
    <row r="15" spans="2:3" x14ac:dyDescent="0.3">
      <c r="B15" s="20">
        <v>2</v>
      </c>
      <c r="C15" s="20" t="s">
        <v>58</v>
      </c>
    </row>
    <row r="16" spans="2:3" x14ac:dyDescent="0.3">
      <c r="B16" s="20">
        <v>3</v>
      </c>
      <c r="C16" s="20" t="s">
        <v>59</v>
      </c>
    </row>
    <row r="17" spans="2:3" x14ac:dyDescent="0.3">
      <c r="B17" s="20">
        <v>4</v>
      </c>
      <c r="C17" s="20" t="s">
        <v>60</v>
      </c>
    </row>
    <row r="18" spans="2:3" x14ac:dyDescent="0.3">
      <c r="B18" s="20">
        <v>5</v>
      </c>
      <c r="C18" s="20" t="s">
        <v>61</v>
      </c>
    </row>
    <row r="21" spans="2:3" ht="15.6" x14ac:dyDescent="0.3">
      <c r="B21" s="19" t="s">
        <v>62</v>
      </c>
    </row>
    <row r="22" spans="2:3" x14ac:dyDescent="0.3">
      <c r="B22" s="17" t="s">
        <v>63</v>
      </c>
      <c r="C22" s="17" t="s">
        <v>64</v>
      </c>
    </row>
    <row r="23" spans="2:3" x14ac:dyDescent="0.3">
      <c r="B23" s="20" t="s">
        <v>65</v>
      </c>
      <c r="C23" s="20" t="s">
        <v>66</v>
      </c>
    </row>
    <row r="24" spans="2:3" x14ac:dyDescent="0.3">
      <c r="B24" s="20" t="s">
        <v>67</v>
      </c>
      <c r="C24" s="20" t="s">
        <v>68</v>
      </c>
    </row>
    <row r="25" spans="2:3" x14ac:dyDescent="0.3">
      <c r="B25" s="20" t="s">
        <v>69</v>
      </c>
      <c r="C25" s="20" t="s">
        <v>70</v>
      </c>
    </row>
    <row r="26" spans="2:3" x14ac:dyDescent="0.3">
      <c r="B26" s="20" t="s">
        <v>71</v>
      </c>
      <c r="C26" s="20" t="s">
        <v>72</v>
      </c>
    </row>
    <row r="29" spans="2:3" ht="15.6" x14ac:dyDescent="0.3">
      <c r="B29" s="19" t="s">
        <v>73</v>
      </c>
    </row>
    <row r="30" spans="2:3" x14ac:dyDescent="0.3">
      <c r="B30" s="17" t="s">
        <v>74</v>
      </c>
      <c r="C30" s="17" t="s">
        <v>64</v>
      </c>
    </row>
    <row r="31" spans="2:3" x14ac:dyDescent="0.3">
      <c r="B31" s="20" t="s">
        <v>75</v>
      </c>
      <c r="C31" s="20" t="s">
        <v>76</v>
      </c>
    </row>
    <row r="32" spans="2:3" x14ac:dyDescent="0.3">
      <c r="B32" s="20" t="s">
        <v>77</v>
      </c>
      <c r="C32" s="20" t="s">
        <v>78</v>
      </c>
    </row>
    <row r="33" spans="2:3" x14ac:dyDescent="0.3">
      <c r="B33" s="20" t="s">
        <v>79</v>
      </c>
      <c r="C33" s="20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5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2" customWidth="1"/>
    <col min="4" max="4" width="22" customWidth="1"/>
    <col min="5" max="5" width="12" customWidth="1"/>
    <col min="6" max="6" width="17" customWidth="1"/>
    <col min="7" max="7" width="22" customWidth="1"/>
    <col min="8" max="8" width="12" customWidth="1"/>
    <col min="9" max="9" width="16" customWidth="1"/>
    <col min="10" max="10" width="26" customWidth="1"/>
    <col min="11" max="11" width="18" customWidth="1"/>
    <col min="12" max="12" width="19" customWidth="1"/>
    <col min="13" max="13" width="15" customWidth="1"/>
    <col min="14" max="14" width="17" customWidth="1"/>
    <col min="15" max="15" width="12" customWidth="1"/>
    <col min="16" max="16" width="29" customWidth="1"/>
    <col min="17" max="18" width="12" customWidth="1"/>
    <col min="19" max="19" width="19" customWidth="1"/>
    <col min="20" max="20" width="16" customWidth="1"/>
    <col min="21" max="21" width="15" customWidth="1"/>
    <col min="22" max="22" width="14" customWidth="1"/>
    <col min="23" max="23" width="13" customWidth="1"/>
    <col min="24" max="24" width="12" customWidth="1"/>
  </cols>
  <sheetData>
    <row r="1" spans="1:24" ht="26.4" x14ac:dyDescent="0.3">
      <c r="A1" s="17" t="s">
        <v>11</v>
      </c>
      <c r="B1" s="17" t="s">
        <v>12</v>
      </c>
      <c r="C1" s="17" t="s">
        <v>13</v>
      </c>
      <c r="D1" s="17" t="s">
        <v>14</v>
      </c>
      <c r="E1" s="17" t="s">
        <v>15</v>
      </c>
      <c r="F1" s="17" t="s">
        <v>16</v>
      </c>
      <c r="G1" s="17" t="s">
        <v>17</v>
      </c>
      <c r="H1" s="17" t="s">
        <v>18</v>
      </c>
      <c r="I1" s="17" t="s">
        <v>19</v>
      </c>
      <c r="J1" s="17" t="s">
        <v>20</v>
      </c>
      <c r="K1" s="17" t="s">
        <v>21</v>
      </c>
      <c r="L1" s="17" t="s">
        <v>22</v>
      </c>
      <c r="M1" s="17" t="s">
        <v>23</v>
      </c>
      <c r="N1" s="17" t="s">
        <v>24</v>
      </c>
      <c r="O1" s="17" t="s">
        <v>25</v>
      </c>
      <c r="P1" s="17" t="s">
        <v>26</v>
      </c>
      <c r="Q1" s="17" t="s">
        <v>27</v>
      </c>
      <c r="R1" s="17" t="s">
        <v>28</v>
      </c>
      <c r="S1" s="17" t="s">
        <v>29</v>
      </c>
      <c r="T1" s="17" t="s">
        <v>30</v>
      </c>
      <c r="U1" s="17" t="s">
        <v>51</v>
      </c>
      <c r="V1" s="17" t="s">
        <v>81</v>
      </c>
      <c r="W1" s="17" t="s">
        <v>82</v>
      </c>
      <c r="X1" s="17" t="s">
        <v>83</v>
      </c>
    </row>
    <row r="2" spans="1:24" x14ac:dyDescent="0.3">
      <c r="A2" s="21">
        <f>'Raw Data'!A2</f>
        <v>50001</v>
      </c>
      <c r="B2" s="21">
        <f>'Raw Data'!B2</f>
        <v>0</v>
      </c>
      <c r="C2" s="21">
        <f>'Raw Data'!C2</f>
        <v>11</v>
      </c>
      <c r="D2" s="21" t="str">
        <f>'Raw Data'!D2</f>
        <v>Computer</v>
      </c>
      <c r="E2" s="21">
        <f>'Raw Data'!E2</f>
        <v>1</v>
      </c>
      <c r="F2" s="21">
        <f>IF('Raw Data'!F2="",ROUND(AVERAGE('Raw Data'!$F$2:$F$1501),1),'Raw Data'!F2)</f>
        <v>17</v>
      </c>
      <c r="G2" s="21" t="str">
        <f>'Raw Data'!G2</f>
        <v>UPI</v>
      </c>
      <c r="H2" s="21" t="str">
        <f>'Raw Data'!H2</f>
        <v>Male</v>
      </c>
      <c r="I2" s="21">
        <f>IF('Raw Data'!I2="",ROUND(AVERAGE('Raw Data'!$I$2:$I$1501),1),'Raw Data'!I2)</f>
        <v>3.6</v>
      </c>
      <c r="J2" s="21">
        <f>'Raw Data'!J2</f>
        <v>5</v>
      </c>
      <c r="K2" s="21" t="str">
        <f>'Raw Data'!K2</f>
        <v>Others</v>
      </c>
      <c r="L2" s="21">
        <f>'Raw Data'!L2</f>
        <v>3</v>
      </c>
      <c r="M2" s="21" t="str">
        <f>'Raw Data'!M2</f>
        <v>Married</v>
      </c>
      <c r="N2" s="21">
        <f>'Raw Data'!N2</f>
        <v>15</v>
      </c>
      <c r="O2" s="21">
        <f>'Raw Data'!O2</f>
        <v>0</v>
      </c>
      <c r="P2" s="21">
        <f>IF('Raw Data'!P2="",ROUND(AVERAGE('Raw Data'!$P$2:$P$1501),1),'Raw Data'!P2)</f>
        <v>17</v>
      </c>
      <c r="Q2" s="21">
        <f>IF('Raw Data'!Q2="",ROUND(AVERAGE('Raw Data'!$Q$2:$Q$1501),0),'Raw Data'!Q2)</f>
        <v>2</v>
      </c>
      <c r="R2" s="21">
        <f>'Raw Data'!R2</f>
        <v>2</v>
      </c>
      <c r="S2" s="21">
        <f>IF('Raw Data'!S2="",ROUND(AVERAGE('Raw Data'!$S$2:$S$1501),0),'Raw Data'!S2)</f>
        <v>3</v>
      </c>
      <c r="T2" s="21">
        <f>'Raw Data'!T2</f>
        <v>198.83</v>
      </c>
      <c r="U2" s="21" t="str">
        <f>INDEX('Lookup Tables'!$C$7:$C$9,MATCH(E2,'Lookup Tables'!$B$7:$B$9,0))</f>
        <v>Tier 1 (Metro)</v>
      </c>
      <c r="V2" s="21" t="str">
        <f t="shared" ref="V2:V65" si="0">IF(C2&lt;=6,"0-6 months",IF(C2&lt;=12,"7-12 months",IF(C2&lt;=24,"13-24 months","25+ months")))</f>
        <v>7-12 months</v>
      </c>
      <c r="W2" s="21" t="str">
        <f t="shared" ref="W2:W65" si="1">IF(AND(O2=1,L2&lt;=2),"High Risk",IF(OR(L2=3,S2&gt;15),"Medium Risk","Low Risk"))</f>
        <v>Medium Risk</v>
      </c>
      <c r="X2" s="21" t="str">
        <f t="shared" ref="X2:X65" si="2">IF(B2=1,"Yes","No")</f>
        <v>No</v>
      </c>
    </row>
    <row r="3" spans="1:24" x14ac:dyDescent="0.3">
      <c r="A3" s="21">
        <f>'Raw Data'!A3</f>
        <v>50002</v>
      </c>
      <c r="B3" s="21">
        <f>'Raw Data'!B3</f>
        <v>0</v>
      </c>
      <c r="C3" s="21">
        <f>'Raw Data'!C3</f>
        <v>25</v>
      </c>
      <c r="D3" s="21" t="str">
        <f>'Raw Data'!D3</f>
        <v>Mobile Phone</v>
      </c>
      <c r="E3" s="21">
        <f>'Raw Data'!E3</f>
        <v>1</v>
      </c>
      <c r="F3" s="21">
        <f>IF('Raw Data'!F3="",ROUND(AVERAGE('Raw Data'!$F$2:$F$1501),1),'Raw Data'!F3)</f>
        <v>5</v>
      </c>
      <c r="G3" s="21" t="str">
        <f>'Raw Data'!G3</f>
        <v>Credit Card</v>
      </c>
      <c r="H3" s="21" t="str">
        <f>'Raw Data'!H3</f>
        <v>Female</v>
      </c>
      <c r="I3" s="21">
        <f>IF('Raw Data'!I3="",ROUND(AVERAGE('Raw Data'!$I$2:$I$1501),1),'Raw Data'!I3)</f>
        <v>3.5</v>
      </c>
      <c r="J3" s="21">
        <f>'Raw Data'!J3</f>
        <v>3</v>
      </c>
      <c r="K3" s="21" t="str">
        <f>'Raw Data'!K3</f>
        <v>Mobile Phone</v>
      </c>
      <c r="L3" s="21">
        <f>'Raw Data'!L3</f>
        <v>1</v>
      </c>
      <c r="M3" s="21" t="str">
        <f>'Raw Data'!M3</f>
        <v>Married</v>
      </c>
      <c r="N3" s="21">
        <f>'Raw Data'!N3</f>
        <v>1</v>
      </c>
      <c r="O3" s="21">
        <f>'Raw Data'!O3</f>
        <v>0</v>
      </c>
      <c r="P3" s="21">
        <f>IF('Raw Data'!P3="",ROUND(AVERAGE('Raw Data'!$P$2:$P$1501),1),'Raw Data'!P3)</f>
        <v>15.4</v>
      </c>
      <c r="Q3" s="21">
        <f>IF('Raw Data'!Q3="",ROUND(AVERAGE('Raw Data'!$Q$2:$Q$1501),0),'Raw Data'!Q3)</f>
        <v>1</v>
      </c>
      <c r="R3" s="21">
        <f>'Raw Data'!R3</f>
        <v>5</v>
      </c>
      <c r="S3" s="21">
        <f>IF('Raw Data'!S3="",ROUND(AVERAGE('Raw Data'!$S$2:$S$1501),0),'Raw Data'!S3)</f>
        <v>4</v>
      </c>
      <c r="T3" s="21">
        <f>'Raw Data'!T3</f>
        <v>133.09</v>
      </c>
      <c r="U3" s="21" t="str">
        <f>INDEX('Lookup Tables'!$C$7:$C$9,MATCH(E3,'Lookup Tables'!$B$7:$B$9,0))</f>
        <v>Tier 1 (Metro)</v>
      </c>
      <c r="V3" s="21" t="str">
        <f t="shared" si="0"/>
        <v>25+ months</v>
      </c>
      <c r="W3" s="21" t="str">
        <f t="shared" si="1"/>
        <v>Low Risk</v>
      </c>
      <c r="X3" s="21" t="str">
        <f t="shared" si="2"/>
        <v>No</v>
      </c>
    </row>
    <row r="4" spans="1:24" x14ac:dyDescent="0.3">
      <c r="A4" s="21">
        <f>'Raw Data'!A4</f>
        <v>50003</v>
      </c>
      <c r="B4" s="21">
        <f>'Raw Data'!B4</f>
        <v>0</v>
      </c>
      <c r="C4" s="21">
        <f>'Raw Data'!C4</f>
        <v>12</v>
      </c>
      <c r="D4" s="21" t="str">
        <f>'Raw Data'!D4</f>
        <v>Mobile Phone</v>
      </c>
      <c r="E4" s="21">
        <f>'Raw Data'!E4</f>
        <v>3</v>
      </c>
      <c r="F4" s="21">
        <f>IF('Raw Data'!F4="",ROUND(AVERAGE('Raw Data'!$F$2:$F$1501),1),'Raw Data'!F4)</f>
        <v>17</v>
      </c>
      <c r="G4" s="21" t="str">
        <f>'Raw Data'!G4</f>
        <v>Debit Card</v>
      </c>
      <c r="H4" s="21" t="str">
        <f>'Raw Data'!H4</f>
        <v>Female</v>
      </c>
      <c r="I4" s="21">
        <f>IF('Raw Data'!I4="",ROUND(AVERAGE('Raw Data'!$I$2:$I$1501),1),'Raw Data'!I4)</f>
        <v>2.5</v>
      </c>
      <c r="J4" s="21">
        <f>'Raw Data'!J4</f>
        <v>4</v>
      </c>
      <c r="K4" s="21" t="str">
        <f>'Raw Data'!K4</f>
        <v>Mobile Phone</v>
      </c>
      <c r="L4" s="21">
        <f>'Raw Data'!L4</f>
        <v>1</v>
      </c>
      <c r="M4" s="21" t="str">
        <f>'Raw Data'!M4</f>
        <v>Married</v>
      </c>
      <c r="N4" s="21">
        <f>'Raw Data'!N4</f>
        <v>1</v>
      </c>
      <c r="O4" s="21">
        <f>'Raw Data'!O4</f>
        <v>0</v>
      </c>
      <c r="P4" s="21">
        <f>IF('Raw Data'!P4="",ROUND(AVERAGE('Raw Data'!$P$2:$P$1501),1),'Raw Data'!P4)</f>
        <v>13.3</v>
      </c>
      <c r="Q4" s="21">
        <f>IF('Raw Data'!Q4="",ROUND(AVERAGE('Raw Data'!$Q$2:$Q$1501),0),'Raw Data'!Q4)</f>
        <v>2</v>
      </c>
      <c r="R4" s="21">
        <f>'Raw Data'!R4</f>
        <v>2</v>
      </c>
      <c r="S4" s="21">
        <f>IF('Raw Data'!S4="",ROUND(AVERAGE('Raw Data'!$S$2:$S$1501),0),'Raw Data'!S4)</f>
        <v>1</v>
      </c>
      <c r="T4" s="21">
        <f>'Raw Data'!T4</f>
        <v>191.3</v>
      </c>
      <c r="U4" s="21" t="str">
        <f>INDEX('Lookup Tables'!$C$7:$C$9,MATCH(E4,'Lookup Tables'!$B$7:$B$9,0))</f>
        <v>Tier 3 (Semi-urban/Rural)</v>
      </c>
      <c r="V4" s="21" t="str">
        <f t="shared" si="0"/>
        <v>7-12 months</v>
      </c>
      <c r="W4" s="21" t="str">
        <f t="shared" si="1"/>
        <v>Low Risk</v>
      </c>
      <c r="X4" s="21" t="str">
        <f t="shared" si="2"/>
        <v>No</v>
      </c>
    </row>
    <row r="5" spans="1:24" x14ac:dyDescent="0.3">
      <c r="A5" s="21">
        <f>'Raw Data'!A5</f>
        <v>50004</v>
      </c>
      <c r="B5" s="21">
        <f>'Raw Data'!B5</f>
        <v>0</v>
      </c>
      <c r="C5" s="21">
        <f>'Raw Data'!C5</f>
        <v>1</v>
      </c>
      <c r="D5" s="21" t="str">
        <f>'Raw Data'!D5</f>
        <v>Mobile Phone</v>
      </c>
      <c r="E5" s="21">
        <f>'Raw Data'!E5</f>
        <v>2</v>
      </c>
      <c r="F5" s="21">
        <f>IF('Raw Data'!F5="",ROUND(AVERAGE('Raw Data'!$F$2:$F$1501),1),'Raw Data'!F5)</f>
        <v>13</v>
      </c>
      <c r="G5" s="21" t="str">
        <f>'Raw Data'!G5</f>
        <v>UPI</v>
      </c>
      <c r="H5" s="21" t="str">
        <f>'Raw Data'!H5</f>
        <v>Male</v>
      </c>
      <c r="I5" s="21">
        <f>IF('Raw Data'!I5="",ROUND(AVERAGE('Raw Data'!$I$2:$I$1501),1),'Raw Data'!I5)</f>
        <v>2.4</v>
      </c>
      <c r="J5" s="21">
        <f>'Raw Data'!J5</f>
        <v>4</v>
      </c>
      <c r="K5" s="21" t="str">
        <f>'Raw Data'!K5</f>
        <v>Fashion</v>
      </c>
      <c r="L5" s="21">
        <f>'Raw Data'!L5</f>
        <v>5</v>
      </c>
      <c r="M5" s="21" t="str">
        <f>'Raw Data'!M5</f>
        <v>Single</v>
      </c>
      <c r="N5" s="21">
        <f>'Raw Data'!N5</f>
        <v>1</v>
      </c>
      <c r="O5" s="21">
        <f>'Raw Data'!O5</f>
        <v>0</v>
      </c>
      <c r="P5" s="21">
        <f>IF('Raw Data'!P5="",ROUND(AVERAGE('Raw Data'!$P$2:$P$1501),1),'Raw Data'!P5)</f>
        <v>14.6</v>
      </c>
      <c r="Q5" s="21">
        <f>IF('Raw Data'!Q5="",ROUND(AVERAGE('Raw Data'!$Q$2:$Q$1501),0),'Raw Data'!Q5)</f>
        <v>2</v>
      </c>
      <c r="R5" s="21">
        <f>'Raw Data'!R5</f>
        <v>3</v>
      </c>
      <c r="S5" s="21">
        <f>IF('Raw Data'!S5="",ROUND(AVERAGE('Raw Data'!$S$2:$S$1501),0),'Raw Data'!S5)</f>
        <v>15</v>
      </c>
      <c r="T5" s="21">
        <f>'Raw Data'!T5</f>
        <v>223.6</v>
      </c>
      <c r="U5" s="21" t="str">
        <f>INDEX('Lookup Tables'!$C$7:$C$9,MATCH(E5,'Lookup Tables'!$B$7:$B$9,0))</f>
        <v>Tier 2 (Urban)</v>
      </c>
      <c r="V5" s="21" t="str">
        <f t="shared" si="0"/>
        <v>0-6 months</v>
      </c>
      <c r="W5" s="21" t="str">
        <f t="shared" si="1"/>
        <v>Low Risk</v>
      </c>
      <c r="X5" s="21" t="str">
        <f t="shared" si="2"/>
        <v>No</v>
      </c>
    </row>
    <row r="6" spans="1:24" x14ac:dyDescent="0.3">
      <c r="A6" s="21">
        <f>'Raw Data'!A6</f>
        <v>50005</v>
      </c>
      <c r="B6" s="21">
        <f>'Raw Data'!B6</f>
        <v>0</v>
      </c>
      <c r="C6" s="21">
        <f>'Raw Data'!C6</f>
        <v>8</v>
      </c>
      <c r="D6" s="21" t="str">
        <f>'Raw Data'!D6</f>
        <v>Phone</v>
      </c>
      <c r="E6" s="21">
        <f>'Raw Data'!E6</f>
        <v>2</v>
      </c>
      <c r="F6" s="21">
        <f>IF('Raw Data'!F6="",ROUND(AVERAGE('Raw Data'!$F$2:$F$1501),1),'Raw Data'!F6)</f>
        <v>5</v>
      </c>
      <c r="G6" s="21" t="str">
        <f>'Raw Data'!G6</f>
        <v>Cash on Delivery</v>
      </c>
      <c r="H6" s="21" t="str">
        <f>'Raw Data'!H6</f>
        <v>Male</v>
      </c>
      <c r="I6" s="21">
        <f>IF('Raw Data'!I6="",ROUND(AVERAGE('Raw Data'!$I$2:$I$1501),1),'Raw Data'!I6)</f>
        <v>2</v>
      </c>
      <c r="J6" s="21">
        <f>'Raw Data'!J6</f>
        <v>3</v>
      </c>
      <c r="K6" s="21" t="str">
        <f>'Raw Data'!K6</f>
        <v>Laptop &amp; Accessory</v>
      </c>
      <c r="L6" s="21">
        <f>'Raw Data'!L6</f>
        <v>5</v>
      </c>
      <c r="M6" s="21" t="str">
        <f>'Raw Data'!M6</f>
        <v>Married</v>
      </c>
      <c r="N6" s="21">
        <f>'Raw Data'!N6</f>
        <v>4</v>
      </c>
      <c r="O6" s="21">
        <f>'Raw Data'!O6</f>
        <v>1</v>
      </c>
      <c r="P6" s="21">
        <f>IF('Raw Data'!P6="",ROUND(AVERAGE('Raw Data'!$P$2:$P$1501),1),'Raw Data'!P6)</f>
        <v>14.2</v>
      </c>
      <c r="Q6" s="21">
        <f>IF('Raw Data'!Q6="",ROUND(AVERAGE('Raw Data'!$Q$2:$Q$1501),0),'Raw Data'!Q6)</f>
        <v>2</v>
      </c>
      <c r="R6" s="21">
        <f>'Raw Data'!R6</f>
        <v>3</v>
      </c>
      <c r="S6" s="21">
        <f>IF('Raw Data'!S6="",ROUND(AVERAGE('Raw Data'!$S$2:$S$1501),0),'Raw Data'!S6)</f>
        <v>3</v>
      </c>
      <c r="T6" s="21">
        <f>'Raw Data'!T6</f>
        <v>147.76</v>
      </c>
      <c r="U6" s="21" t="str">
        <f>INDEX('Lookup Tables'!$C$7:$C$9,MATCH(E6,'Lookup Tables'!$B$7:$B$9,0))</f>
        <v>Tier 2 (Urban)</v>
      </c>
      <c r="V6" s="21" t="str">
        <f t="shared" si="0"/>
        <v>7-12 months</v>
      </c>
      <c r="W6" s="21" t="str">
        <f t="shared" si="1"/>
        <v>Low Risk</v>
      </c>
      <c r="X6" s="21" t="str">
        <f t="shared" si="2"/>
        <v>No</v>
      </c>
    </row>
    <row r="7" spans="1:24" x14ac:dyDescent="0.3">
      <c r="A7" s="21">
        <f>'Raw Data'!A7</f>
        <v>50006</v>
      </c>
      <c r="B7" s="21">
        <f>'Raw Data'!B7</f>
        <v>0</v>
      </c>
      <c r="C7" s="21">
        <f>'Raw Data'!C7</f>
        <v>9</v>
      </c>
      <c r="D7" s="21" t="str">
        <f>'Raw Data'!D7</f>
        <v>Mobile Phone</v>
      </c>
      <c r="E7" s="21">
        <f>'Raw Data'!E7</f>
        <v>1</v>
      </c>
      <c r="F7" s="21">
        <f>IF('Raw Data'!F7="",ROUND(AVERAGE('Raw Data'!$F$2:$F$1501),1),'Raw Data'!F7)</f>
        <v>8</v>
      </c>
      <c r="G7" s="21" t="str">
        <f>'Raw Data'!G7</f>
        <v>Cash on Delivery</v>
      </c>
      <c r="H7" s="21" t="str">
        <f>'Raw Data'!H7</f>
        <v>Male</v>
      </c>
      <c r="I7" s="21">
        <f>IF('Raw Data'!I7="",ROUND(AVERAGE('Raw Data'!$I$2:$I$1501),1),'Raw Data'!I7)</f>
        <v>3</v>
      </c>
      <c r="J7" s="21">
        <f>'Raw Data'!J7</f>
        <v>1</v>
      </c>
      <c r="K7" s="21" t="str">
        <f>'Raw Data'!K7</f>
        <v>Laptop &amp; Accessory</v>
      </c>
      <c r="L7" s="21">
        <f>'Raw Data'!L7</f>
        <v>4</v>
      </c>
      <c r="M7" s="21" t="str">
        <f>'Raw Data'!M7</f>
        <v>Married</v>
      </c>
      <c r="N7" s="21">
        <f>'Raw Data'!N7</f>
        <v>1</v>
      </c>
      <c r="O7" s="21">
        <f>'Raw Data'!O7</f>
        <v>0</v>
      </c>
      <c r="P7" s="21">
        <f>IF('Raw Data'!P7="",ROUND(AVERAGE('Raw Data'!$P$2:$P$1501),1),'Raw Data'!P7)</f>
        <v>16.3</v>
      </c>
      <c r="Q7" s="21">
        <f>IF('Raw Data'!Q7="",ROUND(AVERAGE('Raw Data'!$Q$2:$Q$1501),0),'Raw Data'!Q7)</f>
        <v>1</v>
      </c>
      <c r="R7" s="21">
        <f>'Raw Data'!R7</f>
        <v>5</v>
      </c>
      <c r="S7" s="21">
        <f>IF('Raw Data'!S7="",ROUND(AVERAGE('Raw Data'!$S$2:$S$1501),0),'Raw Data'!S7)</f>
        <v>1</v>
      </c>
      <c r="T7" s="21">
        <f>'Raw Data'!T7</f>
        <v>186.54</v>
      </c>
      <c r="U7" s="21" t="str">
        <f>INDEX('Lookup Tables'!$C$7:$C$9,MATCH(E7,'Lookup Tables'!$B$7:$B$9,0))</f>
        <v>Tier 1 (Metro)</v>
      </c>
      <c r="V7" s="21" t="str">
        <f t="shared" si="0"/>
        <v>7-12 months</v>
      </c>
      <c r="W7" s="21" t="str">
        <f t="shared" si="1"/>
        <v>Low Risk</v>
      </c>
      <c r="X7" s="21" t="str">
        <f t="shared" si="2"/>
        <v>No</v>
      </c>
    </row>
    <row r="8" spans="1:24" x14ac:dyDescent="0.3">
      <c r="A8" s="21">
        <f>'Raw Data'!A8</f>
        <v>50007</v>
      </c>
      <c r="B8" s="21">
        <f>'Raw Data'!B8</f>
        <v>0</v>
      </c>
      <c r="C8" s="21">
        <f>'Raw Data'!C8</f>
        <v>5</v>
      </c>
      <c r="D8" s="21" t="str">
        <f>'Raw Data'!D8</f>
        <v>Mobile Phone</v>
      </c>
      <c r="E8" s="21">
        <f>'Raw Data'!E8</f>
        <v>3</v>
      </c>
      <c r="F8" s="21">
        <f>IF('Raw Data'!F8="",ROUND(AVERAGE('Raw Data'!$F$2:$F$1501),1),'Raw Data'!F8)</f>
        <v>11</v>
      </c>
      <c r="G8" s="21" t="str">
        <f>'Raw Data'!G8</f>
        <v>Credit Card</v>
      </c>
      <c r="H8" s="21" t="str">
        <f>'Raw Data'!H8</f>
        <v>Female</v>
      </c>
      <c r="I8" s="21">
        <f>IF('Raw Data'!I8="",ROUND(AVERAGE('Raw Data'!$I$2:$I$1501),1),'Raw Data'!I8)</f>
        <v>2.1</v>
      </c>
      <c r="J8" s="21">
        <f>'Raw Data'!J8</f>
        <v>4</v>
      </c>
      <c r="K8" s="21" t="str">
        <f>'Raw Data'!K8</f>
        <v>Fashion</v>
      </c>
      <c r="L8" s="21">
        <f>'Raw Data'!L8</f>
        <v>3</v>
      </c>
      <c r="M8" s="21" t="str">
        <f>'Raw Data'!M8</f>
        <v>Divorced</v>
      </c>
      <c r="N8" s="21">
        <f>'Raw Data'!N8</f>
        <v>4</v>
      </c>
      <c r="O8" s="21">
        <f>'Raw Data'!O8</f>
        <v>0</v>
      </c>
      <c r="P8" s="21">
        <f>IF('Raw Data'!P8="",ROUND(AVERAGE('Raw Data'!$P$2:$P$1501),1),'Raw Data'!P8)</f>
        <v>17.2</v>
      </c>
      <c r="Q8" s="21">
        <f>IF('Raw Data'!Q8="",ROUND(AVERAGE('Raw Data'!$Q$2:$Q$1501),0),'Raw Data'!Q8)</f>
        <v>7</v>
      </c>
      <c r="R8" s="21">
        <f>'Raw Data'!R8</f>
        <v>3</v>
      </c>
      <c r="S8" s="21">
        <f>IF('Raw Data'!S8="",ROUND(AVERAGE('Raw Data'!$S$2:$S$1501),0),'Raw Data'!S8)</f>
        <v>0</v>
      </c>
      <c r="T8" s="21">
        <f>'Raw Data'!T8</f>
        <v>172</v>
      </c>
      <c r="U8" s="21" t="str">
        <f>INDEX('Lookup Tables'!$C$7:$C$9,MATCH(E8,'Lookup Tables'!$B$7:$B$9,0))</f>
        <v>Tier 3 (Semi-urban/Rural)</v>
      </c>
      <c r="V8" s="21" t="str">
        <f t="shared" si="0"/>
        <v>0-6 months</v>
      </c>
      <c r="W8" s="21" t="str">
        <f t="shared" si="1"/>
        <v>Medium Risk</v>
      </c>
      <c r="X8" s="21" t="str">
        <f t="shared" si="2"/>
        <v>No</v>
      </c>
    </row>
    <row r="9" spans="1:24" x14ac:dyDescent="0.3">
      <c r="A9" s="21">
        <f>'Raw Data'!A9</f>
        <v>50008</v>
      </c>
      <c r="B9" s="21">
        <f>'Raw Data'!B9</f>
        <v>0</v>
      </c>
      <c r="C9" s="21">
        <f>'Raw Data'!C9</f>
        <v>13</v>
      </c>
      <c r="D9" s="21" t="str">
        <f>'Raw Data'!D9</f>
        <v>Mobile Phone</v>
      </c>
      <c r="E9" s="21">
        <f>'Raw Data'!E9</f>
        <v>1</v>
      </c>
      <c r="F9" s="21">
        <f>IF('Raw Data'!F9="",ROUND(AVERAGE('Raw Data'!$F$2:$F$1501),1),'Raw Data'!F9)</f>
        <v>30</v>
      </c>
      <c r="G9" s="21" t="str">
        <f>'Raw Data'!G9</f>
        <v>Debit Card</v>
      </c>
      <c r="H9" s="21" t="str">
        <f>'Raw Data'!H9</f>
        <v>Female</v>
      </c>
      <c r="I9" s="21">
        <f>IF('Raw Data'!I9="",ROUND(AVERAGE('Raw Data'!$I$2:$I$1501),1),'Raw Data'!I9)</f>
        <v>2.1</v>
      </c>
      <c r="J9" s="21">
        <f>'Raw Data'!J9</f>
        <v>3</v>
      </c>
      <c r="K9" s="21" t="str">
        <f>'Raw Data'!K9</f>
        <v>Mobile Phone</v>
      </c>
      <c r="L9" s="21">
        <f>'Raw Data'!L9</f>
        <v>5</v>
      </c>
      <c r="M9" s="21" t="str">
        <f>'Raw Data'!M9</f>
        <v>Married</v>
      </c>
      <c r="N9" s="21">
        <f>'Raw Data'!N9</f>
        <v>1</v>
      </c>
      <c r="O9" s="21">
        <f>'Raw Data'!O9</f>
        <v>0</v>
      </c>
      <c r="P9" s="21">
        <f>IF('Raw Data'!P9="",ROUND(AVERAGE('Raw Data'!$P$2:$P$1501),1),'Raw Data'!P9)</f>
        <v>18.399999999999999</v>
      </c>
      <c r="Q9" s="21">
        <f>IF('Raw Data'!Q9="",ROUND(AVERAGE('Raw Data'!$Q$2:$Q$1501),0),'Raw Data'!Q9)</f>
        <v>2</v>
      </c>
      <c r="R9" s="21">
        <f>'Raw Data'!R9</f>
        <v>3</v>
      </c>
      <c r="S9" s="21">
        <f>IF('Raw Data'!S9="",ROUND(AVERAGE('Raw Data'!$S$2:$S$1501),0),'Raw Data'!S9)</f>
        <v>3</v>
      </c>
      <c r="T9" s="21">
        <f>'Raw Data'!T9</f>
        <v>271.43</v>
      </c>
      <c r="U9" s="21" t="str">
        <f>INDEX('Lookup Tables'!$C$7:$C$9,MATCH(E9,'Lookup Tables'!$B$7:$B$9,0))</f>
        <v>Tier 1 (Metro)</v>
      </c>
      <c r="V9" s="21" t="str">
        <f t="shared" si="0"/>
        <v>13-24 months</v>
      </c>
      <c r="W9" s="21" t="str">
        <f t="shared" si="1"/>
        <v>Low Risk</v>
      </c>
      <c r="X9" s="21" t="str">
        <f t="shared" si="2"/>
        <v>No</v>
      </c>
    </row>
    <row r="10" spans="1:24" x14ac:dyDescent="0.3">
      <c r="A10" s="21">
        <f>'Raw Data'!A10</f>
        <v>50009</v>
      </c>
      <c r="B10" s="21">
        <f>'Raw Data'!B10</f>
        <v>1</v>
      </c>
      <c r="C10" s="21">
        <f>'Raw Data'!C10</f>
        <v>27</v>
      </c>
      <c r="D10" s="21" t="str">
        <f>'Raw Data'!D10</f>
        <v>Computer</v>
      </c>
      <c r="E10" s="21">
        <f>'Raw Data'!E10</f>
        <v>1</v>
      </c>
      <c r="F10" s="21">
        <f>IF('Raw Data'!F10="",ROUND(AVERAGE('Raw Data'!$F$2:$F$1501),1),'Raw Data'!F10)</f>
        <v>19</v>
      </c>
      <c r="G10" s="21" t="str">
        <f>'Raw Data'!G10</f>
        <v>Credit Card</v>
      </c>
      <c r="H10" s="21" t="str">
        <f>'Raw Data'!H10</f>
        <v>Male</v>
      </c>
      <c r="I10" s="21">
        <f>IF('Raw Data'!I10="",ROUND(AVERAGE('Raw Data'!$I$2:$I$1501),1),'Raw Data'!I10)</f>
        <v>2.6</v>
      </c>
      <c r="J10" s="21">
        <f>'Raw Data'!J10</f>
        <v>4</v>
      </c>
      <c r="K10" s="21" t="str">
        <f>'Raw Data'!K10</f>
        <v>Grocery</v>
      </c>
      <c r="L10" s="21">
        <f>'Raw Data'!L10</f>
        <v>4</v>
      </c>
      <c r="M10" s="21" t="str">
        <f>'Raw Data'!M10</f>
        <v>Divorced</v>
      </c>
      <c r="N10" s="21">
        <f>'Raw Data'!N10</f>
        <v>3</v>
      </c>
      <c r="O10" s="21">
        <f>'Raw Data'!O10</f>
        <v>0</v>
      </c>
      <c r="P10" s="21">
        <f>IF('Raw Data'!P10="",ROUND(AVERAGE('Raw Data'!$P$2:$P$1501),1),'Raw Data'!P10)</f>
        <v>11.9</v>
      </c>
      <c r="Q10" s="21">
        <f>IF('Raw Data'!Q10="",ROUND(AVERAGE('Raw Data'!$Q$2:$Q$1501),0),'Raw Data'!Q10)</f>
        <v>0</v>
      </c>
      <c r="R10" s="21">
        <f>'Raw Data'!R10</f>
        <v>4</v>
      </c>
      <c r="S10" s="21">
        <f>IF('Raw Data'!S10="",ROUND(AVERAGE('Raw Data'!$S$2:$S$1501),0),'Raw Data'!S10)</f>
        <v>2</v>
      </c>
      <c r="T10" s="21">
        <f>'Raw Data'!T10</f>
        <v>226.84</v>
      </c>
      <c r="U10" s="21" t="str">
        <f>INDEX('Lookup Tables'!$C$7:$C$9,MATCH(E10,'Lookup Tables'!$B$7:$B$9,0))</f>
        <v>Tier 1 (Metro)</v>
      </c>
      <c r="V10" s="21" t="str">
        <f t="shared" si="0"/>
        <v>25+ months</v>
      </c>
      <c r="W10" s="21" t="str">
        <f t="shared" si="1"/>
        <v>Low Risk</v>
      </c>
      <c r="X10" s="21" t="str">
        <f t="shared" si="2"/>
        <v>Yes</v>
      </c>
    </row>
    <row r="11" spans="1:24" x14ac:dyDescent="0.3">
      <c r="A11" s="21">
        <f>'Raw Data'!A11</f>
        <v>50010</v>
      </c>
      <c r="B11" s="21">
        <f>'Raw Data'!B11</f>
        <v>0</v>
      </c>
      <c r="C11" s="21">
        <f>'Raw Data'!C11</f>
        <v>25</v>
      </c>
      <c r="D11" s="21" t="str">
        <f>'Raw Data'!D11</f>
        <v>Mobile Phone</v>
      </c>
      <c r="E11" s="21">
        <f>'Raw Data'!E11</f>
        <v>2</v>
      </c>
      <c r="F11" s="21">
        <f>IF('Raw Data'!F11="",ROUND(AVERAGE('Raw Data'!$F$2:$F$1501),1),'Raw Data'!F11)</f>
        <v>5</v>
      </c>
      <c r="G11" s="21" t="str">
        <f>'Raw Data'!G11</f>
        <v>Debit Card</v>
      </c>
      <c r="H11" s="21" t="str">
        <f>'Raw Data'!H11</f>
        <v>Male</v>
      </c>
      <c r="I11" s="21">
        <f>IF('Raw Data'!I11="",ROUND(AVERAGE('Raw Data'!$I$2:$I$1501),1),'Raw Data'!I11)</f>
        <v>2.6</v>
      </c>
      <c r="J11" s="21">
        <f>'Raw Data'!J11</f>
        <v>3</v>
      </c>
      <c r="K11" s="21" t="str">
        <f>'Raw Data'!K11</f>
        <v>Others</v>
      </c>
      <c r="L11" s="21">
        <f>'Raw Data'!L11</f>
        <v>5</v>
      </c>
      <c r="M11" s="21" t="str">
        <f>'Raw Data'!M11</f>
        <v>Married</v>
      </c>
      <c r="N11" s="21">
        <f>'Raw Data'!N11</f>
        <v>5</v>
      </c>
      <c r="O11" s="21">
        <f>'Raw Data'!O11</f>
        <v>1</v>
      </c>
      <c r="P11" s="21">
        <f>IF('Raw Data'!P11="",ROUND(AVERAGE('Raw Data'!$P$2:$P$1501),1),'Raw Data'!P11)</f>
        <v>21</v>
      </c>
      <c r="Q11" s="21">
        <f>IF('Raw Data'!Q11="",ROUND(AVERAGE('Raw Data'!$Q$2:$Q$1501),0),'Raw Data'!Q11)</f>
        <v>1</v>
      </c>
      <c r="R11" s="21">
        <f>'Raw Data'!R11</f>
        <v>3</v>
      </c>
      <c r="S11" s="21">
        <f>IF('Raw Data'!S11="",ROUND(AVERAGE('Raw Data'!$S$2:$S$1501),0),'Raw Data'!S11)</f>
        <v>1</v>
      </c>
      <c r="T11" s="21">
        <f>'Raw Data'!T11</f>
        <v>213.5</v>
      </c>
      <c r="U11" s="21" t="str">
        <f>INDEX('Lookup Tables'!$C$7:$C$9,MATCH(E11,'Lookup Tables'!$B$7:$B$9,0))</f>
        <v>Tier 2 (Urban)</v>
      </c>
      <c r="V11" s="21" t="str">
        <f t="shared" si="0"/>
        <v>25+ months</v>
      </c>
      <c r="W11" s="21" t="str">
        <f t="shared" si="1"/>
        <v>Low Risk</v>
      </c>
      <c r="X11" s="21" t="str">
        <f t="shared" si="2"/>
        <v>No</v>
      </c>
    </row>
    <row r="12" spans="1:24" x14ac:dyDescent="0.3">
      <c r="A12" s="21">
        <f>'Raw Data'!A12</f>
        <v>50011</v>
      </c>
      <c r="B12" s="21">
        <f>'Raw Data'!B12</f>
        <v>0</v>
      </c>
      <c r="C12" s="21">
        <f>'Raw Data'!C12</f>
        <v>5</v>
      </c>
      <c r="D12" s="21" t="str">
        <f>'Raw Data'!D12</f>
        <v>Phone</v>
      </c>
      <c r="E12" s="21">
        <f>'Raw Data'!E12</f>
        <v>1</v>
      </c>
      <c r="F12" s="21">
        <f>IF('Raw Data'!F12="",ROUND(AVERAGE('Raw Data'!$F$2:$F$1501),1),'Raw Data'!F12)</f>
        <v>18</v>
      </c>
      <c r="G12" s="21" t="str">
        <f>'Raw Data'!G12</f>
        <v>Cash on Delivery</v>
      </c>
      <c r="H12" s="21" t="str">
        <f>'Raw Data'!H12</f>
        <v>Male</v>
      </c>
      <c r="I12" s="21">
        <f>IF('Raw Data'!I12="",ROUND(AVERAGE('Raw Data'!$I$2:$I$1501),1),'Raw Data'!I12)</f>
        <v>2.5</v>
      </c>
      <c r="J12" s="21">
        <f>'Raw Data'!J12</f>
        <v>3</v>
      </c>
      <c r="K12" s="21" t="str">
        <f>'Raw Data'!K12</f>
        <v>Mobile Phone</v>
      </c>
      <c r="L12" s="21">
        <f>'Raw Data'!L12</f>
        <v>4</v>
      </c>
      <c r="M12" s="21" t="str">
        <f>'Raw Data'!M12</f>
        <v>Married</v>
      </c>
      <c r="N12" s="21">
        <f>'Raw Data'!N12</f>
        <v>2</v>
      </c>
      <c r="O12" s="21">
        <f>'Raw Data'!O12</f>
        <v>1</v>
      </c>
      <c r="P12" s="21">
        <f>IF('Raw Data'!P12="",ROUND(AVERAGE('Raw Data'!$P$2:$P$1501),1),'Raw Data'!P12)</f>
        <v>14.5</v>
      </c>
      <c r="Q12" s="21">
        <f>IF('Raw Data'!Q12="",ROUND(AVERAGE('Raw Data'!$Q$2:$Q$1501),0),'Raw Data'!Q12)</f>
        <v>3</v>
      </c>
      <c r="R12" s="21">
        <f>'Raw Data'!R12</f>
        <v>2</v>
      </c>
      <c r="S12" s="21">
        <f>IF('Raw Data'!S12="",ROUND(AVERAGE('Raw Data'!$S$2:$S$1501),0),'Raw Data'!S12)</f>
        <v>0</v>
      </c>
      <c r="T12" s="21">
        <f>'Raw Data'!T12</f>
        <v>85.58</v>
      </c>
      <c r="U12" s="21" t="str">
        <f>INDEX('Lookup Tables'!$C$7:$C$9,MATCH(E12,'Lookup Tables'!$B$7:$B$9,0))</f>
        <v>Tier 1 (Metro)</v>
      </c>
      <c r="V12" s="21" t="str">
        <f t="shared" si="0"/>
        <v>0-6 months</v>
      </c>
      <c r="W12" s="21" t="str">
        <f t="shared" si="1"/>
        <v>Low Risk</v>
      </c>
      <c r="X12" s="21" t="str">
        <f t="shared" si="2"/>
        <v>No</v>
      </c>
    </row>
    <row r="13" spans="1:24" x14ac:dyDescent="0.3">
      <c r="A13" s="21">
        <f>'Raw Data'!A13</f>
        <v>50012</v>
      </c>
      <c r="B13" s="21">
        <f>'Raw Data'!B13</f>
        <v>0</v>
      </c>
      <c r="C13" s="21">
        <f>'Raw Data'!C13</f>
        <v>1</v>
      </c>
      <c r="D13" s="21" t="str">
        <f>'Raw Data'!D13</f>
        <v>Mobile Phone</v>
      </c>
      <c r="E13" s="21">
        <f>'Raw Data'!E13</f>
        <v>1</v>
      </c>
      <c r="F13" s="21">
        <f>IF('Raw Data'!F13="",ROUND(AVERAGE('Raw Data'!$F$2:$F$1501),1),'Raw Data'!F13)</f>
        <v>5</v>
      </c>
      <c r="G13" s="21" t="str">
        <f>'Raw Data'!G13</f>
        <v>Debit Card</v>
      </c>
      <c r="H13" s="21" t="str">
        <f>'Raw Data'!H13</f>
        <v>Male</v>
      </c>
      <c r="I13" s="21">
        <f>IF('Raw Data'!I13="",ROUND(AVERAGE('Raw Data'!$I$2:$I$1501),1),'Raw Data'!I13)</f>
        <v>3.2</v>
      </c>
      <c r="J13" s="21">
        <f>'Raw Data'!J13</f>
        <v>5</v>
      </c>
      <c r="K13" s="21" t="str">
        <f>'Raw Data'!K13</f>
        <v>Mobile Phone</v>
      </c>
      <c r="L13" s="21">
        <f>'Raw Data'!L13</f>
        <v>3</v>
      </c>
      <c r="M13" s="21" t="str">
        <f>'Raw Data'!M13</f>
        <v>Single</v>
      </c>
      <c r="N13" s="21">
        <f>'Raw Data'!N13</f>
        <v>2</v>
      </c>
      <c r="O13" s="21">
        <f>'Raw Data'!O13</f>
        <v>0</v>
      </c>
      <c r="P13" s="21">
        <f>IF('Raw Data'!P13="",ROUND(AVERAGE('Raw Data'!$P$2:$P$1501),1),'Raw Data'!P13)</f>
        <v>12.1</v>
      </c>
      <c r="Q13" s="21">
        <f>IF('Raw Data'!Q13="",ROUND(AVERAGE('Raw Data'!$Q$2:$Q$1501),0),'Raw Data'!Q13)</f>
        <v>2</v>
      </c>
      <c r="R13" s="21">
        <f>'Raw Data'!R13</f>
        <v>4</v>
      </c>
      <c r="S13" s="21">
        <f>IF('Raw Data'!S13="",ROUND(AVERAGE('Raw Data'!$S$2:$S$1501),0),'Raw Data'!S13)</f>
        <v>4</v>
      </c>
      <c r="T13" s="21">
        <f>'Raw Data'!T13</f>
        <v>189.51</v>
      </c>
      <c r="U13" s="21" t="str">
        <f>INDEX('Lookup Tables'!$C$7:$C$9,MATCH(E13,'Lookup Tables'!$B$7:$B$9,0))</f>
        <v>Tier 1 (Metro)</v>
      </c>
      <c r="V13" s="21" t="str">
        <f t="shared" si="0"/>
        <v>0-6 months</v>
      </c>
      <c r="W13" s="21" t="str">
        <f t="shared" si="1"/>
        <v>Medium Risk</v>
      </c>
      <c r="X13" s="21" t="str">
        <f t="shared" si="2"/>
        <v>No</v>
      </c>
    </row>
    <row r="14" spans="1:24" x14ac:dyDescent="0.3">
      <c r="A14" s="21">
        <f>'Raw Data'!A14</f>
        <v>50013</v>
      </c>
      <c r="B14" s="21">
        <f>'Raw Data'!B14</f>
        <v>0</v>
      </c>
      <c r="C14" s="21">
        <f>'Raw Data'!C14</f>
        <v>41</v>
      </c>
      <c r="D14" s="21" t="str">
        <f>'Raw Data'!D14</f>
        <v>Phone</v>
      </c>
      <c r="E14" s="21">
        <f>'Raw Data'!E14</f>
        <v>2</v>
      </c>
      <c r="F14" s="21">
        <f>IF('Raw Data'!F14="",ROUND(AVERAGE('Raw Data'!$F$2:$F$1501),1),'Raw Data'!F14)</f>
        <v>23</v>
      </c>
      <c r="G14" s="21" t="str">
        <f>'Raw Data'!G14</f>
        <v>Debit Card</v>
      </c>
      <c r="H14" s="21" t="str">
        <f>'Raw Data'!H14</f>
        <v>Female</v>
      </c>
      <c r="I14" s="21">
        <f>IF('Raw Data'!I14="",ROUND(AVERAGE('Raw Data'!$I$2:$I$1501),1),'Raw Data'!I14)</f>
        <v>3</v>
      </c>
      <c r="J14" s="21">
        <f>'Raw Data'!J14</f>
        <v>2</v>
      </c>
      <c r="K14" s="21" t="str">
        <f>'Raw Data'!K14</f>
        <v>Mobile Phone</v>
      </c>
      <c r="L14" s="21">
        <f>'Raw Data'!L14</f>
        <v>3</v>
      </c>
      <c r="M14" s="21" t="str">
        <f>'Raw Data'!M14</f>
        <v>Divorced</v>
      </c>
      <c r="N14" s="21">
        <f>'Raw Data'!N14</f>
        <v>1</v>
      </c>
      <c r="O14" s="21">
        <f>'Raw Data'!O14</f>
        <v>0</v>
      </c>
      <c r="P14" s="21">
        <f>IF('Raw Data'!P14="",ROUND(AVERAGE('Raw Data'!$P$2:$P$1501),1),'Raw Data'!P14)</f>
        <v>14.5</v>
      </c>
      <c r="Q14" s="21">
        <f>IF('Raw Data'!Q14="",ROUND(AVERAGE('Raw Data'!$Q$2:$Q$1501),0),'Raw Data'!Q14)</f>
        <v>2</v>
      </c>
      <c r="R14" s="21">
        <f>'Raw Data'!R14</f>
        <v>3</v>
      </c>
      <c r="S14" s="21">
        <f>IF('Raw Data'!S14="",ROUND(AVERAGE('Raw Data'!$S$2:$S$1501),0),'Raw Data'!S14)</f>
        <v>4</v>
      </c>
      <c r="T14" s="21">
        <f>'Raw Data'!T14</f>
        <v>171.47</v>
      </c>
      <c r="U14" s="21" t="str">
        <f>INDEX('Lookup Tables'!$C$7:$C$9,MATCH(E14,'Lookup Tables'!$B$7:$B$9,0))</f>
        <v>Tier 2 (Urban)</v>
      </c>
      <c r="V14" s="21" t="str">
        <f t="shared" si="0"/>
        <v>25+ months</v>
      </c>
      <c r="W14" s="21" t="str">
        <f t="shared" si="1"/>
        <v>Medium Risk</v>
      </c>
      <c r="X14" s="21" t="str">
        <f t="shared" si="2"/>
        <v>No</v>
      </c>
    </row>
    <row r="15" spans="1:24" x14ac:dyDescent="0.3">
      <c r="A15" s="21">
        <f>'Raw Data'!A15</f>
        <v>50014</v>
      </c>
      <c r="B15" s="21">
        <f>'Raw Data'!B15</f>
        <v>0</v>
      </c>
      <c r="C15" s="21">
        <f>'Raw Data'!C15</f>
        <v>18</v>
      </c>
      <c r="D15" s="21" t="str">
        <f>'Raw Data'!D15</f>
        <v>Mobile Phone</v>
      </c>
      <c r="E15" s="21">
        <f>'Raw Data'!E15</f>
        <v>3</v>
      </c>
      <c r="F15" s="21">
        <f>IF('Raw Data'!F15="",ROUND(AVERAGE('Raw Data'!$F$2:$F$1501),1),'Raw Data'!F15)</f>
        <v>11</v>
      </c>
      <c r="G15" s="21" t="str">
        <f>'Raw Data'!G15</f>
        <v>Credit Card</v>
      </c>
      <c r="H15" s="21" t="str">
        <f>'Raw Data'!H15</f>
        <v>Male</v>
      </c>
      <c r="I15" s="21">
        <f>IF('Raw Data'!I15="",ROUND(AVERAGE('Raw Data'!$I$2:$I$1501),1),'Raw Data'!I15)</f>
        <v>2.7</v>
      </c>
      <c r="J15" s="21">
        <f>'Raw Data'!J15</f>
        <v>4</v>
      </c>
      <c r="K15" s="21" t="str">
        <f>'Raw Data'!K15</f>
        <v>Others</v>
      </c>
      <c r="L15" s="21">
        <f>'Raw Data'!L15</f>
        <v>2</v>
      </c>
      <c r="M15" s="21" t="str">
        <f>'Raw Data'!M15</f>
        <v>Married</v>
      </c>
      <c r="N15" s="21">
        <f>'Raw Data'!N15</f>
        <v>1</v>
      </c>
      <c r="O15" s="21">
        <f>'Raw Data'!O15</f>
        <v>0</v>
      </c>
      <c r="P15" s="21">
        <f>IF('Raw Data'!P15="",ROUND(AVERAGE('Raw Data'!$P$2:$P$1501),1),'Raw Data'!P15)</f>
        <v>24.7</v>
      </c>
      <c r="Q15" s="21">
        <f>IF('Raw Data'!Q15="",ROUND(AVERAGE('Raw Data'!$Q$2:$Q$1501),0),'Raw Data'!Q15)</f>
        <v>1</v>
      </c>
      <c r="R15" s="21">
        <f>'Raw Data'!R15</f>
        <v>3</v>
      </c>
      <c r="S15" s="21">
        <f>IF('Raw Data'!S15="",ROUND(AVERAGE('Raw Data'!$S$2:$S$1501),0),'Raw Data'!S15)</f>
        <v>0</v>
      </c>
      <c r="T15" s="21">
        <f>'Raw Data'!T15</f>
        <v>171</v>
      </c>
      <c r="U15" s="21" t="str">
        <f>INDEX('Lookup Tables'!$C$7:$C$9,MATCH(E15,'Lookup Tables'!$B$7:$B$9,0))</f>
        <v>Tier 3 (Semi-urban/Rural)</v>
      </c>
      <c r="V15" s="21" t="str">
        <f t="shared" si="0"/>
        <v>13-24 months</v>
      </c>
      <c r="W15" s="21" t="str">
        <f t="shared" si="1"/>
        <v>Low Risk</v>
      </c>
      <c r="X15" s="21" t="str">
        <f t="shared" si="2"/>
        <v>No</v>
      </c>
    </row>
    <row r="16" spans="1:24" x14ac:dyDescent="0.3">
      <c r="A16" s="21">
        <f>'Raw Data'!A16</f>
        <v>50015</v>
      </c>
      <c r="B16" s="21">
        <f>'Raw Data'!B16</f>
        <v>0</v>
      </c>
      <c r="C16" s="21">
        <f>'Raw Data'!C16</f>
        <v>1</v>
      </c>
      <c r="D16" s="21" t="str">
        <f>'Raw Data'!D16</f>
        <v>Computer</v>
      </c>
      <c r="E16" s="21">
        <f>'Raw Data'!E16</f>
        <v>1</v>
      </c>
      <c r="F16" s="21">
        <f>IF('Raw Data'!F16="",ROUND(AVERAGE('Raw Data'!$F$2:$F$1501),1),'Raw Data'!F16)</f>
        <v>14</v>
      </c>
      <c r="G16" s="21" t="str">
        <f>'Raw Data'!G16</f>
        <v>Credit Card</v>
      </c>
      <c r="H16" s="21" t="str">
        <f>'Raw Data'!H16</f>
        <v>Male</v>
      </c>
      <c r="I16" s="21">
        <f>IF('Raw Data'!I16="",ROUND(AVERAGE('Raw Data'!$I$2:$I$1501),1),'Raw Data'!I16)</f>
        <v>3</v>
      </c>
      <c r="J16" s="21">
        <f>'Raw Data'!J16</f>
        <v>3</v>
      </c>
      <c r="K16" s="21" t="str">
        <f>'Raw Data'!K16</f>
        <v>Grocery</v>
      </c>
      <c r="L16" s="21">
        <f>'Raw Data'!L16</f>
        <v>3</v>
      </c>
      <c r="M16" s="21" t="str">
        <f>'Raw Data'!M16</f>
        <v>Divorced</v>
      </c>
      <c r="N16" s="21">
        <f>'Raw Data'!N16</f>
        <v>2</v>
      </c>
      <c r="O16" s="21">
        <f>'Raw Data'!O16</f>
        <v>0</v>
      </c>
      <c r="P16" s="21">
        <f>IF('Raw Data'!P16="",ROUND(AVERAGE('Raw Data'!$P$2:$P$1501),1),'Raw Data'!P16)</f>
        <v>14.6</v>
      </c>
      <c r="Q16" s="21">
        <f>IF('Raw Data'!Q16="",ROUND(AVERAGE('Raw Data'!$Q$2:$Q$1501),0),'Raw Data'!Q16)</f>
        <v>0</v>
      </c>
      <c r="R16" s="21">
        <f>'Raw Data'!R16</f>
        <v>3</v>
      </c>
      <c r="S16" s="21">
        <f>IF('Raw Data'!S16="",ROUND(AVERAGE('Raw Data'!$S$2:$S$1501),0),'Raw Data'!S16)</f>
        <v>4</v>
      </c>
      <c r="T16" s="21">
        <f>'Raw Data'!T16</f>
        <v>94.01</v>
      </c>
      <c r="U16" s="21" t="str">
        <f>INDEX('Lookup Tables'!$C$7:$C$9,MATCH(E16,'Lookup Tables'!$B$7:$B$9,0))</f>
        <v>Tier 1 (Metro)</v>
      </c>
      <c r="V16" s="21" t="str">
        <f t="shared" si="0"/>
        <v>0-6 months</v>
      </c>
      <c r="W16" s="21" t="str">
        <f t="shared" si="1"/>
        <v>Medium Risk</v>
      </c>
      <c r="X16" s="21" t="str">
        <f t="shared" si="2"/>
        <v>No</v>
      </c>
    </row>
    <row r="17" spans="1:24" x14ac:dyDescent="0.3">
      <c r="A17" s="21">
        <f>'Raw Data'!A17</f>
        <v>50016</v>
      </c>
      <c r="B17" s="21">
        <f>'Raw Data'!B17</f>
        <v>0</v>
      </c>
      <c r="C17" s="21">
        <f>'Raw Data'!C17</f>
        <v>25</v>
      </c>
      <c r="D17" s="21" t="str">
        <f>'Raw Data'!D17</f>
        <v>Phone</v>
      </c>
      <c r="E17" s="21">
        <f>'Raw Data'!E17</f>
        <v>3</v>
      </c>
      <c r="F17" s="21">
        <f>IF('Raw Data'!F17="",ROUND(AVERAGE('Raw Data'!$F$2:$F$1501),1),'Raw Data'!F17)</f>
        <v>25</v>
      </c>
      <c r="G17" s="21" t="str">
        <f>'Raw Data'!G17</f>
        <v>UPI</v>
      </c>
      <c r="H17" s="21" t="str">
        <f>'Raw Data'!H17</f>
        <v>Female</v>
      </c>
      <c r="I17" s="21">
        <f>IF('Raw Data'!I17="",ROUND(AVERAGE('Raw Data'!$I$2:$I$1501),1),'Raw Data'!I17)</f>
        <v>2.9</v>
      </c>
      <c r="J17" s="21">
        <f>'Raw Data'!J17</f>
        <v>3</v>
      </c>
      <c r="K17" s="21" t="str">
        <f>'Raw Data'!K17</f>
        <v>Others</v>
      </c>
      <c r="L17" s="21">
        <f>'Raw Data'!L17</f>
        <v>4</v>
      </c>
      <c r="M17" s="21" t="str">
        <f>'Raw Data'!M17</f>
        <v>Married</v>
      </c>
      <c r="N17" s="21">
        <f>'Raw Data'!N17</f>
        <v>2</v>
      </c>
      <c r="O17" s="21">
        <f>'Raw Data'!O17</f>
        <v>0</v>
      </c>
      <c r="P17" s="21">
        <f>IF('Raw Data'!P17="",ROUND(AVERAGE('Raw Data'!$P$2:$P$1501),1),'Raw Data'!P17)</f>
        <v>14.9</v>
      </c>
      <c r="Q17" s="21">
        <f>IF('Raw Data'!Q17="",ROUND(AVERAGE('Raw Data'!$Q$2:$Q$1501),0),'Raw Data'!Q17)</f>
        <v>3</v>
      </c>
      <c r="R17" s="21">
        <f>'Raw Data'!R17</f>
        <v>6</v>
      </c>
      <c r="S17" s="21">
        <f>IF('Raw Data'!S17="",ROUND(AVERAGE('Raw Data'!$S$2:$S$1501),0),'Raw Data'!S17)</f>
        <v>15</v>
      </c>
      <c r="T17" s="21">
        <f>'Raw Data'!T17</f>
        <v>120.17</v>
      </c>
      <c r="U17" s="21" t="str">
        <f>INDEX('Lookup Tables'!$C$7:$C$9,MATCH(E17,'Lookup Tables'!$B$7:$B$9,0))</f>
        <v>Tier 3 (Semi-urban/Rural)</v>
      </c>
      <c r="V17" s="21" t="str">
        <f t="shared" si="0"/>
        <v>25+ months</v>
      </c>
      <c r="W17" s="21" t="str">
        <f t="shared" si="1"/>
        <v>Low Risk</v>
      </c>
      <c r="X17" s="21" t="str">
        <f t="shared" si="2"/>
        <v>No</v>
      </c>
    </row>
    <row r="18" spans="1:24" x14ac:dyDescent="0.3">
      <c r="A18" s="21">
        <f>'Raw Data'!A18</f>
        <v>50017</v>
      </c>
      <c r="B18" s="21">
        <f>'Raw Data'!B18</f>
        <v>0</v>
      </c>
      <c r="C18" s="21">
        <f>'Raw Data'!C18</f>
        <v>20</v>
      </c>
      <c r="D18" s="21" t="str">
        <f>'Raw Data'!D18</f>
        <v>Mobile Phone</v>
      </c>
      <c r="E18" s="21">
        <f>'Raw Data'!E18</f>
        <v>3</v>
      </c>
      <c r="F18" s="21">
        <f>IF('Raw Data'!F18="",ROUND(AVERAGE('Raw Data'!$F$2:$F$1501),1),'Raw Data'!F18)</f>
        <v>5</v>
      </c>
      <c r="G18" s="21" t="str">
        <f>'Raw Data'!G18</f>
        <v>Credit Card</v>
      </c>
      <c r="H18" s="21" t="str">
        <f>'Raw Data'!H18</f>
        <v>Female</v>
      </c>
      <c r="I18" s="21">
        <f>IF('Raw Data'!I18="",ROUND(AVERAGE('Raw Data'!$I$2:$I$1501),1),'Raw Data'!I18)</f>
        <v>3</v>
      </c>
      <c r="J18" s="21">
        <f>'Raw Data'!J18</f>
        <v>3</v>
      </c>
      <c r="K18" s="21" t="str">
        <f>'Raw Data'!K18</f>
        <v>Laptop &amp; Accessory</v>
      </c>
      <c r="L18" s="21">
        <f>'Raw Data'!L18</f>
        <v>5</v>
      </c>
      <c r="M18" s="21" t="str">
        <f>'Raw Data'!M18</f>
        <v>Married</v>
      </c>
      <c r="N18" s="21">
        <f>'Raw Data'!N18</f>
        <v>8</v>
      </c>
      <c r="O18" s="21">
        <f>'Raw Data'!O18</f>
        <v>0</v>
      </c>
      <c r="P18" s="21">
        <f>IF('Raw Data'!P18="",ROUND(AVERAGE('Raw Data'!$P$2:$P$1501),1),'Raw Data'!P18)</f>
        <v>15.3</v>
      </c>
      <c r="Q18" s="21">
        <f>IF('Raw Data'!Q18="",ROUND(AVERAGE('Raw Data'!$Q$2:$Q$1501),0),'Raw Data'!Q18)</f>
        <v>3</v>
      </c>
      <c r="R18" s="21">
        <f>'Raw Data'!R18</f>
        <v>3</v>
      </c>
      <c r="S18" s="21">
        <f>IF('Raw Data'!S18="",ROUND(AVERAGE('Raw Data'!$S$2:$S$1501),0),'Raw Data'!S18)</f>
        <v>19</v>
      </c>
      <c r="T18" s="21">
        <f>'Raw Data'!T18</f>
        <v>176.26</v>
      </c>
      <c r="U18" s="21" t="str">
        <f>INDEX('Lookup Tables'!$C$7:$C$9,MATCH(E18,'Lookup Tables'!$B$7:$B$9,0))</f>
        <v>Tier 3 (Semi-urban/Rural)</v>
      </c>
      <c r="V18" s="21" t="str">
        <f t="shared" si="0"/>
        <v>13-24 months</v>
      </c>
      <c r="W18" s="21" t="str">
        <f t="shared" si="1"/>
        <v>Medium Risk</v>
      </c>
      <c r="X18" s="21" t="str">
        <f t="shared" si="2"/>
        <v>No</v>
      </c>
    </row>
    <row r="19" spans="1:24" x14ac:dyDescent="0.3">
      <c r="A19" s="21">
        <f>'Raw Data'!A19</f>
        <v>50018</v>
      </c>
      <c r="B19" s="21">
        <f>'Raw Data'!B19</f>
        <v>0</v>
      </c>
      <c r="C19" s="21">
        <f>'Raw Data'!C19</f>
        <v>7</v>
      </c>
      <c r="D19" s="21" t="str">
        <f>'Raw Data'!D19</f>
        <v>Phone</v>
      </c>
      <c r="E19" s="21">
        <f>'Raw Data'!E19</f>
        <v>1</v>
      </c>
      <c r="F19" s="21">
        <f>IF('Raw Data'!F19="",ROUND(AVERAGE('Raw Data'!$F$2:$F$1501),1),'Raw Data'!F19)</f>
        <v>5</v>
      </c>
      <c r="G19" s="21" t="str">
        <f>'Raw Data'!G19</f>
        <v>Debit Card</v>
      </c>
      <c r="H19" s="21" t="str">
        <f>'Raw Data'!H19</f>
        <v>Male</v>
      </c>
      <c r="I19" s="21">
        <f>IF('Raw Data'!I19="",ROUND(AVERAGE('Raw Data'!$I$2:$I$1501),1),'Raw Data'!I19)</f>
        <v>3</v>
      </c>
      <c r="J19" s="21">
        <f>'Raw Data'!J19</f>
        <v>2</v>
      </c>
      <c r="K19" s="21" t="str">
        <f>'Raw Data'!K19</f>
        <v>Fashion</v>
      </c>
      <c r="L19" s="21">
        <f>'Raw Data'!L19</f>
        <v>4</v>
      </c>
      <c r="M19" s="21" t="str">
        <f>'Raw Data'!M19</f>
        <v>Single</v>
      </c>
      <c r="N19" s="21">
        <f>'Raw Data'!N19</f>
        <v>8</v>
      </c>
      <c r="O19" s="21">
        <f>'Raw Data'!O19</f>
        <v>0</v>
      </c>
      <c r="P19" s="21">
        <f>IF('Raw Data'!P19="",ROUND(AVERAGE('Raw Data'!$P$2:$P$1501),1),'Raw Data'!P19)</f>
        <v>15.5</v>
      </c>
      <c r="Q19" s="21">
        <f>IF('Raw Data'!Q19="",ROUND(AVERAGE('Raw Data'!$Q$2:$Q$1501),0),'Raw Data'!Q19)</f>
        <v>2</v>
      </c>
      <c r="R19" s="21">
        <f>'Raw Data'!R19</f>
        <v>3</v>
      </c>
      <c r="S19" s="21">
        <f>IF('Raw Data'!S19="",ROUND(AVERAGE('Raw Data'!$S$2:$S$1501),0),'Raw Data'!S19)</f>
        <v>10</v>
      </c>
      <c r="T19" s="21">
        <f>'Raw Data'!T19</f>
        <v>241.29</v>
      </c>
      <c r="U19" s="21" t="str">
        <f>INDEX('Lookup Tables'!$C$7:$C$9,MATCH(E19,'Lookup Tables'!$B$7:$B$9,0))</f>
        <v>Tier 1 (Metro)</v>
      </c>
      <c r="V19" s="21" t="str">
        <f t="shared" si="0"/>
        <v>7-12 months</v>
      </c>
      <c r="W19" s="21" t="str">
        <f t="shared" si="1"/>
        <v>Low Risk</v>
      </c>
      <c r="X19" s="21" t="str">
        <f t="shared" si="2"/>
        <v>No</v>
      </c>
    </row>
    <row r="20" spans="1:24" x14ac:dyDescent="0.3">
      <c r="A20" s="21">
        <f>'Raw Data'!A20</f>
        <v>50019</v>
      </c>
      <c r="B20" s="21">
        <f>'Raw Data'!B20</f>
        <v>0</v>
      </c>
      <c r="C20" s="21">
        <f>'Raw Data'!C20</f>
        <v>8</v>
      </c>
      <c r="D20" s="21" t="str">
        <f>'Raw Data'!D20</f>
        <v>Mobile Phone</v>
      </c>
      <c r="E20" s="21">
        <f>'Raw Data'!E20</f>
        <v>1</v>
      </c>
      <c r="F20" s="21">
        <f>IF('Raw Data'!F20="",ROUND(AVERAGE('Raw Data'!$F$2:$F$1501),1),'Raw Data'!F20)</f>
        <v>10</v>
      </c>
      <c r="G20" s="21" t="str">
        <f>'Raw Data'!G20</f>
        <v>Debit Card</v>
      </c>
      <c r="H20" s="21" t="str">
        <f>'Raw Data'!H20</f>
        <v>Female</v>
      </c>
      <c r="I20" s="21">
        <f>IF('Raw Data'!I20="",ROUND(AVERAGE('Raw Data'!$I$2:$I$1501),1),'Raw Data'!I20)</f>
        <v>1.8</v>
      </c>
      <c r="J20" s="21">
        <f>'Raw Data'!J20</f>
        <v>4</v>
      </c>
      <c r="K20" s="21" t="str">
        <f>'Raw Data'!K20</f>
        <v>Laptop &amp; Accessory</v>
      </c>
      <c r="L20" s="21">
        <f>'Raw Data'!L20</f>
        <v>3</v>
      </c>
      <c r="M20" s="21" t="str">
        <f>'Raw Data'!M20</f>
        <v>Single</v>
      </c>
      <c r="N20" s="21">
        <f>'Raw Data'!N20</f>
        <v>6</v>
      </c>
      <c r="O20" s="21">
        <f>'Raw Data'!O20</f>
        <v>0</v>
      </c>
      <c r="P20" s="21">
        <f>IF('Raw Data'!P20="",ROUND(AVERAGE('Raw Data'!$P$2:$P$1501),1),'Raw Data'!P20)</f>
        <v>13.3</v>
      </c>
      <c r="Q20" s="21">
        <f>IF('Raw Data'!Q20="",ROUND(AVERAGE('Raw Data'!$Q$2:$Q$1501),0),'Raw Data'!Q20)</f>
        <v>0</v>
      </c>
      <c r="R20" s="21">
        <f>'Raw Data'!R20</f>
        <v>4</v>
      </c>
      <c r="S20" s="21">
        <f>IF('Raw Data'!S20="",ROUND(AVERAGE('Raw Data'!$S$2:$S$1501),0),'Raw Data'!S20)</f>
        <v>8</v>
      </c>
      <c r="T20" s="21">
        <f>'Raw Data'!T20</f>
        <v>147.52000000000001</v>
      </c>
      <c r="U20" s="21" t="str">
        <f>INDEX('Lookup Tables'!$C$7:$C$9,MATCH(E20,'Lookup Tables'!$B$7:$B$9,0))</f>
        <v>Tier 1 (Metro)</v>
      </c>
      <c r="V20" s="21" t="str">
        <f t="shared" si="0"/>
        <v>7-12 months</v>
      </c>
      <c r="W20" s="21" t="str">
        <f t="shared" si="1"/>
        <v>Medium Risk</v>
      </c>
      <c r="X20" s="21" t="str">
        <f t="shared" si="2"/>
        <v>No</v>
      </c>
    </row>
    <row r="21" spans="1:24" x14ac:dyDescent="0.3">
      <c r="A21" s="21">
        <f>'Raw Data'!A21</f>
        <v>50020</v>
      </c>
      <c r="B21" s="21">
        <f>'Raw Data'!B21</f>
        <v>0</v>
      </c>
      <c r="C21" s="21">
        <f>'Raw Data'!C21</f>
        <v>5</v>
      </c>
      <c r="D21" s="21" t="str">
        <f>'Raw Data'!D21</f>
        <v>Phone</v>
      </c>
      <c r="E21" s="21">
        <f>'Raw Data'!E21</f>
        <v>1</v>
      </c>
      <c r="F21" s="21">
        <f>IF('Raw Data'!F21="",ROUND(AVERAGE('Raw Data'!$F$2:$F$1501),1),'Raw Data'!F21)</f>
        <v>23</v>
      </c>
      <c r="G21" s="21" t="str">
        <f>'Raw Data'!G21</f>
        <v>Credit Card</v>
      </c>
      <c r="H21" s="21" t="str">
        <f>'Raw Data'!H21</f>
        <v>Male</v>
      </c>
      <c r="I21" s="21">
        <f>IF('Raw Data'!I21="",ROUND(AVERAGE('Raw Data'!$I$2:$I$1501),1),'Raw Data'!I21)</f>
        <v>3.6</v>
      </c>
      <c r="J21" s="21">
        <f>'Raw Data'!J21</f>
        <v>5</v>
      </c>
      <c r="K21" s="21" t="str">
        <f>'Raw Data'!K21</f>
        <v>Laptop &amp; Accessory</v>
      </c>
      <c r="L21" s="21">
        <f>'Raw Data'!L21</f>
        <v>1</v>
      </c>
      <c r="M21" s="21" t="str">
        <f>'Raw Data'!M21</f>
        <v>Divorced</v>
      </c>
      <c r="N21" s="21">
        <f>'Raw Data'!N21</f>
        <v>1</v>
      </c>
      <c r="O21" s="21">
        <f>'Raw Data'!O21</f>
        <v>1</v>
      </c>
      <c r="P21" s="21">
        <f>IF('Raw Data'!P21="",ROUND(AVERAGE('Raw Data'!$P$2:$P$1501),1),'Raw Data'!P21)</f>
        <v>16.3</v>
      </c>
      <c r="Q21" s="21">
        <f>IF('Raw Data'!Q21="",ROUND(AVERAGE('Raw Data'!$Q$2:$Q$1501),0),'Raw Data'!Q21)</f>
        <v>2</v>
      </c>
      <c r="R21" s="21">
        <f>'Raw Data'!R21</f>
        <v>4</v>
      </c>
      <c r="S21" s="21">
        <f>IF('Raw Data'!S21="",ROUND(AVERAGE('Raw Data'!$S$2:$S$1501),0),'Raw Data'!S21)</f>
        <v>1</v>
      </c>
      <c r="T21" s="21">
        <f>'Raw Data'!T21</f>
        <v>158</v>
      </c>
      <c r="U21" s="21" t="str">
        <f>INDEX('Lookup Tables'!$C$7:$C$9,MATCH(E21,'Lookup Tables'!$B$7:$B$9,0))</f>
        <v>Tier 1 (Metro)</v>
      </c>
      <c r="V21" s="21" t="str">
        <f t="shared" si="0"/>
        <v>0-6 months</v>
      </c>
      <c r="W21" s="21" t="str">
        <f t="shared" si="1"/>
        <v>High Risk</v>
      </c>
      <c r="X21" s="21" t="str">
        <f t="shared" si="2"/>
        <v>No</v>
      </c>
    </row>
    <row r="22" spans="1:24" x14ac:dyDescent="0.3">
      <c r="A22" s="21">
        <f>'Raw Data'!A22</f>
        <v>50021</v>
      </c>
      <c r="B22" s="21">
        <f>'Raw Data'!B22</f>
        <v>0</v>
      </c>
      <c r="C22" s="21">
        <f>'Raw Data'!C22</f>
        <v>0</v>
      </c>
      <c r="D22" s="21" t="str">
        <f>'Raw Data'!D22</f>
        <v>Computer</v>
      </c>
      <c r="E22" s="21">
        <f>'Raw Data'!E22</f>
        <v>1</v>
      </c>
      <c r="F22" s="21">
        <f>IF('Raw Data'!F22="",ROUND(AVERAGE('Raw Data'!$F$2:$F$1501),1),'Raw Data'!F22)</f>
        <v>5</v>
      </c>
      <c r="G22" s="21" t="str">
        <f>'Raw Data'!G22</f>
        <v>Debit Card</v>
      </c>
      <c r="H22" s="21" t="str">
        <f>'Raw Data'!H22</f>
        <v>Female</v>
      </c>
      <c r="I22" s="21">
        <f>IF('Raw Data'!I22="",ROUND(AVERAGE('Raw Data'!$I$2:$I$1501),1),'Raw Data'!I22)</f>
        <v>2.2999999999999998</v>
      </c>
      <c r="J22" s="21">
        <f>'Raw Data'!J22</f>
        <v>4</v>
      </c>
      <c r="K22" s="21" t="str">
        <f>'Raw Data'!K22</f>
        <v>Others</v>
      </c>
      <c r="L22" s="21">
        <f>'Raw Data'!L22</f>
        <v>1</v>
      </c>
      <c r="M22" s="21" t="str">
        <f>'Raw Data'!M22</f>
        <v>Single</v>
      </c>
      <c r="N22" s="21">
        <f>'Raw Data'!N22</f>
        <v>4</v>
      </c>
      <c r="O22" s="21">
        <f>'Raw Data'!O22</f>
        <v>1</v>
      </c>
      <c r="P22" s="21">
        <f>IF('Raw Data'!P22="",ROUND(AVERAGE('Raw Data'!$P$2:$P$1501),1),'Raw Data'!P22)</f>
        <v>19.8</v>
      </c>
      <c r="Q22" s="21">
        <f>IF('Raw Data'!Q22="",ROUND(AVERAGE('Raw Data'!$Q$2:$Q$1501),0),'Raw Data'!Q22)</f>
        <v>3</v>
      </c>
      <c r="R22" s="21">
        <f>'Raw Data'!R22</f>
        <v>5</v>
      </c>
      <c r="S22" s="21">
        <f>IF('Raw Data'!S22="",ROUND(AVERAGE('Raw Data'!$S$2:$S$1501),0),'Raw Data'!S22)</f>
        <v>0</v>
      </c>
      <c r="T22" s="21">
        <f>'Raw Data'!T22</f>
        <v>277.95999999999998</v>
      </c>
      <c r="U22" s="21" t="str">
        <f>INDEX('Lookup Tables'!$C$7:$C$9,MATCH(E22,'Lookup Tables'!$B$7:$B$9,0))</f>
        <v>Tier 1 (Metro)</v>
      </c>
      <c r="V22" s="21" t="str">
        <f t="shared" si="0"/>
        <v>0-6 months</v>
      </c>
      <c r="W22" s="21" t="str">
        <f t="shared" si="1"/>
        <v>High Risk</v>
      </c>
      <c r="X22" s="21" t="str">
        <f t="shared" si="2"/>
        <v>No</v>
      </c>
    </row>
    <row r="23" spans="1:24" x14ac:dyDescent="0.3">
      <c r="A23" s="21">
        <f>'Raw Data'!A23</f>
        <v>50022</v>
      </c>
      <c r="B23" s="21">
        <f>'Raw Data'!B23</f>
        <v>0</v>
      </c>
      <c r="C23" s="21">
        <f>'Raw Data'!C23</f>
        <v>4</v>
      </c>
      <c r="D23" s="21" t="str">
        <f>'Raw Data'!D23</f>
        <v>Mobile Phone</v>
      </c>
      <c r="E23" s="21">
        <f>'Raw Data'!E23</f>
        <v>1</v>
      </c>
      <c r="F23" s="21">
        <f>IF('Raw Data'!F23="",ROUND(AVERAGE('Raw Data'!$F$2:$F$1501),1),'Raw Data'!F23)</f>
        <v>5</v>
      </c>
      <c r="G23" s="21" t="str">
        <f>'Raw Data'!G23</f>
        <v>E wallet</v>
      </c>
      <c r="H23" s="21" t="str">
        <f>'Raw Data'!H23</f>
        <v>Female</v>
      </c>
      <c r="I23" s="21">
        <f>IF('Raw Data'!I23="",ROUND(AVERAGE('Raw Data'!$I$2:$I$1501),1),'Raw Data'!I23)</f>
        <v>3</v>
      </c>
      <c r="J23" s="21">
        <f>'Raw Data'!J23</f>
        <v>3</v>
      </c>
      <c r="K23" s="21" t="str">
        <f>'Raw Data'!K23</f>
        <v>Laptop &amp; Accessory</v>
      </c>
      <c r="L23" s="21">
        <f>'Raw Data'!L23</f>
        <v>3</v>
      </c>
      <c r="M23" s="21" t="str">
        <f>'Raw Data'!M23</f>
        <v>Single</v>
      </c>
      <c r="N23" s="21">
        <f>'Raw Data'!N23</f>
        <v>1</v>
      </c>
      <c r="O23" s="21">
        <f>'Raw Data'!O23</f>
        <v>1</v>
      </c>
      <c r="P23" s="21">
        <f>IF('Raw Data'!P23="",ROUND(AVERAGE('Raw Data'!$P$2:$P$1501),1),'Raw Data'!P23)</f>
        <v>17.100000000000001</v>
      </c>
      <c r="Q23" s="21">
        <f>IF('Raw Data'!Q23="",ROUND(AVERAGE('Raw Data'!$Q$2:$Q$1501),0),'Raw Data'!Q23)</f>
        <v>1</v>
      </c>
      <c r="R23" s="21">
        <f>'Raw Data'!R23</f>
        <v>4</v>
      </c>
      <c r="S23" s="21">
        <f>IF('Raw Data'!S23="",ROUND(AVERAGE('Raw Data'!$S$2:$S$1501),0),'Raw Data'!S23)</f>
        <v>2</v>
      </c>
      <c r="T23" s="21">
        <f>'Raw Data'!T23</f>
        <v>163.66999999999999</v>
      </c>
      <c r="U23" s="21" t="str">
        <f>INDEX('Lookup Tables'!$C$7:$C$9,MATCH(E23,'Lookup Tables'!$B$7:$B$9,0))</f>
        <v>Tier 1 (Metro)</v>
      </c>
      <c r="V23" s="21" t="str">
        <f t="shared" si="0"/>
        <v>0-6 months</v>
      </c>
      <c r="W23" s="21" t="str">
        <f t="shared" si="1"/>
        <v>Medium Risk</v>
      </c>
      <c r="X23" s="21" t="str">
        <f t="shared" si="2"/>
        <v>No</v>
      </c>
    </row>
    <row r="24" spans="1:24" x14ac:dyDescent="0.3">
      <c r="A24" s="21">
        <f>'Raw Data'!A24</f>
        <v>50023</v>
      </c>
      <c r="B24" s="21">
        <f>'Raw Data'!B24</f>
        <v>0</v>
      </c>
      <c r="C24" s="21">
        <f>'Raw Data'!C24</f>
        <v>16</v>
      </c>
      <c r="D24" s="21" t="str">
        <f>'Raw Data'!D24</f>
        <v>Mobile Phone</v>
      </c>
      <c r="E24" s="21">
        <f>'Raw Data'!E24</f>
        <v>3</v>
      </c>
      <c r="F24" s="21">
        <f>IF('Raw Data'!F24="",ROUND(AVERAGE('Raw Data'!$F$2:$F$1501),1),'Raw Data'!F24)</f>
        <v>11</v>
      </c>
      <c r="G24" s="21" t="str">
        <f>'Raw Data'!G24</f>
        <v>Credit Card</v>
      </c>
      <c r="H24" s="21" t="str">
        <f>'Raw Data'!H24</f>
        <v>Male</v>
      </c>
      <c r="I24" s="21">
        <f>IF('Raw Data'!I24="",ROUND(AVERAGE('Raw Data'!$I$2:$I$1501),1),'Raw Data'!I24)</f>
        <v>3.7</v>
      </c>
      <c r="J24" s="21">
        <f>'Raw Data'!J24</f>
        <v>2</v>
      </c>
      <c r="K24" s="21" t="str">
        <f>'Raw Data'!K24</f>
        <v>Others</v>
      </c>
      <c r="L24" s="21">
        <f>'Raw Data'!L24</f>
        <v>3</v>
      </c>
      <c r="M24" s="21" t="str">
        <f>'Raw Data'!M24</f>
        <v>Married</v>
      </c>
      <c r="N24" s="21">
        <f>'Raw Data'!N24</f>
        <v>1</v>
      </c>
      <c r="O24" s="21">
        <f>'Raw Data'!O24</f>
        <v>0</v>
      </c>
      <c r="P24" s="21">
        <f>IF('Raw Data'!P24="",ROUND(AVERAGE('Raw Data'!$P$2:$P$1501),1),'Raw Data'!P24)</f>
        <v>12.1</v>
      </c>
      <c r="Q24" s="21">
        <f>IF('Raw Data'!Q24="",ROUND(AVERAGE('Raw Data'!$Q$2:$Q$1501),0),'Raw Data'!Q24)</f>
        <v>3</v>
      </c>
      <c r="R24" s="21">
        <f>'Raw Data'!R24</f>
        <v>5</v>
      </c>
      <c r="S24" s="21">
        <f>IF('Raw Data'!S24="",ROUND(AVERAGE('Raw Data'!$S$2:$S$1501),0),'Raw Data'!S24)</f>
        <v>4</v>
      </c>
      <c r="T24" s="21">
        <f>'Raw Data'!T24</f>
        <v>172.92</v>
      </c>
      <c r="U24" s="21" t="str">
        <f>INDEX('Lookup Tables'!$C$7:$C$9,MATCH(E24,'Lookup Tables'!$B$7:$B$9,0))</f>
        <v>Tier 3 (Semi-urban/Rural)</v>
      </c>
      <c r="V24" s="21" t="str">
        <f t="shared" si="0"/>
        <v>13-24 months</v>
      </c>
      <c r="W24" s="21" t="str">
        <f t="shared" si="1"/>
        <v>Medium Risk</v>
      </c>
      <c r="X24" s="21" t="str">
        <f t="shared" si="2"/>
        <v>No</v>
      </c>
    </row>
    <row r="25" spans="1:24" x14ac:dyDescent="0.3">
      <c r="A25" s="21">
        <f>'Raw Data'!A25</f>
        <v>50024</v>
      </c>
      <c r="B25" s="21">
        <f>'Raw Data'!B25</f>
        <v>0</v>
      </c>
      <c r="C25" s="21">
        <f>'Raw Data'!C25</f>
        <v>0</v>
      </c>
      <c r="D25" s="21" t="str">
        <f>'Raw Data'!D25</f>
        <v>Mobile Phone</v>
      </c>
      <c r="E25" s="21">
        <f>'Raw Data'!E25</f>
        <v>3</v>
      </c>
      <c r="F25" s="21">
        <f>IF('Raw Data'!F25="",ROUND(AVERAGE('Raw Data'!$F$2:$F$1501),1),'Raw Data'!F25)</f>
        <v>19</v>
      </c>
      <c r="G25" s="21" t="str">
        <f>'Raw Data'!G25</f>
        <v>E wallet</v>
      </c>
      <c r="H25" s="21" t="str">
        <f>'Raw Data'!H25</f>
        <v>Female</v>
      </c>
      <c r="I25" s="21">
        <f>IF('Raw Data'!I25="",ROUND(AVERAGE('Raw Data'!$I$2:$I$1501),1),'Raw Data'!I25)</f>
        <v>3.5</v>
      </c>
      <c r="J25" s="21">
        <f>'Raw Data'!J25</f>
        <v>4</v>
      </c>
      <c r="K25" s="21" t="str">
        <f>'Raw Data'!K25</f>
        <v>Laptop &amp; Accessory</v>
      </c>
      <c r="L25" s="21">
        <f>'Raw Data'!L25</f>
        <v>4</v>
      </c>
      <c r="M25" s="21" t="str">
        <f>'Raw Data'!M25</f>
        <v>Married</v>
      </c>
      <c r="N25" s="21">
        <f>'Raw Data'!N25</f>
        <v>1</v>
      </c>
      <c r="O25" s="21">
        <f>'Raw Data'!O25</f>
        <v>0</v>
      </c>
      <c r="P25" s="21">
        <f>IF('Raw Data'!P25="",ROUND(AVERAGE('Raw Data'!$P$2:$P$1501),1),'Raw Data'!P25)</f>
        <v>14.8</v>
      </c>
      <c r="Q25" s="21">
        <f>IF('Raw Data'!Q25="",ROUND(AVERAGE('Raw Data'!$Q$2:$Q$1501),0),'Raw Data'!Q25)</f>
        <v>4</v>
      </c>
      <c r="R25" s="21">
        <f>'Raw Data'!R25</f>
        <v>4</v>
      </c>
      <c r="S25" s="21">
        <f>IF('Raw Data'!S25="",ROUND(AVERAGE('Raw Data'!$S$2:$S$1501),0),'Raw Data'!S25)</f>
        <v>9</v>
      </c>
      <c r="T25" s="21">
        <f>'Raw Data'!T25</f>
        <v>173.66</v>
      </c>
      <c r="U25" s="21" t="str">
        <f>INDEX('Lookup Tables'!$C$7:$C$9,MATCH(E25,'Lookup Tables'!$B$7:$B$9,0))</f>
        <v>Tier 3 (Semi-urban/Rural)</v>
      </c>
      <c r="V25" s="21" t="str">
        <f t="shared" si="0"/>
        <v>0-6 months</v>
      </c>
      <c r="W25" s="21" t="str">
        <f t="shared" si="1"/>
        <v>Low Risk</v>
      </c>
      <c r="X25" s="21" t="str">
        <f t="shared" si="2"/>
        <v>No</v>
      </c>
    </row>
    <row r="26" spans="1:24" x14ac:dyDescent="0.3">
      <c r="A26" s="21">
        <f>'Raw Data'!A26</f>
        <v>50025</v>
      </c>
      <c r="B26" s="21">
        <f>'Raw Data'!B26</f>
        <v>0</v>
      </c>
      <c r="C26" s="21">
        <f>'Raw Data'!C26</f>
        <v>4</v>
      </c>
      <c r="D26" s="21" t="str">
        <f>'Raw Data'!D26</f>
        <v>Mobile Phone</v>
      </c>
      <c r="E26" s="21">
        <f>'Raw Data'!E26</f>
        <v>2</v>
      </c>
      <c r="F26" s="21">
        <f>IF('Raw Data'!F26="",ROUND(AVERAGE('Raw Data'!$F$2:$F$1501),1),'Raw Data'!F26)</f>
        <v>24</v>
      </c>
      <c r="G26" s="21" t="str">
        <f>'Raw Data'!G26</f>
        <v>Cash on Delivery</v>
      </c>
      <c r="H26" s="21" t="str">
        <f>'Raw Data'!H26</f>
        <v>Female</v>
      </c>
      <c r="I26" s="21">
        <f>IF('Raw Data'!I26="",ROUND(AVERAGE('Raw Data'!$I$2:$I$1501),1),'Raw Data'!I26)</f>
        <v>2.9</v>
      </c>
      <c r="J26" s="21">
        <f>'Raw Data'!J26</f>
        <v>5</v>
      </c>
      <c r="K26" s="21" t="str">
        <f>'Raw Data'!K26</f>
        <v>Grocery</v>
      </c>
      <c r="L26" s="21">
        <f>'Raw Data'!L26</f>
        <v>1</v>
      </c>
      <c r="M26" s="21" t="str">
        <f>'Raw Data'!M26</f>
        <v>Single</v>
      </c>
      <c r="N26" s="21">
        <f>'Raw Data'!N26</f>
        <v>1</v>
      </c>
      <c r="O26" s="21">
        <f>'Raw Data'!O26</f>
        <v>0</v>
      </c>
      <c r="P26" s="21">
        <f>IF('Raw Data'!P26="",ROUND(AVERAGE('Raw Data'!$P$2:$P$1501),1),'Raw Data'!P26)</f>
        <v>14.1</v>
      </c>
      <c r="Q26" s="21">
        <f>IF('Raw Data'!Q26="",ROUND(AVERAGE('Raw Data'!$Q$2:$Q$1501),0),'Raw Data'!Q26)</f>
        <v>3</v>
      </c>
      <c r="R26" s="21">
        <f>'Raw Data'!R26</f>
        <v>2</v>
      </c>
      <c r="S26" s="21">
        <f>IF('Raw Data'!S26="",ROUND(AVERAGE('Raw Data'!$S$2:$S$1501),0),'Raw Data'!S26)</f>
        <v>1</v>
      </c>
      <c r="T26" s="21">
        <f>'Raw Data'!T26</f>
        <v>106</v>
      </c>
      <c r="U26" s="21" t="str">
        <f>INDEX('Lookup Tables'!$C$7:$C$9,MATCH(E26,'Lookup Tables'!$B$7:$B$9,0))</f>
        <v>Tier 2 (Urban)</v>
      </c>
      <c r="V26" s="21" t="str">
        <f t="shared" si="0"/>
        <v>0-6 months</v>
      </c>
      <c r="W26" s="21" t="str">
        <f t="shared" si="1"/>
        <v>Low Risk</v>
      </c>
      <c r="X26" s="21" t="str">
        <f t="shared" si="2"/>
        <v>No</v>
      </c>
    </row>
    <row r="27" spans="1:24" x14ac:dyDescent="0.3">
      <c r="A27" s="21">
        <f>'Raw Data'!A27</f>
        <v>50026</v>
      </c>
      <c r="B27" s="21">
        <f>'Raw Data'!B27</f>
        <v>0</v>
      </c>
      <c r="C27" s="21">
        <f>'Raw Data'!C27</f>
        <v>5</v>
      </c>
      <c r="D27" s="21" t="str">
        <f>'Raw Data'!D27</f>
        <v>Mobile Phone</v>
      </c>
      <c r="E27" s="21">
        <f>'Raw Data'!E27</f>
        <v>1</v>
      </c>
      <c r="F27" s="21">
        <f>IF('Raw Data'!F27="",ROUND(AVERAGE('Raw Data'!$F$2:$F$1501),1),'Raw Data'!F27)</f>
        <v>11</v>
      </c>
      <c r="G27" s="21" t="str">
        <f>'Raw Data'!G27</f>
        <v>Cash on Delivery</v>
      </c>
      <c r="H27" s="21" t="str">
        <f>'Raw Data'!H27</f>
        <v>Male</v>
      </c>
      <c r="I27" s="21">
        <f>IF('Raw Data'!I27="",ROUND(AVERAGE('Raw Data'!$I$2:$I$1501),1),'Raw Data'!I27)</f>
        <v>2.6</v>
      </c>
      <c r="J27" s="21">
        <f>'Raw Data'!J27</f>
        <v>3</v>
      </c>
      <c r="K27" s="21" t="str">
        <f>'Raw Data'!K27</f>
        <v>Laptop &amp; Accessory</v>
      </c>
      <c r="L27" s="21">
        <f>'Raw Data'!L27</f>
        <v>5</v>
      </c>
      <c r="M27" s="21" t="str">
        <f>'Raw Data'!M27</f>
        <v>Single</v>
      </c>
      <c r="N27" s="21">
        <f>'Raw Data'!N27</f>
        <v>1</v>
      </c>
      <c r="O27" s="21">
        <f>'Raw Data'!O27</f>
        <v>0</v>
      </c>
      <c r="P27" s="21">
        <f>IF('Raw Data'!P27="",ROUND(AVERAGE('Raw Data'!$P$2:$P$1501),1),'Raw Data'!P27)</f>
        <v>16.2</v>
      </c>
      <c r="Q27" s="21">
        <f>IF('Raw Data'!Q27="",ROUND(AVERAGE('Raw Data'!$Q$2:$Q$1501),0),'Raw Data'!Q27)</f>
        <v>4</v>
      </c>
      <c r="R27" s="21">
        <f>'Raw Data'!R27</f>
        <v>4</v>
      </c>
      <c r="S27" s="21">
        <f>IF('Raw Data'!S27="",ROUND(AVERAGE('Raw Data'!$S$2:$S$1501),0),'Raw Data'!S27)</f>
        <v>3</v>
      </c>
      <c r="T27" s="21">
        <f>'Raw Data'!T27</f>
        <v>211.45</v>
      </c>
      <c r="U27" s="21" t="str">
        <f>INDEX('Lookup Tables'!$C$7:$C$9,MATCH(E27,'Lookup Tables'!$B$7:$B$9,0))</f>
        <v>Tier 1 (Metro)</v>
      </c>
      <c r="V27" s="21" t="str">
        <f t="shared" si="0"/>
        <v>0-6 months</v>
      </c>
      <c r="W27" s="21" t="str">
        <f t="shared" si="1"/>
        <v>Low Risk</v>
      </c>
      <c r="X27" s="21" t="str">
        <f t="shared" si="2"/>
        <v>No</v>
      </c>
    </row>
    <row r="28" spans="1:24" x14ac:dyDescent="0.3">
      <c r="A28" s="21">
        <f>'Raw Data'!A28</f>
        <v>50027</v>
      </c>
      <c r="B28" s="21">
        <f>'Raw Data'!B28</f>
        <v>0</v>
      </c>
      <c r="C28" s="21">
        <f>'Raw Data'!C28</f>
        <v>7</v>
      </c>
      <c r="D28" s="21" t="str">
        <f>'Raw Data'!D28</f>
        <v>Mobile Phone</v>
      </c>
      <c r="E28" s="21">
        <f>'Raw Data'!E28</f>
        <v>3</v>
      </c>
      <c r="F28" s="21">
        <f>IF('Raw Data'!F28="",ROUND(AVERAGE('Raw Data'!$F$2:$F$1501),1),'Raw Data'!F28)</f>
        <v>11</v>
      </c>
      <c r="G28" s="21" t="str">
        <f>'Raw Data'!G28</f>
        <v>Cash on Delivery</v>
      </c>
      <c r="H28" s="21" t="str">
        <f>'Raw Data'!H28</f>
        <v>Male</v>
      </c>
      <c r="I28" s="21">
        <f>IF('Raw Data'!I28="",ROUND(AVERAGE('Raw Data'!$I$2:$I$1501),1),'Raw Data'!I28)</f>
        <v>3.6</v>
      </c>
      <c r="J28" s="21">
        <f>'Raw Data'!J28</f>
        <v>3</v>
      </c>
      <c r="K28" s="21" t="str">
        <f>'Raw Data'!K28</f>
        <v>Mobile Phone</v>
      </c>
      <c r="L28" s="21">
        <f>'Raw Data'!L28</f>
        <v>3</v>
      </c>
      <c r="M28" s="21" t="str">
        <f>'Raw Data'!M28</f>
        <v>Married</v>
      </c>
      <c r="N28" s="21">
        <f>'Raw Data'!N28</f>
        <v>2</v>
      </c>
      <c r="O28" s="21">
        <f>'Raw Data'!O28</f>
        <v>0</v>
      </c>
      <c r="P28" s="21">
        <f>IF('Raw Data'!P28="",ROUND(AVERAGE('Raw Data'!$P$2:$P$1501),1),'Raw Data'!P28)</f>
        <v>20.7</v>
      </c>
      <c r="Q28" s="21">
        <f>IF('Raw Data'!Q28="",ROUND(AVERAGE('Raw Data'!$Q$2:$Q$1501),0),'Raw Data'!Q28)</f>
        <v>2</v>
      </c>
      <c r="R28" s="21">
        <f>'Raw Data'!R28</f>
        <v>4</v>
      </c>
      <c r="S28" s="21">
        <f>IF('Raw Data'!S28="",ROUND(AVERAGE('Raw Data'!$S$2:$S$1501),0),'Raw Data'!S28)</f>
        <v>5</v>
      </c>
      <c r="T28" s="21">
        <f>'Raw Data'!T28</f>
        <v>144.09</v>
      </c>
      <c r="U28" s="21" t="str">
        <f>INDEX('Lookup Tables'!$C$7:$C$9,MATCH(E28,'Lookup Tables'!$B$7:$B$9,0))</f>
        <v>Tier 3 (Semi-urban/Rural)</v>
      </c>
      <c r="V28" s="21" t="str">
        <f t="shared" si="0"/>
        <v>7-12 months</v>
      </c>
      <c r="W28" s="21" t="str">
        <f t="shared" si="1"/>
        <v>Medium Risk</v>
      </c>
      <c r="X28" s="21" t="str">
        <f t="shared" si="2"/>
        <v>No</v>
      </c>
    </row>
    <row r="29" spans="1:24" x14ac:dyDescent="0.3">
      <c r="A29" s="21">
        <f>'Raw Data'!A29</f>
        <v>50028</v>
      </c>
      <c r="B29" s="21">
        <f>'Raw Data'!B29</f>
        <v>0</v>
      </c>
      <c r="C29" s="21">
        <f>'Raw Data'!C29</f>
        <v>25</v>
      </c>
      <c r="D29" s="21" t="str">
        <f>'Raw Data'!D29</f>
        <v>Mobile Phone</v>
      </c>
      <c r="E29" s="21">
        <f>'Raw Data'!E29</f>
        <v>3</v>
      </c>
      <c r="F29" s="21">
        <f>IF('Raw Data'!F29="",ROUND(AVERAGE('Raw Data'!$F$2:$F$1501),1),'Raw Data'!F29)</f>
        <v>24</v>
      </c>
      <c r="G29" s="21" t="str">
        <f>'Raw Data'!G29</f>
        <v>Debit Card</v>
      </c>
      <c r="H29" s="21" t="str">
        <f>'Raw Data'!H29</f>
        <v>Female</v>
      </c>
      <c r="I29" s="21">
        <f>IF('Raw Data'!I29="",ROUND(AVERAGE('Raw Data'!$I$2:$I$1501),1),'Raw Data'!I29)</f>
        <v>3.4</v>
      </c>
      <c r="J29" s="21">
        <f>'Raw Data'!J29</f>
        <v>3</v>
      </c>
      <c r="K29" s="21" t="str">
        <f>'Raw Data'!K29</f>
        <v>Laptop &amp; Accessory</v>
      </c>
      <c r="L29" s="21">
        <f>'Raw Data'!L29</f>
        <v>5</v>
      </c>
      <c r="M29" s="21" t="str">
        <f>'Raw Data'!M29</f>
        <v>Single</v>
      </c>
      <c r="N29" s="21">
        <f>'Raw Data'!N29</f>
        <v>10</v>
      </c>
      <c r="O29" s="21">
        <f>'Raw Data'!O29</f>
        <v>0</v>
      </c>
      <c r="P29" s="21">
        <f>IF('Raw Data'!P29="",ROUND(AVERAGE('Raw Data'!$P$2:$P$1501),1),'Raw Data'!P29)</f>
        <v>15.5</v>
      </c>
      <c r="Q29" s="21">
        <f>IF('Raw Data'!Q29="",ROUND(AVERAGE('Raw Data'!$Q$2:$Q$1501),0),'Raw Data'!Q29)</f>
        <v>2</v>
      </c>
      <c r="R29" s="21">
        <f>'Raw Data'!R29</f>
        <v>2</v>
      </c>
      <c r="S29" s="21">
        <f>IF('Raw Data'!S29="",ROUND(AVERAGE('Raw Data'!$S$2:$S$1501),0),'Raw Data'!S29)</f>
        <v>2</v>
      </c>
      <c r="T29" s="21">
        <f>'Raw Data'!T29</f>
        <v>178.35</v>
      </c>
      <c r="U29" s="21" t="str">
        <f>INDEX('Lookup Tables'!$C$7:$C$9,MATCH(E29,'Lookup Tables'!$B$7:$B$9,0))</f>
        <v>Tier 3 (Semi-urban/Rural)</v>
      </c>
      <c r="V29" s="21" t="str">
        <f t="shared" si="0"/>
        <v>25+ months</v>
      </c>
      <c r="W29" s="21" t="str">
        <f t="shared" si="1"/>
        <v>Low Risk</v>
      </c>
      <c r="X29" s="21" t="str">
        <f t="shared" si="2"/>
        <v>No</v>
      </c>
    </row>
    <row r="30" spans="1:24" x14ac:dyDescent="0.3">
      <c r="A30" s="21">
        <f>'Raw Data'!A30</f>
        <v>50029</v>
      </c>
      <c r="B30" s="21">
        <f>'Raw Data'!B30</f>
        <v>0</v>
      </c>
      <c r="C30" s="21">
        <f>'Raw Data'!C30</f>
        <v>4</v>
      </c>
      <c r="D30" s="21" t="str">
        <f>'Raw Data'!D30</f>
        <v>Computer</v>
      </c>
      <c r="E30" s="21">
        <f>'Raw Data'!E30</f>
        <v>3</v>
      </c>
      <c r="F30" s="21">
        <f>IF('Raw Data'!F30="",ROUND(AVERAGE('Raw Data'!$F$2:$F$1501),1),'Raw Data'!F30)</f>
        <v>5</v>
      </c>
      <c r="G30" s="21" t="str">
        <f>'Raw Data'!G30</f>
        <v>Debit Card</v>
      </c>
      <c r="H30" s="21" t="str">
        <f>'Raw Data'!H30</f>
        <v>Male</v>
      </c>
      <c r="I30" s="21">
        <f>IF('Raw Data'!I30="",ROUND(AVERAGE('Raw Data'!$I$2:$I$1501),1),'Raw Data'!I30)</f>
        <v>2.5</v>
      </c>
      <c r="J30" s="21">
        <f>'Raw Data'!J30</f>
        <v>3</v>
      </c>
      <c r="K30" s="21" t="str">
        <f>'Raw Data'!K30</f>
        <v>Mobile Phone</v>
      </c>
      <c r="L30" s="21">
        <f>'Raw Data'!L30</f>
        <v>3</v>
      </c>
      <c r="M30" s="21" t="str">
        <f>'Raw Data'!M30</f>
        <v>Married</v>
      </c>
      <c r="N30" s="21">
        <f>'Raw Data'!N30</f>
        <v>1</v>
      </c>
      <c r="O30" s="21">
        <f>'Raw Data'!O30</f>
        <v>0</v>
      </c>
      <c r="P30" s="21">
        <f>IF('Raw Data'!P30="",ROUND(AVERAGE('Raw Data'!$P$2:$P$1501),1),'Raw Data'!P30)</f>
        <v>15.7</v>
      </c>
      <c r="Q30" s="21">
        <f>IF('Raw Data'!Q30="",ROUND(AVERAGE('Raw Data'!$Q$2:$Q$1501),0),'Raw Data'!Q30)</f>
        <v>2</v>
      </c>
      <c r="R30" s="21">
        <f>'Raw Data'!R30</f>
        <v>4</v>
      </c>
      <c r="S30" s="21">
        <f>IF('Raw Data'!S30="",ROUND(AVERAGE('Raw Data'!$S$2:$S$1501),0),'Raw Data'!S30)</f>
        <v>3</v>
      </c>
      <c r="T30" s="21">
        <f>'Raw Data'!T30</f>
        <v>204.44</v>
      </c>
      <c r="U30" s="21" t="str">
        <f>INDEX('Lookup Tables'!$C$7:$C$9,MATCH(E30,'Lookup Tables'!$B$7:$B$9,0))</f>
        <v>Tier 3 (Semi-urban/Rural)</v>
      </c>
      <c r="V30" s="21" t="str">
        <f t="shared" si="0"/>
        <v>0-6 months</v>
      </c>
      <c r="W30" s="21" t="str">
        <f t="shared" si="1"/>
        <v>Medium Risk</v>
      </c>
      <c r="X30" s="21" t="str">
        <f t="shared" si="2"/>
        <v>No</v>
      </c>
    </row>
    <row r="31" spans="1:24" x14ac:dyDescent="0.3">
      <c r="A31" s="21">
        <f>'Raw Data'!A31</f>
        <v>50030</v>
      </c>
      <c r="B31" s="21">
        <f>'Raw Data'!B31</f>
        <v>0</v>
      </c>
      <c r="C31" s="21">
        <f>'Raw Data'!C31</f>
        <v>4</v>
      </c>
      <c r="D31" s="21" t="str">
        <f>'Raw Data'!D31</f>
        <v>Mobile Phone</v>
      </c>
      <c r="E31" s="21">
        <f>'Raw Data'!E31</f>
        <v>1</v>
      </c>
      <c r="F31" s="21">
        <f>IF('Raw Data'!F31="",ROUND(AVERAGE('Raw Data'!$F$2:$F$1501),1),'Raw Data'!F31)</f>
        <v>11</v>
      </c>
      <c r="G31" s="21" t="str">
        <f>'Raw Data'!G31</f>
        <v>Debit Card</v>
      </c>
      <c r="H31" s="21" t="str">
        <f>'Raw Data'!H31</f>
        <v>Male</v>
      </c>
      <c r="I31" s="21">
        <f>IF('Raw Data'!I31="",ROUND(AVERAGE('Raw Data'!$I$2:$I$1501),1),'Raw Data'!I31)</f>
        <v>2.2999999999999998</v>
      </c>
      <c r="J31" s="21">
        <f>'Raw Data'!J31</f>
        <v>1</v>
      </c>
      <c r="K31" s="21" t="str">
        <f>'Raw Data'!K31</f>
        <v>Mobile Phone</v>
      </c>
      <c r="L31" s="21">
        <f>'Raw Data'!L31</f>
        <v>2</v>
      </c>
      <c r="M31" s="21" t="str">
        <f>'Raw Data'!M31</f>
        <v>Single</v>
      </c>
      <c r="N31" s="21">
        <f>'Raw Data'!N31</f>
        <v>8</v>
      </c>
      <c r="O31" s="21">
        <f>'Raw Data'!O31</f>
        <v>0</v>
      </c>
      <c r="P31" s="21">
        <f>IF('Raw Data'!P31="",ROUND(AVERAGE('Raw Data'!$P$2:$P$1501),1),'Raw Data'!P31)</f>
        <v>22.2</v>
      </c>
      <c r="Q31" s="21">
        <f>IF('Raw Data'!Q31="",ROUND(AVERAGE('Raw Data'!$Q$2:$Q$1501),0),'Raw Data'!Q31)</f>
        <v>1</v>
      </c>
      <c r="R31" s="21">
        <f>'Raw Data'!R31</f>
        <v>3</v>
      </c>
      <c r="S31" s="21">
        <f>IF('Raw Data'!S31="",ROUND(AVERAGE('Raw Data'!$S$2:$S$1501),0),'Raw Data'!S31)</f>
        <v>1</v>
      </c>
      <c r="T31" s="21">
        <f>'Raw Data'!T31</f>
        <v>286.83999999999997</v>
      </c>
      <c r="U31" s="21" t="str">
        <f>INDEX('Lookup Tables'!$C$7:$C$9,MATCH(E31,'Lookup Tables'!$B$7:$B$9,0))</f>
        <v>Tier 1 (Metro)</v>
      </c>
      <c r="V31" s="21" t="str">
        <f t="shared" si="0"/>
        <v>0-6 months</v>
      </c>
      <c r="W31" s="21" t="str">
        <f t="shared" si="1"/>
        <v>Low Risk</v>
      </c>
      <c r="X31" s="21" t="str">
        <f t="shared" si="2"/>
        <v>No</v>
      </c>
    </row>
    <row r="32" spans="1:24" x14ac:dyDescent="0.3">
      <c r="A32" s="21">
        <f>'Raw Data'!A32</f>
        <v>50031</v>
      </c>
      <c r="B32" s="21">
        <f>'Raw Data'!B32</f>
        <v>1</v>
      </c>
      <c r="C32" s="21">
        <f>'Raw Data'!C32</f>
        <v>13</v>
      </c>
      <c r="D32" s="21" t="str">
        <f>'Raw Data'!D32</f>
        <v>Mobile Phone</v>
      </c>
      <c r="E32" s="21">
        <f>'Raw Data'!E32</f>
        <v>2</v>
      </c>
      <c r="F32" s="21">
        <f>IF('Raw Data'!F32="",ROUND(AVERAGE('Raw Data'!$F$2:$F$1501),1),'Raw Data'!F32)</f>
        <v>16</v>
      </c>
      <c r="G32" s="21" t="str">
        <f>'Raw Data'!G32</f>
        <v>UPI</v>
      </c>
      <c r="H32" s="21" t="str">
        <f>'Raw Data'!H32</f>
        <v>Female</v>
      </c>
      <c r="I32" s="21">
        <f>IF('Raw Data'!I32="",ROUND(AVERAGE('Raw Data'!$I$2:$I$1501),1),'Raw Data'!I32)</f>
        <v>1.4</v>
      </c>
      <c r="J32" s="21">
        <f>'Raw Data'!J32</f>
        <v>4</v>
      </c>
      <c r="K32" s="21" t="str">
        <f>'Raw Data'!K32</f>
        <v>Fashion</v>
      </c>
      <c r="L32" s="21">
        <f>'Raw Data'!L32</f>
        <v>4</v>
      </c>
      <c r="M32" s="21" t="str">
        <f>'Raw Data'!M32</f>
        <v>Married</v>
      </c>
      <c r="N32" s="21">
        <f>'Raw Data'!N32</f>
        <v>1</v>
      </c>
      <c r="O32" s="21">
        <f>'Raw Data'!O32</f>
        <v>0</v>
      </c>
      <c r="P32" s="21">
        <f>IF('Raw Data'!P32="",ROUND(AVERAGE('Raw Data'!$P$2:$P$1501),1),'Raw Data'!P32)</f>
        <v>19.100000000000001</v>
      </c>
      <c r="Q32" s="21">
        <f>IF('Raw Data'!Q32="",ROUND(AVERAGE('Raw Data'!$Q$2:$Q$1501),0),'Raw Data'!Q32)</f>
        <v>1</v>
      </c>
      <c r="R32" s="21">
        <f>'Raw Data'!R32</f>
        <v>1</v>
      </c>
      <c r="S32" s="21">
        <f>IF('Raw Data'!S32="",ROUND(AVERAGE('Raw Data'!$S$2:$S$1501),0),'Raw Data'!S32)</f>
        <v>21</v>
      </c>
      <c r="T32" s="21">
        <f>'Raw Data'!T32</f>
        <v>107.52</v>
      </c>
      <c r="U32" s="21" t="str">
        <f>INDEX('Lookup Tables'!$C$7:$C$9,MATCH(E32,'Lookup Tables'!$B$7:$B$9,0))</f>
        <v>Tier 2 (Urban)</v>
      </c>
      <c r="V32" s="21" t="str">
        <f t="shared" si="0"/>
        <v>13-24 months</v>
      </c>
      <c r="W32" s="21" t="str">
        <f t="shared" si="1"/>
        <v>Medium Risk</v>
      </c>
      <c r="X32" s="21" t="str">
        <f t="shared" si="2"/>
        <v>Yes</v>
      </c>
    </row>
    <row r="33" spans="1:24" x14ac:dyDescent="0.3">
      <c r="A33" s="21">
        <f>'Raw Data'!A33</f>
        <v>50032</v>
      </c>
      <c r="B33" s="21">
        <f>'Raw Data'!B33</f>
        <v>0</v>
      </c>
      <c r="C33" s="21">
        <f>'Raw Data'!C33</f>
        <v>6</v>
      </c>
      <c r="D33" s="21" t="str">
        <f>'Raw Data'!D33</f>
        <v>Computer</v>
      </c>
      <c r="E33" s="21">
        <f>'Raw Data'!E33</f>
        <v>1</v>
      </c>
      <c r="F33" s="21">
        <f>IF('Raw Data'!F33="",ROUND(AVERAGE('Raw Data'!$F$2:$F$1501),1),'Raw Data'!F33)</f>
        <v>18</v>
      </c>
      <c r="G33" s="21" t="str">
        <f>'Raw Data'!G33</f>
        <v>Cash on Delivery</v>
      </c>
      <c r="H33" s="21" t="str">
        <f>'Raw Data'!H33</f>
        <v>Female</v>
      </c>
      <c r="I33" s="21">
        <f>IF('Raw Data'!I33="",ROUND(AVERAGE('Raw Data'!$I$2:$I$1501),1),'Raw Data'!I33)</f>
        <v>3</v>
      </c>
      <c r="J33" s="21">
        <f>'Raw Data'!J33</f>
        <v>2</v>
      </c>
      <c r="K33" s="21" t="str">
        <f>'Raw Data'!K33</f>
        <v>Laptop &amp; Accessory</v>
      </c>
      <c r="L33" s="21">
        <f>'Raw Data'!L33</f>
        <v>4</v>
      </c>
      <c r="M33" s="21" t="str">
        <f>'Raw Data'!M33</f>
        <v>Married</v>
      </c>
      <c r="N33" s="21">
        <f>'Raw Data'!N33</f>
        <v>1</v>
      </c>
      <c r="O33" s="21">
        <f>'Raw Data'!O33</f>
        <v>0</v>
      </c>
      <c r="P33" s="21">
        <f>IF('Raw Data'!P33="",ROUND(AVERAGE('Raw Data'!$P$2:$P$1501),1),'Raw Data'!P33)</f>
        <v>18</v>
      </c>
      <c r="Q33" s="21">
        <f>IF('Raw Data'!Q33="",ROUND(AVERAGE('Raw Data'!$Q$2:$Q$1501),0),'Raw Data'!Q33)</f>
        <v>5</v>
      </c>
      <c r="R33" s="21">
        <f>'Raw Data'!R33</f>
        <v>1</v>
      </c>
      <c r="S33" s="21">
        <f>IF('Raw Data'!S33="",ROUND(AVERAGE('Raw Data'!$S$2:$S$1501),0),'Raw Data'!S33)</f>
        <v>4</v>
      </c>
      <c r="T33" s="21">
        <f>'Raw Data'!T33</f>
        <v>227.57</v>
      </c>
      <c r="U33" s="21" t="str">
        <f>INDEX('Lookup Tables'!$C$7:$C$9,MATCH(E33,'Lookup Tables'!$B$7:$B$9,0))</f>
        <v>Tier 1 (Metro)</v>
      </c>
      <c r="V33" s="21" t="str">
        <f t="shared" si="0"/>
        <v>0-6 months</v>
      </c>
      <c r="W33" s="21" t="str">
        <f t="shared" si="1"/>
        <v>Low Risk</v>
      </c>
      <c r="X33" s="21" t="str">
        <f t="shared" si="2"/>
        <v>No</v>
      </c>
    </row>
    <row r="34" spans="1:24" x14ac:dyDescent="0.3">
      <c r="A34" s="21">
        <f>'Raw Data'!A34</f>
        <v>50033</v>
      </c>
      <c r="B34" s="21">
        <f>'Raw Data'!B34</f>
        <v>0</v>
      </c>
      <c r="C34" s="21">
        <f>'Raw Data'!C34</f>
        <v>2</v>
      </c>
      <c r="D34" s="21" t="str">
        <f>'Raw Data'!D34</f>
        <v>Mobile Phone</v>
      </c>
      <c r="E34" s="21">
        <f>'Raw Data'!E34</f>
        <v>1</v>
      </c>
      <c r="F34" s="21">
        <f>IF('Raw Data'!F34="",ROUND(AVERAGE('Raw Data'!$F$2:$F$1501),1),'Raw Data'!F34)</f>
        <v>10</v>
      </c>
      <c r="G34" s="21" t="str">
        <f>'Raw Data'!G34</f>
        <v>UPI</v>
      </c>
      <c r="H34" s="21" t="str">
        <f>'Raw Data'!H34</f>
        <v>Male</v>
      </c>
      <c r="I34" s="21">
        <f>IF('Raw Data'!I34="",ROUND(AVERAGE('Raw Data'!$I$2:$I$1501),1),'Raw Data'!I34)</f>
        <v>2.8</v>
      </c>
      <c r="J34" s="21">
        <f>'Raw Data'!J34</f>
        <v>2</v>
      </c>
      <c r="K34" s="21" t="str">
        <f>'Raw Data'!K34</f>
        <v>Laptop &amp; Accessory</v>
      </c>
      <c r="L34" s="21">
        <f>'Raw Data'!L34</f>
        <v>3</v>
      </c>
      <c r="M34" s="21" t="str">
        <f>'Raw Data'!M34</f>
        <v>Married</v>
      </c>
      <c r="N34" s="21">
        <f>'Raw Data'!N34</f>
        <v>2</v>
      </c>
      <c r="O34" s="21">
        <f>'Raw Data'!O34</f>
        <v>0</v>
      </c>
      <c r="P34" s="21">
        <f>IF('Raw Data'!P34="",ROUND(AVERAGE('Raw Data'!$P$2:$P$1501),1),'Raw Data'!P34)</f>
        <v>22.9</v>
      </c>
      <c r="Q34" s="21">
        <f>IF('Raw Data'!Q34="",ROUND(AVERAGE('Raw Data'!$Q$2:$Q$1501),0),'Raw Data'!Q34)</f>
        <v>0</v>
      </c>
      <c r="R34" s="21">
        <f>'Raw Data'!R34</f>
        <v>3</v>
      </c>
      <c r="S34" s="21">
        <f>IF('Raw Data'!S34="",ROUND(AVERAGE('Raw Data'!$S$2:$S$1501),0),'Raw Data'!S34)</f>
        <v>3</v>
      </c>
      <c r="T34" s="21">
        <f>'Raw Data'!T34</f>
        <v>227.78</v>
      </c>
      <c r="U34" s="21" t="str">
        <f>INDEX('Lookup Tables'!$C$7:$C$9,MATCH(E34,'Lookup Tables'!$B$7:$B$9,0))</f>
        <v>Tier 1 (Metro)</v>
      </c>
      <c r="V34" s="21" t="str">
        <f t="shared" si="0"/>
        <v>0-6 months</v>
      </c>
      <c r="W34" s="21" t="str">
        <f t="shared" si="1"/>
        <v>Medium Risk</v>
      </c>
      <c r="X34" s="21" t="str">
        <f t="shared" si="2"/>
        <v>No</v>
      </c>
    </row>
    <row r="35" spans="1:24" x14ac:dyDescent="0.3">
      <c r="A35" s="21">
        <f>'Raw Data'!A35</f>
        <v>50034</v>
      </c>
      <c r="B35" s="21">
        <f>'Raw Data'!B35</f>
        <v>0</v>
      </c>
      <c r="C35" s="21">
        <f>'Raw Data'!C35</f>
        <v>6</v>
      </c>
      <c r="D35" s="21" t="str">
        <f>'Raw Data'!D35</f>
        <v>Mobile Phone</v>
      </c>
      <c r="E35" s="21">
        <f>'Raw Data'!E35</f>
        <v>1</v>
      </c>
      <c r="F35" s="21">
        <f>IF('Raw Data'!F35="",ROUND(AVERAGE('Raw Data'!$F$2:$F$1501),1),'Raw Data'!F35)</f>
        <v>15</v>
      </c>
      <c r="G35" s="21" t="str">
        <f>'Raw Data'!G35</f>
        <v>Debit Card</v>
      </c>
      <c r="H35" s="21" t="str">
        <f>'Raw Data'!H35</f>
        <v>Male</v>
      </c>
      <c r="I35" s="21">
        <f>IF('Raw Data'!I35="",ROUND(AVERAGE('Raw Data'!$I$2:$I$1501),1),'Raw Data'!I35)</f>
        <v>2.9</v>
      </c>
      <c r="J35" s="21">
        <f>'Raw Data'!J35</f>
        <v>4</v>
      </c>
      <c r="K35" s="21" t="str">
        <f>'Raw Data'!K35</f>
        <v>Laptop &amp; Accessory</v>
      </c>
      <c r="L35" s="21">
        <f>'Raw Data'!L35</f>
        <v>3</v>
      </c>
      <c r="M35" s="21" t="str">
        <f>'Raw Data'!M35</f>
        <v>Single</v>
      </c>
      <c r="N35" s="21">
        <f>'Raw Data'!N35</f>
        <v>3</v>
      </c>
      <c r="O35" s="21">
        <f>'Raw Data'!O35</f>
        <v>0</v>
      </c>
      <c r="P35" s="21">
        <f>IF('Raw Data'!P35="",ROUND(AVERAGE('Raw Data'!$P$2:$P$1501),1),'Raw Data'!P35)</f>
        <v>17.7</v>
      </c>
      <c r="Q35" s="21">
        <f>IF('Raw Data'!Q35="",ROUND(AVERAGE('Raw Data'!$Q$2:$Q$1501),0),'Raw Data'!Q35)</f>
        <v>2</v>
      </c>
      <c r="R35" s="21">
        <f>'Raw Data'!R35</f>
        <v>5</v>
      </c>
      <c r="S35" s="21">
        <f>IF('Raw Data'!S35="",ROUND(AVERAGE('Raw Data'!$S$2:$S$1501),0),'Raw Data'!S35)</f>
        <v>1</v>
      </c>
      <c r="T35" s="21">
        <f>'Raw Data'!T35</f>
        <v>144.9</v>
      </c>
      <c r="U35" s="21" t="str">
        <f>INDEX('Lookup Tables'!$C$7:$C$9,MATCH(E35,'Lookup Tables'!$B$7:$B$9,0))</f>
        <v>Tier 1 (Metro)</v>
      </c>
      <c r="V35" s="21" t="str">
        <f t="shared" si="0"/>
        <v>0-6 months</v>
      </c>
      <c r="W35" s="21" t="str">
        <f t="shared" si="1"/>
        <v>Medium Risk</v>
      </c>
      <c r="X35" s="21" t="str">
        <f t="shared" si="2"/>
        <v>No</v>
      </c>
    </row>
    <row r="36" spans="1:24" x14ac:dyDescent="0.3">
      <c r="A36" s="21">
        <f>'Raw Data'!A36</f>
        <v>50035</v>
      </c>
      <c r="B36" s="21">
        <f>'Raw Data'!B36</f>
        <v>0</v>
      </c>
      <c r="C36" s="21">
        <f>'Raw Data'!C36</f>
        <v>1</v>
      </c>
      <c r="D36" s="21" t="str">
        <f>'Raw Data'!D36</f>
        <v>Mobile Phone</v>
      </c>
      <c r="E36" s="21">
        <f>'Raw Data'!E36</f>
        <v>2</v>
      </c>
      <c r="F36" s="21">
        <f>IF('Raw Data'!F36="",ROUND(AVERAGE('Raw Data'!$F$2:$F$1501),1),'Raw Data'!F36)</f>
        <v>5</v>
      </c>
      <c r="G36" s="21" t="str">
        <f>'Raw Data'!G36</f>
        <v>Cash on Delivery</v>
      </c>
      <c r="H36" s="21" t="str">
        <f>'Raw Data'!H36</f>
        <v>Male</v>
      </c>
      <c r="I36" s="21">
        <f>IF('Raw Data'!I36="",ROUND(AVERAGE('Raw Data'!$I$2:$I$1501),1),'Raw Data'!I36)</f>
        <v>3.2</v>
      </c>
      <c r="J36" s="21">
        <f>'Raw Data'!J36</f>
        <v>2</v>
      </c>
      <c r="K36" s="21" t="str">
        <f>'Raw Data'!K36</f>
        <v>Mobile Phone</v>
      </c>
      <c r="L36" s="21">
        <f>'Raw Data'!L36</f>
        <v>1</v>
      </c>
      <c r="M36" s="21" t="str">
        <f>'Raw Data'!M36</f>
        <v>Married</v>
      </c>
      <c r="N36" s="21">
        <f>'Raw Data'!N36</f>
        <v>1</v>
      </c>
      <c r="O36" s="21">
        <f>'Raw Data'!O36</f>
        <v>1</v>
      </c>
      <c r="P36" s="21">
        <f>IF('Raw Data'!P36="",ROUND(AVERAGE('Raw Data'!$P$2:$P$1501),1),'Raw Data'!P36)</f>
        <v>11</v>
      </c>
      <c r="Q36" s="21">
        <f>IF('Raw Data'!Q36="",ROUND(AVERAGE('Raw Data'!$Q$2:$Q$1501),0),'Raw Data'!Q36)</f>
        <v>2</v>
      </c>
      <c r="R36" s="21">
        <f>'Raw Data'!R36</f>
        <v>3</v>
      </c>
      <c r="S36" s="21">
        <f>IF('Raw Data'!S36="",ROUND(AVERAGE('Raw Data'!$S$2:$S$1501),0),'Raw Data'!S36)</f>
        <v>3</v>
      </c>
      <c r="T36" s="21">
        <f>'Raw Data'!T36</f>
        <v>212.97</v>
      </c>
      <c r="U36" s="21" t="str">
        <f>INDEX('Lookup Tables'!$C$7:$C$9,MATCH(E36,'Lookup Tables'!$B$7:$B$9,0))</f>
        <v>Tier 2 (Urban)</v>
      </c>
      <c r="V36" s="21" t="str">
        <f t="shared" si="0"/>
        <v>0-6 months</v>
      </c>
      <c r="W36" s="21" t="str">
        <f t="shared" si="1"/>
        <v>High Risk</v>
      </c>
      <c r="X36" s="21" t="str">
        <f t="shared" si="2"/>
        <v>No</v>
      </c>
    </row>
    <row r="37" spans="1:24" x14ac:dyDescent="0.3">
      <c r="A37" s="21">
        <f>'Raw Data'!A37</f>
        <v>50036</v>
      </c>
      <c r="B37" s="21">
        <f>'Raw Data'!B37</f>
        <v>0</v>
      </c>
      <c r="C37" s="21">
        <f>'Raw Data'!C37</f>
        <v>1</v>
      </c>
      <c r="D37" s="21" t="str">
        <f>'Raw Data'!D37</f>
        <v>Phone</v>
      </c>
      <c r="E37" s="21">
        <f>'Raw Data'!E37</f>
        <v>2</v>
      </c>
      <c r="F37" s="21">
        <f>IF('Raw Data'!F37="",ROUND(AVERAGE('Raw Data'!$F$2:$F$1501),1),'Raw Data'!F37)</f>
        <v>9</v>
      </c>
      <c r="G37" s="21" t="str">
        <f>'Raw Data'!G37</f>
        <v>Credit Card</v>
      </c>
      <c r="H37" s="21" t="str">
        <f>'Raw Data'!H37</f>
        <v>Male</v>
      </c>
      <c r="I37" s="21">
        <f>IF('Raw Data'!I37="",ROUND(AVERAGE('Raw Data'!$I$2:$I$1501),1),'Raw Data'!I37)</f>
        <v>3.8</v>
      </c>
      <c r="J37" s="21">
        <f>'Raw Data'!J37</f>
        <v>3</v>
      </c>
      <c r="K37" s="21" t="str">
        <f>'Raw Data'!K37</f>
        <v>Grocery</v>
      </c>
      <c r="L37" s="21">
        <f>'Raw Data'!L37</f>
        <v>4</v>
      </c>
      <c r="M37" s="21" t="str">
        <f>'Raw Data'!M37</f>
        <v>Married</v>
      </c>
      <c r="N37" s="21">
        <f>'Raw Data'!N37</f>
        <v>1</v>
      </c>
      <c r="O37" s="21">
        <f>'Raw Data'!O37</f>
        <v>0</v>
      </c>
      <c r="P37" s="21">
        <f>IF('Raw Data'!P37="",ROUND(AVERAGE('Raw Data'!$P$2:$P$1501),1),'Raw Data'!P37)</f>
        <v>18.899999999999999</v>
      </c>
      <c r="Q37" s="21">
        <f>IF('Raw Data'!Q37="",ROUND(AVERAGE('Raw Data'!$Q$2:$Q$1501),0),'Raw Data'!Q37)</f>
        <v>3</v>
      </c>
      <c r="R37" s="21">
        <f>'Raw Data'!R37</f>
        <v>5</v>
      </c>
      <c r="S37" s="21">
        <f>IF('Raw Data'!S37="",ROUND(AVERAGE('Raw Data'!$S$2:$S$1501),0),'Raw Data'!S37)</f>
        <v>1</v>
      </c>
      <c r="T37" s="21">
        <f>'Raw Data'!T37</f>
        <v>270.39</v>
      </c>
      <c r="U37" s="21" t="str">
        <f>INDEX('Lookup Tables'!$C$7:$C$9,MATCH(E37,'Lookup Tables'!$B$7:$B$9,0))</f>
        <v>Tier 2 (Urban)</v>
      </c>
      <c r="V37" s="21" t="str">
        <f t="shared" si="0"/>
        <v>0-6 months</v>
      </c>
      <c r="W37" s="21" t="str">
        <f t="shared" si="1"/>
        <v>Low Risk</v>
      </c>
      <c r="X37" s="21" t="str">
        <f t="shared" si="2"/>
        <v>No</v>
      </c>
    </row>
    <row r="38" spans="1:24" x14ac:dyDescent="0.3">
      <c r="A38" s="21">
        <f>'Raw Data'!A38</f>
        <v>50037</v>
      </c>
      <c r="B38" s="21">
        <f>'Raw Data'!B38</f>
        <v>0</v>
      </c>
      <c r="C38" s="21">
        <f>'Raw Data'!C38</f>
        <v>6</v>
      </c>
      <c r="D38" s="21" t="str">
        <f>'Raw Data'!D38</f>
        <v>Phone</v>
      </c>
      <c r="E38" s="21">
        <f>'Raw Data'!E38</f>
        <v>1</v>
      </c>
      <c r="F38" s="21">
        <f>IF('Raw Data'!F38="",ROUND(AVERAGE('Raw Data'!$F$2:$F$1501),1),'Raw Data'!F38)</f>
        <v>18</v>
      </c>
      <c r="G38" s="21" t="str">
        <f>'Raw Data'!G38</f>
        <v>Debit Card</v>
      </c>
      <c r="H38" s="21" t="str">
        <f>'Raw Data'!H38</f>
        <v>Male</v>
      </c>
      <c r="I38" s="21">
        <f>IF('Raw Data'!I38="",ROUND(AVERAGE('Raw Data'!$I$2:$I$1501),1),'Raw Data'!I38)</f>
        <v>2.4</v>
      </c>
      <c r="J38" s="21">
        <f>'Raw Data'!J38</f>
        <v>5</v>
      </c>
      <c r="K38" s="21" t="str">
        <f>'Raw Data'!K38</f>
        <v>Grocery</v>
      </c>
      <c r="L38" s="21">
        <f>'Raw Data'!L38</f>
        <v>5</v>
      </c>
      <c r="M38" s="21" t="str">
        <f>'Raw Data'!M38</f>
        <v>Single</v>
      </c>
      <c r="N38" s="21">
        <f>'Raw Data'!N38</f>
        <v>2</v>
      </c>
      <c r="O38" s="21">
        <f>'Raw Data'!O38</f>
        <v>1</v>
      </c>
      <c r="P38" s="21">
        <f>IF('Raw Data'!P38="",ROUND(AVERAGE('Raw Data'!$P$2:$P$1501),1),'Raw Data'!P38)</f>
        <v>11</v>
      </c>
      <c r="Q38" s="21">
        <f>IF('Raw Data'!Q38="",ROUND(AVERAGE('Raw Data'!$Q$2:$Q$1501),0),'Raw Data'!Q38)</f>
        <v>1</v>
      </c>
      <c r="R38" s="21">
        <f>'Raw Data'!R38</f>
        <v>2</v>
      </c>
      <c r="S38" s="21">
        <f>IF('Raw Data'!S38="",ROUND(AVERAGE('Raw Data'!$S$2:$S$1501),0),'Raw Data'!S38)</f>
        <v>1</v>
      </c>
      <c r="T38" s="21">
        <f>'Raw Data'!T38</f>
        <v>137.93</v>
      </c>
      <c r="U38" s="21" t="str">
        <f>INDEX('Lookup Tables'!$C$7:$C$9,MATCH(E38,'Lookup Tables'!$B$7:$B$9,0))</f>
        <v>Tier 1 (Metro)</v>
      </c>
      <c r="V38" s="21" t="str">
        <f t="shared" si="0"/>
        <v>0-6 months</v>
      </c>
      <c r="W38" s="21" t="str">
        <f t="shared" si="1"/>
        <v>Low Risk</v>
      </c>
      <c r="X38" s="21" t="str">
        <f t="shared" si="2"/>
        <v>No</v>
      </c>
    </row>
    <row r="39" spans="1:24" x14ac:dyDescent="0.3">
      <c r="A39" s="21">
        <f>'Raw Data'!A39</f>
        <v>50038</v>
      </c>
      <c r="B39" s="21">
        <f>'Raw Data'!B39</f>
        <v>0</v>
      </c>
      <c r="C39" s="21">
        <f>'Raw Data'!C39</f>
        <v>5</v>
      </c>
      <c r="D39" s="21" t="str">
        <f>'Raw Data'!D39</f>
        <v>Mobile Phone</v>
      </c>
      <c r="E39" s="21">
        <f>'Raw Data'!E39</f>
        <v>1</v>
      </c>
      <c r="F39" s="21">
        <f>IF('Raw Data'!F39="",ROUND(AVERAGE('Raw Data'!$F$2:$F$1501),1),'Raw Data'!F39)</f>
        <v>7</v>
      </c>
      <c r="G39" s="21" t="str">
        <f>'Raw Data'!G39</f>
        <v>Credit Card</v>
      </c>
      <c r="H39" s="21" t="str">
        <f>'Raw Data'!H39</f>
        <v>Female</v>
      </c>
      <c r="I39" s="21">
        <f>IF('Raw Data'!I39="",ROUND(AVERAGE('Raw Data'!$I$2:$I$1501),1),'Raw Data'!I39)</f>
        <v>3.7</v>
      </c>
      <c r="J39" s="21">
        <f>'Raw Data'!J39</f>
        <v>2</v>
      </c>
      <c r="K39" s="21" t="str">
        <f>'Raw Data'!K39</f>
        <v>Laptop &amp; Accessory</v>
      </c>
      <c r="L39" s="21">
        <f>'Raw Data'!L39</f>
        <v>1</v>
      </c>
      <c r="M39" s="21" t="str">
        <f>'Raw Data'!M39</f>
        <v>Married</v>
      </c>
      <c r="N39" s="21">
        <f>'Raw Data'!N39</f>
        <v>1</v>
      </c>
      <c r="O39" s="21">
        <f>'Raw Data'!O39</f>
        <v>0</v>
      </c>
      <c r="P39" s="21">
        <f>IF('Raw Data'!P39="",ROUND(AVERAGE('Raw Data'!$P$2:$P$1501),1),'Raw Data'!P39)</f>
        <v>17.600000000000001</v>
      </c>
      <c r="Q39" s="21">
        <f>IF('Raw Data'!Q39="",ROUND(AVERAGE('Raw Data'!$Q$2:$Q$1501),0),'Raw Data'!Q39)</f>
        <v>1</v>
      </c>
      <c r="R39" s="21">
        <f>'Raw Data'!R39</f>
        <v>4</v>
      </c>
      <c r="S39" s="21">
        <f>IF('Raw Data'!S39="",ROUND(AVERAGE('Raw Data'!$S$2:$S$1501),0),'Raw Data'!S39)</f>
        <v>1</v>
      </c>
      <c r="T39" s="21">
        <f>'Raw Data'!T39</f>
        <v>193.28</v>
      </c>
      <c r="U39" s="21" t="str">
        <f>INDEX('Lookup Tables'!$C$7:$C$9,MATCH(E39,'Lookup Tables'!$B$7:$B$9,0))</f>
        <v>Tier 1 (Metro)</v>
      </c>
      <c r="V39" s="21" t="str">
        <f t="shared" si="0"/>
        <v>0-6 months</v>
      </c>
      <c r="W39" s="21" t="str">
        <f t="shared" si="1"/>
        <v>Low Risk</v>
      </c>
      <c r="X39" s="21" t="str">
        <f t="shared" si="2"/>
        <v>No</v>
      </c>
    </row>
    <row r="40" spans="1:24" x14ac:dyDescent="0.3">
      <c r="A40" s="21">
        <f>'Raw Data'!A40</f>
        <v>50039</v>
      </c>
      <c r="B40" s="21">
        <f>'Raw Data'!B40</f>
        <v>0</v>
      </c>
      <c r="C40" s="21">
        <f>'Raw Data'!C40</f>
        <v>24</v>
      </c>
      <c r="D40" s="21" t="str">
        <f>'Raw Data'!D40</f>
        <v>Computer</v>
      </c>
      <c r="E40" s="21">
        <f>'Raw Data'!E40</f>
        <v>1</v>
      </c>
      <c r="F40" s="21">
        <f>IF('Raw Data'!F40="",ROUND(AVERAGE('Raw Data'!$F$2:$F$1501),1),'Raw Data'!F40)</f>
        <v>15</v>
      </c>
      <c r="G40" s="21" t="str">
        <f>'Raw Data'!G40</f>
        <v>Debit Card</v>
      </c>
      <c r="H40" s="21" t="str">
        <f>'Raw Data'!H40</f>
        <v>Male</v>
      </c>
      <c r="I40" s="21">
        <f>IF('Raw Data'!I40="",ROUND(AVERAGE('Raw Data'!$I$2:$I$1501),1),'Raw Data'!I40)</f>
        <v>2.5</v>
      </c>
      <c r="J40" s="21">
        <f>'Raw Data'!J40</f>
        <v>2</v>
      </c>
      <c r="K40" s="21" t="str">
        <f>'Raw Data'!K40</f>
        <v>Mobile Phone</v>
      </c>
      <c r="L40" s="21">
        <f>'Raw Data'!L40</f>
        <v>3</v>
      </c>
      <c r="M40" s="21" t="str">
        <f>'Raw Data'!M40</f>
        <v>Married</v>
      </c>
      <c r="N40" s="21">
        <f>'Raw Data'!N40</f>
        <v>4</v>
      </c>
      <c r="O40" s="21">
        <f>'Raw Data'!O40</f>
        <v>0</v>
      </c>
      <c r="P40" s="21">
        <f>IF('Raw Data'!P40="",ROUND(AVERAGE('Raw Data'!$P$2:$P$1501),1),'Raw Data'!P40)</f>
        <v>11</v>
      </c>
      <c r="Q40" s="21">
        <f>IF('Raw Data'!Q40="",ROUND(AVERAGE('Raw Data'!$Q$2:$Q$1501),0),'Raw Data'!Q40)</f>
        <v>3</v>
      </c>
      <c r="R40" s="21">
        <f>'Raw Data'!R40</f>
        <v>4</v>
      </c>
      <c r="S40" s="21">
        <f>IF('Raw Data'!S40="",ROUND(AVERAGE('Raw Data'!$S$2:$S$1501),0),'Raw Data'!S40)</f>
        <v>0</v>
      </c>
      <c r="T40" s="21">
        <f>'Raw Data'!T40</f>
        <v>202.26</v>
      </c>
      <c r="U40" s="21" t="str">
        <f>INDEX('Lookup Tables'!$C$7:$C$9,MATCH(E40,'Lookup Tables'!$B$7:$B$9,0))</f>
        <v>Tier 1 (Metro)</v>
      </c>
      <c r="V40" s="21" t="str">
        <f t="shared" si="0"/>
        <v>13-24 months</v>
      </c>
      <c r="W40" s="21" t="str">
        <f t="shared" si="1"/>
        <v>Medium Risk</v>
      </c>
      <c r="X40" s="21" t="str">
        <f t="shared" si="2"/>
        <v>No</v>
      </c>
    </row>
    <row r="41" spans="1:24" x14ac:dyDescent="0.3">
      <c r="A41" s="21">
        <f>'Raw Data'!A41</f>
        <v>50040</v>
      </c>
      <c r="B41" s="21">
        <f>'Raw Data'!B41</f>
        <v>0</v>
      </c>
      <c r="C41" s="21">
        <f>'Raw Data'!C41</f>
        <v>4</v>
      </c>
      <c r="D41" s="21" t="str">
        <f>'Raw Data'!D41</f>
        <v>Mobile Phone</v>
      </c>
      <c r="E41" s="21">
        <f>'Raw Data'!E41</f>
        <v>1</v>
      </c>
      <c r="F41" s="21">
        <f>IF('Raw Data'!F41="",ROUND(AVERAGE('Raw Data'!$F$2:$F$1501),1),'Raw Data'!F41)</f>
        <v>18</v>
      </c>
      <c r="G41" s="21" t="str">
        <f>'Raw Data'!G41</f>
        <v>Credit Card</v>
      </c>
      <c r="H41" s="21" t="str">
        <f>'Raw Data'!H41</f>
        <v>Male</v>
      </c>
      <c r="I41" s="21">
        <f>IF('Raw Data'!I41="",ROUND(AVERAGE('Raw Data'!$I$2:$I$1501),1),'Raw Data'!I41)</f>
        <v>3.4</v>
      </c>
      <c r="J41" s="21">
        <f>'Raw Data'!J41</f>
        <v>3</v>
      </c>
      <c r="K41" s="21" t="str">
        <f>'Raw Data'!K41</f>
        <v>Fashion</v>
      </c>
      <c r="L41" s="21">
        <f>'Raw Data'!L41</f>
        <v>5</v>
      </c>
      <c r="M41" s="21" t="str">
        <f>'Raw Data'!M41</f>
        <v>Married</v>
      </c>
      <c r="N41" s="21">
        <f>'Raw Data'!N41</f>
        <v>2</v>
      </c>
      <c r="O41" s="21">
        <f>'Raw Data'!O41</f>
        <v>1</v>
      </c>
      <c r="P41" s="21">
        <f>IF('Raw Data'!P41="",ROUND(AVERAGE('Raw Data'!$P$2:$P$1501),1),'Raw Data'!P41)</f>
        <v>14.4</v>
      </c>
      <c r="Q41" s="21">
        <f>IF('Raw Data'!Q41="",ROUND(AVERAGE('Raw Data'!$Q$2:$Q$1501),0),'Raw Data'!Q41)</f>
        <v>6</v>
      </c>
      <c r="R41" s="21">
        <f>'Raw Data'!R41</f>
        <v>1</v>
      </c>
      <c r="S41" s="21">
        <f>IF('Raw Data'!S41="",ROUND(AVERAGE('Raw Data'!$S$2:$S$1501),0),'Raw Data'!S41)</f>
        <v>4</v>
      </c>
      <c r="T41" s="21">
        <f>'Raw Data'!T41</f>
        <v>209.38</v>
      </c>
      <c r="U41" s="21" t="str">
        <f>INDEX('Lookup Tables'!$C$7:$C$9,MATCH(E41,'Lookup Tables'!$B$7:$B$9,0))</f>
        <v>Tier 1 (Metro)</v>
      </c>
      <c r="V41" s="21" t="str">
        <f t="shared" si="0"/>
        <v>0-6 months</v>
      </c>
      <c r="W41" s="21" t="str">
        <f t="shared" si="1"/>
        <v>Low Risk</v>
      </c>
      <c r="X41" s="21" t="str">
        <f t="shared" si="2"/>
        <v>No</v>
      </c>
    </row>
    <row r="42" spans="1:24" x14ac:dyDescent="0.3">
      <c r="A42" s="21">
        <f>'Raw Data'!A42</f>
        <v>50041</v>
      </c>
      <c r="B42" s="21">
        <f>'Raw Data'!B42</f>
        <v>0</v>
      </c>
      <c r="C42" s="21">
        <f>'Raw Data'!C42</f>
        <v>8</v>
      </c>
      <c r="D42" s="21" t="str">
        <f>'Raw Data'!D42</f>
        <v>Computer</v>
      </c>
      <c r="E42" s="21">
        <f>'Raw Data'!E42</f>
        <v>1</v>
      </c>
      <c r="F42" s="21">
        <f>IF('Raw Data'!F42="",ROUND(AVERAGE('Raw Data'!$F$2:$F$1501),1),'Raw Data'!F42)</f>
        <v>12</v>
      </c>
      <c r="G42" s="21" t="str">
        <f>'Raw Data'!G42</f>
        <v>Debit Card</v>
      </c>
      <c r="H42" s="21" t="str">
        <f>'Raw Data'!H42</f>
        <v>Male</v>
      </c>
      <c r="I42" s="21">
        <f>IF('Raw Data'!I42="",ROUND(AVERAGE('Raw Data'!$I$2:$I$1501),1),'Raw Data'!I42)</f>
        <v>1.9</v>
      </c>
      <c r="J42" s="21">
        <f>'Raw Data'!J42</f>
        <v>4</v>
      </c>
      <c r="K42" s="21" t="str">
        <f>'Raw Data'!K42</f>
        <v>Laptop &amp; Accessory</v>
      </c>
      <c r="L42" s="21">
        <f>'Raw Data'!L42</f>
        <v>3</v>
      </c>
      <c r="M42" s="21" t="str">
        <f>'Raw Data'!M42</f>
        <v>Single</v>
      </c>
      <c r="N42" s="21">
        <f>'Raw Data'!N42</f>
        <v>1</v>
      </c>
      <c r="O42" s="21">
        <f>'Raw Data'!O42</f>
        <v>0</v>
      </c>
      <c r="P42" s="21">
        <f>IF('Raw Data'!P42="",ROUND(AVERAGE('Raw Data'!$P$2:$P$1501),1),'Raw Data'!P42)</f>
        <v>14.7</v>
      </c>
      <c r="Q42" s="21">
        <f>IF('Raw Data'!Q42="",ROUND(AVERAGE('Raw Data'!$Q$2:$Q$1501),0),'Raw Data'!Q42)</f>
        <v>2</v>
      </c>
      <c r="R42" s="21">
        <f>'Raw Data'!R42</f>
        <v>2</v>
      </c>
      <c r="S42" s="21">
        <f>IF('Raw Data'!S42="",ROUND(AVERAGE('Raw Data'!$S$2:$S$1501),0),'Raw Data'!S42)</f>
        <v>2</v>
      </c>
      <c r="T42" s="21">
        <f>'Raw Data'!T42</f>
        <v>222.31</v>
      </c>
      <c r="U42" s="21" t="str">
        <f>INDEX('Lookup Tables'!$C$7:$C$9,MATCH(E42,'Lookup Tables'!$B$7:$B$9,0))</f>
        <v>Tier 1 (Metro)</v>
      </c>
      <c r="V42" s="21" t="str">
        <f t="shared" si="0"/>
        <v>7-12 months</v>
      </c>
      <c r="W42" s="21" t="str">
        <f t="shared" si="1"/>
        <v>Medium Risk</v>
      </c>
      <c r="X42" s="21" t="str">
        <f t="shared" si="2"/>
        <v>No</v>
      </c>
    </row>
    <row r="43" spans="1:24" x14ac:dyDescent="0.3">
      <c r="A43" s="21">
        <f>'Raw Data'!A43</f>
        <v>50042</v>
      </c>
      <c r="B43" s="21">
        <f>'Raw Data'!B43</f>
        <v>0</v>
      </c>
      <c r="C43" s="21">
        <f>'Raw Data'!C43</f>
        <v>10</v>
      </c>
      <c r="D43" s="21" t="str">
        <f>'Raw Data'!D43</f>
        <v>Computer</v>
      </c>
      <c r="E43" s="21">
        <f>'Raw Data'!E43</f>
        <v>1</v>
      </c>
      <c r="F43" s="21">
        <f>IF('Raw Data'!F43="",ROUND(AVERAGE('Raw Data'!$F$2:$F$1501),1),'Raw Data'!F43)</f>
        <v>16</v>
      </c>
      <c r="G43" s="21" t="str">
        <f>'Raw Data'!G43</f>
        <v>Credit Card</v>
      </c>
      <c r="H43" s="21" t="str">
        <f>'Raw Data'!H43</f>
        <v>Female</v>
      </c>
      <c r="I43" s="21">
        <f>IF('Raw Data'!I43="",ROUND(AVERAGE('Raw Data'!$I$2:$I$1501),1),'Raw Data'!I43)</f>
        <v>3.1</v>
      </c>
      <c r="J43" s="21">
        <f>'Raw Data'!J43</f>
        <v>2</v>
      </c>
      <c r="K43" s="21" t="str">
        <f>'Raw Data'!K43</f>
        <v>Mobile Phone</v>
      </c>
      <c r="L43" s="21">
        <f>'Raw Data'!L43</f>
        <v>4</v>
      </c>
      <c r="M43" s="21" t="str">
        <f>'Raw Data'!M43</f>
        <v>Single</v>
      </c>
      <c r="N43" s="21">
        <f>'Raw Data'!N43</f>
        <v>7</v>
      </c>
      <c r="O43" s="21">
        <f>'Raw Data'!O43</f>
        <v>0</v>
      </c>
      <c r="P43" s="21">
        <f>IF('Raw Data'!P43="",ROUND(AVERAGE('Raw Data'!$P$2:$P$1501),1),'Raw Data'!P43)</f>
        <v>13.3</v>
      </c>
      <c r="Q43" s="21">
        <f>IF('Raw Data'!Q43="",ROUND(AVERAGE('Raw Data'!$Q$2:$Q$1501),0),'Raw Data'!Q43)</f>
        <v>0</v>
      </c>
      <c r="R43" s="21">
        <f>'Raw Data'!R43</f>
        <v>5</v>
      </c>
      <c r="S43" s="21">
        <f>IF('Raw Data'!S43="",ROUND(AVERAGE('Raw Data'!$S$2:$S$1501),0),'Raw Data'!S43)</f>
        <v>11</v>
      </c>
      <c r="T43" s="21">
        <f>'Raw Data'!T43</f>
        <v>189.15</v>
      </c>
      <c r="U43" s="21" t="str">
        <f>INDEX('Lookup Tables'!$C$7:$C$9,MATCH(E43,'Lookup Tables'!$B$7:$B$9,0))</f>
        <v>Tier 1 (Metro)</v>
      </c>
      <c r="V43" s="21" t="str">
        <f t="shared" si="0"/>
        <v>7-12 months</v>
      </c>
      <c r="W43" s="21" t="str">
        <f t="shared" si="1"/>
        <v>Low Risk</v>
      </c>
      <c r="X43" s="21" t="str">
        <f t="shared" si="2"/>
        <v>No</v>
      </c>
    </row>
    <row r="44" spans="1:24" x14ac:dyDescent="0.3">
      <c r="A44" s="21">
        <f>'Raw Data'!A44</f>
        <v>50043</v>
      </c>
      <c r="B44" s="21">
        <f>'Raw Data'!B44</f>
        <v>0</v>
      </c>
      <c r="C44" s="21">
        <f>'Raw Data'!C44</f>
        <v>0</v>
      </c>
      <c r="D44" s="21" t="str">
        <f>'Raw Data'!D44</f>
        <v>Computer</v>
      </c>
      <c r="E44" s="21">
        <f>'Raw Data'!E44</f>
        <v>3</v>
      </c>
      <c r="F44" s="21">
        <f>IF('Raw Data'!F44="",ROUND(AVERAGE('Raw Data'!$F$2:$F$1501),1),'Raw Data'!F44)</f>
        <v>7</v>
      </c>
      <c r="G44" s="21" t="str">
        <f>'Raw Data'!G44</f>
        <v>E wallet</v>
      </c>
      <c r="H44" s="21" t="str">
        <f>'Raw Data'!H44</f>
        <v>Male</v>
      </c>
      <c r="I44" s="21">
        <f>IF('Raw Data'!I44="",ROUND(AVERAGE('Raw Data'!$I$2:$I$1501),1),'Raw Data'!I44)</f>
        <v>1.5</v>
      </c>
      <c r="J44" s="21">
        <f>'Raw Data'!J44</f>
        <v>4</v>
      </c>
      <c r="K44" s="21" t="str">
        <f>'Raw Data'!K44</f>
        <v>Mobile Phone</v>
      </c>
      <c r="L44" s="21">
        <f>'Raw Data'!L44</f>
        <v>3</v>
      </c>
      <c r="M44" s="21" t="str">
        <f>'Raw Data'!M44</f>
        <v>Divorced</v>
      </c>
      <c r="N44" s="21">
        <f>'Raw Data'!N44</f>
        <v>1</v>
      </c>
      <c r="O44" s="21">
        <f>'Raw Data'!O44</f>
        <v>1</v>
      </c>
      <c r="P44" s="21">
        <f>IF('Raw Data'!P44="",ROUND(AVERAGE('Raw Data'!$P$2:$P$1501),1),'Raw Data'!P44)</f>
        <v>14.8</v>
      </c>
      <c r="Q44" s="21">
        <f>IF('Raw Data'!Q44="",ROUND(AVERAGE('Raw Data'!$Q$2:$Q$1501),0),'Raw Data'!Q44)</f>
        <v>1</v>
      </c>
      <c r="R44" s="21">
        <f>'Raw Data'!R44</f>
        <v>4</v>
      </c>
      <c r="S44" s="21">
        <f>IF('Raw Data'!S44="",ROUND(AVERAGE('Raw Data'!$S$2:$S$1501),0),'Raw Data'!S44)</f>
        <v>0</v>
      </c>
      <c r="T44" s="21">
        <f>'Raw Data'!T44</f>
        <v>208.24</v>
      </c>
      <c r="U44" s="21" t="str">
        <f>INDEX('Lookup Tables'!$C$7:$C$9,MATCH(E44,'Lookup Tables'!$B$7:$B$9,0))</f>
        <v>Tier 3 (Semi-urban/Rural)</v>
      </c>
      <c r="V44" s="21" t="str">
        <f t="shared" si="0"/>
        <v>0-6 months</v>
      </c>
      <c r="W44" s="21" t="str">
        <f t="shared" si="1"/>
        <v>Medium Risk</v>
      </c>
      <c r="X44" s="21" t="str">
        <f t="shared" si="2"/>
        <v>No</v>
      </c>
    </row>
    <row r="45" spans="1:24" x14ac:dyDescent="0.3">
      <c r="A45" s="21">
        <f>'Raw Data'!A45</f>
        <v>50044</v>
      </c>
      <c r="B45" s="21">
        <f>'Raw Data'!B45</f>
        <v>0</v>
      </c>
      <c r="C45" s="21">
        <f>'Raw Data'!C45</f>
        <v>10</v>
      </c>
      <c r="D45" s="21" t="str">
        <f>'Raw Data'!D45</f>
        <v>Mobile Phone</v>
      </c>
      <c r="E45" s="21">
        <f>'Raw Data'!E45</f>
        <v>1</v>
      </c>
      <c r="F45" s="21">
        <f>IF('Raw Data'!F45="",ROUND(AVERAGE('Raw Data'!$F$2:$F$1501),1),'Raw Data'!F45)</f>
        <v>13</v>
      </c>
      <c r="G45" s="21" t="str">
        <f>'Raw Data'!G45</f>
        <v>UPI</v>
      </c>
      <c r="H45" s="21" t="str">
        <f>'Raw Data'!H45</f>
        <v>Male</v>
      </c>
      <c r="I45" s="21">
        <f>IF('Raw Data'!I45="",ROUND(AVERAGE('Raw Data'!$I$2:$I$1501),1),'Raw Data'!I45)</f>
        <v>2.7</v>
      </c>
      <c r="J45" s="21">
        <f>'Raw Data'!J45</f>
        <v>4</v>
      </c>
      <c r="K45" s="21" t="str">
        <f>'Raw Data'!K45</f>
        <v>Laptop &amp; Accessory</v>
      </c>
      <c r="L45" s="21">
        <f>'Raw Data'!L45</f>
        <v>4</v>
      </c>
      <c r="M45" s="21" t="str">
        <f>'Raw Data'!M45</f>
        <v>Married</v>
      </c>
      <c r="N45" s="21">
        <f>'Raw Data'!N45</f>
        <v>4</v>
      </c>
      <c r="O45" s="21">
        <f>'Raw Data'!O45</f>
        <v>0</v>
      </c>
      <c r="P45" s="21">
        <f>IF('Raw Data'!P45="",ROUND(AVERAGE('Raw Data'!$P$2:$P$1501),1),'Raw Data'!P45)</f>
        <v>19.600000000000001</v>
      </c>
      <c r="Q45" s="21">
        <f>IF('Raw Data'!Q45="",ROUND(AVERAGE('Raw Data'!$Q$2:$Q$1501),0),'Raw Data'!Q45)</f>
        <v>1</v>
      </c>
      <c r="R45" s="21">
        <f>'Raw Data'!R45</f>
        <v>2</v>
      </c>
      <c r="S45" s="21">
        <f>IF('Raw Data'!S45="",ROUND(AVERAGE('Raw Data'!$S$2:$S$1501),0),'Raw Data'!S45)</f>
        <v>0</v>
      </c>
      <c r="T45" s="21">
        <f>'Raw Data'!T45</f>
        <v>129.87</v>
      </c>
      <c r="U45" s="21" t="str">
        <f>INDEX('Lookup Tables'!$C$7:$C$9,MATCH(E45,'Lookup Tables'!$B$7:$B$9,0))</f>
        <v>Tier 1 (Metro)</v>
      </c>
      <c r="V45" s="21" t="str">
        <f t="shared" si="0"/>
        <v>7-12 months</v>
      </c>
      <c r="W45" s="21" t="str">
        <f t="shared" si="1"/>
        <v>Low Risk</v>
      </c>
      <c r="X45" s="21" t="str">
        <f t="shared" si="2"/>
        <v>No</v>
      </c>
    </row>
    <row r="46" spans="1:24" x14ac:dyDescent="0.3">
      <c r="A46" s="21">
        <f>'Raw Data'!A46</f>
        <v>50045</v>
      </c>
      <c r="B46" s="21">
        <f>'Raw Data'!B46</f>
        <v>1</v>
      </c>
      <c r="C46" s="21">
        <f>'Raw Data'!C46</f>
        <v>1</v>
      </c>
      <c r="D46" s="21" t="str">
        <f>'Raw Data'!D46</f>
        <v>Mobile Phone</v>
      </c>
      <c r="E46" s="21">
        <f>'Raw Data'!E46</f>
        <v>1</v>
      </c>
      <c r="F46" s="21">
        <f>IF('Raw Data'!F46="",ROUND(AVERAGE('Raw Data'!$F$2:$F$1501),1),'Raw Data'!F46)</f>
        <v>19</v>
      </c>
      <c r="G46" s="21" t="str">
        <f>'Raw Data'!G46</f>
        <v>E wallet</v>
      </c>
      <c r="H46" s="21" t="str">
        <f>'Raw Data'!H46</f>
        <v>Male</v>
      </c>
      <c r="I46" s="21">
        <f>IF('Raw Data'!I46="",ROUND(AVERAGE('Raw Data'!$I$2:$I$1501),1),'Raw Data'!I46)</f>
        <v>3.2</v>
      </c>
      <c r="J46" s="21">
        <f>'Raw Data'!J46</f>
        <v>1</v>
      </c>
      <c r="K46" s="21" t="str">
        <f>'Raw Data'!K46</f>
        <v>Laptop &amp; Accessory</v>
      </c>
      <c r="L46" s="21">
        <f>'Raw Data'!L46</f>
        <v>3</v>
      </c>
      <c r="M46" s="21" t="str">
        <f>'Raw Data'!M46</f>
        <v>Married</v>
      </c>
      <c r="N46" s="21">
        <f>'Raw Data'!N46</f>
        <v>5</v>
      </c>
      <c r="O46" s="21">
        <f>'Raw Data'!O46</f>
        <v>0</v>
      </c>
      <c r="P46" s="21">
        <f>IF('Raw Data'!P46="",ROUND(AVERAGE('Raw Data'!$P$2:$P$1501),1),'Raw Data'!P46)</f>
        <v>13.5</v>
      </c>
      <c r="Q46" s="21">
        <f>IF('Raw Data'!Q46="",ROUND(AVERAGE('Raw Data'!$Q$2:$Q$1501),0),'Raw Data'!Q46)</f>
        <v>1</v>
      </c>
      <c r="R46" s="21">
        <f>'Raw Data'!R46</f>
        <v>2</v>
      </c>
      <c r="S46" s="21">
        <f>IF('Raw Data'!S46="",ROUND(AVERAGE('Raw Data'!$S$2:$S$1501),0),'Raw Data'!S46)</f>
        <v>10</v>
      </c>
      <c r="T46" s="21">
        <f>'Raw Data'!T46</f>
        <v>189.02</v>
      </c>
      <c r="U46" s="21" t="str">
        <f>INDEX('Lookup Tables'!$C$7:$C$9,MATCH(E46,'Lookup Tables'!$B$7:$B$9,0))</f>
        <v>Tier 1 (Metro)</v>
      </c>
      <c r="V46" s="21" t="str">
        <f t="shared" si="0"/>
        <v>0-6 months</v>
      </c>
      <c r="W46" s="21" t="str">
        <f t="shared" si="1"/>
        <v>Medium Risk</v>
      </c>
      <c r="X46" s="21" t="str">
        <f t="shared" si="2"/>
        <v>Yes</v>
      </c>
    </row>
    <row r="47" spans="1:24" x14ac:dyDescent="0.3">
      <c r="A47" s="21">
        <f>'Raw Data'!A47</f>
        <v>50046</v>
      </c>
      <c r="B47" s="21">
        <f>'Raw Data'!B47</f>
        <v>0</v>
      </c>
      <c r="C47" s="21">
        <f>'Raw Data'!C47</f>
        <v>32</v>
      </c>
      <c r="D47" s="21" t="str">
        <f>'Raw Data'!D47</f>
        <v>Mobile Phone</v>
      </c>
      <c r="E47" s="21">
        <f>'Raw Data'!E47</f>
        <v>1</v>
      </c>
      <c r="F47" s="21">
        <f>IF('Raw Data'!F47="",ROUND(AVERAGE('Raw Data'!$F$2:$F$1501),1),'Raw Data'!F47)</f>
        <v>16</v>
      </c>
      <c r="G47" s="21" t="str">
        <f>'Raw Data'!G47</f>
        <v>Credit Card</v>
      </c>
      <c r="H47" s="21" t="str">
        <f>'Raw Data'!H47</f>
        <v>Male</v>
      </c>
      <c r="I47" s="21">
        <f>IF('Raw Data'!I47="",ROUND(AVERAGE('Raw Data'!$I$2:$I$1501),1),'Raw Data'!I47)</f>
        <v>2.5</v>
      </c>
      <c r="J47" s="21">
        <f>'Raw Data'!J47</f>
        <v>4</v>
      </c>
      <c r="K47" s="21" t="str">
        <f>'Raw Data'!K47</f>
        <v>Laptop &amp; Accessory</v>
      </c>
      <c r="L47" s="21">
        <f>'Raw Data'!L47</f>
        <v>3</v>
      </c>
      <c r="M47" s="21" t="str">
        <f>'Raw Data'!M47</f>
        <v>Married</v>
      </c>
      <c r="N47" s="21">
        <f>'Raw Data'!N47</f>
        <v>11</v>
      </c>
      <c r="O47" s="21">
        <f>'Raw Data'!O47</f>
        <v>1</v>
      </c>
      <c r="P47" s="21">
        <f>IF('Raw Data'!P47="",ROUND(AVERAGE('Raw Data'!$P$2:$P$1501),1),'Raw Data'!P47)</f>
        <v>17.899999999999999</v>
      </c>
      <c r="Q47" s="21">
        <f>IF('Raw Data'!Q47="",ROUND(AVERAGE('Raw Data'!$Q$2:$Q$1501),0),'Raw Data'!Q47)</f>
        <v>4</v>
      </c>
      <c r="R47" s="21">
        <f>'Raw Data'!R47</f>
        <v>5</v>
      </c>
      <c r="S47" s="21">
        <f>IF('Raw Data'!S47="",ROUND(AVERAGE('Raw Data'!$S$2:$S$1501),0),'Raw Data'!S47)</f>
        <v>0</v>
      </c>
      <c r="T47" s="21">
        <f>'Raw Data'!T47</f>
        <v>153.80000000000001</v>
      </c>
      <c r="U47" s="21" t="str">
        <f>INDEX('Lookup Tables'!$C$7:$C$9,MATCH(E47,'Lookup Tables'!$B$7:$B$9,0))</f>
        <v>Tier 1 (Metro)</v>
      </c>
      <c r="V47" s="21" t="str">
        <f t="shared" si="0"/>
        <v>25+ months</v>
      </c>
      <c r="W47" s="21" t="str">
        <f t="shared" si="1"/>
        <v>Medium Risk</v>
      </c>
      <c r="X47" s="21" t="str">
        <f t="shared" si="2"/>
        <v>No</v>
      </c>
    </row>
    <row r="48" spans="1:24" x14ac:dyDescent="0.3">
      <c r="A48" s="21">
        <f>'Raw Data'!A48</f>
        <v>50047</v>
      </c>
      <c r="B48" s="21">
        <f>'Raw Data'!B48</f>
        <v>0</v>
      </c>
      <c r="C48" s="21">
        <f>'Raw Data'!C48</f>
        <v>1</v>
      </c>
      <c r="D48" s="21" t="str">
        <f>'Raw Data'!D48</f>
        <v>Phone</v>
      </c>
      <c r="E48" s="21">
        <f>'Raw Data'!E48</f>
        <v>3</v>
      </c>
      <c r="F48" s="21">
        <f>IF('Raw Data'!F48="",ROUND(AVERAGE('Raw Data'!$F$2:$F$1501),1),'Raw Data'!F48)</f>
        <v>10</v>
      </c>
      <c r="G48" s="21" t="str">
        <f>'Raw Data'!G48</f>
        <v>UPI</v>
      </c>
      <c r="H48" s="21" t="str">
        <f>'Raw Data'!H48</f>
        <v>Male</v>
      </c>
      <c r="I48" s="21">
        <f>IF('Raw Data'!I48="",ROUND(AVERAGE('Raw Data'!$I$2:$I$1501),1),'Raw Data'!I48)</f>
        <v>2.2000000000000002</v>
      </c>
      <c r="J48" s="21">
        <f>'Raw Data'!J48</f>
        <v>4</v>
      </c>
      <c r="K48" s="21" t="str">
        <f>'Raw Data'!K48</f>
        <v>Fashion</v>
      </c>
      <c r="L48" s="21">
        <f>'Raw Data'!L48</f>
        <v>1</v>
      </c>
      <c r="M48" s="21" t="str">
        <f>'Raw Data'!M48</f>
        <v>Single</v>
      </c>
      <c r="N48" s="21">
        <f>'Raw Data'!N48</f>
        <v>2</v>
      </c>
      <c r="O48" s="21">
        <f>'Raw Data'!O48</f>
        <v>0</v>
      </c>
      <c r="P48" s="21">
        <f>IF('Raw Data'!P48="",ROUND(AVERAGE('Raw Data'!$P$2:$P$1501),1),'Raw Data'!P48)</f>
        <v>12.6</v>
      </c>
      <c r="Q48" s="21">
        <f>IF('Raw Data'!Q48="",ROUND(AVERAGE('Raw Data'!$Q$2:$Q$1501),0),'Raw Data'!Q48)</f>
        <v>4</v>
      </c>
      <c r="R48" s="21">
        <f>'Raw Data'!R48</f>
        <v>4</v>
      </c>
      <c r="S48" s="21">
        <f>IF('Raw Data'!S48="",ROUND(AVERAGE('Raw Data'!$S$2:$S$1501),0),'Raw Data'!S48)</f>
        <v>0</v>
      </c>
      <c r="T48" s="21">
        <f>'Raw Data'!T48</f>
        <v>112.36</v>
      </c>
      <c r="U48" s="21" t="str">
        <f>INDEX('Lookup Tables'!$C$7:$C$9,MATCH(E48,'Lookup Tables'!$B$7:$B$9,0))</f>
        <v>Tier 3 (Semi-urban/Rural)</v>
      </c>
      <c r="V48" s="21" t="str">
        <f t="shared" si="0"/>
        <v>0-6 months</v>
      </c>
      <c r="W48" s="21" t="str">
        <f t="shared" si="1"/>
        <v>Low Risk</v>
      </c>
      <c r="X48" s="21" t="str">
        <f t="shared" si="2"/>
        <v>No</v>
      </c>
    </row>
    <row r="49" spans="1:24" x14ac:dyDescent="0.3">
      <c r="A49" s="21">
        <f>'Raw Data'!A49</f>
        <v>50048</v>
      </c>
      <c r="B49" s="21">
        <f>'Raw Data'!B49</f>
        <v>0</v>
      </c>
      <c r="C49" s="21">
        <f>'Raw Data'!C49</f>
        <v>5</v>
      </c>
      <c r="D49" s="21" t="str">
        <f>'Raw Data'!D49</f>
        <v>Computer</v>
      </c>
      <c r="E49" s="21">
        <f>'Raw Data'!E49</f>
        <v>2</v>
      </c>
      <c r="F49" s="21">
        <f>IF('Raw Data'!F49="",ROUND(AVERAGE('Raw Data'!$F$2:$F$1501),1),'Raw Data'!F49)</f>
        <v>16</v>
      </c>
      <c r="G49" s="21" t="str">
        <f>'Raw Data'!G49</f>
        <v>Cash on Delivery</v>
      </c>
      <c r="H49" s="21" t="str">
        <f>'Raw Data'!H49</f>
        <v>Male</v>
      </c>
      <c r="I49" s="21">
        <f>IF('Raw Data'!I49="",ROUND(AVERAGE('Raw Data'!$I$2:$I$1501),1),'Raw Data'!I49)</f>
        <v>3.5</v>
      </c>
      <c r="J49" s="21">
        <f>'Raw Data'!J49</f>
        <v>3</v>
      </c>
      <c r="K49" s="21" t="str">
        <f>'Raw Data'!K49</f>
        <v>Laptop &amp; Accessory</v>
      </c>
      <c r="L49" s="21">
        <f>'Raw Data'!L49</f>
        <v>4</v>
      </c>
      <c r="M49" s="21" t="str">
        <f>'Raw Data'!M49</f>
        <v>Married</v>
      </c>
      <c r="N49" s="21">
        <f>'Raw Data'!N49</f>
        <v>3</v>
      </c>
      <c r="O49" s="21">
        <f>'Raw Data'!O49</f>
        <v>0</v>
      </c>
      <c r="P49" s="21">
        <f>IF('Raw Data'!P49="",ROUND(AVERAGE('Raw Data'!$P$2:$P$1501),1),'Raw Data'!P49)</f>
        <v>15.3</v>
      </c>
      <c r="Q49" s="21">
        <f>IF('Raw Data'!Q49="",ROUND(AVERAGE('Raw Data'!$Q$2:$Q$1501),0),'Raw Data'!Q49)</f>
        <v>1</v>
      </c>
      <c r="R49" s="21">
        <f>'Raw Data'!R49</f>
        <v>7</v>
      </c>
      <c r="S49" s="21">
        <f>IF('Raw Data'!S49="",ROUND(AVERAGE('Raw Data'!$S$2:$S$1501),0),'Raw Data'!S49)</f>
        <v>0</v>
      </c>
      <c r="T49" s="21">
        <f>'Raw Data'!T49</f>
        <v>152</v>
      </c>
      <c r="U49" s="21" t="str">
        <f>INDEX('Lookup Tables'!$C$7:$C$9,MATCH(E49,'Lookup Tables'!$B$7:$B$9,0))</f>
        <v>Tier 2 (Urban)</v>
      </c>
      <c r="V49" s="21" t="str">
        <f t="shared" si="0"/>
        <v>0-6 months</v>
      </c>
      <c r="W49" s="21" t="str">
        <f t="shared" si="1"/>
        <v>Low Risk</v>
      </c>
      <c r="X49" s="21" t="str">
        <f t="shared" si="2"/>
        <v>No</v>
      </c>
    </row>
    <row r="50" spans="1:24" x14ac:dyDescent="0.3">
      <c r="A50" s="21">
        <f>'Raw Data'!A50</f>
        <v>50049</v>
      </c>
      <c r="B50" s="21">
        <f>'Raw Data'!B50</f>
        <v>1</v>
      </c>
      <c r="C50" s="21">
        <f>'Raw Data'!C50</f>
        <v>0</v>
      </c>
      <c r="D50" s="21" t="str">
        <f>'Raw Data'!D50</f>
        <v>Phone</v>
      </c>
      <c r="E50" s="21">
        <f>'Raw Data'!E50</f>
        <v>2</v>
      </c>
      <c r="F50" s="21">
        <f>IF('Raw Data'!F50="",ROUND(AVERAGE('Raw Data'!$F$2:$F$1501),1),'Raw Data'!F50)</f>
        <v>20</v>
      </c>
      <c r="G50" s="21" t="str">
        <f>'Raw Data'!G50</f>
        <v>Debit Card</v>
      </c>
      <c r="H50" s="21" t="str">
        <f>'Raw Data'!H50</f>
        <v>Male</v>
      </c>
      <c r="I50" s="21">
        <f>IF('Raw Data'!I50="",ROUND(AVERAGE('Raw Data'!$I$2:$I$1501),1),'Raw Data'!I50)</f>
        <v>2.8</v>
      </c>
      <c r="J50" s="21">
        <f>'Raw Data'!J50</f>
        <v>4</v>
      </c>
      <c r="K50" s="21" t="str">
        <f>'Raw Data'!K50</f>
        <v>Laptop &amp; Accessory</v>
      </c>
      <c r="L50" s="21">
        <f>'Raw Data'!L50</f>
        <v>4</v>
      </c>
      <c r="M50" s="21" t="str">
        <f>'Raw Data'!M50</f>
        <v>Single</v>
      </c>
      <c r="N50" s="21">
        <f>'Raw Data'!N50</f>
        <v>1</v>
      </c>
      <c r="O50" s="21">
        <f>'Raw Data'!O50</f>
        <v>0</v>
      </c>
      <c r="P50" s="21">
        <f>IF('Raw Data'!P50="",ROUND(AVERAGE('Raw Data'!$P$2:$P$1501),1),'Raw Data'!P50)</f>
        <v>17.100000000000001</v>
      </c>
      <c r="Q50" s="21">
        <f>IF('Raw Data'!Q50="",ROUND(AVERAGE('Raw Data'!$Q$2:$Q$1501),0),'Raw Data'!Q50)</f>
        <v>4</v>
      </c>
      <c r="R50" s="21">
        <f>'Raw Data'!R50</f>
        <v>6</v>
      </c>
      <c r="S50" s="21">
        <f>IF('Raw Data'!S50="",ROUND(AVERAGE('Raw Data'!$S$2:$S$1501),0),'Raw Data'!S50)</f>
        <v>8</v>
      </c>
      <c r="T50" s="21">
        <f>'Raw Data'!T50</f>
        <v>194.82</v>
      </c>
      <c r="U50" s="21" t="str">
        <f>INDEX('Lookup Tables'!$C$7:$C$9,MATCH(E50,'Lookup Tables'!$B$7:$B$9,0))</f>
        <v>Tier 2 (Urban)</v>
      </c>
      <c r="V50" s="21" t="str">
        <f t="shared" si="0"/>
        <v>0-6 months</v>
      </c>
      <c r="W50" s="21" t="str">
        <f t="shared" si="1"/>
        <v>Low Risk</v>
      </c>
      <c r="X50" s="21" t="str">
        <f t="shared" si="2"/>
        <v>Yes</v>
      </c>
    </row>
    <row r="51" spans="1:24" x14ac:dyDescent="0.3">
      <c r="A51" s="21">
        <f>'Raw Data'!A51</f>
        <v>50050</v>
      </c>
      <c r="B51" s="21">
        <f>'Raw Data'!B51</f>
        <v>0</v>
      </c>
      <c r="C51" s="21">
        <f>'Raw Data'!C51</f>
        <v>57</v>
      </c>
      <c r="D51" s="21" t="str">
        <f>'Raw Data'!D51</f>
        <v>Phone</v>
      </c>
      <c r="E51" s="21">
        <f>'Raw Data'!E51</f>
        <v>1</v>
      </c>
      <c r="F51" s="21">
        <f>IF('Raw Data'!F51="",ROUND(AVERAGE('Raw Data'!$F$2:$F$1501),1),'Raw Data'!F51)</f>
        <v>5</v>
      </c>
      <c r="G51" s="21" t="str">
        <f>'Raw Data'!G51</f>
        <v>Credit Card</v>
      </c>
      <c r="H51" s="21" t="str">
        <f>'Raw Data'!H51</f>
        <v>Male</v>
      </c>
      <c r="I51" s="21">
        <f>IF('Raw Data'!I51="",ROUND(AVERAGE('Raw Data'!$I$2:$I$1501),1),'Raw Data'!I51)</f>
        <v>2.6</v>
      </c>
      <c r="J51" s="21">
        <f>'Raw Data'!J51</f>
        <v>4</v>
      </c>
      <c r="K51" s="21" t="str">
        <f>'Raw Data'!K51</f>
        <v>Mobile Phone</v>
      </c>
      <c r="L51" s="21">
        <f>'Raw Data'!L51</f>
        <v>4</v>
      </c>
      <c r="M51" s="21" t="str">
        <f>'Raw Data'!M51</f>
        <v>Married</v>
      </c>
      <c r="N51" s="21">
        <f>'Raw Data'!N51</f>
        <v>3</v>
      </c>
      <c r="O51" s="21">
        <f>'Raw Data'!O51</f>
        <v>1</v>
      </c>
      <c r="P51" s="21">
        <f>IF('Raw Data'!P51="",ROUND(AVERAGE('Raw Data'!$P$2:$P$1501),1),'Raw Data'!P51)</f>
        <v>12.5</v>
      </c>
      <c r="Q51" s="21">
        <f>IF('Raw Data'!Q51="",ROUND(AVERAGE('Raw Data'!$Q$2:$Q$1501),0),'Raw Data'!Q51)</f>
        <v>2</v>
      </c>
      <c r="R51" s="21">
        <f>'Raw Data'!R51</f>
        <v>4</v>
      </c>
      <c r="S51" s="21">
        <f>IF('Raw Data'!S51="",ROUND(AVERAGE('Raw Data'!$S$2:$S$1501),0),'Raw Data'!S51)</f>
        <v>8</v>
      </c>
      <c r="T51" s="21">
        <f>'Raw Data'!T51</f>
        <v>203.97</v>
      </c>
      <c r="U51" s="21" t="str">
        <f>INDEX('Lookup Tables'!$C$7:$C$9,MATCH(E51,'Lookup Tables'!$B$7:$B$9,0))</f>
        <v>Tier 1 (Metro)</v>
      </c>
      <c r="V51" s="21" t="str">
        <f t="shared" si="0"/>
        <v>25+ months</v>
      </c>
      <c r="W51" s="21" t="str">
        <f t="shared" si="1"/>
        <v>Low Risk</v>
      </c>
      <c r="X51" s="21" t="str">
        <f t="shared" si="2"/>
        <v>No</v>
      </c>
    </row>
    <row r="52" spans="1:24" x14ac:dyDescent="0.3">
      <c r="A52" s="21">
        <f>'Raw Data'!A52</f>
        <v>50051</v>
      </c>
      <c r="B52" s="21">
        <f>'Raw Data'!B52</f>
        <v>0</v>
      </c>
      <c r="C52" s="21">
        <f>'Raw Data'!C52</f>
        <v>6</v>
      </c>
      <c r="D52" s="21" t="str">
        <f>'Raw Data'!D52</f>
        <v>Mobile Phone</v>
      </c>
      <c r="E52" s="21">
        <f>'Raw Data'!E52</f>
        <v>2</v>
      </c>
      <c r="F52" s="21">
        <f>IF('Raw Data'!F52="",ROUND(AVERAGE('Raw Data'!$F$2:$F$1501),1),'Raw Data'!F52)</f>
        <v>24</v>
      </c>
      <c r="G52" s="21" t="str">
        <f>'Raw Data'!G52</f>
        <v>Debit Card</v>
      </c>
      <c r="H52" s="21" t="str">
        <f>'Raw Data'!H52</f>
        <v>Male</v>
      </c>
      <c r="I52" s="21">
        <f>IF('Raw Data'!I52="",ROUND(AVERAGE('Raw Data'!$I$2:$I$1501),1),'Raw Data'!I52)</f>
        <v>2.9</v>
      </c>
      <c r="J52" s="21">
        <f>'Raw Data'!J52</f>
        <v>3</v>
      </c>
      <c r="K52" s="21" t="str">
        <f>'Raw Data'!K52</f>
        <v>Laptop &amp; Accessory</v>
      </c>
      <c r="L52" s="21">
        <f>'Raw Data'!L52</f>
        <v>4</v>
      </c>
      <c r="M52" s="21" t="str">
        <f>'Raw Data'!M52</f>
        <v>Married</v>
      </c>
      <c r="N52" s="21">
        <f>'Raw Data'!N52</f>
        <v>2</v>
      </c>
      <c r="O52" s="21">
        <f>'Raw Data'!O52</f>
        <v>0</v>
      </c>
      <c r="P52" s="21">
        <f>IF('Raw Data'!P52="",ROUND(AVERAGE('Raw Data'!$P$2:$P$1501),1),'Raw Data'!P52)</f>
        <v>11.4</v>
      </c>
      <c r="Q52" s="21">
        <f>IF('Raw Data'!Q52="",ROUND(AVERAGE('Raw Data'!$Q$2:$Q$1501),0),'Raw Data'!Q52)</f>
        <v>0</v>
      </c>
      <c r="R52" s="21">
        <f>'Raw Data'!R52</f>
        <v>4</v>
      </c>
      <c r="S52" s="21">
        <f>IF('Raw Data'!S52="",ROUND(AVERAGE('Raw Data'!$S$2:$S$1501),0),'Raw Data'!S52)</f>
        <v>2</v>
      </c>
      <c r="T52" s="21">
        <f>'Raw Data'!T52</f>
        <v>110.23</v>
      </c>
      <c r="U52" s="21" t="str">
        <f>INDEX('Lookup Tables'!$C$7:$C$9,MATCH(E52,'Lookup Tables'!$B$7:$B$9,0))</f>
        <v>Tier 2 (Urban)</v>
      </c>
      <c r="V52" s="21" t="str">
        <f t="shared" si="0"/>
        <v>0-6 months</v>
      </c>
      <c r="W52" s="21" t="str">
        <f t="shared" si="1"/>
        <v>Low Risk</v>
      </c>
      <c r="X52" s="21" t="str">
        <f t="shared" si="2"/>
        <v>No</v>
      </c>
    </row>
    <row r="53" spans="1:24" x14ac:dyDescent="0.3">
      <c r="A53" s="21">
        <f>'Raw Data'!A53</f>
        <v>50052</v>
      </c>
      <c r="B53" s="21">
        <f>'Raw Data'!B53</f>
        <v>0</v>
      </c>
      <c r="C53" s="21">
        <f>'Raw Data'!C53</f>
        <v>9</v>
      </c>
      <c r="D53" s="21" t="str">
        <f>'Raw Data'!D53</f>
        <v>Computer</v>
      </c>
      <c r="E53" s="21">
        <f>'Raw Data'!E53</f>
        <v>1</v>
      </c>
      <c r="F53" s="21">
        <f>IF('Raw Data'!F53="",ROUND(AVERAGE('Raw Data'!$F$2:$F$1501),1),'Raw Data'!F53)</f>
        <v>12</v>
      </c>
      <c r="G53" s="21" t="str">
        <f>'Raw Data'!G53</f>
        <v>Debit Card</v>
      </c>
      <c r="H53" s="21" t="str">
        <f>'Raw Data'!H53</f>
        <v>Male</v>
      </c>
      <c r="I53" s="21">
        <f>IF('Raw Data'!I53="",ROUND(AVERAGE('Raw Data'!$I$2:$I$1501),1),'Raw Data'!I53)</f>
        <v>4.7</v>
      </c>
      <c r="J53" s="21">
        <f>'Raw Data'!J53</f>
        <v>3</v>
      </c>
      <c r="K53" s="21" t="str">
        <f>'Raw Data'!K53</f>
        <v>Laptop &amp; Accessory</v>
      </c>
      <c r="L53" s="21">
        <f>'Raw Data'!L53</f>
        <v>2</v>
      </c>
      <c r="M53" s="21" t="str">
        <f>'Raw Data'!M53</f>
        <v>Divorced</v>
      </c>
      <c r="N53" s="21">
        <f>'Raw Data'!N53</f>
        <v>2</v>
      </c>
      <c r="O53" s="21">
        <f>'Raw Data'!O53</f>
        <v>0</v>
      </c>
      <c r="P53" s="21">
        <f>IF('Raw Data'!P53="",ROUND(AVERAGE('Raw Data'!$P$2:$P$1501),1),'Raw Data'!P53)</f>
        <v>17.7</v>
      </c>
      <c r="Q53" s="21">
        <f>IF('Raw Data'!Q53="",ROUND(AVERAGE('Raw Data'!$Q$2:$Q$1501),0),'Raw Data'!Q53)</f>
        <v>4</v>
      </c>
      <c r="R53" s="21">
        <f>'Raw Data'!R53</f>
        <v>3</v>
      </c>
      <c r="S53" s="21">
        <f>IF('Raw Data'!S53="",ROUND(AVERAGE('Raw Data'!$S$2:$S$1501),0),'Raw Data'!S53)</f>
        <v>5</v>
      </c>
      <c r="T53" s="21">
        <f>'Raw Data'!T53</f>
        <v>128.43</v>
      </c>
      <c r="U53" s="21" t="str">
        <f>INDEX('Lookup Tables'!$C$7:$C$9,MATCH(E53,'Lookup Tables'!$B$7:$B$9,0))</f>
        <v>Tier 1 (Metro)</v>
      </c>
      <c r="V53" s="21" t="str">
        <f t="shared" si="0"/>
        <v>7-12 months</v>
      </c>
      <c r="W53" s="21" t="str">
        <f t="shared" si="1"/>
        <v>Low Risk</v>
      </c>
      <c r="X53" s="21" t="str">
        <f t="shared" si="2"/>
        <v>No</v>
      </c>
    </row>
    <row r="54" spans="1:24" x14ac:dyDescent="0.3">
      <c r="A54" s="21">
        <f>'Raw Data'!A54</f>
        <v>50053</v>
      </c>
      <c r="B54" s="21">
        <f>'Raw Data'!B54</f>
        <v>1</v>
      </c>
      <c r="C54" s="21">
        <f>'Raw Data'!C54</f>
        <v>0</v>
      </c>
      <c r="D54" s="21" t="str">
        <f>'Raw Data'!D54</f>
        <v>Computer</v>
      </c>
      <c r="E54" s="21">
        <f>'Raw Data'!E54</f>
        <v>2</v>
      </c>
      <c r="F54" s="21">
        <f>IF('Raw Data'!F54="",ROUND(AVERAGE('Raw Data'!$F$2:$F$1501),1),'Raw Data'!F54)</f>
        <v>18</v>
      </c>
      <c r="G54" s="21" t="str">
        <f>'Raw Data'!G54</f>
        <v>E wallet</v>
      </c>
      <c r="H54" s="21" t="str">
        <f>'Raw Data'!H54</f>
        <v>Male</v>
      </c>
      <c r="I54" s="21">
        <f>IF('Raw Data'!I54="",ROUND(AVERAGE('Raw Data'!$I$2:$I$1501),1),'Raw Data'!I54)</f>
        <v>3.7</v>
      </c>
      <c r="J54" s="21">
        <f>'Raw Data'!J54</f>
        <v>2</v>
      </c>
      <c r="K54" s="21" t="str">
        <f>'Raw Data'!K54</f>
        <v>Others</v>
      </c>
      <c r="L54" s="21">
        <f>'Raw Data'!L54</f>
        <v>1</v>
      </c>
      <c r="M54" s="21" t="str">
        <f>'Raw Data'!M54</f>
        <v>Married</v>
      </c>
      <c r="N54" s="21">
        <f>'Raw Data'!N54</f>
        <v>6</v>
      </c>
      <c r="O54" s="21">
        <f>'Raw Data'!O54</f>
        <v>0</v>
      </c>
      <c r="P54" s="21">
        <f>IF('Raw Data'!P54="",ROUND(AVERAGE('Raw Data'!$P$2:$P$1501),1),'Raw Data'!P54)</f>
        <v>19.899999999999999</v>
      </c>
      <c r="Q54" s="21">
        <f>IF('Raw Data'!Q54="",ROUND(AVERAGE('Raw Data'!$Q$2:$Q$1501),0),'Raw Data'!Q54)</f>
        <v>3</v>
      </c>
      <c r="R54" s="21">
        <f>'Raw Data'!R54</f>
        <v>3</v>
      </c>
      <c r="S54" s="21">
        <f>IF('Raw Data'!S54="",ROUND(AVERAGE('Raw Data'!$S$2:$S$1501),0),'Raw Data'!S54)</f>
        <v>4</v>
      </c>
      <c r="T54" s="21">
        <f>'Raw Data'!T54</f>
        <v>219.86</v>
      </c>
      <c r="U54" s="21" t="str">
        <f>INDEX('Lookup Tables'!$C$7:$C$9,MATCH(E54,'Lookup Tables'!$B$7:$B$9,0))</f>
        <v>Tier 2 (Urban)</v>
      </c>
      <c r="V54" s="21" t="str">
        <f t="shared" si="0"/>
        <v>0-6 months</v>
      </c>
      <c r="W54" s="21" t="str">
        <f t="shared" si="1"/>
        <v>Low Risk</v>
      </c>
      <c r="X54" s="21" t="str">
        <f t="shared" si="2"/>
        <v>Yes</v>
      </c>
    </row>
    <row r="55" spans="1:24" x14ac:dyDescent="0.3">
      <c r="A55" s="21">
        <f>'Raw Data'!A55</f>
        <v>50054</v>
      </c>
      <c r="B55" s="21">
        <f>'Raw Data'!B55</f>
        <v>0</v>
      </c>
      <c r="C55" s="21">
        <f>'Raw Data'!C55</f>
        <v>13</v>
      </c>
      <c r="D55" s="21" t="str">
        <f>'Raw Data'!D55</f>
        <v>Phone</v>
      </c>
      <c r="E55" s="21">
        <f>'Raw Data'!E55</f>
        <v>3</v>
      </c>
      <c r="F55" s="21">
        <f>IF('Raw Data'!F55="",ROUND(AVERAGE('Raw Data'!$F$2:$F$1501),1),'Raw Data'!F55)</f>
        <v>24</v>
      </c>
      <c r="G55" s="21" t="str">
        <f>'Raw Data'!G55</f>
        <v>UPI</v>
      </c>
      <c r="H55" s="21" t="str">
        <f>'Raw Data'!H55</f>
        <v>Male</v>
      </c>
      <c r="I55" s="21">
        <f>IF('Raw Data'!I55="",ROUND(AVERAGE('Raw Data'!$I$2:$I$1501),1),'Raw Data'!I55)</f>
        <v>3.7</v>
      </c>
      <c r="J55" s="21">
        <f>'Raw Data'!J55</f>
        <v>3</v>
      </c>
      <c r="K55" s="21" t="str">
        <f>'Raw Data'!K55</f>
        <v>Laptop &amp; Accessory</v>
      </c>
      <c r="L55" s="21">
        <f>'Raw Data'!L55</f>
        <v>4</v>
      </c>
      <c r="M55" s="21" t="str">
        <f>'Raw Data'!M55</f>
        <v>Single</v>
      </c>
      <c r="N55" s="21">
        <f>'Raw Data'!N55</f>
        <v>1</v>
      </c>
      <c r="O55" s="21">
        <f>'Raw Data'!O55</f>
        <v>1</v>
      </c>
      <c r="P55" s="21">
        <f>IF('Raw Data'!P55="",ROUND(AVERAGE('Raw Data'!$P$2:$P$1501),1),'Raw Data'!P55)</f>
        <v>15.7</v>
      </c>
      <c r="Q55" s="21">
        <f>IF('Raw Data'!Q55="",ROUND(AVERAGE('Raw Data'!$Q$2:$Q$1501),0),'Raw Data'!Q55)</f>
        <v>2</v>
      </c>
      <c r="R55" s="21">
        <f>'Raw Data'!R55</f>
        <v>2</v>
      </c>
      <c r="S55" s="21">
        <f>IF('Raw Data'!S55="",ROUND(AVERAGE('Raw Data'!$S$2:$S$1501),0),'Raw Data'!S55)</f>
        <v>11</v>
      </c>
      <c r="T55" s="21">
        <f>'Raw Data'!T55</f>
        <v>207.95</v>
      </c>
      <c r="U55" s="21" t="str">
        <f>INDEX('Lookup Tables'!$C$7:$C$9,MATCH(E55,'Lookup Tables'!$B$7:$B$9,0))</f>
        <v>Tier 3 (Semi-urban/Rural)</v>
      </c>
      <c r="V55" s="21" t="str">
        <f t="shared" si="0"/>
        <v>13-24 months</v>
      </c>
      <c r="W55" s="21" t="str">
        <f t="shared" si="1"/>
        <v>Low Risk</v>
      </c>
      <c r="X55" s="21" t="str">
        <f t="shared" si="2"/>
        <v>No</v>
      </c>
    </row>
    <row r="56" spans="1:24" x14ac:dyDescent="0.3">
      <c r="A56" s="21">
        <f>'Raw Data'!A56</f>
        <v>50055</v>
      </c>
      <c r="B56" s="21">
        <f>'Raw Data'!B56</f>
        <v>0</v>
      </c>
      <c r="C56" s="21">
        <f>'Raw Data'!C56</f>
        <v>2</v>
      </c>
      <c r="D56" s="21" t="str">
        <f>'Raw Data'!D56</f>
        <v>Phone</v>
      </c>
      <c r="E56" s="21">
        <f>'Raw Data'!E56</f>
        <v>2</v>
      </c>
      <c r="F56" s="21">
        <f>IF('Raw Data'!F56="",ROUND(AVERAGE('Raw Data'!$F$2:$F$1501),1),'Raw Data'!F56)</f>
        <v>5</v>
      </c>
      <c r="G56" s="21" t="str">
        <f>'Raw Data'!G56</f>
        <v>Debit Card</v>
      </c>
      <c r="H56" s="21" t="str">
        <f>'Raw Data'!H56</f>
        <v>Male</v>
      </c>
      <c r="I56" s="21">
        <f>IF('Raw Data'!I56="",ROUND(AVERAGE('Raw Data'!$I$2:$I$1501),1),'Raw Data'!I56)</f>
        <v>3.2</v>
      </c>
      <c r="J56" s="21">
        <f>'Raw Data'!J56</f>
        <v>4</v>
      </c>
      <c r="K56" s="21" t="str">
        <f>'Raw Data'!K56</f>
        <v>Fashion</v>
      </c>
      <c r="L56" s="21">
        <f>'Raw Data'!L56</f>
        <v>3</v>
      </c>
      <c r="M56" s="21" t="str">
        <f>'Raw Data'!M56</f>
        <v>Married</v>
      </c>
      <c r="N56" s="21">
        <f>'Raw Data'!N56</f>
        <v>7</v>
      </c>
      <c r="O56" s="21">
        <f>'Raw Data'!O56</f>
        <v>0</v>
      </c>
      <c r="P56" s="21">
        <f>IF('Raw Data'!P56="",ROUND(AVERAGE('Raw Data'!$P$2:$P$1501),1),'Raw Data'!P56)</f>
        <v>14.4</v>
      </c>
      <c r="Q56" s="21">
        <f>IF('Raw Data'!Q56="",ROUND(AVERAGE('Raw Data'!$Q$2:$Q$1501),0),'Raw Data'!Q56)</f>
        <v>0</v>
      </c>
      <c r="R56" s="21">
        <f>'Raw Data'!R56</f>
        <v>1</v>
      </c>
      <c r="S56" s="21">
        <f>IF('Raw Data'!S56="",ROUND(AVERAGE('Raw Data'!$S$2:$S$1501),0),'Raw Data'!S56)</f>
        <v>0</v>
      </c>
      <c r="T56" s="21">
        <f>'Raw Data'!T56</f>
        <v>228.79</v>
      </c>
      <c r="U56" s="21" t="str">
        <f>INDEX('Lookup Tables'!$C$7:$C$9,MATCH(E56,'Lookup Tables'!$B$7:$B$9,0))</f>
        <v>Tier 2 (Urban)</v>
      </c>
      <c r="V56" s="21" t="str">
        <f t="shared" si="0"/>
        <v>0-6 months</v>
      </c>
      <c r="W56" s="21" t="str">
        <f t="shared" si="1"/>
        <v>Medium Risk</v>
      </c>
      <c r="X56" s="21" t="str">
        <f t="shared" si="2"/>
        <v>No</v>
      </c>
    </row>
    <row r="57" spans="1:24" x14ac:dyDescent="0.3">
      <c r="A57" s="21">
        <f>'Raw Data'!A57</f>
        <v>50056</v>
      </c>
      <c r="B57" s="21">
        <f>'Raw Data'!B57</f>
        <v>0</v>
      </c>
      <c r="C57" s="21">
        <f>'Raw Data'!C57</f>
        <v>22</v>
      </c>
      <c r="D57" s="21" t="str">
        <f>'Raw Data'!D57</f>
        <v>Computer</v>
      </c>
      <c r="E57" s="21">
        <f>'Raw Data'!E57</f>
        <v>3</v>
      </c>
      <c r="F57" s="21">
        <f>IF('Raw Data'!F57="",ROUND(AVERAGE('Raw Data'!$F$2:$F$1501),1),'Raw Data'!F57)</f>
        <v>9</v>
      </c>
      <c r="G57" s="21" t="str">
        <f>'Raw Data'!G57</f>
        <v>UPI</v>
      </c>
      <c r="H57" s="21" t="str">
        <f>'Raw Data'!H57</f>
        <v>Male</v>
      </c>
      <c r="I57" s="21">
        <f>IF('Raw Data'!I57="",ROUND(AVERAGE('Raw Data'!$I$2:$I$1501),1),'Raw Data'!I57)</f>
        <v>2.9</v>
      </c>
      <c r="J57" s="21">
        <f>'Raw Data'!J57</f>
        <v>3</v>
      </c>
      <c r="K57" s="21" t="str">
        <f>'Raw Data'!K57</f>
        <v>Mobile Phone</v>
      </c>
      <c r="L57" s="21">
        <f>'Raw Data'!L57</f>
        <v>3</v>
      </c>
      <c r="M57" s="21" t="str">
        <f>'Raw Data'!M57</f>
        <v>Single</v>
      </c>
      <c r="N57" s="21">
        <f>'Raw Data'!N57</f>
        <v>6</v>
      </c>
      <c r="O57" s="21">
        <f>'Raw Data'!O57</f>
        <v>1</v>
      </c>
      <c r="P57" s="21">
        <f>IF('Raw Data'!P57="",ROUND(AVERAGE('Raw Data'!$P$2:$P$1501),1),'Raw Data'!P57)</f>
        <v>16.5</v>
      </c>
      <c r="Q57" s="21">
        <f>IF('Raw Data'!Q57="",ROUND(AVERAGE('Raw Data'!$Q$2:$Q$1501),0),'Raw Data'!Q57)</f>
        <v>2</v>
      </c>
      <c r="R57" s="21">
        <f>'Raw Data'!R57</f>
        <v>7</v>
      </c>
      <c r="S57" s="21">
        <f>IF('Raw Data'!S57="",ROUND(AVERAGE('Raw Data'!$S$2:$S$1501),0),'Raw Data'!S57)</f>
        <v>8</v>
      </c>
      <c r="T57" s="21">
        <f>'Raw Data'!T57</f>
        <v>255.23</v>
      </c>
      <c r="U57" s="21" t="str">
        <f>INDEX('Lookup Tables'!$C$7:$C$9,MATCH(E57,'Lookup Tables'!$B$7:$B$9,0))</f>
        <v>Tier 3 (Semi-urban/Rural)</v>
      </c>
      <c r="V57" s="21" t="str">
        <f t="shared" si="0"/>
        <v>13-24 months</v>
      </c>
      <c r="W57" s="21" t="str">
        <f t="shared" si="1"/>
        <v>Medium Risk</v>
      </c>
      <c r="X57" s="21" t="str">
        <f t="shared" si="2"/>
        <v>No</v>
      </c>
    </row>
    <row r="58" spans="1:24" x14ac:dyDescent="0.3">
      <c r="A58" s="21">
        <f>'Raw Data'!A58</f>
        <v>50057</v>
      </c>
      <c r="B58" s="21">
        <f>'Raw Data'!B58</f>
        <v>0</v>
      </c>
      <c r="C58" s="21">
        <f>'Raw Data'!C58</f>
        <v>2</v>
      </c>
      <c r="D58" s="21" t="str">
        <f>'Raw Data'!D58</f>
        <v>Mobile Phone</v>
      </c>
      <c r="E58" s="21">
        <f>'Raw Data'!E58</f>
        <v>3</v>
      </c>
      <c r="F58" s="21">
        <f>IF('Raw Data'!F58="",ROUND(AVERAGE('Raw Data'!$F$2:$F$1501),1),'Raw Data'!F58)</f>
        <v>12</v>
      </c>
      <c r="G58" s="21" t="str">
        <f>'Raw Data'!G58</f>
        <v>UPI</v>
      </c>
      <c r="H58" s="21" t="str">
        <f>'Raw Data'!H58</f>
        <v>Female</v>
      </c>
      <c r="I58" s="21">
        <f>IF('Raw Data'!I58="",ROUND(AVERAGE('Raw Data'!$I$2:$I$1501),1),'Raw Data'!I58)</f>
        <v>1.2</v>
      </c>
      <c r="J58" s="21">
        <f>'Raw Data'!J58</f>
        <v>1</v>
      </c>
      <c r="K58" s="21" t="str">
        <f>'Raw Data'!K58</f>
        <v>Fashion</v>
      </c>
      <c r="L58" s="21">
        <f>'Raw Data'!L58</f>
        <v>2</v>
      </c>
      <c r="M58" s="21" t="str">
        <f>'Raw Data'!M58</f>
        <v>Single</v>
      </c>
      <c r="N58" s="21">
        <f>'Raw Data'!N58</f>
        <v>2</v>
      </c>
      <c r="O58" s="21">
        <f>'Raw Data'!O58</f>
        <v>0</v>
      </c>
      <c r="P58" s="21">
        <f>IF('Raw Data'!P58="",ROUND(AVERAGE('Raw Data'!$P$2:$P$1501),1),'Raw Data'!P58)</f>
        <v>16.2</v>
      </c>
      <c r="Q58" s="21">
        <f>IF('Raw Data'!Q58="",ROUND(AVERAGE('Raw Data'!$Q$2:$Q$1501),0),'Raw Data'!Q58)</f>
        <v>0</v>
      </c>
      <c r="R58" s="21">
        <f>'Raw Data'!R58</f>
        <v>2</v>
      </c>
      <c r="S58" s="21">
        <f>IF('Raw Data'!S58="",ROUND(AVERAGE('Raw Data'!$S$2:$S$1501),0),'Raw Data'!S58)</f>
        <v>4</v>
      </c>
      <c r="T58" s="21">
        <f>'Raw Data'!T58</f>
        <v>209.58</v>
      </c>
      <c r="U58" s="21" t="str">
        <f>INDEX('Lookup Tables'!$C$7:$C$9,MATCH(E58,'Lookup Tables'!$B$7:$B$9,0))</f>
        <v>Tier 3 (Semi-urban/Rural)</v>
      </c>
      <c r="V58" s="21" t="str">
        <f t="shared" si="0"/>
        <v>0-6 months</v>
      </c>
      <c r="W58" s="21" t="str">
        <f t="shared" si="1"/>
        <v>Low Risk</v>
      </c>
      <c r="X58" s="21" t="str">
        <f t="shared" si="2"/>
        <v>No</v>
      </c>
    </row>
    <row r="59" spans="1:24" x14ac:dyDescent="0.3">
      <c r="A59" s="21">
        <f>'Raw Data'!A59</f>
        <v>50058</v>
      </c>
      <c r="B59" s="21">
        <f>'Raw Data'!B59</f>
        <v>1</v>
      </c>
      <c r="C59" s="21">
        <f>'Raw Data'!C59</f>
        <v>2</v>
      </c>
      <c r="D59" s="21" t="str">
        <f>'Raw Data'!D59</f>
        <v>Computer</v>
      </c>
      <c r="E59" s="21">
        <f>'Raw Data'!E59</f>
        <v>1</v>
      </c>
      <c r="F59" s="21">
        <f>IF('Raw Data'!F59="",ROUND(AVERAGE('Raw Data'!$F$2:$F$1501),1),'Raw Data'!F59)</f>
        <v>8</v>
      </c>
      <c r="G59" s="21" t="str">
        <f>'Raw Data'!G59</f>
        <v>Cash on Delivery</v>
      </c>
      <c r="H59" s="21" t="str">
        <f>'Raw Data'!H59</f>
        <v>Male</v>
      </c>
      <c r="I59" s="21">
        <f>IF('Raw Data'!I59="",ROUND(AVERAGE('Raw Data'!$I$2:$I$1501),1),'Raw Data'!I59)</f>
        <v>2.4</v>
      </c>
      <c r="J59" s="21">
        <f>'Raw Data'!J59</f>
        <v>4</v>
      </c>
      <c r="K59" s="21" t="str">
        <f>'Raw Data'!K59</f>
        <v>Mobile Phone</v>
      </c>
      <c r="L59" s="21">
        <f>'Raw Data'!L59</f>
        <v>1</v>
      </c>
      <c r="M59" s="21" t="str">
        <f>'Raw Data'!M59</f>
        <v>Single</v>
      </c>
      <c r="N59" s="21">
        <f>'Raw Data'!N59</f>
        <v>2</v>
      </c>
      <c r="O59" s="21">
        <f>'Raw Data'!O59</f>
        <v>0</v>
      </c>
      <c r="P59" s="21">
        <f>IF('Raw Data'!P59="",ROUND(AVERAGE('Raw Data'!$P$2:$P$1501),1),'Raw Data'!P59)</f>
        <v>16.899999999999999</v>
      </c>
      <c r="Q59" s="21">
        <f>IF('Raw Data'!Q59="",ROUND(AVERAGE('Raw Data'!$Q$2:$Q$1501),0),'Raw Data'!Q59)</f>
        <v>1</v>
      </c>
      <c r="R59" s="21">
        <f>'Raw Data'!R59</f>
        <v>5</v>
      </c>
      <c r="S59" s="21">
        <f>IF('Raw Data'!S59="",ROUND(AVERAGE('Raw Data'!$S$2:$S$1501),0),'Raw Data'!S59)</f>
        <v>2</v>
      </c>
      <c r="T59" s="21">
        <f>'Raw Data'!T59</f>
        <v>157.19</v>
      </c>
      <c r="U59" s="21" t="str">
        <f>INDEX('Lookup Tables'!$C$7:$C$9,MATCH(E59,'Lookup Tables'!$B$7:$B$9,0))</f>
        <v>Tier 1 (Metro)</v>
      </c>
      <c r="V59" s="21" t="str">
        <f t="shared" si="0"/>
        <v>0-6 months</v>
      </c>
      <c r="W59" s="21" t="str">
        <f t="shared" si="1"/>
        <v>Low Risk</v>
      </c>
      <c r="X59" s="21" t="str">
        <f t="shared" si="2"/>
        <v>Yes</v>
      </c>
    </row>
    <row r="60" spans="1:24" x14ac:dyDescent="0.3">
      <c r="A60" s="21">
        <f>'Raw Data'!A60</f>
        <v>50059</v>
      </c>
      <c r="B60" s="21">
        <f>'Raw Data'!B60</f>
        <v>0</v>
      </c>
      <c r="C60" s="21">
        <f>'Raw Data'!C60</f>
        <v>0</v>
      </c>
      <c r="D60" s="21" t="str">
        <f>'Raw Data'!D60</f>
        <v>Mobile Phone</v>
      </c>
      <c r="E60" s="21">
        <f>'Raw Data'!E60</f>
        <v>3</v>
      </c>
      <c r="F60" s="21">
        <f>IF('Raw Data'!F60="",ROUND(AVERAGE('Raw Data'!$F$2:$F$1501),1),'Raw Data'!F60)</f>
        <v>28</v>
      </c>
      <c r="G60" s="21" t="str">
        <f>'Raw Data'!G60</f>
        <v>Debit Card</v>
      </c>
      <c r="H60" s="21" t="str">
        <f>'Raw Data'!H60</f>
        <v>Male</v>
      </c>
      <c r="I60" s="21">
        <f>IF('Raw Data'!I60="",ROUND(AVERAGE('Raw Data'!$I$2:$I$1501),1),'Raw Data'!I60)</f>
        <v>2.6</v>
      </c>
      <c r="J60" s="21">
        <f>'Raw Data'!J60</f>
        <v>3</v>
      </c>
      <c r="K60" s="21" t="str">
        <f>'Raw Data'!K60</f>
        <v>Laptop &amp; Accessory</v>
      </c>
      <c r="L60" s="21">
        <f>'Raw Data'!L60</f>
        <v>3</v>
      </c>
      <c r="M60" s="21" t="str">
        <f>'Raw Data'!M60</f>
        <v>Married</v>
      </c>
      <c r="N60" s="21">
        <f>'Raw Data'!N60</f>
        <v>1</v>
      </c>
      <c r="O60" s="21">
        <f>'Raw Data'!O60</f>
        <v>1</v>
      </c>
      <c r="P60" s="21">
        <f>IF('Raw Data'!P60="",ROUND(AVERAGE('Raw Data'!$P$2:$P$1501),1),'Raw Data'!P60)</f>
        <v>11</v>
      </c>
      <c r="Q60" s="21">
        <f>IF('Raw Data'!Q60="",ROUND(AVERAGE('Raw Data'!$Q$2:$Q$1501),0),'Raw Data'!Q60)</f>
        <v>1</v>
      </c>
      <c r="R60" s="21">
        <f>'Raw Data'!R60</f>
        <v>5</v>
      </c>
      <c r="S60" s="21">
        <f>IF('Raw Data'!S60="",ROUND(AVERAGE('Raw Data'!$S$2:$S$1501),0),'Raw Data'!S60)</f>
        <v>1</v>
      </c>
      <c r="T60" s="21">
        <f>'Raw Data'!T60</f>
        <v>186.32</v>
      </c>
      <c r="U60" s="21" t="str">
        <f>INDEX('Lookup Tables'!$C$7:$C$9,MATCH(E60,'Lookup Tables'!$B$7:$B$9,0))</f>
        <v>Tier 3 (Semi-urban/Rural)</v>
      </c>
      <c r="V60" s="21" t="str">
        <f t="shared" si="0"/>
        <v>0-6 months</v>
      </c>
      <c r="W60" s="21" t="str">
        <f t="shared" si="1"/>
        <v>Medium Risk</v>
      </c>
      <c r="X60" s="21" t="str">
        <f t="shared" si="2"/>
        <v>No</v>
      </c>
    </row>
    <row r="61" spans="1:24" x14ac:dyDescent="0.3">
      <c r="A61" s="21">
        <f>'Raw Data'!A61</f>
        <v>50060</v>
      </c>
      <c r="B61" s="21">
        <f>'Raw Data'!B61</f>
        <v>0</v>
      </c>
      <c r="C61" s="21">
        <f>'Raw Data'!C61</f>
        <v>6</v>
      </c>
      <c r="D61" s="21" t="str">
        <f>'Raw Data'!D61</f>
        <v>Computer</v>
      </c>
      <c r="E61" s="21">
        <f>'Raw Data'!E61</f>
        <v>1</v>
      </c>
      <c r="F61" s="21">
        <f>IF('Raw Data'!F61="",ROUND(AVERAGE('Raw Data'!$F$2:$F$1501),1),'Raw Data'!F61)</f>
        <v>8</v>
      </c>
      <c r="G61" s="21" t="str">
        <f>'Raw Data'!G61</f>
        <v>Cash on Delivery</v>
      </c>
      <c r="H61" s="21" t="str">
        <f>'Raw Data'!H61</f>
        <v>Male</v>
      </c>
      <c r="I61" s="21">
        <f>IF('Raw Data'!I61="",ROUND(AVERAGE('Raw Data'!$I$2:$I$1501),1),'Raw Data'!I61)</f>
        <v>1.6</v>
      </c>
      <c r="J61" s="21">
        <f>'Raw Data'!J61</f>
        <v>3</v>
      </c>
      <c r="K61" s="21" t="str">
        <f>'Raw Data'!K61</f>
        <v>Grocery</v>
      </c>
      <c r="L61" s="21">
        <f>'Raw Data'!L61</f>
        <v>4</v>
      </c>
      <c r="M61" s="21" t="str">
        <f>'Raw Data'!M61</f>
        <v>Single</v>
      </c>
      <c r="N61" s="21">
        <f>'Raw Data'!N61</f>
        <v>18</v>
      </c>
      <c r="O61" s="21">
        <f>'Raw Data'!O61</f>
        <v>1</v>
      </c>
      <c r="P61" s="21">
        <f>IF('Raw Data'!P61="",ROUND(AVERAGE('Raw Data'!$P$2:$P$1501),1),'Raw Data'!P61)</f>
        <v>12.3</v>
      </c>
      <c r="Q61" s="21">
        <f>IF('Raw Data'!Q61="",ROUND(AVERAGE('Raw Data'!$Q$2:$Q$1501),0),'Raw Data'!Q61)</f>
        <v>2</v>
      </c>
      <c r="R61" s="21">
        <f>'Raw Data'!R61</f>
        <v>2</v>
      </c>
      <c r="S61" s="21">
        <f>IF('Raw Data'!S61="",ROUND(AVERAGE('Raw Data'!$S$2:$S$1501),0),'Raw Data'!S61)</f>
        <v>6</v>
      </c>
      <c r="T61" s="21">
        <f>'Raw Data'!T61</f>
        <v>271.29000000000002</v>
      </c>
      <c r="U61" s="21" t="str">
        <f>INDEX('Lookup Tables'!$C$7:$C$9,MATCH(E61,'Lookup Tables'!$B$7:$B$9,0))</f>
        <v>Tier 1 (Metro)</v>
      </c>
      <c r="V61" s="21" t="str">
        <f t="shared" si="0"/>
        <v>0-6 months</v>
      </c>
      <c r="W61" s="21" t="str">
        <f t="shared" si="1"/>
        <v>Low Risk</v>
      </c>
      <c r="X61" s="21" t="str">
        <f t="shared" si="2"/>
        <v>No</v>
      </c>
    </row>
    <row r="62" spans="1:24" x14ac:dyDescent="0.3">
      <c r="A62" s="21">
        <f>'Raw Data'!A62</f>
        <v>50061</v>
      </c>
      <c r="B62" s="21">
        <f>'Raw Data'!B62</f>
        <v>0</v>
      </c>
      <c r="C62" s="21">
        <f>'Raw Data'!C62</f>
        <v>8</v>
      </c>
      <c r="D62" s="21" t="str">
        <f>'Raw Data'!D62</f>
        <v>Phone</v>
      </c>
      <c r="E62" s="21">
        <f>'Raw Data'!E62</f>
        <v>2</v>
      </c>
      <c r="F62" s="21">
        <f>IF('Raw Data'!F62="",ROUND(AVERAGE('Raw Data'!$F$2:$F$1501),1),'Raw Data'!F62)</f>
        <v>10</v>
      </c>
      <c r="G62" s="21" t="str">
        <f>'Raw Data'!G62</f>
        <v>Debit Card</v>
      </c>
      <c r="H62" s="21" t="str">
        <f>'Raw Data'!H62</f>
        <v>Female</v>
      </c>
      <c r="I62" s="21">
        <f>IF('Raw Data'!I62="",ROUND(AVERAGE('Raw Data'!$I$2:$I$1501),1),'Raw Data'!I62)</f>
        <v>2.1</v>
      </c>
      <c r="J62" s="21">
        <f>'Raw Data'!J62</f>
        <v>4</v>
      </c>
      <c r="K62" s="21" t="str">
        <f>'Raw Data'!K62</f>
        <v>Mobile Phone</v>
      </c>
      <c r="L62" s="21">
        <f>'Raw Data'!L62</f>
        <v>5</v>
      </c>
      <c r="M62" s="21" t="str">
        <f>'Raw Data'!M62</f>
        <v>Married</v>
      </c>
      <c r="N62" s="21">
        <f>'Raw Data'!N62</f>
        <v>1</v>
      </c>
      <c r="O62" s="21">
        <f>'Raw Data'!O62</f>
        <v>0</v>
      </c>
      <c r="P62" s="21">
        <f>IF('Raw Data'!P62="",ROUND(AVERAGE('Raw Data'!$P$2:$P$1501),1),'Raw Data'!P62)</f>
        <v>13</v>
      </c>
      <c r="Q62" s="21">
        <f>IF('Raw Data'!Q62="",ROUND(AVERAGE('Raw Data'!$Q$2:$Q$1501),0),'Raw Data'!Q62)</f>
        <v>4</v>
      </c>
      <c r="R62" s="21">
        <f>'Raw Data'!R62</f>
        <v>6</v>
      </c>
      <c r="S62" s="21">
        <f>IF('Raw Data'!S62="",ROUND(AVERAGE('Raw Data'!$S$2:$S$1501),0),'Raw Data'!S62)</f>
        <v>5</v>
      </c>
      <c r="T62" s="21">
        <f>'Raw Data'!T62</f>
        <v>325</v>
      </c>
      <c r="U62" s="21" t="str">
        <f>INDEX('Lookup Tables'!$C$7:$C$9,MATCH(E62,'Lookup Tables'!$B$7:$B$9,0))</f>
        <v>Tier 2 (Urban)</v>
      </c>
      <c r="V62" s="21" t="str">
        <f t="shared" si="0"/>
        <v>7-12 months</v>
      </c>
      <c r="W62" s="21" t="str">
        <f t="shared" si="1"/>
        <v>Low Risk</v>
      </c>
      <c r="X62" s="21" t="str">
        <f t="shared" si="2"/>
        <v>No</v>
      </c>
    </row>
    <row r="63" spans="1:24" x14ac:dyDescent="0.3">
      <c r="A63" s="21">
        <f>'Raw Data'!A63</f>
        <v>50062</v>
      </c>
      <c r="B63" s="21">
        <f>'Raw Data'!B63</f>
        <v>0</v>
      </c>
      <c r="C63" s="21">
        <f>'Raw Data'!C63</f>
        <v>0</v>
      </c>
      <c r="D63" s="21" t="str">
        <f>'Raw Data'!D63</f>
        <v>Mobile Phone</v>
      </c>
      <c r="E63" s="21">
        <f>'Raw Data'!E63</f>
        <v>1</v>
      </c>
      <c r="F63" s="21">
        <f>IF('Raw Data'!F63="",ROUND(AVERAGE('Raw Data'!$F$2:$F$1501),1),'Raw Data'!F63)</f>
        <v>16</v>
      </c>
      <c r="G63" s="21" t="str">
        <f>'Raw Data'!G63</f>
        <v>Credit Card</v>
      </c>
      <c r="H63" s="21" t="str">
        <f>'Raw Data'!H63</f>
        <v>Female</v>
      </c>
      <c r="I63" s="21">
        <f>IF('Raw Data'!I63="",ROUND(AVERAGE('Raw Data'!$I$2:$I$1501),1),'Raw Data'!I63)</f>
        <v>1.5</v>
      </c>
      <c r="J63" s="21">
        <f>'Raw Data'!J63</f>
        <v>5</v>
      </c>
      <c r="K63" s="21" t="str">
        <f>'Raw Data'!K63</f>
        <v>Grocery</v>
      </c>
      <c r="L63" s="21">
        <f>'Raw Data'!L63</f>
        <v>5</v>
      </c>
      <c r="M63" s="21" t="str">
        <f>'Raw Data'!M63</f>
        <v>Divorced</v>
      </c>
      <c r="N63" s="21">
        <f>'Raw Data'!N63</f>
        <v>3</v>
      </c>
      <c r="O63" s="21">
        <f>'Raw Data'!O63</f>
        <v>0</v>
      </c>
      <c r="P63" s="21">
        <f>IF('Raw Data'!P63="",ROUND(AVERAGE('Raw Data'!$P$2:$P$1501),1),'Raw Data'!P63)</f>
        <v>16.5</v>
      </c>
      <c r="Q63" s="21">
        <f>IF('Raw Data'!Q63="",ROUND(AVERAGE('Raw Data'!$Q$2:$Q$1501),0),'Raw Data'!Q63)</f>
        <v>0</v>
      </c>
      <c r="R63" s="21">
        <f>'Raw Data'!R63</f>
        <v>3</v>
      </c>
      <c r="S63" s="21">
        <f>IF('Raw Data'!S63="",ROUND(AVERAGE('Raw Data'!$S$2:$S$1501),0),'Raw Data'!S63)</f>
        <v>3</v>
      </c>
      <c r="T63" s="21">
        <f>'Raw Data'!T63</f>
        <v>205.47</v>
      </c>
      <c r="U63" s="21" t="str">
        <f>INDEX('Lookup Tables'!$C$7:$C$9,MATCH(E63,'Lookup Tables'!$B$7:$B$9,0))</f>
        <v>Tier 1 (Metro)</v>
      </c>
      <c r="V63" s="21" t="str">
        <f t="shared" si="0"/>
        <v>0-6 months</v>
      </c>
      <c r="W63" s="21" t="str">
        <f t="shared" si="1"/>
        <v>Low Risk</v>
      </c>
      <c r="X63" s="21" t="str">
        <f t="shared" si="2"/>
        <v>No</v>
      </c>
    </row>
    <row r="64" spans="1:24" x14ac:dyDescent="0.3">
      <c r="A64" s="21">
        <f>'Raw Data'!A64</f>
        <v>50063</v>
      </c>
      <c r="B64" s="21">
        <f>'Raw Data'!B64</f>
        <v>1</v>
      </c>
      <c r="C64" s="21">
        <f>'Raw Data'!C64</f>
        <v>14</v>
      </c>
      <c r="D64" s="21" t="str">
        <f>'Raw Data'!D64</f>
        <v>Computer</v>
      </c>
      <c r="E64" s="21">
        <f>'Raw Data'!E64</f>
        <v>1</v>
      </c>
      <c r="F64" s="21">
        <f>IF('Raw Data'!F64="",ROUND(AVERAGE('Raw Data'!$F$2:$F$1501),1),'Raw Data'!F64)</f>
        <v>5</v>
      </c>
      <c r="G64" s="21" t="str">
        <f>'Raw Data'!G64</f>
        <v>Debit Card</v>
      </c>
      <c r="H64" s="21" t="str">
        <f>'Raw Data'!H64</f>
        <v>Male</v>
      </c>
      <c r="I64" s="21">
        <f>IF('Raw Data'!I64="",ROUND(AVERAGE('Raw Data'!$I$2:$I$1501),1),'Raw Data'!I64)</f>
        <v>2.9</v>
      </c>
      <c r="J64" s="21">
        <f>'Raw Data'!J64</f>
        <v>1</v>
      </c>
      <c r="K64" s="21" t="str">
        <f>'Raw Data'!K64</f>
        <v>Mobile Phone</v>
      </c>
      <c r="L64" s="21">
        <f>'Raw Data'!L64</f>
        <v>5</v>
      </c>
      <c r="M64" s="21" t="str">
        <f>'Raw Data'!M64</f>
        <v>Married</v>
      </c>
      <c r="N64" s="21">
        <f>'Raw Data'!N64</f>
        <v>4</v>
      </c>
      <c r="O64" s="21">
        <f>'Raw Data'!O64</f>
        <v>1</v>
      </c>
      <c r="P64" s="21">
        <f>IF('Raw Data'!P64="",ROUND(AVERAGE('Raw Data'!$P$2:$P$1501),1),'Raw Data'!P64)</f>
        <v>16.7</v>
      </c>
      <c r="Q64" s="21">
        <f>IF('Raw Data'!Q64="",ROUND(AVERAGE('Raw Data'!$Q$2:$Q$1501),0),'Raw Data'!Q64)</f>
        <v>2</v>
      </c>
      <c r="R64" s="21">
        <f>'Raw Data'!R64</f>
        <v>5</v>
      </c>
      <c r="S64" s="21">
        <f>IF('Raw Data'!S64="",ROUND(AVERAGE('Raw Data'!$S$2:$S$1501),0),'Raw Data'!S64)</f>
        <v>5</v>
      </c>
      <c r="T64" s="21">
        <f>'Raw Data'!T64</f>
        <v>209.46</v>
      </c>
      <c r="U64" s="21" t="str">
        <f>INDEX('Lookup Tables'!$C$7:$C$9,MATCH(E64,'Lookup Tables'!$B$7:$B$9,0))</f>
        <v>Tier 1 (Metro)</v>
      </c>
      <c r="V64" s="21" t="str">
        <f t="shared" si="0"/>
        <v>13-24 months</v>
      </c>
      <c r="W64" s="21" t="str">
        <f t="shared" si="1"/>
        <v>Low Risk</v>
      </c>
      <c r="X64" s="21" t="str">
        <f t="shared" si="2"/>
        <v>Yes</v>
      </c>
    </row>
    <row r="65" spans="1:24" x14ac:dyDescent="0.3">
      <c r="A65" s="21">
        <f>'Raw Data'!A65</f>
        <v>50064</v>
      </c>
      <c r="B65" s="21">
        <f>'Raw Data'!B65</f>
        <v>0</v>
      </c>
      <c r="C65" s="21">
        <f>'Raw Data'!C65</f>
        <v>6</v>
      </c>
      <c r="D65" s="21" t="str">
        <f>'Raw Data'!D65</f>
        <v>Mobile Phone</v>
      </c>
      <c r="E65" s="21">
        <f>'Raw Data'!E65</f>
        <v>1</v>
      </c>
      <c r="F65" s="21">
        <f>IF('Raw Data'!F65="",ROUND(AVERAGE('Raw Data'!$F$2:$F$1501),1),'Raw Data'!F65)</f>
        <v>11</v>
      </c>
      <c r="G65" s="21" t="str">
        <f>'Raw Data'!G65</f>
        <v>Debit Card</v>
      </c>
      <c r="H65" s="21" t="str">
        <f>'Raw Data'!H65</f>
        <v>Male</v>
      </c>
      <c r="I65" s="21">
        <f>IF('Raw Data'!I65="",ROUND(AVERAGE('Raw Data'!$I$2:$I$1501),1),'Raw Data'!I65)</f>
        <v>3.5</v>
      </c>
      <c r="J65" s="21">
        <f>'Raw Data'!J65</f>
        <v>4</v>
      </c>
      <c r="K65" s="21" t="str">
        <f>'Raw Data'!K65</f>
        <v>Others</v>
      </c>
      <c r="L65" s="21">
        <f>'Raw Data'!L65</f>
        <v>5</v>
      </c>
      <c r="M65" s="21" t="str">
        <f>'Raw Data'!M65</f>
        <v>Single</v>
      </c>
      <c r="N65" s="21">
        <f>'Raw Data'!N65</f>
        <v>9</v>
      </c>
      <c r="O65" s="21">
        <f>'Raw Data'!O65</f>
        <v>0</v>
      </c>
      <c r="P65" s="21">
        <f>IF('Raw Data'!P65="",ROUND(AVERAGE('Raw Data'!$P$2:$P$1501),1),'Raw Data'!P65)</f>
        <v>18.2</v>
      </c>
      <c r="Q65" s="21">
        <f>IF('Raw Data'!Q65="",ROUND(AVERAGE('Raw Data'!$Q$2:$Q$1501),0),'Raw Data'!Q65)</f>
        <v>2</v>
      </c>
      <c r="R65" s="21">
        <f>'Raw Data'!R65</f>
        <v>2</v>
      </c>
      <c r="S65" s="21">
        <f>IF('Raw Data'!S65="",ROUND(AVERAGE('Raw Data'!$S$2:$S$1501),0),'Raw Data'!S65)</f>
        <v>5</v>
      </c>
      <c r="T65" s="21">
        <f>'Raw Data'!T65</f>
        <v>219.91</v>
      </c>
      <c r="U65" s="21" t="str">
        <f>INDEX('Lookup Tables'!$C$7:$C$9,MATCH(E65,'Lookup Tables'!$B$7:$B$9,0))</f>
        <v>Tier 1 (Metro)</v>
      </c>
      <c r="V65" s="21" t="str">
        <f t="shared" si="0"/>
        <v>0-6 months</v>
      </c>
      <c r="W65" s="21" t="str">
        <f t="shared" si="1"/>
        <v>Low Risk</v>
      </c>
      <c r="X65" s="21" t="str">
        <f t="shared" si="2"/>
        <v>No</v>
      </c>
    </row>
    <row r="66" spans="1:24" x14ac:dyDescent="0.3">
      <c r="A66" s="21">
        <f>'Raw Data'!A66</f>
        <v>50065</v>
      </c>
      <c r="B66" s="21">
        <f>'Raw Data'!B66</f>
        <v>0</v>
      </c>
      <c r="C66" s="21">
        <f>'Raw Data'!C66</f>
        <v>7</v>
      </c>
      <c r="D66" s="21" t="str">
        <f>'Raw Data'!D66</f>
        <v>Mobile Phone</v>
      </c>
      <c r="E66" s="21">
        <f>'Raw Data'!E66</f>
        <v>1</v>
      </c>
      <c r="F66" s="21">
        <f>IF('Raw Data'!F66="",ROUND(AVERAGE('Raw Data'!$F$2:$F$1501),1),'Raw Data'!F66)</f>
        <v>17</v>
      </c>
      <c r="G66" s="21" t="str">
        <f>'Raw Data'!G66</f>
        <v>E wallet</v>
      </c>
      <c r="H66" s="21" t="str">
        <f>'Raw Data'!H66</f>
        <v>Male</v>
      </c>
      <c r="I66" s="21">
        <f>IF('Raw Data'!I66="",ROUND(AVERAGE('Raw Data'!$I$2:$I$1501),1),'Raw Data'!I66)</f>
        <v>2.9</v>
      </c>
      <c r="J66" s="21">
        <f>'Raw Data'!J66</f>
        <v>2</v>
      </c>
      <c r="K66" s="21" t="str">
        <f>'Raw Data'!K66</f>
        <v>Fashion</v>
      </c>
      <c r="L66" s="21">
        <f>'Raw Data'!L66</f>
        <v>3</v>
      </c>
      <c r="M66" s="21" t="str">
        <f>'Raw Data'!M66</f>
        <v>Single</v>
      </c>
      <c r="N66" s="21">
        <f>'Raw Data'!N66</f>
        <v>5</v>
      </c>
      <c r="O66" s="21">
        <f>'Raw Data'!O66</f>
        <v>0</v>
      </c>
      <c r="P66" s="21">
        <f>IF('Raw Data'!P66="",ROUND(AVERAGE('Raw Data'!$P$2:$P$1501),1),'Raw Data'!P66)</f>
        <v>16.899999999999999</v>
      </c>
      <c r="Q66" s="21">
        <f>IF('Raw Data'!Q66="",ROUND(AVERAGE('Raw Data'!$Q$2:$Q$1501),0),'Raw Data'!Q66)</f>
        <v>3</v>
      </c>
      <c r="R66" s="21">
        <f>'Raw Data'!R66</f>
        <v>4</v>
      </c>
      <c r="S66" s="21">
        <f>IF('Raw Data'!S66="",ROUND(AVERAGE('Raw Data'!$S$2:$S$1501),0),'Raw Data'!S66)</f>
        <v>7</v>
      </c>
      <c r="T66" s="21">
        <f>'Raw Data'!T66</f>
        <v>181.31</v>
      </c>
      <c r="U66" s="21" t="str">
        <f>INDEX('Lookup Tables'!$C$7:$C$9,MATCH(E66,'Lookup Tables'!$B$7:$B$9,0))</f>
        <v>Tier 1 (Metro)</v>
      </c>
      <c r="V66" s="21" t="str">
        <f t="shared" ref="V66:V129" si="3">IF(C66&lt;=6,"0-6 months",IF(C66&lt;=12,"7-12 months",IF(C66&lt;=24,"13-24 months","25+ months")))</f>
        <v>7-12 months</v>
      </c>
      <c r="W66" s="21" t="str">
        <f t="shared" ref="W66:W129" si="4">IF(AND(O66=1,L66&lt;=2),"High Risk",IF(OR(L66=3,S66&gt;15),"Medium Risk","Low Risk"))</f>
        <v>Medium Risk</v>
      </c>
      <c r="X66" s="21" t="str">
        <f t="shared" ref="X66:X129" si="5">IF(B66=1,"Yes","No")</f>
        <v>No</v>
      </c>
    </row>
    <row r="67" spans="1:24" x14ac:dyDescent="0.3">
      <c r="A67" s="21">
        <f>'Raw Data'!A67</f>
        <v>50066</v>
      </c>
      <c r="B67" s="21">
        <f>'Raw Data'!B67</f>
        <v>1</v>
      </c>
      <c r="C67" s="21">
        <f>'Raw Data'!C67</f>
        <v>5</v>
      </c>
      <c r="D67" s="21" t="str">
        <f>'Raw Data'!D67</f>
        <v>Mobile Phone</v>
      </c>
      <c r="E67" s="21">
        <f>'Raw Data'!E67</f>
        <v>1</v>
      </c>
      <c r="F67" s="21">
        <f>IF('Raw Data'!F67="",ROUND(AVERAGE('Raw Data'!$F$2:$F$1501),1),'Raw Data'!F67)</f>
        <v>12</v>
      </c>
      <c r="G67" s="21" t="str">
        <f>'Raw Data'!G67</f>
        <v>Credit Card</v>
      </c>
      <c r="H67" s="21" t="str">
        <f>'Raw Data'!H67</f>
        <v>Male</v>
      </c>
      <c r="I67" s="21">
        <f>IF('Raw Data'!I67="",ROUND(AVERAGE('Raw Data'!$I$2:$I$1501),1),'Raw Data'!I67)</f>
        <v>3.2</v>
      </c>
      <c r="J67" s="21">
        <f>'Raw Data'!J67</f>
        <v>4</v>
      </c>
      <c r="K67" s="21" t="str">
        <f>'Raw Data'!K67</f>
        <v>Others</v>
      </c>
      <c r="L67" s="21">
        <f>'Raw Data'!L67</f>
        <v>2</v>
      </c>
      <c r="M67" s="21" t="str">
        <f>'Raw Data'!M67</f>
        <v>Married</v>
      </c>
      <c r="N67" s="21">
        <f>'Raw Data'!N67</f>
        <v>3</v>
      </c>
      <c r="O67" s="21">
        <f>'Raw Data'!O67</f>
        <v>0</v>
      </c>
      <c r="P67" s="21">
        <f>IF('Raw Data'!P67="",ROUND(AVERAGE('Raw Data'!$P$2:$P$1501),1),'Raw Data'!P67)</f>
        <v>11.4</v>
      </c>
      <c r="Q67" s="21">
        <f>IF('Raw Data'!Q67="",ROUND(AVERAGE('Raw Data'!$Q$2:$Q$1501),0),'Raw Data'!Q67)</f>
        <v>2</v>
      </c>
      <c r="R67" s="21">
        <f>'Raw Data'!R67</f>
        <v>9</v>
      </c>
      <c r="S67" s="21">
        <f>IF('Raw Data'!S67="",ROUND(AVERAGE('Raw Data'!$S$2:$S$1501),0),'Raw Data'!S67)</f>
        <v>1</v>
      </c>
      <c r="T67" s="21">
        <f>'Raw Data'!T67</f>
        <v>244.01</v>
      </c>
      <c r="U67" s="21" t="str">
        <f>INDEX('Lookup Tables'!$C$7:$C$9,MATCH(E67,'Lookup Tables'!$B$7:$B$9,0))</f>
        <v>Tier 1 (Metro)</v>
      </c>
      <c r="V67" s="21" t="str">
        <f t="shared" si="3"/>
        <v>0-6 months</v>
      </c>
      <c r="W67" s="21" t="str">
        <f t="shared" si="4"/>
        <v>Low Risk</v>
      </c>
      <c r="X67" s="21" t="str">
        <f t="shared" si="5"/>
        <v>Yes</v>
      </c>
    </row>
    <row r="68" spans="1:24" x14ac:dyDescent="0.3">
      <c r="A68" s="21">
        <f>'Raw Data'!A68</f>
        <v>50067</v>
      </c>
      <c r="B68" s="21">
        <f>'Raw Data'!B68</f>
        <v>1</v>
      </c>
      <c r="C68" s="21">
        <f>'Raw Data'!C68</f>
        <v>5</v>
      </c>
      <c r="D68" s="21" t="str">
        <f>'Raw Data'!D68</f>
        <v>Computer</v>
      </c>
      <c r="E68" s="21">
        <f>'Raw Data'!E68</f>
        <v>2</v>
      </c>
      <c r="F68" s="21">
        <f>IF('Raw Data'!F68="",ROUND(AVERAGE('Raw Data'!$F$2:$F$1501),1),'Raw Data'!F68)</f>
        <v>14</v>
      </c>
      <c r="G68" s="21" t="str">
        <f>'Raw Data'!G68</f>
        <v>Debit Card</v>
      </c>
      <c r="H68" s="21" t="str">
        <f>'Raw Data'!H68</f>
        <v>Male</v>
      </c>
      <c r="I68" s="21">
        <f>IF('Raw Data'!I68="",ROUND(AVERAGE('Raw Data'!$I$2:$I$1501),1),'Raw Data'!I68)</f>
        <v>2.2000000000000002</v>
      </c>
      <c r="J68" s="21">
        <f>'Raw Data'!J68</f>
        <v>3</v>
      </c>
      <c r="K68" s="21" t="str">
        <f>'Raw Data'!K68</f>
        <v>Mobile Phone</v>
      </c>
      <c r="L68" s="21">
        <f>'Raw Data'!L68</f>
        <v>4</v>
      </c>
      <c r="M68" s="21" t="str">
        <f>'Raw Data'!M68</f>
        <v>Divorced</v>
      </c>
      <c r="N68" s="21">
        <f>'Raw Data'!N68</f>
        <v>1</v>
      </c>
      <c r="O68" s="21">
        <f>'Raw Data'!O68</f>
        <v>1</v>
      </c>
      <c r="P68" s="21">
        <f>IF('Raw Data'!P68="",ROUND(AVERAGE('Raw Data'!$P$2:$P$1501),1),'Raw Data'!P68)</f>
        <v>21.1</v>
      </c>
      <c r="Q68" s="21">
        <f>IF('Raw Data'!Q68="",ROUND(AVERAGE('Raw Data'!$Q$2:$Q$1501),0),'Raw Data'!Q68)</f>
        <v>3</v>
      </c>
      <c r="R68" s="21">
        <f>'Raw Data'!R68</f>
        <v>5</v>
      </c>
      <c r="S68" s="21">
        <f>IF('Raw Data'!S68="",ROUND(AVERAGE('Raw Data'!$S$2:$S$1501),0),'Raw Data'!S68)</f>
        <v>2</v>
      </c>
      <c r="T68" s="21">
        <f>'Raw Data'!T68</f>
        <v>235.44</v>
      </c>
      <c r="U68" s="21" t="str">
        <f>INDEX('Lookup Tables'!$C$7:$C$9,MATCH(E68,'Lookup Tables'!$B$7:$B$9,0))</f>
        <v>Tier 2 (Urban)</v>
      </c>
      <c r="V68" s="21" t="str">
        <f t="shared" si="3"/>
        <v>0-6 months</v>
      </c>
      <c r="W68" s="21" t="str">
        <f t="shared" si="4"/>
        <v>Low Risk</v>
      </c>
      <c r="X68" s="21" t="str">
        <f t="shared" si="5"/>
        <v>Yes</v>
      </c>
    </row>
    <row r="69" spans="1:24" x14ac:dyDescent="0.3">
      <c r="A69" s="21">
        <f>'Raw Data'!A69</f>
        <v>50068</v>
      </c>
      <c r="B69" s="21">
        <f>'Raw Data'!B69</f>
        <v>0</v>
      </c>
      <c r="C69" s="21">
        <f>'Raw Data'!C69</f>
        <v>8</v>
      </c>
      <c r="D69" s="21" t="str">
        <f>'Raw Data'!D69</f>
        <v>Phone</v>
      </c>
      <c r="E69" s="21">
        <f>'Raw Data'!E69</f>
        <v>1</v>
      </c>
      <c r="F69" s="21">
        <f>IF('Raw Data'!F69="",ROUND(AVERAGE('Raw Data'!$F$2:$F$1501),1),'Raw Data'!F69)</f>
        <v>10</v>
      </c>
      <c r="G69" s="21" t="str">
        <f>'Raw Data'!G69</f>
        <v>Debit Card</v>
      </c>
      <c r="H69" s="21" t="str">
        <f>'Raw Data'!H69</f>
        <v>Female</v>
      </c>
      <c r="I69" s="21">
        <f>IF('Raw Data'!I69="",ROUND(AVERAGE('Raw Data'!$I$2:$I$1501),1),'Raw Data'!I69)</f>
        <v>1.5</v>
      </c>
      <c r="J69" s="21">
        <f>'Raw Data'!J69</f>
        <v>4</v>
      </c>
      <c r="K69" s="21" t="str">
        <f>'Raw Data'!K69</f>
        <v>Mobile Phone</v>
      </c>
      <c r="L69" s="21">
        <f>'Raw Data'!L69</f>
        <v>2</v>
      </c>
      <c r="M69" s="21" t="str">
        <f>'Raw Data'!M69</f>
        <v>Single</v>
      </c>
      <c r="N69" s="21">
        <f>'Raw Data'!N69</f>
        <v>1</v>
      </c>
      <c r="O69" s="21">
        <f>'Raw Data'!O69</f>
        <v>1</v>
      </c>
      <c r="P69" s="21">
        <f>IF('Raw Data'!P69="",ROUND(AVERAGE('Raw Data'!$P$2:$P$1501),1),'Raw Data'!P69)</f>
        <v>20.5</v>
      </c>
      <c r="Q69" s="21">
        <f>IF('Raw Data'!Q69="",ROUND(AVERAGE('Raw Data'!$Q$2:$Q$1501),0),'Raw Data'!Q69)</f>
        <v>2</v>
      </c>
      <c r="R69" s="21">
        <f>'Raw Data'!R69</f>
        <v>1</v>
      </c>
      <c r="S69" s="21">
        <f>IF('Raw Data'!S69="",ROUND(AVERAGE('Raw Data'!$S$2:$S$1501),0),'Raw Data'!S69)</f>
        <v>0</v>
      </c>
      <c r="T69" s="21">
        <f>'Raw Data'!T69</f>
        <v>199.49</v>
      </c>
      <c r="U69" s="21" t="str">
        <f>INDEX('Lookup Tables'!$C$7:$C$9,MATCH(E69,'Lookup Tables'!$B$7:$B$9,0))</f>
        <v>Tier 1 (Metro)</v>
      </c>
      <c r="V69" s="21" t="str">
        <f t="shared" si="3"/>
        <v>7-12 months</v>
      </c>
      <c r="W69" s="21" t="str">
        <f t="shared" si="4"/>
        <v>High Risk</v>
      </c>
      <c r="X69" s="21" t="str">
        <f t="shared" si="5"/>
        <v>No</v>
      </c>
    </row>
    <row r="70" spans="1:24" x14ac:dyDescent="0.3">
      <c r="A70" s="21">
        <f>'Raw Data'!A70</f>
        <v>50069</v>
      </c>
      <c r="B70" s="21">
        <f>'Raw Data'!B70</f>
        <v>1</v>
      </c>
      <c r="C70" s="21">
        <f>'Raw Data'!C70</f>
        <v>1</v>
      </c>
      <c r="D70" s="21" t="str">
        <f>'Raw Data'!D70</f>
        <v>Phone</v>
      </c>
      <c r="E70" s="21">
        <f>'Raw Data'!E70</f>
        <v>1</v>
      </c>
      <c r="F70" s="21">
        <f>IF('Raw Data'!F70="",ROUND(AVERAGE('Raw Data'!$F$2:$F$1501),1),'Raw Data'!F70)</f>
        <v>5</v>
      </c>
      <c r="G70" s="21" t="str">
        <f>'Raw Data'!G70</f>
        <v>E wallet</v>
      </c>
      <c r="H70" s="21" t="str">
        <f>'Raw Data'!H70</f>
        <v>Male</v>
      </c>
      <c r="I70" s="21">
        <f>IF('Raw Data'!I70="",ROUND(AVERAGE('Raw Data'!$I$2:$I$1501),1),'Raw Data'!I70)</f>
        <v>1.7</v>
      </c>
      <c r="J70" s="21">
        <f>'Raw Data'!J70</f>
        <v>3</v>
      </c>
      <c r="K70" s="21" t="str">
        <f>'Raw Data'!K70</f>
        <v>Fashion</v>
      </c>
      <c r="L70" s="21">
        <f>'Raw Data'!L70</f>
        <v>3</v>
      </c>
      <c r="M70" s="21" t="str">
        <f>'Raw Data'!M70</f>
        <v>Married</v>
      </c>
      <c r="N70" s="21">
        <f>'Raw Data'!N70</f>
        <v>1</v>
      </c>
      <c r="O70" s="21">
        <f>'Raw Data'!O70</f>
        <v>1</v>
      </c>
      <c r="P70" s="21">
        <f>IF('Raw Data'!P70="",ROUND(AVERAGE('Raw Data'!$P$2:$P$1501),1),'Raw Data'!P70)</f>
        <v>11.6</v>
      </c>
      <c r="Q70" s="21">
        <f>IF('Raw Data'!Q70="",ROUND(AVERAGE('Raw Data'!$Q$2:$Q$1501),0),'Raw Data'!Q70)</f>
        <v>0</v>
      </c>
      <c r="R70" s="21">
        <f>'Raw Data'!R70</f>
        <v>5</v>
      </c>
      <c r="S70" s="21">
        <f>IF('Raw Data'!S70="",ROUND(AVERAGE('Raw Data'!$S$2:$S$1501),0),'Raw Data'!S70)</f>
        <v>2</v>
      </c>
      <c r="T70" s="21">
        <f>'Raw Data'!T70</f>
        <v>162.51</v>
      </c>
      <c r="U70" s="21" t="str">
        <f>INDEX('Lookup Tables'!$C$7:$C$9,MATCH(E70,'Lookup Tables'!$B$7:$B$9,0))</f>
        <v>Tier 1 (Metro)</v>
      </c>
      <c r="V70" s="21" t="str">
        <f t="shared" si="3"/>
        <v>0-6 months</v>
      </c>
      <c r="W70" s="21" t="str">
        <f t="shared" si="4"/>
        <v>Medium Risk</v>
      </c>
      <c r="X70" s="21" t="str">
        <f t="shared" si="5"/>
        <v>Yes</v>
      </c>
    </row>
    <row r="71" spans="1:24" x14ac:dyDescent="0.3">
      <c r="A71" s="21">
        <f>'Raw Data'!A71</f>
        <v>50070</v>
      </c>
      <c r="B71" s="21">
        <f>'Raw Data'!B71</f>
        <v>0</v>
      </c>
      <c r="C71" s="21">
        <f>'Raw Data'!C71</f>
        <v>2</v>
      </c>
      <c r="D71" s="21" t="str">
        <f>'Raw Data'!D71</f>
        <v>Mobile Phone</v>
      </c>
      <c r="E71" s="21">
        <f>'Raw Data'!E71</f>
        <v>2</v>
      </c>
      <c r="F71" s="21">
        <f>IF('Raw Data'!F71="",ROUND(AVERAGE('Raw Data'!$F$2:$F$1501),1),'Raw Data'!F71)</f>
        <v>17</v>
      </c>
      <c r="G71" s="21" t="str">
        <f>'Raw Data'!G71</f>
        <v>Debit Card</v>
      </c>
      <c r="H71" s="21" t="str">
        <f>'Raw Data'!H71</f>
        <v>Female</v>
      </c>
      <c r="I71" s="21">
        <f>IF('Raw Data'!I71="",ROUND(AVERAGE('Raw Data'!$I$2:$I$1501),1),'Raw Data'!I71)</f>
        <v>2</v>
      </c>
      <c r="J71" s="21">
        <f>'Raw Data'!J71</f>
        <v>1</v>
      </c>
      <c r="K71" s="21" t="str">
        <f>'Raw Data'!K71</f>
        <v>Grocery</v>
      </c>
      <c r="L71" s="21">
        <f>'Raw Data'!L71</f>
        <v>2</v>
      </c>
      <c r="M71" s="21" t="str">
        <f>'Raw Data'!M71</f>
        <v>Married</v>
      </c>
      <c r="N71" s="21">
        <f>'Raw Data'!N71</f>
        <v>7</v>
      </c>
      <c r="O71" s="21">
        <f>'Raw Data'!O71</f>
        <v>0</v>
      </c>
      <c r="P71" s="21">
        <f>IF('Raw Data'!P71="",ROUND(AVERAGE('Raw Data'!$P$2:$P$1501),1),'Raw Data'!P71)</f>
        <v>17.2</v>
      </c>
      <c r="Q71" s="21">
        <f>IF('Raw Data'!Q71="",ROUND(AVERAGE('Raw Data'!$Q$2:$Q$1501),0),'Raw Data'!Q71)</f>
        <v>3</v>
      </c>
      <c r="R71" s="21">
        <f>'Raw Data'!R71</f>
        <v>7</v>
      </c>
      <c r="S71" s="21">
        <f>IF('Raw Data'!S71="",ROUND(AVERAGE('Raw Data'!$S$2:$S$1501),0),'Raw Data'!S71)</f>
        <v>6</v>
      </c>
      <c r="T71" s="21">
        <f>'Raw Data'!T71</f>
        <v>96.36</v>
      </c>
      <c r="U71" s="21" t="str">
        <f>INDEX('Lookup Tables'!$C$7:$C$9,MATCH(E71,'Lookup Tables'!$B$7:$B$9,0))</f>
        <v>Tier 2 (Urban)</v>
      </c>
      <c r="V71" s="21" t="str">
        <f t="shared" si="3"/>
        <v>0-6 months</v>
      </c>
      <c r="W71" s="21" t="str">
        <f t="shared" si="4"/>
        <v>Low Risk</v>
      </c>
      <c r="X71" s="21" t="str">
        <f t="shared" si="5"/>
        <v>No</v>
      </c>
    </row>
    <row r="72" spans="1:24" x14ac:dyDescent="0.3">
      <c r="A72" s="21">
        <f>'Raw Data'!A72</f>
        <v>50071</v>
      </c>
      <c r="B72" s="21">
        <f>'Raw Data'!B72</f>
        <v>0</v>
      </c>
      <c r="C72" s="21">
        <f>'Raw Data'!C72</f>
        <v>19</v>
      </c>
      <c r="D72" s="21" t="str">
        <f>'Raw Data'!D72</f>
        <v>Phone</v>
      </c>
      <c r="E72" s="21">
        <f>'Raw Data'!E72</f>
        <v>1</v>
      </c>
      <c r="F72" s="21">
        <f>IF('Raw Data'!F72="",ROUND(AVERAGE('Raw Data'!$F$2:$F$1501),1),'Raw Data'!F72)</f>
        <v>29</v>
      </c>
      <c r="G72" s="21" t="str">
        <f>'Raw Data'!G72</f>
        <v>UPI</v>
      </c>
      <c r="H72" s="21" t="str">
        <f>'Raw Data'!H72</f>
        <v>Male</v>
      </c>
      <c r="I72" s="21">
        <f>IF('Raw Data'!I72="",ROUND(AVERAGE('Raw Data'!$I$2:$I$1501),1),'Raw Data'!I72)</f>
        <v>2.2999999999999998</v>
      </c>
      <c r="J72" s="21">
        <f>'Raw Data'!J72</f>
        <v>3</v>
      </c>
      <c r="K72" s="21" t="str">
        <f>'Raw Data'!K72</f>
        <v>Others</v>
      </c>
      <c r="L72" s="21">
        <f>'Raw Data'!L72</f>
        <v>3</v>
      </c>
      <c r="M72" s="21" t="str">
        <f>'Raw Data'!M72</f>
        <v>Married</v>
      </c>
      <c r="N72" s="21">
        <f>'Raw Data'!N72</f>
        <v>4</v>
      </c>
      <c r="O72" s="21">
        <f>'Raw Data'!O72</f>
        <v>0</v>
      </c>
      <c r="P72" s="21">
        <f>IF('Raw Data'!P72="",ROUND(AVERAGE('Raw Data'!$P$2:$P$1501),1),'Raw Data'!P72)</f>
        <v>13.9</v>
      </c>
      <c r="Q72" s="21">
        <f>IF('Raw Data'!Q72="",ROUND(AVERAGE('Raw Data'!$Q$2:$Q$1501),0),'Raw Data'!Q72)</f>
        <v>2</v>
      </c>
      <c r="R72" s="21">
        <f>'Raw Data'!R72</f>
        <v>3</v>
      </c>
      <c r="S72" s="21">
        <f>IF('Raw Data'!S72="",ROUND(AVERAGE('Raw Data'!$S$2:$S$1501),0),'Raw Data'!S72)</f>
        <v>5</v>
      </c>
      <c r="T72" s="21">
        <f>'Raw Data'!T72</f>
        <v>220.28</v>
      </c>
      <c r="U72" s="21" t="str">
        <f>INDEX('Lookup Tables'!$C$7:$C$9,MATCH(E72,'Lookup Tables'!$B$7:$B$9,0))</f>
        <v>Tier 1 (Metro)</v>
      </c>
      <c r="V72" s="21" t="str">
        <f t="shared" si="3"/>
        <v>13-24 months</v>
      </c>
      <c r="W72" s="21" t="str">
        <f t="shared" si="4"/>
        <v>Medium Risk</v>
      </c>
      <c r="X72" s="21" t="str">
        <f t="shared" si="5"/>
        <v>No</v>
      </c>
    </row>
    <row r="73" spans="1:24" x14ac:dyDescent="0.3">
      <c r="A73" s="21">
        <f>'Raw Data'!A73</f>
        <v>50072</v>
      </c>
      <c r="B73" s="21">
        <f>'Raw Data'!B73</f>
        <v>0</v>
      </c>
      <c r="C73" s="21">
        <f>'Raw Data'!C73</f>
        <v>29</v>
      </c>
      <c r="D73" s="21" t="str">
        <f>'Raw Data'!D73</f>
        <v>Computer</v>
      </c>
      <c r="E73" s="21">
        <f>'Raw Data'!E73</f>
        <v>3</v>
      </c>
      <c r="F73" s="21">
        <f>IF('Raw Data'!F73="",ROUND(AVERAGE('Raw Data'!$F$2:$F$1501),1),'Raw Data'!F73)</f>
        <v>15</v>
      </c>
      <c r="G73" s="21" t="str">
        <f>'Raw Data'!G73</f>
        <v>Debit Card</v>
      </c>
      <c r="H73" s="21" t="str">
        <f>'Raw Data'!H73</f>
        <v>Female</v>
      </c>
      <c r="I73" s="21">
        <f>IF('Raw Data'!I73="",ROUND(AVERAGE('Raw Data'!$I$2:$I$1501),1),'Raw Data'!I73)</f>
        <v>2.8</v>
      </c>
      <c r="J73" s="21">
        <f>'Raw Data'!J73</f>
        <v>4</v>
      </c>
      <c r="K73" s="21" t="str">
        <f>'Raw Data'!K73</f>
        <v>Mobile Phone</v>
      </c>
      <c r="L73" s="21">
        <f>'Raw Data'!L73</f>
        <v>3</v>
      </c>
      <c r="M73" s="21" t="str">
        <f>'Raw Data'!M73</f>
        <v>Divorced</v>
      </c>
      <c r="N73" s="21">
        <f>'Raw Data'!N73</f>
        <v>4</v>
      </c>
      <c r="O73" s="21">
        <f>'Raw Data'!O73</f>
        <v>0</v>
      </c>
      <c r="P73" s="21">
        <f>IF('Raw Data'!P73="",ROUND(AVERAGE('Raw Data'!$P$2:$P$1501),1),'Raw Data'!P73)</f>
        <v>16.5</v>
      </c>
      <c r="Q73" s="21">
        <f>IF('Raw Data'!Q73="",ROUND(AVERAGE('Raw Data'!$Q$2:$Q$1501),0),'Raw Data'!Q73)</f>
        <v>1</v>
      </c>
      <c r="R73" s="21">
        <f>'Raw Data'!R73</f>
        <v>5</v>
      </c>
      <c r="S73" s="21">
        <f>IF('Raw Data'!S73="",ROUND(AVERAGE('Raw Data'!$S$2:$S$1501),0),'Raw Data'!S73)</f>
        <v>6</v>
      </c>
      <c r="T73" s="21">
        <f>'Raw Data'!T73</f>
        <v>191.71</v>
      </c>
      <c r="U73" s="21" t="str">
        <f>INDEX('Lookup Tables'!$C$7:$C$9,MATCH(E73,'Lookup Tables'!$B$7:$B$9,0))</f>
        <v>Tier 3 (Semi-urban/Rural)</v>
      </c>
      <c r="V73" s="21" t="str">
        <f t="shared" si="3"/>
        <v>25+ months</v>
      </c>
      <c r="W73" s="21" t="str">
        <f t="shared" si="4"/>
        <v>Medium Risk</v>
      </c>
      <c r="X73" s="21" t="str">
        <f t="shared" si="5"/>
        <v>No</v>
      </c>
    </row>
    <row r="74" spans="1:24" x14ac:dyDescent="0.3">
      <c r="A74" s="21">
        <f>'Raw Data'!A74</f>
        <v>50073</v>
      </c>
      <c r="B74" s="21">
        <f>'Raw Data'!B74</f>
        <v>0</v>
      </c>
      <c r="C74" s="21">
        <f>'Raw Data'!C74</f>
        <v>4</v>
      </c>
      <c r="D74" s="21" t="str">
        <f>'Raw Data'!D74</f>
        <v>Mobile Phone</v>
      </c>
      <c r="E74" s="21">
        <f>'Raw Data'!E74</f>
        <v>2</v>
      </c>
      <c r="F74" s="21">
        <f>IF('Raw Data'!F74="",ROUND(AVERAGE('Raw Data'!$F$2:$F$1501),1),'Raw Data'!F74)</f>
        <v>16</v>
      </c>
      <c r="G74" s="21" t="str">
        <f>'Raw Data'!G74</f>
        <v>Debit Card</v>
      </c>
      <c r="H74" s="21" t="str">
        <f>'Raw Data'!H74</f>
        <v>Female</v>
      </c>
      <c r="I74" s="21">
        <f>IF('Raw Data'!I74="",ROUND(AVERAGE('Raw Data'!$I$2:$I$1501),1),'Raw Data'!I74)</f>
        <v>2.2000000000000002</v>
      </c>
      <c r="J74" s="21">
        <f>'Raw Data'!J74</f>
        <v>4</v>
      </c>
      <c r="K74" s="21" t="str">
        <f>'Raw Data'!K74</f>
        <v>Grocery</v>
      </c>
      <c r="L74" s="21">
        <f>'Raw Data'!L74</f>
        <v>2</v>
      </c>
      <c r="M74" s="21" t="str">
        <f>'Raw Data'!M74</f>
        <v>Married</v>
      </c>
      <c r="N74" s="21">
        <f>'Raw Data'!N74</f>
        <v>3</v>
      </c>
      <c r="O74" s="21">
        <f>'Raw Data'!O74</f>
        <v>0</v>
      </c>
      <c r="P74" s="21">
        <f>IF('Raw Data'!P74="",ROUND(AVERAGE('Raw Data'!$P$2:$P$1501),1),'Raw Data'!P74)</f>
        <v>19.7</v>
      </c>
      <c r="Q74" s="21">
        <f>IF('Raw Data'!Q74="",ROUND(AVERAGE('Raw Data'!$Q$2:$Q$1501),0),'Raw Data'!Q74)</f>
        <v>1</v>
      </c>
      <c r="R74" s="21">
        <f>'Raw Data'!R74</f>
        <v>2</v>
      </c>
      <c r="S74" s="21">
        <f>IF('Raw Data'!S74="",ROUND(AVERAGE('Raw Data'!$S$2:$S$1501),0),'Raw Data'!S74)</f>
        <v>1</v>
      </c>
      <c r="T74" s="21">
        <f>'Raw Data'!T74</f>
        <v>139.41999999999999</v>
      </c>
      <c r="U74" s="21" t="str">
        <f>INDEX('Lookup Tables'!$C$7:$C$9,MATCH(E74,'Lookup Tables'!$B$7:$B$9,0))</f>
        <v>Tier 2 (Urban)</v>
      </c>
      <c r="V74" s="21" t="str">
        <f t="shared" si="3"/>
        <v>0-6 months</v>
      </c>
      <c r="W74" s="21" t="str">
        <f t="shared" si="4"/>
        <v>Low Risk</v>
      </c>
      <c r="X74" s="21" t="str">
        <f t="shared" si="5"/>
        <v>No</v>
      </c>
    </row>
    <row r="75" spans="1:24" x14ac:dyDescent="0.3">
      <c r="A75" s="21">
        <f>'Raw Data'!A75</f>
        <v>50074</v>
      </c>
      <c r="B75" s="21">
        <f>'Raw Data'!B75</f>
        <v>0</v>
      </c>
      <c r="C75" s="21">
        <f>'Raw Data'!C75</f>
        <v>3</v>
      </c>
      <c r="D75" s="21" t="str">
        <f>'Raw Data'!D75</f>
        <v>Mobile Phone</v>
      </c>
      <c r="E75" s="21">
        <f>'Raw Data'!E75</f>
        <v>3</v>
      </c>
      <c r="F75" s="21">
        <f>IF('Raw Data'!F75="",ROUND(AVERAGE('Raw Data'!$F$2:$F$1501),1),'Raw Data'!F75)</f>
        <v>20</v>
      </c>
      <c r="G75" s="21" t="str">
        <f>'Raw Data'!G75</f>
        <v>Credit Card</v>
      </c>
      <c r="H75" s="21" t="str">
        <f>'Raw Data'!H75</f>
        <v>Male</v>
      </c>
      <c r="I75" s="21">
        <f>IF('Raw Data'!I75="",ROUND(AVERAGE('Raw Data'!$I$2:$I$1501),1),'Raw Data'!I75)</f>
        <v>3.1</v>
      </c>
      <c r="J75" s="21">
        <f>'Raw Data'!J75</f>
        <v>2</v>
      </c>
      <c r="K75" s="21" t="str">
        <f>'Raw Data'!K75</f>
        <v>Laptop &amp; Accessory</v>
      </c>
      <c r="L75" s="21">
        <f>'Raw Data'!L75</f>
        <v>3</v>
      </c>
      <c r="M75" s="21" t="str">
        <f>'Raw Data'!M75</f>
        <v>Married</v>
      </c>
      <c r="N75" s="21">
        <f>'Raw Data'!N75</f>
        <v>2</v>
      </c>
      <c r="O75" s="21">
        <f>'Raw Data'!O75</f>
        <v>0</v>
      </c>
      <c r="P75" s="21">
        <f>IF('Raw Data'!P75="",ROUND(AVERAGE('Raw Data'!$P$2:$P$1501),1),'Raw Data'!P75)</f>
        <v>23.5</v>
      </c>
      <c r="Q75" s="21">
        <f>IF('Raw Data'!Q75="",ROUND(AVERAGE('Raw Data'!$Q$2:$Q$1501),0),'Raw Data'!Q75)</f>
        <v>4</v>
      </c>
      <c r="R75" s="21">
        <f>'Raw Data'!R75</f>
        <v>2</v>
      </c>
      <c r="S75" s="21">
        <f>IF('Raw Data'!S75="",ROUND(AVERAGE('Raw Data'!$S$2:$S$1501),0),'Raw Data'!S75)</f>
        <v>5</v>
      </c>
      <c r="T75" s="21">
        <f>'Raw Data'!T75</f>
        <v>117.85</v>
      </c>
      <c r="U75" s="21" t="str">
        <f>INDEX('Lookup Tables'!$C$7:$C$9,MATCH(E75,'Lookup Tables'!$B$7:$B$9,0))</f>
        <v>Tier 3 (Semi-urban/Rural)</v>
      </c>
      <c r="V75" s="21" t="str">
        <f t="shared" si="3"/>
        <v>0-6 months</v>
      </c>
      <c r="W75" s="21" t="str">
        <f t="shared" si="4"/>
        <v>Medium Risk</v>
      </c>
      <c r="X75" s="21" t="str">
        <f t="shared" si="5"/>
        <v>No</v>
      </c>
    </row>
    <row r="76" spans="1:24" x14ac:dyDescent="0.3">
      <c r="A76" s="21">
        <f>'Raw Data'!A76</f>
        <v>50075</v>
      </c>
      <c r="B76" s="21">
        <f>'Raw Data'!B76</f>
        <v>0</v>
      </c>
      <c r="C76" s="21">
        <f>'Raw Data'!C76</f>
        <v>10</v>
      </c>
      <c r="D76" s="21" t="str">
        <f>'Raw Data'!D76</f>
        <v>Mobile Phone</v>
      </c>
      <c r="E76" s="21">
        <f>'Raw Data'!E76</f>
        <v>2</v>
      </c>
      <c r="F76" s="21">
        <f>IF('Raw Data'!F76="",ROUND(AVERAGE('Raw Data'!$F$2:$F$1501),1),'Raw Data'!F76)</f>
        <v>5</v>
      </c>
      <c r="G76" s="21" t="str">
        <f>'Raw Data'!G76</f>
        <v>Credit Card</v>
      </c>
      <c r="H76" s="21" t="str">
        <f>'Raw Data'!H76</f>
        <v>Male</v>
      </c>
      <c r="I76" s="21">
        <f>IF('Raw Data'!I76="",ROUND(AVERAGE('Raw Data'!$I$2:$I$1501),1),'Raw Data'!I76)</f>
        <v>2.7</v>
      </c>
      <c r="J76" s="21">
        <f>'Raw Data'!J76</f>
        <v>4</v>
      </c>
      <c r="K76" s="21" t="str">
        <f>'Raw Data'!K76</f>
        <v>Mobile Phone</v>
      </c>
      <c r="L76" s="21">
        <f>'Raw Data'!L76</f>
        <v>5</v>
      </c>
      <c r="M76" s="21" t="str">
        <f>'Raw Data'!M76</f>
        <v>Single</v>
      </c>
      <c r="N76" s="21">
        <f>'Raw Data'!N76</f>
        <v>1</v>
      </c>
      <c r="O76" s="21">
        <f>'Raw Data'!O76</f>
        <v>0</v>
      </c>
      <c r="P76" s="21">
        <f>IF('Raw Data'!P76="",ROUND(AVERAGE('Raw Data'!$P$2:$P$1501),1),'Raw Data'!P76)</f>
        <v>18.600000000000001</v>
      </c>
      <c r="Q76" s="21">
        <f>IF('Raw Data'!Q76="",ROUND(AVERAGE('Raw Data'!$Q$2:$Q$1501),0),'Raw Data'!Q76)</f>
        <v>1</v>
      </c>
      <c r="R76" s="21">
        <f>'Raw Data'!R76</f>
        <v>3</v>
      </c>
      <c r="S76" s="21">
        <f>IF('Raw Data'!S76="",ROUND(AVERAGE('Raw Data'!$S$2:$S$1501),0),'Raw Data'!S76)</f>
        <v>2</v>
      </c>
      <c r="T76" s="21">
        <f>'Raw Data'!T76</f>
        <v>216.38</v>
      </c>
      <c r="U76" s="21" t="str">
        <f>INDEX('Lookup Tables'!$C$7:$C$9,MATCH(E76,'Lookup Tables'!$B$7:$B$9,0))</f>
        <v>Tier 2 (Urban)</v>
      </c>
      <c r="V76" s="21" t="str">
        <f t="shared" si="3"/>
        <v>7-12 months</v>
      </c>
      <c r="W76" s="21" t="str">
        <f t="shared" si="4"/>
        <v>Low Risk</v>
      </c>
      <c r="X76" s="21" t="str">
        <f t="shared" si="5"/>
        <v>No</v>
      </c>
    </row>
    <row r="77" spans="1:24" x14ac:dyDescent="0.3">
      <c r="A77" s="21">
        <f>'Raw Data'!A77</f>
        <v>50076</v>
      </c>
      <c r="B77" s="21">
        <f>'Raw Data'!B77</f>
        <v>1</v>
      </c>
      <c r="C77" s="21">
        <f>'Raw Data'!C77</f>
        <v>5</v>
      </c>
      <c r="D77" s="21" t="str">
        <f>'Raw Data'!D77</f>
        <v>Phone</v>
      </c>
      <c r="E77" s="21">
        <f>'Raw Data'!E77</f>
        <v>1</v>
      </c>
      <c r="F77" s="21">
        <f>IF('Raw Data'!F77="",ROUND(AVERAGE('Raw Data'!$F$2:$F$1501),1),'Raw Data'!F77)</f>
        <v>28</v>
      </c>
      <c r="G77" s="21" t="str">
        <f>'Raw Data'!G77</f>
        <v>Credit Card</v>
      </c>
      <c r="H77" s="21" t="str">
        <f>'Raw Data'!H77</f>
        <v>Male</v>
      </c>
      <c r="I77" s="21">
        <f>IF('Raw Data'!I77="",ROUND(AVERAGE('Raw Data'!$I$2:$I$1501),1),'Raw Data'!I77)</f>
        <v>2.9</v>
      </c>
      <c r="J77" s="21">
        <f>'Raw Data'!J77</f>
        <v>3</v>
      </c>
      <c r="K77" s="21" t="str">
        <f>'Raw Data'!K77</f>
        <v>Laptop &amp; Accessory</v>
      </c>
      <c r="L77" s="21">
        <f>'Raw Data'!L77</f>
        <v>4</v>
      </c>
      <c r="M77" s="21" t="str">
        <f>'Raw Data'!M77</f>
        <v>Married</v>
      </c>
      <c r="N77" s="21">
        <f>'Raw Data'!N77</f>
        <v>1</v>
      </c>
      <c r="O77" s="21">
        <f>'Raw Data'!O77</f>
        <v>0</v>
      </c>
      <c r="P77" s="21">
        <f>IF('Raw Data'!P77="",ROUND(AVERAGE('Raw Data'!$P$2:$P$1501),1),'Raw Data'!P77)</f>
        <v>17</v>
      </c>
      <c r="Q77" s="21">
        <f>IF('Raw Data'!Q77="",ROUND(AVERAGE('Raw Data'!$Q$2:$Q$1501),0),'Raw Data'!Q77)</f>
        <v>1</v>
      </c>
      <c r="R77" s="21">
        <f>'Raw Data'!R77</f>
        <v>3</v>
      </c>
      <c r="S77" s="21">
        <f>IF('Raw Data'!S77="",ROUND(AVERAGE('Raw Data'!$S$2:$S$1501),0),'Raw Data'!S77)</f>
        <v>14</v>
      </c>
      <c r="T77" s="21">
        <f>'Raw Data'!T77</f>
        <v>91.93</v>
      </c>
      <c r="U77" s="21" t="str">
        <f>INDEX('Lookup Tables'!$C$7:$C$9,MATCH(E77,'Lookup Tables'!$B$7:$B$9,0))</f>
        <v>Tier 1 (Metro)</v>
      </c>
      <c r="V77" s="21" t="str">
        <f t="shared" si="3"/>
        <v>0-6 months</v>
      </c>
      <c r="W77" s="21" t="str">
        <f t="shared" si="4"/>
        <v>Low Risk</v>
      </c>
      <c r="X77" s="21" t="str">
        <f t="shared" si="5"/>
        <v>Yes</v>
      </c>
    </row>
    <row r="78" spans="1:24" x14ac:dyDescent="0.3">
      <c r="A78" s="21">
        <f>'Raw Data'!A78</f>
        <v>50077</v>
      </c>
      <c r="B78" s="21">
        <f>'Raw Data'!B78</f>
        <v>1</v>
      </c>
      <c r="C78" s="21">
        <f>'Raw Data'!C78</f>
        <v>0</v>
      </c>
      <c r="D78" s="21" t="str">
        <f>'Raw Data'!D78</f>
        <v>Computer</v>
      </c>
      <c r="E78" s="21">
        <f>'Raw Data'!E78</f>
        <v>2</v>
      </c>
      <c r="F78" s="21">
        <f>IF('Raw Data'!F78="",ROUND(AVERAGE('Raw Data'!$F$2:$F$1501),1),'Raw Data'!F78)</f>
        <v>16</v>
      </c>
      <c r="G78" s="21" t="str">
        <f>'Raw Data'!G78</f>
        <v>Debit Card</v>
      </c>
      <c r="H78" s="21" t="str">
        <f>'Raw Data'!H78</f>
        <v>Male</v>
      </c>
      <c r="I78" s="21">
        <f>IF('Raw Data'!I78="",ROUND(AVERAGE('Raw Data'!$I$2:$I$1501),1),'Raw Data'!I78)</f>
        <v>3.7</v>
      </c>
      <c r="J78" s="21">
        <f>'Raw Data'!J78</f>
        <v>4</v>
      </c>
      <c r="K78" s="21" t="str">
        <f>'Raw Data'!K78</f>
        <v>Mobile Phone</v>
      </c>
      <c r="L78" s="21">
        <f>'Raw Data'!L78</f>
        <v>5</v>
      </c>
      <c r="M78" s="21" t="str">
        <f>'Raw Data'!M78</f>
        <v>Married</v>
      </c>
      <c r="N78" s="21">
        <f>'Raw Data'!N78</f>
        <v>1</v>
      </c>
      <c r="O78" s="21">
        <f>'Raw Data'!O78</f>
        <v>0</v>
      </c>
      <c r="P78" s="21">
        <f>IF('Raw Data'!P78="",ROUND(AVERAGE('Raw Data'!$P$2:$P$1501),1),'Raw Data'!P78)</f>
        <v>14.8</v>
      </c>
      <c r="Q78" s="21">
        <f>IF('Raw Data'!Q78="",ROUND(AVERAGE('Raw Data'!$Q$2:$Q$1501),0),'Raw Data'!Q78)</f>
        <v>2</v>
      </c>
      <c r="R78" s="21">
        <f>'Raw Data'!R78</f>
        <v>5</v>
      </c>
      <c r="S78" s="21">
        <f>IF('Raw Data'!S78="",ROUND(AVERAGE('Raw Data'!$S$2:$S$1501),0),'Raw Data'!S78)</f>
        <v>2</v>
      </c>
      <c r="T78" s="21">
        <f>'Raw Data'!T78</f>
        <v>196.48</v>
      </c>
      <c r="U78" s="21" t="str">
        <f>INDEX('Lookup Tables'!$C$7:$C$9,MATCH(E78,'Lookup Tables'!$B$7:$B$9,0))</f>
        <v>Tier 2 (Urban)</v>
      </c>
      <c r="V78" s="21" t="str">
        <f t="shared" si="3"/>
        <v>0-6 months</v>
      </c>
      <c r="W78" s="21" t="str">
        <f t="shared" si="4"/>
        <v>Low Risk</v>
      </c>
      <c r="X78" s="21" t="str">
        <f t="shared" si="5"/>
        <v>Yes</v>
      </c>
    </row>
    <row r="79" spans="1:24" x14ac:dyDescent="0.3">
      <c r="A79" s="21">
        <f>'Raw Data'!A79</f>
        <v>50078</v>
      </c>
      <c r="B79" s="21">
        <f>'Raw Data'!B79</f>
        <v>0</v>
      </c>
      <c r="C79" s="21">
        <f>'Raw Data'!C79</f>
        <v>1</v>
      </c>
      <c r="D79" s="21" t="str">
        <f>'Raw Data'!D79</f>
        <v>Computer</v>
      </c>
      <c r="E79" s="21">
        <f>'Raw Data'!E79</f>
        <v>1</v>
      </c>
      <c r="F79" s="21">
        <f>IF('Raw Data'!F79="",ROUND(AVERAGE('Raw Data'!$F$2:$F$1501),1),'Raw Data'!F79)</f>
        <v>28</v>
      </c>
      <c r="G79" s="21" t="str">
        <f>'Raw Data'!G79</f>
        <v>Cash on Delivery</v>
      </c>
      <c r="H79" s="21" t="str">
        <f>'Raw Data'!H79</f>
        <v>Male</v>
      </c>
      <c r="I79" s="21">
        <f>IF('Raw Data'!I79="",ROUND(AVERAGE('Raw Data'!$I$2:$I$1501),1),'Raw Data'!I79)</f>
        <v>2.1</v>
      </c>
      <c r="J79" s="21">
        <f>'Raw Data'!J79</f>
        <v>3</v>
      </c>
      <c r="K79" s="21" t="str">
        <f>'Raw Data'!K79</f>
        <v>Others</v>
      </c>
      <c r="L79" s="21">
        <f>'Raw Data'!L79</f>
        <v>2</v>
      </c>
      <c r="M79" s="21" t="str">
        <f>'Raw Data'!M79</f>
        <v>Single</v>
      </c>
      <c r="N79" s="21">
        <f>'Raw Data'!N79</f>
        <v>4</v>
      </c>
      <c r="O79" s="21">
        <f>'Raw Data'!O79</f>
        <v>0</v>
      </c>
      <c r="P79" s="21">
        <f>IF('Raw Data'!P79="",ROUND(AVERAGE('Raw Data'!$P$2:$P$1501),1),'Raw Data'!P79)</f>
        <v>16.600000000000001</v>
      </c>
      <c r="Q79" s="21">
        <f>IF('Raw Data'!Q79="",ROUND(AVERAGE('Raw Data'!$Q$2:$Q$1501),0),'Raw Data'!Q79)</f>
        <v>2</v>
      </c>
      <c r="R79" s="21">
        <f>'Raw Data'!R79</f>
        <v>4</v>
      </c>
      <c r="S79" s="21">
        <f>IF('Raw Data'!S79="",ROUND(AVERAGE('Raw Data'!$S$2:$S$1501),0),'Raw Data'!S79)</f>
        <v>4</v>
      </c>
      <c r="T79" s="21">
        <f>'Raw Data'!T79</f>
        <v>226.4</v>
      </c>
      <c r="U79" s="21" t="str">
        <f>INDEX('Lookup Tables'!$C$7:$C$9,MATCH(E79,'Lookup Tables'!$B$7:$B$9,0))</f>
        <v>Tier 1 (Metro)</v>
      </c>
      <c r="V79" s="21" t="str">
        <f t="shared" si="3"/>
        <v>0-6 months</v>
      </c>
      <c r="W79" s="21" t="str">
        <f t="shared" si="4"/>
        <v>Low Risk</v>
      </c>
      <c r="X79" s="21" t="str">
        <f t="shared" si="5"/>
        <v>No</v>
      </c>
    </row>
    <row r="80" spans="1:24" x14ac:dyDescent="0.3">
      <c r="A80" s="21">
        <f>'Raw Data'!A80</f>
        <v>50079</v>
      </c>
      <c r="B80" s="21">
        <f>'Raw Data'!B80</f>
        <v>0</v>
      </c>
      <c r="C80" s="21">
        <f>'Raw Data'!C80</f>
        <v>12</v>
      </c>
      <c r="D80" s="21" t="str">
        <f>'Raw Data'!D80</f>
        <v>Mobile Phone</v>
      </c>
      <c r="E80" s="21">
        <f>'Raw Data'!E80</f>
        <v>1</v>
      </c>
      <c r="F80" s="21">
        <f>IF('Raw Data'!F80="",ROUND(AVERAGE('Raw Data'!$F$2:$F$1501),1),'Raw Data'!F80)</f>
        <v>9</v>
      </c>
      <c r="G80" s="21" t="str">
        <f>'Raw Data'!G80</f>
        <v>E wallet</v>
      </c>
      <c r="H80" s="21" t="str">
        <f>'Raw Data'!H80</f>
        <v>Male</v>
      </c>
      <c r="I80" s="21">
        <f>IF('Raw Data'!I80="",ROUND(AVERAGE('Raw Data'!$I$2:$I$1501),1),'Raw Data'!I80)</f>
        <v>3.2</v>
      </c>
      <c r="J80" s="21">
        <f>'Raw Data'!J80</f>
        <v>3</v>
      </c>
      <c r="K80" s="21" t="str">
        <f>'Raw Data'!K80</f>
        <v>Laptop &amp; Accessory</v>
      </c>
      <c r="L80" s="21">
        <f>'Raw Data'!L80</f>
        <v>2</v>
      </c>
      <c r="M80" s="21" t="str">
        <f>'Raw Data'!M80</f>
        <v>Married</v>
      </c>
      <c r="N80" s="21">
        <f>'Raw Data'!N80</f>
        <v>1</v>
      </c>
      <c r="O80" s="21">
        <f>'Raw Data'!O80</f>
        <v>1</v>
      </c>
      <c r="P80" s="21">
        <f>IF('Raw Data'!P80="",ROUND(AVERAGE('Raw Data'!$P$2:$P$1501),1),'Raw Data'!P80)</f>
        <v>20.8</v>
      </c>
      <c r="Q80" s="21">
        <f>IF('Raw Data'!Q80="",ROUND(AVERAGE('Raw Data'!$Q$2:$Q$1501),0),'Raw Data'!Q80)</f>
        <v>3</v>
      </c>
      <c r="R80" s="21">
        <f>'Raw Data'!R80</f>
        <v>2</v>
      </c>
      <c r="S80" s="21">
        <f>IF('Raw Data'!S80="",ROUND(AVERAGE('Raw Data'!$S$2:$S$1501),0),'Raw Data'!S80)</f>
        <v>6</v>
      </c>
      <c r="T80" s="21">
        <f>'Raw Data'!T80</f>
        <v>210.24</v>
      </c>
      <c r="U80" s="21" t="str">
        <f>INDEX('Lookup Tables'!$C$7:$C$9,MATCH(E80,'Lookup Tables'!$B$7:$B$9,0))</f>
        <v>Tier 1 (Metro)</v>
      </c>
      <c r="V80" s="21" t="str">
        <f t="shared" si="3"/>
        <v>7-12 months</v>
      </c>
      <c r="W80" s="21" t="str">
        <f t="shared" si="4"/>
        <v>High Risk</v>
      </c>
      <c r="X80" s="21" t="str">
        <f t="shared" si="5"/>
        <v>No</v>
      </c>
    </row>
    <row r="81" spans="1:24" x14ac:dyDescent="0.3">
      <c r="A81" s="21">
        <f>'Raw Data'!A81</f>
        <v>50080</v>
      </c>
      <c r="B81" s="21">
        <f>'Raw Data'!B81</f>
        <v>0</v>
      </c>
      <c r="C81" s="21">
        <f>'Raw Data'!C81</f>
        <v>10</v>
      </c>
      <c r="D81" s="21" t="str">
        <f>'Raw Data'!D81</f>
        <v>Computer</v>
      </c>
      <c r="E81" s="21">
        <f>'Raw Data'!E81</f>
        <v>3</v>
      </c>
      <c r="F81" s="21">
        <f>IF('Raw Data'!F81="",ROUND(AVERAGE('Raw Data'!$F$2:$F$1501),1),'Raw Data'!F81)</f>
        <v>29</v>
      </c>
      <c r="G81" s="21" t="str">
        <f>'Raw Data'!G81</f>
        <v>Debit Card</v>
      </c>
      <c r="H81" s="21" t="str">
        <f>'Raw Data'!H81</f>
        <v>Male</v>
      </c>
      <c r="I81" s="21">
        <f>IF('Raw Data'!I81="",ROUND(AVERAGE('Raw Data'!$I$2:$I$1501),1),'Raw Data'!I81)</f>
        <v>2.9</v>
      </c>
      <c r="J81" s="21">
        <f>'Raw Data'!J81</f>
        <v>4</v>
      </c>
      <c r="K81" s="21" t="str">
        <f>'Raw Data'!K81</f>
        <v>Fashion</v>
      </c>
      <c r="L81" s="21">
        <f>'Raw Data'!L81</f>
        <v>4</v>
      </c>
      <c r="M81" s="21" t="str">
        <f>'Raw Data'!M81</f>
        <v>Single</v>
      </c>
      <c r="N81" s="21">
        <f>'Raw Data'!N81</f>
        <v>4</v>
      </c>
      <c r="O81" s="21">
        <f>'Raw Data'!O81</f>
        <v>0</v>
      </c>
      <c r="P81" s="21">
        <f>IF('Raw Data'!P81="",ROUND(AVERAGE('Raw Data'!$P$2:$P$1501),1),'Raw Data'!P81)</f>
        <v>15.8</v>
      </c>
      <c r="Q81" s="21">
        <f>IF('Raw Data'!Q81="",ROUND(AVERAGE('Raw Data'!$Q$2:$Q$1501),0),'Raw Data'!Q81)</f>
        <v>5</v>
      </c>
      <c r="R81" s="21">
        <f>'Raw Data'!R81</f>
        <v>6</v>
      </c>
      <c r="S81" s="21">
        <f>IF('Raw Data'!S81="",ROUND(AVERAGE('Raw Data'!$S$2:$S$1501),0),'Raw Data'!S81)</f>
        <v>11</v>
      </c>
      <c r="T81" s="21">
        <f>'Raw Data'!T81</f>
        <v>158.51</v>
      </c>
      <c r="U81" s="21" t="str">
        <f>INDEX('Lookup Tables'!$C$7:$C$9,MATCH(E81,'Lookup Tables'!$B$7:$B$9,0))</f>
        <v>Tier 3 (Semi-urban/Rural)</v>
      </c>
      <c r="V81" s="21" t="str">
        <f t="shared" si="3"/>
        <v>7-12 months</v>
      </c>
      <c r="W81" s="21" t="str">
        <f t="shared" si="4"/>
        <v>Low Risk</v>
      </c>
      <c r="X81" s="21" t="str">
        <f t="shared" si="5"/>
        <v>No</v>
      </c>
    </row>
    <row r="82" spans="1:24" x14ac:dyDescent="0.3">
      <c r="A82" s="21">
        <f>'Raw Data'!A82</f>
        <v>50081</v>
      </c>
      <c r="B82" s="21">
        <f>'Raw Data'!B82</f>
        <v>0</v>
      </c>
      <c r="C82" s="21">
        <f>'Raw Data'!C82</f>
        <v>0</v>
      </c>
      <c r="D82" s="21" t="str">
        <f>'Raw Data'!D82</f>
        <v>Mobile Phone</v>
      </c>
      <c r="E82" s="21">
        <f>'Raw Data'!E82</f>
        <v>1</v>
      </c>
      <c r="F82" s="21">
        <f>IF('Raw Data'!F82="",ROUND(AVERAGE('Raw Data'!$F$2:$F$1501),1),'Raw Data'!F82)</f>
        <v>21</v>
      </c>
      <c r="G82" s="21" t="str">
        <f>'Raw Data'!G82</f>
        <v>Credit Card</v>
      </c>
      <c r="H82" s="21" t="str">
        <f>'Raw Data'!H82</f>
        <v>Female</v>
      </c>
      <c r="I82" s="21">
        <f>IF('Raw Data'!I82="",ROUND(AVERAGE('Raw Data'!$I$2:$I$1501),1),'Raw Data'!I82)</f>
        <v>2.7</v>
      </c>
      <c r="J82" s="21">
        <f>'Raw Data'!J82</f>
        <v>2</v>
      </c>
      <c r="K82" s="21" t="str">
        <f>'Raw Data'!K82</f>
        <v>Mobile Phone</v>
      </c>
      <c r="L82" s="21">
        <f>'Raw Data'!L82</f>
        <v>3</v>
      </c>
      <c r="M82" s="21" t="str">
        <f>'Raw Data'!M82</f>
        <v>Single</v>
      </c>
      <c r="N82" s="21">
        <f>'Raw Data'!N82</f>
        <v>4</v>
      </c>
      <c r="O82" s="21">
        <f>'Raw Data'!O82</f>
        <v>0</v>
      </c>
      <c r="P82" s="21">
        <f>IF('Raw Data'!P82="",ROUND(AVERAGE('Raw Data'!$P$2:$P$1501),1),'Raw Data'!P82)</f>
        <v>12.9</v>
      </c>
      <c r="Q82" s="21">
        <f>IF('Raw Data'!Q82="",ROUND(AVERAGE('Raw Data'!$Q$2:$Q$1501),0),'Raw Data'!Q82)</f>
        <v>0</v>
      </c>
      <c r="R82" s="21">
        <f>'Raw Data'!R82</f>
        <v>7</v>
      </c>
      <c r="S82" s="21">
        <f>IF('Raw Data'!S82="",ROUND(AVERAGE('Raw Data'!$S$2:$S$1501),0),'Raw Data'!S82)</f>
        <v>2</v>
      </c>
      <c r="T82" s="21">
        <f>'Raw Data'!T82</f>
        <v>111.28</v>
      </c>
      <c r="U82" s="21" t="str">
        <f>INDEX('Lookup Tables'!$C$7:$C$9,MATCH(E82,'Lookup Tables'!$B$7:$B$9,0))</f>
        <v>Tier 1 (Metro)</v>
      </c>
      <c r="V82" s="21" t="str">
        <f t="shared" si="3"/>
        <v>0-6 months</v>
      </c>
      <c r="W82" s="21" t="str">
        <f t="shared" si="4"/>
        <v>Medium Risk</v>
      </c>
      <c r="X82" s="21" t="str">
        <f t="shared" si="5"/>
        <v>No</v>
      </c>
    </row>
    <row r="83" spans="1:24" x14ac:dyDescent="0.3">
      <c r="A83" s="21">
        <f>'Raw Data'!A83</f>
        <v>50082</v>
      </c>
      <c r="B83" s="21">
        <f>'Raw Data'!B83</f>
        <v>0</v>
      </c>
      <c r="C83" s="21">
        <f>'Raw Data'!C83</f>
        <v>2</v>
      </c>
      <c r="D83" s="21" t="str">
        <f>'Raw Data'!D83</f>
        <v>Mobile Phone</v>
      </c>
      <c r="E83" s="21">
        <f>'Raw Data'!E83</f>
        <v>3</v>
      </c>
      <c r="F83" s="21">
        <f>IF('Raw Data'!F83="",ROUND(AVERAGE('Raw Data'!$F$2:$F$1501),1),'Raw Data'!F83)</f>
        <v>19</v>
      </c>
      <c r="G83" s="21" t="str">
        <f>'Raw Data'!G83</f>
        <v>UPI</v>
      </c>
      <c r="H83" s="21" t="str">
        <f>'Raw Data'!H83</f>
        <v>Male</v>
      </c>
      <c r="I83" s="21">
        <f>IF('Raw Data'!I83="",ROUND(AVERAGE('Raw Data'!$I$2:$I$1501),1),'Raw Data'!I83)</f>
        <v>3.5</v>
      </c>
      <c r="J83" s="21">
        <f>'Raw Data'!J83</f>
        <v>3</v>
      </c>
      <c r="K83" s="21" t="str">
        <f>'Raw Data'!K83</f>
        <v>Laptop &amp; Accessory</v>
      </c>
      <c r="L83" s="21">
        <f>'Raw Data'!L83</f>
        <v>4</v>
      </c>
      <c r="M83" s="21" t="str">
        <f>'Raw Data'!M83</f>
        <v>Single</v>
      </c>
      <c r="N83" s="21">
        <f>'Raw Data'!N83</f>
        <v>2</v>
      </c>
      <c r="O83" s="21">
        <f>'Raw Data'!O83</f>
        <v>0</v>
      </c>
      <c r="P83" s="21">
        <f>IF('Raw Data'!P83="",ROUND(AVERAGE('Raw Data'!$P$2:$P$1501),1),'Raw Data'!P83)</f>
        <v>11</v>
      </c>
      <c r="Q83" s="21">
        <f>IF('Raw Data'!Q83="",ROUND(AVERAGE('Raw Data'!$Q$2:$Q$1501),0),'Raw Data'!Q83)</f>
        <v>5</v>
      </c>
      <c r="R83" s="21">
        <f>'Raw Data'!R83</f>
        <v>4</v>
      </c>
      <c r="S83" s="21">
        <f>IF('Raw Data'!S83="",ROUND(AVERAGE('Raw Data'!$S$2:$S$1501),0),'Raw Data'!S83)</f>
        <v>2</v>
      </c>
      <c r="T83" s="21">
        <f>'Raw Data'!T83</f>
        <v>212.29</v>
      </c>
      <c r="U83" s="21" t="str">
        <f>INDEX('Lookup Tables'!$C$7:$C$9,MATCH(E83,'Lookup Tables'!$B$7:$B$9,0))</f>
        <v>Tier 3 (Semi-urban/Rural)</v>
      </c>
      <c r="V83" s="21" t="str">
        <f t="shared" si="3"/>
        <v>0-6 months</v>
      </c>
      <c r="W83" s="21" t="str">
        <f t="shared" si="4"/>
        <v>Low Risk</v>
      </c>
      <c r="X83" s="21" t="str">
        <f t="shared" si="5"/>
        <v>No</v>
      </c>
    </row>
    <row r="84" spans="1:24" x14ac:dyDescent="0.3">
      <c r="A84" s="21">
        <f>'Raw Data'!A84</f>
        <v>50083</v>
      </c>
      <c r="B84" s="21">
        <f>'Raw Data'!B84</f>
        <v>0</v>
      </c>
      <c r="C84" s="21">
        <f>'Raw Data'!C84</f>
        <v>2</v>
      </c>
      <c r="D84" s="21" t="str">
        <f>'Raw Data'!D84</f>
        <v>Computer</v>
      </c>
      <c r="E84" s="21">
        <f>'Raw Data'!E84</f>
        <v>3</v>
      </c>
      <c r="F84" s="21">
        <f>IF('Raw Data'!F84="",ROUND(AVERAGE('Raw Data'!$F$2:$F$1501),1),'Raw Data'!F84)</f>
        <v>16</v>
      </c>
      <c r="G84" s="21" t="str">
        <f>'Raw Data'!G84</f>
        <v>Debit Card</v>
      </c>
      <c r="H84" s="21" t="str">
        <f>'Raw Data'!H84</f>
        <v>Female</v>
      </c>
      <c r="I84" s="21">
        <f>IF('Raw Data'!I84="",ROUND(AVERAGE('Raw Data'!$I$2:$I$1501),1),'Raw Data'!I84)</f>
        <v>3.5</v>
      </c>
      <c r="J84" s="21">
        <f>'Raw Data'!J84</f>
        <v>3</v>
      </c>
      <c r="K84" s="21" t="str">
        <f>'Raw Data'!K84</f>
        <v>Mobile Phone</v>
      </c>
      <c r="L84" s="21">
        <f>'Raw Data'!L84</f>
        <v>4</v>
      </c>
      <c r="M84" s="21" t="str">
        <f>'Raw Data'!M84</f>
        <v>Married</v>
      </c>
      <c r="N84" s="21">
        <f>'Raw Data'!N84</f>
        <v>1</v>
      </c>
      <c r="O84" s="21">
        <f>'Raw Data'!O84</f>
        <v>1</v>
      </c>
      <c r="P84" s="21">
        <f>IF('Raw Data'!P84="",ROUND(AVERAGE('Raw Data'!$P$2:$P$1501),1),'Raw Data'!P84)</f>
        <v>17.8</v>
      </c>
      <c r="Q84" s="21">
        <f>IF('Raw Data'!Q84="",ROUND(AVERAGE('Raw Data'!$Q$2:$Q$1501),0),'Raw Data'!Q84)</f>
        <v>1</v>
      </c>
      <c r="R84" s="21">
        <f>'Raw Data'!R84</f>
        <v>4</v>
      </c>
      <c r="S84" s="21">
        <f>IF('Raw Data'!S84="",ROUND(AVERAGE('Raw Data'!$S$2:$S$1501),0),'Raw Data'!S84)</f>
        <v>2</v>
      </c>
      <c r="T84" s="21">
        <f>'Raw Data'!T84</f>
        <v>246.03</v>
      </c>
      <c r="U84" s="21" t="str">
        <f>INDEX('Lookup Tables'!$C$7:$C$9,MATCH(E84,'Lookup Tables'!$B$7:$B$9,0))</f>
        <v>Tier 3 (Semi-urban/Rural)</v>
      </c>
      <c r="V84" s="21" t="str">
        <f t="shared" si="3"/>
        <v>0-6 months</v>
      </c>
      <c r="W84" s="21" t="str">
        <f t="shared" si="4"/>
        <v>Low Risk</v>
      </c>
      <c r="X84" s="21" t="str">
        <f t="shared" si="5"/>
        <v>No</v>
      </c>
    </row>
    <row r="85" spans="1:24" x14ac:dyDescent="0.3">
      <c r="A85" s="21">
        <f>'Raw Data'!A85</f>
        <v>50084</v>
      </c>
      <c r="B85" s="21">
        <f>'Raw Data'!B85</f>
        <v>0</v>
      </c>
      <c r="C85" s="21">
        <f>'Raw Data'!C85</f>
        <v>11</v>
      </c>
      <c r="D85" s="21" t="str">
        <f>'Raw Data'!D85</f>
        <v>Mobile Phone</v>
      </c>
      <c r="E85" s="21">
        <f>'Raw Data'!E85</f>
        <v>3</v>
      </c>
      <c r="F85" s="21">
        <f>IF('Raw Data'!F85="",ROUND(AVERAGE('Raw Data'!$F$2:$F$1501),1),'Raw Data'!F85)</f>
        <v>13</v>
      </c>
      <c r="G85" s="21" t="str">
        <f>'Raw Data'!G85</f>
        <v>Debit Card</v>
      </c>
      <c r="H85" s="21" t="str">
        <f>'Raw Data'!H85</f>
        <v>Male</v>
      </c>
      <c r="I85" s="21">
        <f>IF('Raw Data'!I85="",ROUND(AVERAGE('Raw Data'!$I$2:$I$1501),1),'Raw Data'!I85)</f>
        <v>2.2000000000000002</v>
      </c>
      <c r="J85" s="21">
        <f>'Raw Data'!J85</f>
        <v>6</v>
      </c>
      <c r="K85" s="21" t="str">
        <f>'Raw Data'!K85</f>
        <v>Mobile Phone</v>
      </c>
      <c r="L85" s="21">
        <f>'Raw Data'!L85</f>
        <v>4</v>
      </c>
      <c r="M85" s="21" t="str">
        <f>'Raw Data'!M85</f>
        <v>Divorced</v>
      </c>
      <c r="N85" s="21">
        <f>'Raw Data'!N85</f>
        <v>1</v>
      </c>
      <c r="O85" s="21">
        <f>'Raw Data'!O85</f>
        <v>0</v>
      </c>
      <c r="P85" s="21">
        <f>IF('Raw Data'!P85="",ROUND(AVERAGE('Raw Data'!$P$2:$P$1501),1),'Raw Data'!P85)</f>
        <v>16.3</v>
      </c>
      <c r="Q85" s="21">
        <f>IF('Raw Data'!Q85="",ROUND(AVERAGE('Raw Data'!$Q$2:$Q$1501),0),'Raw Data'!Q85)</f>
        <v>2</v>
      </c>
      <c r="R85" s="21">
        <f>'Raw Data'!R85</f>
        <v>4</v>
      </c>
      <c r="S85" s="21">
        <f>IF('Raw Data'!S85="",ROUND(AVERAGE('Raw Data'!$S$2:$S$1501),0),'Raw Data'!S85)</f>
        <v>1</v>
      </c>
      <c r="T85" s="21">
        <f>'Raw Data'!T85</f>
        <v>148.5</v>
      </c>
      <c r="U85" s="21" t="str">
        <f>INDEX('Lookup Tables'!$C$7:$C$9,MATCH(E85,'Lookup Tables'!$B$7:$B$9,0))</f>
        <v>Tier 3 (Semi-urban/Rural)</v>
      </c>
      <c r="V85" s="21" t="str">
        <f t="shared" si="3"/>
        <v>7-12 months</v>
      </c>
      <c r="W85" s="21" t="str">
        <f t="shared" si="4"/>
        <v>Low Risk</v>
      </c>
      <c r="X85" s="21" t="str">
        <f t="shared" si="5"/>
        <v>No</v>
      </c>
    </row>
    <row r="86" spans="1:24" x14ac:dyDescent="0.3">
      <c r="A86" s="21">
        <f>'Raw Data'!A86</f>
        <v>50085</v>
      </c>
      <c r="B86" s="21">
        <f>'Raw Data'!B86</f>
        <v>0</v>
      </c>
      <c r="C86" s="21">
        <f>'Raw Data'!C86</f>
        <v>0</v>
      </c>
      <c r="D86" s="21" t="str">
        <f>'Raw Data'!D86</f>
        <v>Phone</v>
      </c>
      <c r="E86" s="21">
        <f>'Raw Data'!E86</f>
        <v>3</v>
      </c>
      <c r="F86" s="21">
        <f>IF('Raw Data'!F86="",ROUND(AVERAGE('Raw Data'!$F$2:$F$1501),1),'Raw Data'!F86)</f>
        <v>24</v>
      </c>
      <c r="G86" s="21" t="str">
        <f>'Raw Data'!G86</f>
        <v>UPI</v>
      </c>
      <c r="H86" s="21" t="str">
        <f>'Raw Data'!H86</f>
        <v>Female</v>
      </c>
      <c r="I86" s="21">
        <f>IF('Raw Data'!I86="",ROUND(AVERAGE('Raw Data'!$I$2:$I$1501),1),'Raw Data'!I86)</f>
        <v>2.8</v>
      </c>
      <c r="J86" s="21">
        <f>'Raw Data'!J86</f>
        <v>2</v>
      </c>
      <c r="K86" s="21" t="str">
        <f>'Raw Data'!K86</f>
        <v>Laptop &amp; Accessory</v>
      </c>
      <c r="L86" s="21">
        <f>'Raw Data'!L86</f>
        <v>5</v>
      </c>
      <c r="M86" s="21" t="str">
        <f>'Raw Data'!M86</f>
        <v>Married</v>
      </c>
      <c r="N86" s="21">
        <f>'Raw Data'!N86</f>
        <v>1</v>
      </c>
      <c r="O86" s="21">
        <f>'Raw Data'!O86</f>
        <v>0</v>
      </c>
      <c r="P86" s="21">
        <f>IF('Raw Data'!P86="",ROUND(AVERAGE('Raw Data'!$P$2:$P$1501),1),'Raw Data'!P86)</f>
        <v>13.7</v>
      </c>
      <c r="Q86" s="21">
        <f>IF('Raw Data'!Q86="",ROUND(AVERAGE('Raw Data'!$Q$2:$Q$1501),0),'Raw Data'!Q86)</f>
        <v>4</v>
      </c>
      <c r="R86" s="21">
        <f>'Raw Data'!R86</f>
        <v>6</v>
      </c>
      <c r="S86" s="21">
        <f>IF('Raw Data'!S86="",ROUND(AVERAGE('Raw Data'!$S$2:$S$1501),0),'Raw Data'!S86)</f>
        <v>5</v>
      </c>
      <c r="T86" s="21">
        <f>'Raw Data'!T86</f>
        <v>207.88</v>
      </c>
      <c r="U86" s="21" t="str">
        <f>INDEX('Lookup Tables'!$C$7:$C$9,MATCH(E86,'Lookup Tables'!$B$7:$B$9,0))</f>
        <v>Tier 3 (Semi-urban/Rural)</v>
      </c>
      <c r="V86" s="21" t="str">
        <f t="shared" si="3"/>
        <v>0-6 months</v>
      </c>
      <c r="W86" s="21" t="str">
        <f t="shared" si="4"/>
        <v>Low Risk</v>
      </c>
      <c r="X86" s="21" t="str">
        <f t="shared" si="5"/>
        <v>No</v>
      </c>
    </row>
    <row r="87" spans="1:24" x14ac:dyDescent="0.3">
      <c r="A87" s="21">
        <f>'Raw Data'!A87</f>
        <v>50086</v>
      </c>
      <c r="B87" s="21">
        <f>'Raw Data'!B87</f>
        <v>0</v>
      </c>
      <c r="C87" s="21">
        <f>'Raw Data'!C87</f>
        <v>1</v>
      </c>
      <c r="D87" s="21" t="str">
        <f>'Raw Data'!D87</f>
        <v>Mobile Phone</v>
      </c>
      <c r="E87" s="21">
        <f>'Raw Data'!E87</f>
        <v>1</v>
      </c>
      <c r="F87" s="21">
        <f>IF('Raw Data'!F87="",ROUND(AVERAGE('Raw Data'!$F$2:$F$1501),1),'Raw Data'!F87)</f>
        <v>16</v>
      </c>
      <c r="G87" s="21" t="str">
        <f>'Raw Data'!G87</f>
        <v>E wallet</v>
      </c>
      <c r="H87" s="21" t="str">
        <f>'Raw Data'!H87</f>
        <v>Male</v>
      </c>
      <c r="I87" s="21">
        <f>IF('Raw Data'!I87="",ROUND(AVERAGE('Raw Data'!$I$2:$I$1501),1),'Raw Data'!I87)</f>
        <v>3.1</v>
      </c>
      <c r="J87" s="21">
        <f>'Raw Data'!J87</f>
        <v>5</v>
      </c>
      <c r="K87" s="21" t="str">
        <f>'Raw Data'!K87</f>
        <v>Grocery</v>
      </c>
      <c r="L87" s="21">
        <f>'Raw Data'!L87</f>
        <v>3</v>
      </c>
      <c r="M87" s="21" t="str">
        <f>'Raw Data'!M87</f>
        <v>Married</v>
      </c>
      <c r="N87" s="21">
        <f>'Raw Data'!N87</f>
        <v>4</v>
      </c>
      <c r="O87" s="21">
        <f>'Raw Data'!O87</f>
        <v>0</v>
      </c>
      <c r="P87" s="21">
        <f>IF('Raw Data'!P87="",ROUND(AVERAGE('Raw Data'!$P$2:$P$1501),1),'Raw Data'!P87)</f>
        <v>19.600000000000001</v>
      </c>
      <c r="Q87" s="21">
        <f>IF('Raw Data'!Q87="",ROUND(AVERAGE('Raw Data'!$Q$2:$Q$1501),0),'Raw Data'!Q87)</f>
        <v>1</v>
      </c>
      <c r="R87" s="21">
        <f>'Raw Data'!R87</f>
        <v>3</v>
      </c>
      <c r="S87" s="21">
        <f>IF('Raw Data'!S87="",ROUND(AVERAGE('Raw Data'!$S$2:$S$1501),0),'Raw Data'!S87)</f>
        <v>13</v>
      </c>
      <c r="T87" s="21">
        <f>'Raw Data'!T87</f>
        <v>266.98</v>
      </c>
      <c r="U87" s="21" t="str">
        <f>INDEX('Lookup Tables'!$C$7:$C$9,MATCH(E87,'Lookup Tables'!$B$7:$B$9,0))</f>
        <v>Tier 1 (Metro)</v>
      </c>
      <c r="V87" s="21" t="str">
        <f t="shared" si="3"/>
        <v>0-6 months</v>
      </c>
      <c r="W87" s="21" t="str">
        <f t="shared" si="4"/>
        <v>Medium Risk</v>
      </c>
      <c r="X87" s="21" t="str">
        <f t="shared" si="5"/>
        <v>No</v>
      </c>
    </row>
    <row r="88" spans="1:24" x14ac:dyDescent="0.3">
      <c r="A88" s="21">
        <f>'Raw Data'!A88</f>
        <v>50087</v>
      </c>
      <c r="B88" s="21">
        <f>'Raw Data'!B88</f>
        <v>1</v>
      </c>
      <c r="C88" s="21">
        <f>'Raw Data'!C88</f>
        <v>16</v>
      </c>
      <c r="D88" s="21" t="str">
        <f>'Raw Data'!D88</f>
        <v>Computer</v>
      </c>
      <c r="E88" s="21">
        <f>'Raw Data'!E88</f>
        <v>1</v>
      </c>
      <c r="F88" s="21">
        <f>IF('Raw Data'!F88="",ROUND(AVERAGE('Raw Data'!$F$2:$F$1501),1),'Raw Data'!F88)</f>
        <v>5</v>
      </c>
      <c r="G88" s="21" t="str">
        <f>'Raw Data'!G88</f>
        <v>Credit Card</v>
      </c>
      <c r="H88" s="21" t="str">
        <f>'Raw Data'!H88</f>
        <v>Male</v>
      </c>
      <c r="I88" s="21">
        <f>IF('Raw Data'!I88="",ROUND(AVERAGE('Raw Data'!$I$2:$I$1501),1),'Raw Data'!I88)</f>
        <v>2.7</v>
      </c>
      <c r="J88" s="21">
        <f>'Raw Data'!J88</f>
        <v>5</v>
      </c>
      <c r="K88" s="21" t="str">
        <f>'Raw Data'!K88</f>
        <v>Others</v>
      </c>
      <c r="L88" s="21">
        <f>'Raw Data'!L88</f>
        <v>2</v>
      </c>
      <c r="M88" s="21" t="str">
        <f>'Raw Data'!M88</f>
        <v>Single</v>
      </c>
      <c r="N88" s="21">
        <f>'Raw Data'!N88</f>
        <v>1</v>
      </c>
      <c r="O88" s="21">
        <f>'Raw Data'!O88</f>
        <v>0</v>
      </c>
      <c r="P88" s="21">
        <f>IF('Raw Data'!P88="",ROUND(AVERAGE('Raw Data'!$P$2:$P$1501),1),'Raw Data'!P88)</f>
        <v>14.5</v>
      </c>
      <c r="Q88" s="21">
        <f>IF('Raw Data'!Q88="",ROUND(AVERAGE('Raw Data'!$Q$2:$Q$1501),0),'Raw Data'!Q88)</f>
        <v>1</v>
      </c>
      <c r="R88" s="21">
        <f>'Raw Data'!R88</f>
        <v>4</v>
      </c>
      <c r="S88" s="21">
        <f>IF('Raw Data'!S88="",ROUND(AVERAGE('Raw Data'!$S$2:$S$1501),0),'Raw Data'!S88)</f>
        <v>0</v>
      </c>
      <c r="T88" s="21">
        <f>'Raw Data'!T88</f>
        <v>198.64</v>
      </c>
      <c r="U88" s="21" t="str">
        <f>INDEX('Lookup Tables'!$C$7:$C$9,MATCH(E88,'Lookup Tables'!$B$7:$B$9,0))</f>
        <v>Tier 1 (Metro)</v>
      </c>
      <c r="V88" s="21" t="str">
        <f t="shared" si="3"/>
        <v>13-24 months</v>
      </c>
      <c r="W88" s="21" t="str">
        <f t="shared" si="4"/>
        <v>Low Risk</v>
      </c>
      <c r="X88" s="21" t="str">
        <f t="shared" si="5"/>
        <v>Yes</v>
      </c>
    </row>
    <row r="89" spans="1:24" x14ac:dyDescent="0.3">
      <c r="A89" s="21">
        <f>'Raw Data'!A89</f>
        <v>50088</v>
      </c>
      <c r="B89" s="21">
        <f>'Raw Data'!B89</f>
        <v>0</v>
      </c>
      <c r="C89" s="21">
        <f>'Raw Data'!C89</f>
        <v>1</v>
      </c>
      <c r="D89" s="21" t="str">
        <f>'Raw Data'!D89</f>
        <v>Mobile Phone</v>
      </c>
      <c r="E89" s="21">
        <f>'Raw Data'!E89</f>
        <v>2</v>
      </c>
      <c r="F89" s="21">
        <f>IF('Raw Data'!F89="",ROUND(AVERAGE('Raw Data'!$F$2:$F$1501),1),'Raw Data'!F89)</f>
        <v>6</v>
      </c>
      <c r="G89" s="21" t="str">
        <f>'Raw Data'!G89</f>
        <v>Debit Card</v>
      </c>
      <c r="H89" s="21" t="str">
        <f>'Raw Data'!H89</f>
        <v>Female</v>
      </c>
      <c r="I89" s="21">
        <f>IF('Raw Data'!I89="",ROUND(AVERAGE('Raw Data'!$I$2:$I$1501),1),'Raw Data'!I89)</f>
        <v>3.3</v>
      </c>
      <c r="J89" s="21">
        <f>'Raw Data'!J89</f>
        <v>3</v>
      </c>
      <c r="K89" s="21" t="str">
        <f>'Raw Data'!K89</f>
        <v>Laptop &amp; Accessory</v>
      </c>
      <c r="L89" s="21">
        <f>'Raw Data'!L89</f>
        <v>4</v>
      </c>
      <c r="M89" s="21" t="str">
        <f>'Raw Data'!M89</f>
        <v>Divorced</v>
      </c>
      <c r="N89" s="21">
        <f>'Raw Data'!N89</f>
        <v>6</v>
      </c>
      <c r="O89" s="21">
        <f>'Raw Data'!O89</f>
        <v>1</v>
      </c>
      <c r="P89" s="21">
        <f>IF('Raw Data'!P89="",ROUND(AVERAGE('Raw Data'!$P$2:$P$1501),1),'Raw Data'!P89)</f>
        <v>15.5</v>
      </c>
      <c r="Q89" s="21">
        <f>IF('Raw Data'!Q89="",ROUND(AVERAGE('Raw Data'!$Q$2:$Q$1501),0),'Raw Data'!Q89)</f>
        <v>2</v>
      </c>
      <c r="R89" s="21">
        <f>'Raw Data'!R89</f>
        <v>5</v>
      </c>
      <c r="S89" s="21">
        <f>IF('Raw Data'!S89="",ROUND(AVERAGE('Raw Data'!$S$2:$S$1501),0),'Raw Data'!S89)</f>
        <v>4</v>
      </c>
      <c r="T89" s="21">
        <f>'Raw Data'!T89</f>
        <v>158.16999999999999</v>
      </c>
      <c r="U89" s="21" t="str">
        <f>INDEX('Lookup Tables'!$C$7:$C$9,MATCH(E89,'Lookup Tables'!$B$7:$B$9,0))</f>
        <v>Tier 2 (Urban)</v>
      </c>
      <c r="V89" s="21" t="str">
        <f t="shared" si="3"/>
        <v>0-6 months</v>
      </c>
      <c r="W89" s="21" t="str">
        <f t="shared" si="4"/>
        <v>Low Risk</v>
      </c>
      <c r="X89" s="21" t="str">
        <f t="shared" si="5"/>
        <v>No</v>
      </c>
    </row>
    <row r="90" spans="1:24" x14ac:dyDescent="0.3">
      <c r="A90" s="21">
        <f>'Raw Data'!A90</f>
        <v>50089</v>
      </c>
      <c r="B90" s="21">
        <f>'Raw Data'!B90</f>
        <v>0</v>
      </c>
      <c r="C90" s="21">
        <f>'Raw Data'!C90</f>
        <v>10</v>
      </c>
      <c r="D90" s="21" t="str">
        <f>'Raw Data'!D90</f>
        <v>Computer</v>
      </c>
      <c r="E90" s="21">
        <f>'Raw Data'!E90</f>
        <v>1</v>
      </c>
      <c r="F90" s="21">
        <f>IF('Raw Data'!F90="",ROUND(AVERAGE('Raw Data'!$F$2:$F$1501),1),'Raw Data'!F90)</f>
        <v>13</v>
      </c>
      <c r="G90" s="21" t="str">
        <f>'Raw Data'!G90</f>
        <v>Debit Card</v>
      </c>
      <c r="H90" s="21" t="str">
        <f>'Raw Data'!H90</f>
        <v>Male</v>
      </c>
      <c r="I90" s="21">
        <f>IF('Raw Data'!I90="",ROUND(AVERAGE('Raw Data'!$I$2:$I$1501),1),'Raw Data'!I90)</f>
        <v>3.1</v>
      </c>
      <c r="J90" s="21">
        <f>'Raw Data'!J90</f>
        <v>3</v>
      </c>
      <c r="K90" s="21" t="str">
        <f>'Raw Data'!K90</f>
        <v>Laptop &amp; Accessory</v>
      </c>
      <c r="L90" s="21">
        <f>'Raw Data'!L90</f>
        <v>2</v>
      </c>
      <c r="M90" s="21" t="str">
        <f>'Raw Data'!M90</f>
        <v>Married</v>
      </c>
      <c r="N90" s="21">
        <f>'Raw Data'!N90</f>
        <v>5</v>
      </c>
      <c r="O90" s="21">
        <f>'Raw Data'!O90</f>
        <v>0</v>
      </c>
      <c r="P90" s="21">
        <f>IF('Raw Data'!P90="",ROUND(AVERAGE('Raw Data'!$P$2:$P$1501),1),'Raw Data'!P90)</f>
        <v>15.9</v>
      </c>
      <c r="Q90" s="21">
        <f>IF('Raw Data'!Q90="",ROUND(AVERAGE('Raw Data'!$Q$2:$Q$1501),0),'Raw Data'!Q90)</f>
        <v>4</v>
      </c>
      <c r="R90" s="21">
        <f>'Raw Data'!R90</f>
        <v>4</v>
      </c>
      <c r="S90" s="21">
        <f>IF('Raw Data'!S90="",ROUND(AVERAGE('Raw Data'!$S$2:$S$1501),0),'Raw Data'!S90)</f>
        <v>4</v>
      </c>
      <c r="T90" s="21">
        <f>'Raw Data'!T90</f>
        <v>237.25</v>
      </c>
      <c r="U90" s="21" t="str">
        <f>INDEX('Lookup Tables'!$C$7:$C$9,MATCH(E90,'Lookup Tables'!$B$7:$B$9,0))</f>
        <v>Tier 1 (Metro)</v>
      </c>
      <c r="V90" s="21" t="str">
        <f t="shared" si="3"/>
        <v>7-12 months</v>
      </c>
      <c r="W90" s="21" t="str">
        <f t="shared" si="4"/>
        <v>Low Risk</v>
      </c>
      <c r="X90" s="21" t="str">
        <f t="shared" si="5"/>
        <v>No</v>
      </c>
    </row>
    <row r="91" spans="1:24" x14ac:dyDescent="0.3">
      <c r="A91" s="21">
        <f>'Raw Data'!A91</f>
        <v>50090</v>
      </c>
      <c r="B91" s="21">
        <f>'Raw Data'!B91</f>
        <v>0</v>
      </c>
      <c r="C91" s="21">
        <f>'Raw Data'!C91</f>
        <v>2</v>
      </c>
      <c r="D91" s="21" t="str">
        <f>'Raw Data'!D91</f>
        <v>Mobile Phone</v>
      </c>
      <c r="E91" s="21">
        <f>'Raw Data'!E91</f>
        <v>2</v>
      </c>
      <c r="F91" s="21">
        <f>IF('Raw Data'!F91="",ROUND(AVERAGE('Raw Data'!$F$2:$F$1501),1),'Raw Data'!F91)</f>
        <v>17</v>
      </c>
      <c r="G91" s="21" t="str">
        <f>'Raw Data'!G91</f>
        <v>E wallet</v>
      </c>
      <c r="H91" s="21" t="str">
        <f>'Raw Data'!H91</f>
        <v>Female</v>
      </c>
      <c r="I91" s="21">
        <f>IF('Raw Data'!I91="",ROUND(AVERAGE('Raw Data'!$I$2:$I$1501),1),'Raw Data'!I91)</f>
        <v>4.2</v>
      </c>
      <c r="J91" s="21">
        <f>'Raw Data'!J91</f>
        <v>3</v>
      </c>
      <c r="K91" s="21" t="str">
        <f>'Raw Data'!K91</f>
        <v>Mobile Phone</v>
      </c>
      <c r="L91" s="21">
        <f>'Raw Data'!L91</f>
        <v>3</v>
      </c>
      <c r="M91" s="21" t="str">
        <f>'Raw Data'!M91</f>
        <v>Married</v>
      </c>
      <c r="N91" s="21">
        <f>'Raw Data'!N91</f>
        <v>1</v>
      </c>
      <c r="O91" s="21">
        <f>'Raw Data'!O91</f>
        <v>0</v>
      </c>
      <c r="P91" s="21">
        <f>IF('Raw Data'!P91="",ROUND(AVERAGE('Raw Data'!$P$2:$P$1501),1),'Raw Data'!P91)</f>
        <v>14.8</v>
      </c>
      <c r="Q91" s="21">
        <f>IF('Raw Data'!Q91="",ROUND(AVERAGE('Raw Data'!$Q$2:$Q$1501),0),'Raw Data'!Q91)</f>
        <v>2</v>
      </c>
      <c r="R91" s="21">
        <f>'Raw Data'!R91</f>
        <v>4</v>
      </c>
      <c r="S91" s="21">
        <f>IF('Raw Data'!S91="",ROUND(AVERAGE('Raw Data'!$S$2:$S$1501),0),'Raw Data'!S91)</f>
        <v>0</v>
      </c>
      <c r="T91" s="21">
        <f>'Raw Data'!T91</f>
        <v>139.43</v>
      </c>
      <c r="U91" s="21" t="str">
        <f>INDEX('Lookup Tables'!$C$7:$C$9,MATCH(E91,'Lookup Tables'!$B$7:$B$9,0))</f>
        <v>Tier 2 (Urban)</v>
      </c>
      <c r="V91" s="21" t="str">
        <f t="shared" si="3"/>
        <v>0-6 months</v>
      </c>
      <c r="W91" s="21" t="str">
        <f t="shared" si="4"/>
        <v>Medium Risk</v>
      </c>
      <c r="X91" s="21" t="str">
        <f t="shared" si="5"/>
        <v>No</v>
      </c>
    </row>
    <row r="92" spans="1:24" x14ac:dyDescent="0.3">
      <c r="A92" s="21">
        <f>'Raw Data'!A92</f>
        <v>50091</v>
      </c>
      <c r="B92" s="21">
        <f>'Raw Data'!B92</f>
        <v>0</v>
      </c>
      <c r="C92" s="21">
        <f>'Raw Data'!C92</f>
        <v>1</v>
      </c>
      <c r="D92" s="21" t="str">
        <f>'Raw Data'!D92</f>
        <v>Mobile Phone</v>
      </c>
      <c r="E92" s="21">
        <f>'Raw Data'!E92</f>
        <v>3</v>
      </c>
      <c r="F92" s="21">
        <f>IF('Raw Data'!F92="",ROUND(AVERAGE('Raw Data'!$F$2:$F$1501),1),'Raw Data'!F92)</f>
        <v>14</v>
      </c>
      <c r="G92" s="21" t="str">
        <f>'Raw Data'!G92</f>
        <v>Debit Card</v>
      </c>
      <c r="H92" s="21" t="str">
        <f>'Raw Data'!H92</f>
        <v>Male</v>
      </c>
      <c r="I92" s="21">
        <f>IF('Raw Data'!I92="",ROUND(AVERAGE('Raw Data'!$I$2:$I$1501),1),'Raw Data'!I92)</f>
        <v>1.8</v>
      </c>
      <c r="J92" s="21">
        <f>'Raw Data'!J92</f>
        <v>3</v>
      </c>
      <c r="K92" s="21" t="str">
        <f>'Raw Data'!K92</f>
        <v>Fashion</v>
      </c>
      <c r="L92" s="21">
        <f>'Raw Data'!L92</f>
        <v>2</v>
      </c>
      <c r="M92" s="21" t="str">
        <f>'Raw Data'!M92</f>
        <v>Married</v>
      </c>
      <c r="N92" s="21">
        <f>'Raw Data'!N92</f>
        <v>4</v>
      </c>
      <c r="O92" s="21">
        <f>'Raw Data'!O92</f>
        <v>0</v>
      </c>
      <c r="P92" s="21">
        <f>IF('Raw Data'!P92="",ROUND(AVERAGE('Raw Data'!$P$2:$P$1501),1),'Raw Data'!P92)</f>
        <v>16.8</v>
      </c>
      <c r="Q92" s="21">
        <f>IF('Raw Data'!Q92="",ROUND(AVERAGE('Raw Data'!$Q$2:$Q$1501),0),'Raw Data'!Q92)</f>
        <v>3</v>
      </c>
      <c r="R92" s="21">
        <f>'Raw Data'!R92</f>
        <v>4</v>
      </c>
      <c r="S92" s="21">
        <f>IF('Raw Data'!S92="",ROUND(AVERAGE('Raw Data'!$S$2:$S$1501),0),'Raw Data'!S92)</f>
        <v>3</v>
      </c>
      <c r="T92" s="21">
        <f>'Raw Data'!T92</f>
        <v>108.6</v>
      </c>
      <c r="U92" s="21" t="str">
        <f>INDEX('Lookup Tables'!$C$7:$C$9,MATCH(E92,'Lookup Tables'!$B$7:$B$9,0))</f>
        <v>Tier 3 (Semi-urban/Rural)</v>
      </c>
      <c r="V92" s="21" t="str">
        <f t="shared" si="3"/>
        <v>0-6 months</v>
      </c>
      <c r="W92" s="21" t="str">
        <f t="shared" si="4"/>
        <v>Low Risk</v>
      </c>
      <c r="X92" s="21" t="str">
        <f t="shared" si="5"/>
        <v>No</v>
      </c>
    </row>
    <row r="93" spans="1:24" x14ac:dyDescent="0.3">
      <c r="A93" s="21">
        <f>'Raw Data'!A93</f>
        <v>50092</v>
      </c>
      <c r="B93" s="21">
        <f>'Raw Data'!B93</f>
        <v>1</v>
      </c>
      <c r="C93" s="21">
        <f>'Raw Data'!C93</f>
        <v>2</v>
      </c>
      <c r="D93" s="21" t="str">
        <f>'Raw Data'!D93</f>
        <v>Phone</v>
      </c>
      <c r="E93" s="21">
        <f>'Raw Data'!E93</f>
        <v>2</v>
      </c>
      <c r="F93" s="21">
        <f>IF('Raw Data'!F93="",ROUND(AVERAGE('Raw Data'!$F$2:$F$1501),1),'Raw Data'!F93)</f>
        <v>24</v>
      </c>
      <c r="G93" s="21" t="str">
        <f>'Raw Data'!G93</f>
        <v>Credit Card</v>
      </c>
      <c r="H93" s="21" t="str">
        <f>'Raw Data'!H93</f>
        <v>Male</v>
      </c>
      <c r="I93" s="21">
        <f>IF('Raw Data'!I93="",ROUND(AVERAGE('Raw Data'!$I$2:$I$1501),1),'Raw Data'!I93)</f>
        <v>2.8</v>
      </c>
      <c r="J93" s="21">
        <f>'Raw Data'!J93</f>
        <v>2</v>
      </c>
      <c r="K93" s="21" t="str">
        <f>'Raw Data'!K93</f>
        <v>Laptop &amp; Accessory</v>
      </c>
      <c r="L93" s="21">
        <f>'Raw Data'!L93</f>
        <v>3</v>
      </c>
      <c r="M93" s="21" t="str">
        <f>'Raw Data'!M93</f>
        <v>Single</v>
      </c>
      <c r="N93" s="21">
        <f>'Raw Data'!N93</f>
        <v>3</v>
      </c>
      <c r="O93" s="21">
        <f>'Raw Data'!O93</f>
        <v>0</v>
      </c>
      <c r="P93" s="21">
        <f>IF('Raw Data'!P93="",ROUND(AVERAGE('Raw Data'!$P$2:$P$1501),1),'Raw Data'!P93)</f>
        <v>20</v>
      </c>
      <c r="Q93" s="21">
        <f>IF('Raw Data'!Q93="",ROUND(AVERAGE('Raw Data'!$Q$2:$Q$1501),0),'Raw Data'!Q93)</f>
        <v>2</v>
      </c>
      <c r="R93" s="21">
        <f>'Raw Data'!R93</f>
        <v>1</v>
      </c>
      <c r="S93" s="21">
        <f>IF('Raw Data'!S93="",ROUND(AVERAGE('Raw Data'!$S$2:$S$1501),0),'Raw Data'!S93)</f>
        <v>10</v>
      </c>
      <c r="T93" s="21">
        <f>'Raw Data'!T93</f>
        <v>224.68</v>
      </c>
      <c r="U93" s="21" t="str">
        <f>INDEX('Lookup Tables'!$C$7:$C$9,MATCH(E93,'Lookup Tables'!$B$7:$B$9,0))</f>
        <v>Tier 2 (Urban)</v>
      </c>
      <c r="V93" s="21" t="str">
        <f t="shared" si="3"/>
        <v>0-6 months</v>
      </c>
      <c r="W93" s="21" t="str">
        <f t="shared" si="4"/>
        <v>Medium Risk</v>
      </c>
      <c r="X93" s="21" t="str">
        <f t="shared" si="5"/>
        <v>Yes</v>
      </c>
    </row>
    <row r="94" spans="1:24" x14ac:dyDescent="0.3">
      <c r="A94" s="21">
        <f>'Raw Data'!A94</f>
        <v>50093</v>
      </c>
      <c r="B94" s="21">
        <f>'Raw Data'!B94</f>
        <v>1</v>
      </c>
      <c r="C94" s="21">
        <f>'Raw Data'!C94</f>
        <v>12</v>
      </c>
      <c r="D94" s="21" t="str">
        <f>'Raw Data'!D94</f>
        <v>Mobile Phone</v>
      </c>
      <c r="E94" s="21">
        <f>'Raw Data'!E94</f>
        <v>1</v>
      </c>
      <c r="F94" s="21">
        <f>IF('Raw Data'!F94="",ROUND(AVERAGE('Raw Data'!$F$2:$F$1501),1),'Raw Data'!F94)</f>
        <v>5</v>
      </c>
      <c r="G94" s="21" t="str">
        <f>'Raw Data'!G94</f>
        <v>Credit Card</v>
      </c>
      <c r="H94" s="21" t="str">
        <f>'Raw Data'!H94</f>
        <v>Male</v>
      </c>
      <c r="I94" s="21">
        <f>IF('Raw Data'!I94="",ROUND(AVERAGE('Raw Data'!$I$2:$I$1501),1),'Raw Data'!I94)</f>
        <v>2.2999999999999998</v>
      </c>
      <c r="J94" s="21">
        <f>'Raw Data'!J94</f>
        <v>3</v>
      </c>
      <c r="K94" s="21" t="str">
        <f>'Raw Data'!K94</f>
        <v>Laptop &amp; Accessory</v>
      </c>
      <c r="L94" s="21">
        <f>'Raw Data'!L94</f>
        <v>2</v>
      </c>
      <c r="M94" s="21" t="str">
        <f>'Raw Data'!M94</f>
        <v>Married</v>
      </c>
      <c r="N94" s="21">
        <f>'Raw Data'!N94</f>
        <v>4</v>
      </c>
      <c r="O94" s="21">
        <f>'Raw Data'!O94</f>
        <v>0</v>
      </c>
      <c r="P94" s="21">
        <f>IF('Raw Data'!P94="",ROUND(AVERAGE('Raw Data'!$P$2:$P$1501),1),'Raw Data'!P94)</f>
        <v>12</v>
      </c>
      <c r="Q94" s="21">
        <f>IF('Raw Data'!Q94="",ROUND(AVERAGE('Raw Data'!$Q$2:$Q$1501),0),'Raw Data'!Q94)</f>
        <v>1</v>
      </c>
      <c r="R94" s="21">
        <f>'Raw Data'!R94</f>
        <v>1</v>
      </c>
      <c r="S94" s="21">
        <f>IF('Raw Data'!S94="",ROUND(AVERAGE('Raw Data'!$S$2:$S$1501),0),'Raw Data'!S94)</f>
        <v>11</v>
      </c>
      <c r="T94" s="21">
        <f>'Raw Data'!T94</f>
        <v>157.66</v>
      </c>
      <c r="U94" s="21" t="str">
        <f>INDEX('Lookup Tables'!$C$7:$C$9,MATCH(E94,'Lookup Tables'!$B$7:$B$9,0))</f>
        <v>Tier 1 (Metro)</v>
      </c>
      <c r="V94" s="21" t="str">
        <f t="shared" si="3"/>
        <v>7-12 months</v>
      </c>
      <c r="W94" s="21" t="str">
        <f t="shared" si="4"/>
        <v>Low Risk</v>
      </c>
      <c r="X94" s="21" t="str">
        <f t="shared" si="5"/>
        <v>Yes</v>
      </c>
    </row>
    <row r="95" spans="1:24" x14ac:dyDescent="0.3">
      <c r="A95" s="21">
        <f>'Raw Data'!A95</f>
        <v>50094</v>
      </c>
      <c r="B95" s="21">
        <f>'Raw Data'!B95</f>
        <v>0</v>
      </c>
      <c r="C95" s="21">
        <f>'Raw Data'!C95</f>
        <v>19</v>
      </c>
      <c r="D95" s="21" t="str">
        <f>'Raw Data'!D95</f>
        <v>Phone</v>
      </c>
      <c r="E95" s="21">
        <f>'Raw Data'!E95</f>
        <v>1</v>
      </c>
      <c r="F95" s="21">
        <f>IF('Raw Data'!F95="",ROUND(AVERAGE('Raw Data'!$F$2:$F$1501),1),'Raw Data'!F95)</f>
        <v>16</v>
      </c>
      <c r="G95" s="21" t="str">
        <f>'Raw Data'!G95</f>
        <v>Debit Card</v>
      </c>
      <c r="H95" s="21" t="str">
        <f>'Raw Data'!H95</f>
        <v>Female</v>
      </c>
      <c r="I95" s="21">
        <f>IF('Raw Data'!I95="",ROUND(AVERAGE('Raw Data'!$I$2:$I$1501),1),'Raw Data'!I95)</f>
        <v>3.3</v>
      </c>
      <c r="J95" s="21">
        <f>'Raw Data'!J95</f>
        <v>5</v>
      </c>
      <c r="K95" s="21" t="str">
        <f>'Raw Data'!K95</f>
        <v>Mobile Phone</v>
      </c>
      <c r="L95" s="21">
        <f>'Raw Data'!L95</f>
        <v>1</v>
      </c>
      <c r="M95" s="21" t="str">
        <f>'Raw Data'!M95</f>
        <v>Divorced</v>
      </c>
      <c r="N95" s="21">
        <f>'Raw Data'!N95</f>
        <v>1</v>
      </c>
      <c r="O95" s="21">
        <f>'Raw Data'!O95</f>
        <v>0</v>
      </c>
      <c r="P95" s="21">
        <f>IF('Raw Data'!P95="",ROUND(AVERAGE('Raw Data'!$P$2:$P$1501),1),'Raw Data'!P95)</f>
        <v>17.7</v>
      </c>
      <c r="Q95" s="21">
        <f>IF('Raw Data'!Q95="",ROUND(AVERAGE('Raw Data'!$Q$2:$Q$1501),0),'Raw Data'!Q95)</f>
        <v>1</v>
      </c>
      <c r="R95" s="21">
        <f>'Raw Data'!R95</f>
        <v>4</v>
      </c>
      <c r="S95" s="21">
        <f>IF('Raw Data'!S95="",ROUND(AVERAGE('Raw Data'!$S$2:$S$1501),0),'Raw Data'!S95)</f>
        <v>3</v>
      </c>
      <c r="T95" s="21">
        <f>'Raw Data'!T95</f>
        <v>162.59</v>
      </c>
      <c r="U95" s="21" t="str">
        <f>INDEX('Lookup Tables'!$C$7:$C$9,MATCH(E95,'Lookup Tables'!$B$7:$B$9,0))</f>
        <v>Tier 1 (Metro)</v>
      </c>
      <c r="V95" s="21" t="str">
        <f t="shared" si="3"/>
        <v>13-24 months</v>
      </c>
      <c r="W95" s="21" t="str">
        <f t="shared" si="4"/>
        <v>Low Risk</v>
      </c>
      <c r="X95" s="21" t="str">
        <f t="shared" si="5"/>
        <v>No</v>
      </c>
    </row>
    <row r="96" spans="1:24" x14ac:dyDescent="0.3">
      <c r="A96" s="21">
        <f>'Raw Data'!A96</f>
        <v>50095</v>
      </c>
      <c r="B96" s="21">
        <f>'Raw Data'!B96</f>
        <v>0</v>
      </c>
      <c r="C96" s="21">
        <f>'Raw Data'!C96</f>
        <v>17</v>
      </c>
      <c r="D96" s="21" t="str">
        <f>'Raw Data'!D96</f>
        <v>Phone</v>
      </c>
      <c r="E96" s="21">
        <f>'Raw Data'!E96</f>
        <v>1</v>
      </c>
      <c r="F96" s="21">
        <f>IF('Raw Data'!F96="",ROUND(AVERAGE('Raw Data'!$F$2:$F$1501),1),'Raw Data'!F96)</f>
        <v>5</v>
      </c>
      <c r="G96" s="21" t="str">
        <f>'Raw Data'!G96</f>
        <v>Cash on Delivery</v>
      </c>
      <c r="H96" s="21" t="str">
        <f>'Raw Data'!H96</f>
        <v>Male</v>
      </c>
      <c r="I96" s="21">
        <f>IF('Raw Data'!I96="",ROUND(AVERAGE('Raw Data'!$I$2:$I$1501),1),'Raw Data'!I96)</f>
        <v>1.8</v>
      </c>
      <c r="J96" s="21">
        <f>'Raw Data'!J96</f>
        <v>3</v>
      </c>
      <c r="K96" s="21" t="str">
        <f>'Raw Data'!K96</f>
        <v>Others</v>
      </c>
      <c r="L96" s="21">
        <f>'Raw Data'!L96</f>
        <v>4</v>
      </c>
      <c r="M96" s="21" t="str">
        <f>'Raw Data'!M96</f>
        <v>Single</v>
      </c>
      <c r="N96" s="21">
        <f>'Raw Data'!N96</f>
        <v>1</v>
      </c>
      <c r="O96" s="21">
        <f>'Raw Data'!O96</f>
        <v>0</v>
      </c>
      <c r="P96" s="21">
        <f>IF('Raw Data'!P96="",ROUND(AVERAGE('Raw Data'!$P$2:$P$1501),1),'Raw Data'!P96)</f>
        <v>16.600000000000001</v>
      </c>
      <c r="Q96" s="21">
        <f>IF('Raw Data'!Q96="",ROUND(AVERAGE('Raw Data'!$Q$2:$Q$1501),0),'Raw Data'!Q96)</f>
        <v>5</v>
      </c>
      <c r="R96" s="21">
        <f>'Raw Data'!R96</f>
        <v>7</v>
      </c>
      <c r="S96" s="21">
        <f>IF('Raw Data'!S96="",ROUND(AVERAGE('Raw Data'!$S$2:$S$1501),0),'Raw Data'!S96)</f>
        <v>0</v>
      </c>
      <c r="T96" s="21">
        <f>'Raw Data'!T96</f>
        <v>145.52000000000001</v>
      </c>
      <c r="U96" s="21" t="str">
        <f>INDEX('Lookup Tables'!$C$7:$C$9,MATCH(E96,'Lookup Tables'!$B$7:$B$9,0))</f>
        <v>Tier 1 (Metro)</v>
      </c>
      <c r="V96" s="21" t="str">
        <f t="shared" si="3"/>
        <v>13-24 months</v>
      </c>
      <c r="W96" s="21" t="str">
        <f t="shared" si="4"/>
        <v>Low Risk</v>
      </c>
      <c r="X96" s="21" t="str">
        <f t="shared" si="5"/>
        <v>No</v>
      </c>
    </row>
    <row r="97" spans="1:24" x14ac:dyDescent="0.3">
      <c r="A97" s="21">
        <f>'Raw Data'!A97</f>
        <v>50096</v>
      </c>
      <c r="B97" s="21">
        <f>'Raw Data'!B97</f>
        <v>0</v>
      </c>
      <c r="C97" s="21">
        <f>'Raw Data'!C97</f>
        <v>5</v>
      </c>
      <c r="D97" s="21" t="str">
        <f>'Raw Data'!D97</f>
        <v>Mobile Phone</v>
      </c>
      <c r="E97" s="21">
        <f>'Raw Data'!E97</f>
        <v>1</v>
      </c>
      <c r="F97" s="21">
        <f>IF('Raw Data'!F97="",ROUND(AVERAGE('Raw Data'!$F$2:$F$1501),1),'Raw Data'!F97)</f>
        <v>21</v>
      </c>
      <c r="G97" s="21" t="str">
        <f>'Raw Data'!G97</f>
        <v>UPI</v>
      </c>
      <c r="H97" s="21" t="str">
        <f>'Raw Data'!H97</f>
        <v>Female</v>
      </c>
      <c r="I97" s="21">
        <f>IF('Raw Data'!I97="",ROUND(AVERAGE('Raw Data'!$I$2:$I$1501),1),'Raw Data'!I97)</f>
        <v>3.1</v>
      </c>
      <c r="J97" s="21">
        <f>'Raw Data'!J97</f>
        <v>3</v>
      </c>
      <c r="K97" s="21" t="str">
        <f>'Raw Data'!K97</f>
        <v>Mobile Phone</v>
      </c>
      <c r="L97" s="21">
        <f>'Raw Data'!L97</f>
        <v>4</v>
      </c>
      <c r="M97" s="21" t="str">
        <f>'Raw Data'!M97</f>
        <v>Married</v>
      </c>
      <c r="N97" s="21">
        <f>'Raw Data'!N97</f>
        <v>1</v>
      </c>
      <c r="O97" s="21">
        <f>'Raw Data'!O97</f>
        <v>1</v>
      </c>
      <c r="P97" s="21">
        <f>IF('Raw Data'!P97="",ROUND(AVERAGE('Raw Data'!$P$2:$P$1501),1),'Raw Data'!P97)</f>
        <v>16.5</v>
      </c>
      <c r="Q97" s="21">
        <f>IF('Raw Data'!Q97="",ROUND(AVERAGE('Raw Data'!$Q$2:$Q$1501),0),'Raw Data'!Q97)</f>
        <v>1</v>
      </c>
      <c r="R97" s="21">
        <f>'Raw Data'!R97</f>
        <v>7</v>
      </c>
      <c r="S97" s="21">
        <f>IF('Raw Data'!S97="",ROUND(AVERAGE('Raw Data'!$S$2:$S$1501),0),'Raw Data'!S97)</f>
        <v>0</v>
      </c>
      <c r="T97" s="21">
        <f>'Raw Data'!T97</f>
        <v>154</v>
      </c>
      <c r="U97" s="21" t="str">
        <f>INDEX('Lookup Tables'!$C$7:$C$9,MATCH(E97,'Lookup Tables'!$B$7:$B$9,0))</f>
        <v>Tier 1 (Metro)</v>
      </c>
      <c r="V97" s="21" t="str">
        <f t="shared" si="3"/>
        <v>0-6 months</v>
      </c>
      <c r="W97" s="21" t="str">
        <f t="shared" si="4"/>
        <v>Low Risk</v>
      </c>
      <c r="X97" s="21" t="str">
        <f t="shared" si="5"/>
        <v>No</v>
      </c>
    </row>
    <row r="98" spans="1:24" x14ac:dyDescent="0.3">
      <c r="A98" s="21">
        <f>'Raw Data'!A98</f>
        <v>50097</v>
      </c>
      <c r="B98" s="21">
        <f>'Raw Data'!B98</f>
        <v>0</v>
      </c>
      <c r="C98" s="21">
        <f>'Raw Data'!C98</f>
        <v>11</v>
      </c>
      <c r="D98" s="21" t="str">
        <f>'Raw Data'!D98</f>
        <v>Mobile Phone</v>
      </c>
      <c r="E98" s="21">
        <f>'Raw Data'!E98</f>
        <v>3</v>
      </c>
      <c r="F98" s="21">
        <f>IF('Raw Data'!F98="",ROUND(AVERAGE('Raw Data'!$F$2:$F$1501),1),'Raw Data'!F98)</f>
        <v>14</v>
      </c>
      <c r="G98" s="21" t="str">
        <f>'Raw Data'!G98</f>
        <v>E wallet</v>
      </c>
      <c r="H98" s="21" t="str">
        <f>'Raw Data'!H98</f>
        <v>Female</v>
      </c>
      <c r="I98" s="21">
        <f>IF('Raw Data'!I98="",ROUND(AVERAGE('Raw Data'!$I$2:$I$1501),1),'Raw Data'!I98)</f>
        <v>2.5</v>
      </c>
      <c r="J98" s="21">
        <f>'Raw Data'!J98</f>
        <v>1</v>
      </c>
      <c r="K98" s="21" t="str">
        <f>'Raw Data'!K98</f>
        <v>Mobile Phone</v>
      </c>
      <c r="L98" s="21">
        <f>'Raw Data'!L98</f>
        <v>4</v>
      </c>
      <c r="M98" s="21" t="str">
        <f>'Raw Data'!M98</f>
        <v>Divorced</v>
      </c>
      <c r="N98" s="21">
        <f>'Raw Data'!N98</f>
        <v>1</v>
      </c>
      <c r="O98" s="21">
        <f>'Raw Data'!O98</f>
        <v>1</v>
      </c>
      <c r="P98" s="21">
        <f>IF('Raw Data'!P98="",ROUND(AVERAGE('Raw Data'!$P$2:$P$1501),1),'Raw Data'!P98)</f>
        <v>19.100000000000001</v>
      </c>
      <c r="Q98" s="21">
        <f>IF('Raw Data'!Q98="",ROUND(AVERAGE('Raw Data'!$Q$2:$Q$1501),0),'Raw Data'!Q98)</f>
        <v>0</v>
      </c>
      <c r="R98" s="21">
        <f>'Raw Data'!R98</f>
        <v>3</v>
      </c>
      <c r="S98" s="21">
        <f>IF('Raw Data'!S98="",ROUND(AVERAGE('Raw Data'!$S$2:$S$1501),0),'Raw Data'!S98)</f>
        <v>4</v>
      </c>
      <c r="T98" s="21">
        <f>'Raw Data'!T98</f>
        <v>257.17</v>
      </c>
      <c r="U98" s="21" t="str">
        <f>INDEX('Lookup Tables'!$C$7:$C$9,MATCH(E98,'Lookup Tables'!$B$7:$B$9,0))</f>
        <v>Tier 3 (Semi-urban/Rural)</v>
      </c>
      <c r="V98" s="21" t="str">
        <f t="shared" si="3"/>
        <v>7-12 months</v>
      </c>
      <c r="W98" s="21" t="str">
        <f t="shared" si="4"/>
        <v>Low Risk</v>
      </c>
      <c r="X98" s="21" t="str">
        <f t="shared" si="5"/>
        <v>No</v>
      </c>
    </row>
    <row r="99" spans="1:24" x14ac:dyDescent="0.3">
      <c r="A99" s="21">
        <f>'Raw Data'!A99</f>
        <v>50098</v>
      </c>
      <c r="B99" s="21">
        <f>'Raw Data'!B99</f>
        <v>0</v>
      </c>
      <c r="C99" s="21">
        <f>'Raw Data'!C99</f>
        <v>2</v>
      </c>
      <c r="D99" s="21" t="str">
        <f>'Raw Data'!D99</f>
        <v>Computer</v>
      </c>
      <c r="E99" s="21">
        <f>'Raw Data'!E99</f>
        <v>1</v>
      </c>
      <c r="F99" s="21">
        <f>IF('Raw Data'!F99="",ROUND(AVERAGE('Raw Data'!$F$2:$F$1501),1),'Raw Data'!F99)</f>
        <v>18</v>
      </c>
      <c r="G99" s="21" t="str">
        <f>'Raw Data'!G99</f>
        <v>Debit Card</v>
      </c>
      <c r="H99" s="21" t="str">
        <f>'Raw Data'!H99</f>
        <v>Male</v>
      </c>
      <c r="I99" s="21">
        <f>IF('Raw Data'!I99="",ROUND(AVERAGE('Raw Data'!$I$2:$I$1501),1),'Raw Data'!I99)</f>
        <v>2.4</v>
      </c>
      <c r="J99" s="21">
        <f>'Raw Data'!J99</f>
        <v>4</v>
      </c>
      <c r="K99" s="21" t="str">
        <f>'Raw Data'!K99</f>
        <v>Others</v>
      </c>
      <c r="L99" s="21">
        <f>'Raw Data'!L99</f>
        <v>4</v>
      </c>
      <c r="M99" s="21" t="str">
        <f>'Raw Data'!M99</f>
        <v>Single</v>
      </c>
      <c r="N99" s="21">
        <f>'Raw Data'!N99</f>
        <v>5</v>
      </c>
      <c r="O99" s="21">
        <f>'Raw Data'!O99</f>
        <v>0</v>
      </c>
      <c r="P99" s="21">
        <f>IF('Raw Data'!P99="",ROUND(AVERAGE('Raw Data'!$P$2:$P$1501),1),'Raw Data'!P99)</f>
        <v>16.2</v>
      </c>
      <c r="Q99" s="21">
        <f>IF('Raw Data'!Q99="",ROUND(AVERAGE('Raw Data'!$Q$2:$Q$1501),0),'Raw Data'!Q99)</f>
        <v>1</v>
      </c>
      <c r="R99" s="21">
        <f>'Raw Data'!R99</f>
        <v>6</v>
      </c>
      <c r="S99" s="21">
        <f>IF('Raw Data'!S99="",ROUND(AVERAGE('Raw Data'!$S$2:$S$1501),0),'Raw Data'!S99)</f>
        <v>0</v>
      </c>
      <c r="T99" s="21">
        <f>'Raw Data'!T99</f>
        <v>271.44</v>
      </c>
      <c r="U99" s="21" t="str">
        <f>INDEX('Lookup Tables'!$C$7:$C$9,MATCH(E99,'Lookup Tables'!$B$7:$B$9,0))</f>
        <v>Tier 1 (Metro)</v>
      </c>
      <c r="V99" s="21" t="str">
        <f t="shared" si="3"/>
        <v>0-6 months</v>
      </c>
      <c r="W99" s="21" t="str">
        <f t="shared" si="4"/>
        <v>Low Risk</v>
      </c>
      <c r="X99" s="21" t="str">
        <f t="shared" si="5"/>
        <v>No</v>
      </c>
    </row>
    <row r="100" spans="1:24" x14ac:dyDescent="0.3">
      <c r="A100" s="21">
        <f>'Raw Data'!A100</f>
        <v>50099</v>
      </c>
      <c r="B100" s="21">
        <f>'Raw Data'!B100</f>
        <v>0</v>
      </c>
      <c r="C100" s="21">
        <f>'Raw Data'!C100</f>
        <v>3</v>
      </c>
      <c r="D100" s="21" t="str">
        <f>'Raw Data'!D100</f>
        <v>Phone</v>
      </c>
      <c r="E100" s="21">
        <f>'Raw Data'!E100</f>
        <v>1</v>
      </c>
      <c r="F100" s="21">
        <f>IF('Raw Data'!F100="",ROUND(AVERAGE('Raw Data'!$F$2:$F$1501),1),'Raw Data'!F100)</f>
        <v>8</v>
      </c>
      <c r="G100" s="21" t="str">
        <f>'Raw Data'!G100</f>
        <v>Debit Card</v>
      </c>
      <c r="H100" s="21" t="str">
        <f>'Raw Data'!H100</f>
        <v>Male</v>
      </c>
      <c r="I100" s="21">
        <f>IF('Raw Data'!I100="",ROUND(AVERAGE('Raw Data'!$I$2:$I$1501),1),'Raw Data'!I100)</f>
        <v>1.9</v>
      </c>
      <c r="J100" s="21">
        <f>'Raw Data'!J100</f>
        <v>3</v>
      </c>
      <c r="K100" s="21" t="str">
        <f>'Raw Data'!K100</f>
        <v>Fashion</v>
      </c>
      <c r="L100" s="21">
        <f>'Raw Data'!L100</f>
        <v>2</v>
      </c>
      <c r="M100" s="21" t="str">
        <f>'Raw Data'!M100</f>
        <v>Married</v>
      </c>
      <c r="N100" s="21">
        <f>'Raw Data'!N100</f>
        <v>4</v>
      </c>
      <c r="O100" s="21">
        <f>'Raw Data'!O100</f>
        <v>0</v>
      </c>
      <c r="P100" s="21">
        <f>IF('Raw Data'!P100="",ROUND(AVERAGE('Raw Data'!$P$2:$P$1501),1),'Raw Data'!P100)</f>
        <v>17.7</v>
      </c>
      <c r="Q100" s="21">
        <f>IF('Raw Data'!Q100="",ROUND(AVERAGE('Raw Data'!$Q$2:$Q$1501),0),'Raw Data'!Q100)</f>
        <v>2</v>
      </c>
      <c r="R100" s="21">
        <f>'Raw Data'!R100</f>
        <v>3</v>
      </c>
      <c r="S100" s="21">
        <f>IF('Raw Data'!S100="",ROUND(AVERAGE('Raw Data'!$S$2:$S$1501),0),'Raw Data'!S100)</f>
        <v>0</v>
      </c>
      <c r="T100" s="21">
        <f>'Raw Data'!T100</f>
        <v>278.72000000000003</v>
      </c>
      <c r="U100" s="21" t="str">
        <f>INDEX('Lookup Tables'!$C$7:$C$9,MATCH(E100,'Lookup Tables'!$B$7:$B$9,0))</f>
        <v>Tier 1 (Metro)</v>
      </c>
      <c r="V100" s="21" t="str">
        <f t="shared" si="3"/>
        <v>0-6 months</v>
      </c>
      <c r="W100" s="21" t="str">
        <f t="shared" si="4"/>
        <v>Low Risk</v>
      </c>
      <c r="X100" s="21" t="str">
        <f t="shared" si="5"/>
        <v>No</v>
      </c>
    </row>
    <row r="101" spans="1:24" x14ac:dyDescent="0.3">
      <c r="A101" s="21">
        <f>'Raw Data'!A101</f>
        <v>50100</v>
      </c>
      <c r="B101" s="21">
        <f>'Raw Data'!B101</f>
        <v>0</v>
      </c>
      <c r="C101" s="21">
        <f>'Raw Data'!C101</f>
        <v>22</v>
      </c>
      <c r="D101" s="21" t="str">
        <f>'Raw Data'!D101</f>
        <v>Phone</v>
      </c>
      <c r="E101" s="21">
        <f>'Raw Data'!E101</f>
        <v>1</v>
      </c>
      <c r="F101" s="21">
        <f>IF('Raw Data'!F101="",ROUND(AVERAGE('Raw Data'!$F$2:$F$1501),1),'Raw Data'!F101)</f>
        <v>25</v>
      </c>
      <c r="G101" s="21" t="str">
        <f>'Raw Data'!G101</f>
        <v>Credit Card</v>
      </c>
      <c r="H101" s="21" t="str">
        <f>'Raw Data'!H101</f>
        <v>Female</v>
      </c>
      <c r="I101" s="21">
        <f>IF('Raw Data'!I101="",ROUND(AVERAGE('Raw Data'!$I$2:$I$1501),1),'Raw Data'!I101)</f>
        <v>2.6</v>
      </c>
      <c r="J101" s="21">
        <f>'Raw Data'!J101</f>
        <v>3</v>
      </c>
      <c r="K101" s="21" t="str">
        <f>'Raw Data'!K101</f>
        <v>Fashion</v>
      </c>
      <c r="L101" s="21">
        <f>'Raw Data'!L101</f>
        <v>3</v>
      </c>
      <c r="M101" s="21" t="str">
        <f>'Raw Data'!M101</f>
        <v>Divorced</v>
      </c>
      <c r="N101" s="21">
        <f>'Raw Data'!N101</f>
        <v>9</v>
      </c>
      <c r="O101" s="21">
        <f>'Raw Data'!O101</f>
        <v>0</v>
      </c>
      <c r="P101" s="21">
        <f>IF('Raw Data'!P101="",ROUND(AVERAGE('Raw Data'!$P$2:$P$1501),1),'Raw Data'!P101)</f>
        <v>18.5</v>
      </c>
      <c r="Q101" s="21">
        <f>IF('Raw Data'!Q101="",ROUND(AVERAGE('Raw Data'!$Q$2:$Q$1501),0),'Raw Data'!Q101)</f>
        <v>2</v>
      </c>
      <c r="R101" s="21">
        <f>'Raw Data'!R101</f>
        <v>4</v>
      </c>
      <c r="S101" s="21">
        <f>IF('Raw Data'!S101="",ROUND(AVERAGE('Raw Data'!$S$2:$S$1501),0),'Raw Data'!S101)</f>
        <v>7</v>
      </c>
      <c r="T101" s="21">
        <f>'Raw Data'!T101</f>
        <v>239.96</v>
      </c>
      <c r="U101" s="21" t="str">
        <f>INDEX('Lookup Tables'!$C$7:$C$9,MATCH(E101,'Lookup Tables'!$B$7:$B$9,0))</f>
        <v>Tier 1 (Metro)</v>
      </c>
      <c r="V101" s="21" t="str">
        <f t="shared" si="3"/>
        <v>13-24 months</v>
      </c>
      <c r="W101" s="21" t="str">
        <f t="shared" si="4"/>
        <v>Medium Risk</v>
      </c>
      <c r="X101" s="21" t="str">
        <f t="shared" si="5"/>
        <v>No</v>
      </c>
    </row>
    <row r="102" spans="1:24" x14ac:dyDescent="0.3">
      <c r="A102" s="21">
        <f>'Raw Data'!A102</f>
        <v>50101</v>
      </c>
      <c r="B102" s="21">
        <f>'Raw Data'!B102</f>
        <v>0</v>
      </c>
      <c r="C102" s="21">
        <f>'Raw Data'!C102</f>
        <v>0</v>
      </c>
      <c r="D102" s="21" t="str">
        <f>'Raw Data'!D102</f>
        <v>Mobile Phone</v>
      </c>
      <c r="E102" s="21">
        <f>'Raw Data'!E102</f>
        <v>2</v>
      </c>
      <c r="F102" s="21">
        <f>IF('Raw Data'!F102="",ROUND(AVERAGE('Raw Data'!$F$2:$F$1501),1),'Raw Data'!F102)</f>
        <v>23</v>
      </c>
      <c r="G102" s="21" t="str">
        <f>'Raw Data'!G102</f>
        <v>Debit Card</v>
      </c>
      <c r="H102" s="21" t="str">
        <f>'Raw Data'!H102</f>
        <v>Male</v>
      </c>
      <c r="I102" s="21">
        <f>IF('Raw Data'!I102="",ROUND(AVERAGE('Raw Data'!$I$2:$I$1501),1),'Raw Data'!I102)</f>
        <v>3.7</v>
      </c>
      <c r="J102" s="21">
        <f>'Raw Data'!J102</f>
        <v>3</v>
      </c>
      <c r="K102" s="21" t="str">
        <f>'Raw Data'!K102</f>
        <v>Mobile Phone</v>
      </c>
      <c r="L102" s="21">
        <f>'Raw Data'!L102</f>
        <v>2</v>
      </c>
      <c r="M102" s="21" t="str">
        <f>'Raw Data'!M102</f>
        <v>Married</v>
      </c>
      <c r="N102" s="21">
        <f>'Raw Data'!N102</f>
        <v>1</v>
      </c>
      <c r="O102" s="21">
        <f>'Raw Data'!O102</f>
        <v>0</v>
      </c>
      <c r="P102" s="21">
        <f>IF('Raw Data'!P102="",ROUND(AVERAGE('Raw Data'!$P$2:$P$1501),1),'Raw Data'!P102)</f>
        <v>14.2</v>
      </c>
      <c r="Q102" s="21">
        <f>IF('Raw Data'!Q102="",ROUND(AVERAGE('Raw Data'!$Q$2:$Q$1501),0),'Raw Data'!Q102)</f>
        <v>1</v>
      </c>
      <c r="R102" s="21">
        <f>'Raw Data'!R102</f>
        <v>1</v>
      </c>
      <c r="S102" s="21">
        <f>IF('Raw Data'!S102="",ROUND(AVERAGE('Raw Data'!$S$2:$S$1501),0),'Raw Data'!S102)</f>
        <v>6</v>
      </c>
      <c r="T102" s="21">
        <f>'Raw Data'!T102</f>
        <v>205.64</v>
      </c>
      <c r="U102" s="21" t="str">
        <f>INDEX('Lookup Tables'!$C$7:$C$9,MATCH(E102,'Lookup Tables'!$B$7:$B$9,0))</f>
        <v>Tier 2 (Urban)</v>
      </c>
      <c r="V102" s="21" t="str">
        <f t="shared" si="3"/>
        <v>0-6 months</v>
      </c>
      <c r="W102" s="21" t="str">
        <f t="shared" si="4"/>
        <v>Low Risk</v>
      </c>
      <c r="X102" s="21" t="str">
        <f t="shared" si="5"/>
        <v>No</v>
      </c>
    </row>
    <row r="103" spans="1:24" x14ac:dyDescent="0.3">
      <c r="A103" s="21">
        <f>'Raw Data'!A103</f>
        <v>50102</v>
      </c>
      <c r="B103" s="21">
        <f>'Raw Data'!B103</f>
        <v>0</v>
      </c>
      <c r="C103" s="21">
        <f>'Raw Data'!C103</f>
        <v>0</v>
      </c>
      <c r="D103" s="21" t="str">
        <f>'Raw Data'!D103</f>
        <v>Computer</v>
      </c>
      <c r="E103" s="21">
        <f>'Raw Data'!E103</f>
        <v>2</v>
      </c>
      <c r="F103" s="21">
        <f>IF('Raw Data'!F103="",ROUND(AVERAGE('Raw Data'!$F$2:$F$1501),1),'Raw Data'!F103)</f>
        <v>19</v>
      </c>
      <c r="G103" s="21" t="str">
        <f>'Raw Data'!G103</f>
        <v>Cash on Delivery</v>
      </c>
      <c r="H103" s="21" t="str">
        <f>'Raw Data'!H103</f>
        <v>Male</v>
      </c>
      <c r="I103" s="21">
        <f>IF('Raw Data'!I103="",ROUND(AVERAGE('Raw Data'!$I$2:$I$1501),1),'Raw Data'!I103)</f>
        <v>2.9</v>
      </c>
      <c r="J103" s="21">
        <f>'Raw Data'!J103</f>
        <v>3</v>
      </c>
      <c r="K103" s="21" t="str">
        <f>'Raw Data'!K103</f>
        <v>Others</v>
      </c>
      <c r="L103" s="21">
        <f>'Raw Data'!L103</f>
        <v>5</v>
      </c>
      <c r="M103" s="21" t="str">
        <f>'Raw Data'!M103</f>
        <v>Single</v>
      </c>
      <c r="N103" s="21">
        <f>'Raw Data'!N103</f>
        <v>1</v>
      </c>
      <c r="O103" s="21">
        <f>'Raw Data'!O103</f>
        <v>0</v>
      </c>
      <c r="P103" s="21">
        <f>IF('Raw Data'!P103="",ROUND(AVERAGE('Raw Data'!$P$2:$P$1501),1),'Raw Data'!P103)</f>
        <v>17</v>
      </c>
      <c r="Q103" s="21">
        <f>IF('Raw Data'!Q103="",ROUND(AVERAGE('Raw Data'!$Q$2:$Q$1501),0),'Raw Data'!Q103)</f>
        <v>2</v>
      </c>
      <c r="R103" s="21">
        <f>'Raw Data'!R103</f>
        <v>3</v>
      </c>
      <c r="S103" s="21">
        <f>IF('Raw Data'!S103="",ROUND(AVERAGE('Raw Data'!$S$2:$S$1501),0),'Raw Data'!S103)</f>
        <v>9</v>
      </c>
      <c r="T103" s="21">
        <f>'Raw Data'!T103</f>
        <v>101.22</v>
      </c>
      <c r="U103" s="21" t="str">
        <f>INDEX('Lookup Tables'!$C$7:$C$9,MATCH(E103,'Lookup Tables'!$B$7:$B$9,0))</f>
        <v>Tier 2 (Urban)</v>
      </c>
      <c r="V103" s="21" t="str">
        <f t="shared" si="3"/>
        <v>0-6 months</v>
      </c>
      <c r="W103" s="21" t="str">
        <f t="shared" si="4"/>
        <v>Low Risk</v>
      </c>
      <c r="X103" s="21" t="str">
        <f t="shared" si="5"/>
        <v>No</v>
      </c>
    </row>
    <row r="104" spans="1:24" x14ac:dyDescent="0.3">
      <c r="A104" s="21">
        <f>'Raw Data'!A104</f>
        <v>50103</v>
      </c>
      <c r="B104" s="21">
        <f>'Raw Data'!B104</f>
        <v>0</v>
      </c>
      <c r="C104" s="21">
        <f>'Raw Data'!C104</f>
        <v>2</v>
      </c>
      <c r="D104" s="21" t="str">
        <f>'Raw Data'!D104</f>
        <v>Mobile Phone</v>
      </c>
      <c r="E104" s="21">
        <f>'Raw Data'!E104</f>
        <v>1</v>
      </c>
      <c r="F104" s="21">
        <f>IF('Raw Data'!F104="",ROUND(AVERAGE('Raw Data'!$F$2:$F$1501),1),'Raw Data'!F104)</f>
        <v>13</v>
      </c>
      <c r="G104" s="21" t="str">
        <f>'Raw Data'!G104</f>
        <v>Debit Card</v>
      </c>
      <c r="H104" s="21" t="str">
        <f>'Raw Data'!H104</f>
        <v>Male</v>
      </c>
      <c r="I104" s="21">
        <f>IF('Raw Data'!I104="",ROUND(AVERAGE('Raw Data'!$I$2:$I$1501),1),'Raw Data'!I104)</f>
        <v>2.9</v>
      </c>
      <c r="J104" s="21">
        <f>'Raw Data'!J104</f>
        <v>4</v>
      </c>
      <c r="K104" s="21" t="str">
        <f>'Raw Data'!K104</f>
        <v>Fashion</v>
      </c>
      <c r="L104" s="21">
        <f>'Raw Data'!L104</f>
        <v>4</v>
      </c>
      <c r="M104" s="21" t="str">
        <f>'Raw Data'!M104</f>
        <v>Single</v>
      </c>
      <c r="N104" s="21">
        <f>'Raw Data'!N104</f>
        <v>4</v>
      </c>
      <c r="O104" s="21">
        <f>'Raw Data'!O104</f>
        <v>1</v>
      </c>
      <c r="P104" s="21">
        <f>IF('Raw Data'!P104="",ROUND(AVERAGE('Raw Data'!$P$2:$P$1501),1),'Raw Data'!P104)</f>
        <v>15.1</v>
      </c>
      <c r="Q104" s="21">
        <f>IF('Raw Data'!Q104="",ROUND(AVERAGE('Raw Data'!$Q$2:$Q$1501),0),'Raw Data'!Q104)</f>
        <v>5</v>
      </c>
      <c r="R104" s="21">
        <f>'Raw Data'!R104</f>
        <v>5</v>
      </c>
      <c r="S104" s="21">
        <f>IF('Raw Data'!S104="",ROUND(AVERAGE('Raw Data'!$S$2:$S$1501),0),'Raw Data'!S104)</f>
        <v>0</v>
      </c>
      <c r="T104" s="21">
        <f>'Raw Data'!T104</f>
        <v>169.69</v>
      </c>
      <c r="U104" s="21" t="str">
        <f>INDEX('Lookup Tables'!$C$7:$C$9,MATCH(E104,'Lookup Tables'!$B$7:$B$9,0))</f>
        <v>Tier 1 (Metro)</v>
      </c>
      <c r="V104" s="21" t="str">
        <f t="shared" si="3"/>
        <v>0-6 months</v>
      </c>
      <c r="W104" s="21" t="str">
        <f t="shared" si="4"/>
        <v>Low Risk</v>
      </c>
      <c r="X104" s="21" t="str">
        <f t="shared" si="5"/>
        <v>No</v>
      </c>
    </row>
    <row r="105" spans="1:24" x14ac:dyDescent="0.3">
      <c r="A105" s="21">
        <f>'Raw Data'!A105</f>
        <v>50104</v>
      </c>
      <c r="B105" s="21">
        <f>'Raw Data'!B105</f>
        <v>0</v>
      </c>
      <c r="C105" s="21">
        <f>'Raw Data'!C105</f>
        <v>0</v>
      </c>
      <c r="D105" s="21" t="str">
        <f>'Raw Data'!D105</f>
        <v>Phone</v>
      </c>
      <c r="E105" s="21">
        <f>'Raw Data'!E105</f>
        <v>1</v>
      </c>
      <c r="F105" s="21">
        <f>IF('Raw Data'!F105="",ROUND(AVERAGE('Raw Data'!$F$2:$F$1501),1),'Raw Data'!F105)</f>
        <v>19</v>
      </c>
      <c r="G105" s="21" t="str">
        <f>'Raw Data'!G105</f>
        <v>Credit Card</v>
      </c>
      <c r="H105" s="21" t="str">
        <f>'Raw Data'!H105</f>
        <v>Male</v>
      </c>
      <c r="I105" s="21">
        <f>IF('Raw Data'!I105="",ROUND(AVERAGE('Raw Data'!$I$2:$I$1501),1),'Raw Data'!I105)</f>
        <v>4.0999999999999996</v>
      </c>
      <c r="J105" s="21">
        <f>'Raw Data'!J105</f>
        <v>3</v>
      </c>
      <c r="K105" s="21" t="str">
        <f>'Raw Data'!K105</f>
        <v>Grocery</v>
      </c>
      <c r="L105" s="21">
        <f>'Raw Data'!L105</f>
        <v>2</v>
      </c>
      <c r="M105" s="21" t="str">
        <f>'Raw Data'!M105</f>
        <v>Single</v>
      </c>
      <c r="N105" s="21">
        <f>'Raw Data'!N105</f>
        <v>1</v>
      </c>
      <c r="O105" s="21">
        <f>'Raw Data'!O105</f>
        <v>0</v>
      </c>
      <c r="P105" s="21">
        <f>IF('Raw Data'!P105="",ROUND(AVERAGE('Raw Data'!$P$2:$P$1501),1),'Raw Data'!P105)</f>
        <v>15.5</v>
      </c>
      <c r="Q105" s="21">
        <f>IF('Raw Data'!Q105="",ROUND(AVERAGE('Raw Data'!$Q$2:$Q$1501),0),'Raw Data'!Q105)</f>
        <v>2</v>
      </c>
      <c r="R105" s="21">
        <f>'Raw Data'!R105</f>
        <v>4</v>
      </c>
      <c r="S105" s="21">
        <f>IF('Raw Data'!S105="",ROUND(AVERAGE('Raw Data'!$S$2:$S$1501),0),'Raw Data'!S105)</f>
        <v>1</v>
      </c>
      <c r="T105" s="21">
        <f>'Raw Data'!T105</f>
        <v>298.62</v>
      </c>
      <c r="U105" s="21" t="str">
        <f>INDEX('Lookup Tables'!$C$7:$C$9,MATCH(E105,'Lookup Tables'!$B$7:$B$9,0))</f>
        <v>Tier 1 (Metro)</v>
      </c>
      <c r="V105" s="21" t="str">
        <f t="shared" si="3"/>
        <v>0-6 months</v>
      </c>
      <c r="W105" s="21" t="str">
        <f t="shared" si="4"/>
        <v>Low Risk</v>
      </c>
      <c r="X105" s="21" t="str">
        <f t="shared" si="5"/>
        <v>No</v>
      </c>
    </row>
    <row r="106" spans="1:24" x14ac:dyDescent="0.3">
      <c r="A106" s="21">
        <f>'Raw Data'!A106</f>
        <v>50105</v>
      </c>
      <c r="B106" s="21">
        <f>'Raw Data'!B106</f>
        <v>0</v>
      </c>
      <c r="C106" s="21">
        <f>'Raw Data'!C106</f>
        <v>2</v>
      </c>
      <c r="D106" s="21" t="str">
        <f>'Raw Data'!D106</f>
        <v>Phone</v>
      </c>
      <c r="E106" s="21">
        <f>'Raw Data'!E106</f>
        <v>1</v>
      </c>
      <c r="F106" s="21">
        <f>IF('Raw Data'!F106="",ROUND(AVERAGE('Raw Data'!$F$2:$F$1501),1),'Raw Data'!F106)</f>
        <v>9</v>
      </c>
      <c r="G106" s="21" t="str">
        <f>'Raw Data'!G106</f>
        <v>Credit Card</v>
      </c>
      <c r="H106" s="21" t="str">
        <f>'Raw Data'!H106</f>
        <v>Male</v>
      </c>
      <c r="I106" s="21">
        <f>IF('Raw Data'!I106="",ROUND(AVERAGE('Raw Data'!$I$2:$I$1501),1),'Raw Data'!I106)</f>
        <v>3.1</v>
      </c>
      <c r="J106" s="21">
        <f>'Raw Data'!J106</f>
        <v>4</v>
      </c>
      <c r="K106" s="21" t="str">
        <f>'Raw Data'!K106</f>
        <v>Fashion</v>
      </c>
      <c r="L106" s="21">
        <f>'Raw Data'!L106</f>
        <v>3</v>
      </c>
      <c r="M106" s="21" t="str">
        <f>'Raw Data'!M106</f>
        <v>Married</v>
      </c>
      <c r="N106" s="21">
        <f>'Raw Data'!N106</f>
        <v>1</v>
      </c>
      <c r="O106" s="21">
        <f>'Raw Data'!O106</f>
        <v>1</v>
      </c>
      <c r="P106" s="21">
        <f>IF('Raw Data'!P106="",ROUND(AVERAGE('Raw Data'!$P$2:$P$1501),1),'Raw Data'!P106)</f>
        <v>14.9</v>
      </c>
      <c r="Q106" s="21">
        <f>IF('Raw Data'!Q106="",ROUND(AVERAGE('Raw Data'!$Q$2:$Q$1501),0),'Raw Data'!Q106)</f>
        <v>1</v>
      </c>
      <c r="R106" s="21">
        <f>'Raw Data'!R106</f>
        <v>7</v>
      </c>
      <c r="S106" s="21">
        <f>IF('Raw Data'!S106="",ROUND(AVERAGE('Raw Data'!$S$2:$S$1501),0),'Raw Data'!S106)</f>
        <v>8</v>
      </c>
      <c r="T106" s="21">
        <f>'Raw Data'!T106</f>
        <v>156.04</v>
      </c>
      <c r="U106" s="21" t="str">
        <f>INDEX('Lookup Tables'!$C$7:$C$9,MATCH(E106,'Lookup Tables'!$B$7:$B$9,0))</f>
        <v>Tier 1 (Metro)</v>
      </c>
      <c r="V106" s="21" t="str">
        <f t="shared" si="3"/>
        <v>0-6 months</v>
      </c>
      <c r="W106" s="21" t="str">
        <f t="shared" si="4"/>
        <v>Medium Risk</v>
      </c>
      <c r="X106" s="21" t="str">
        <f t="shared" si="5"/>
        <v>No</v>
      </c>
    </row>
    <row r="107" spans="1:24" x14ac:dyDescent="0.3">
      <c r="A107" s="21">
        <f>'Raw Data'!A107</f>
        <v>50106</v>
      </c>
      <c r="B107" s="21">
        <f>'Raw Data'!B107</f>
        <v>0</v>
      </c>
      <c r="C107" s="21">
        <f>'Raw Data'!C107</f>
        <v>8</v>
      </c>
      <c r="D107" s="21" t="str">
        <f>'Raw Data'!D107</f>
        <v>Mobile Phone</v>
      </c>
      <c r="E107" s="21">
        <f>'Raw Data'!E107</f>
        <v>1</v>
      </c>
      <c r="F107" s="21">
        <f>IF('Raw Data'!F107="",ROUND(AVERAGE('Raw Data'!$F$2:$F$1501),1),'Raw Data'!F107)</f>
        <v>21</v>
      </c>
      <c r="G107" s="21" t="str">
        <f>'Raw Data'!G107</f>
        <v>E wallet</v>
      </c>
      <c r="H107" s="21" t="str">
        <f>'Raw Data'!H107</f>
        <v>Male</v>
      </c>
      <c r="I107" s="21">
        <f>IF('Raw Data'!I107="",ROUND(AVERAGE('Raw Data'!$I$2:$I$1501),1),'Raw Data'!I107)</f>
        <v>2.5</v>
      </c>
      <c r="J107" s="21">
        <f>'Raw Data'!J107</f>
        <v>3</v>
      </c>
      <c r="K107" s="21" t="str">
        <f>'Raw Data'!K107</f>
        <v>Fashion</v>
      </c>
      <c r="L107" s="21">
        <f>'Raw Data'!L107</f>
        <v>5</v>
      </c>
      <c r="M107" s="21" t="str">
        <f>'Raw Data'!M107</f>
        <v>Married</v>
      </c>
      <c r="N107" s="21">
        <f>'Raw Data'!N107</f>
        <v>2</v>
      </c>
      <c r="O107" s="21">
        <f>'Raw Data'!O107</f>
        <v>0</v>
      </c>
      <c r="P107" s="21">
        <f>IF('Raw Data'!P107="",ROUND(AVERAGE('Raw Data'!$P$2:$P$1501),1),'Raw Data'!P107)</f>
        <v>17.600000000000001</v>
      </c>
      <c r="Q107" s="21">
        <f>IF('Raw Data'!Q107="",ROUND(AVERAGE('Raw Data'!$Q$2:$Q$1501),0),'Raw Data'!Q107)</f>
        <v>0</v>
      </c>
      <c r="R107" s="21">
        <f>'Raw Data'!R107</f>
        <v>5</v>
      </c>
      <c r="S107" s="21">
        <f>IF('Raw Data'!S107="",ROUND(AVERAGE('Raw Data'!$S$2:$S$1501),0),'Raw Data'!S107)</f>
        <v>6</v>
      </c>
      <c r="T107" s="21">
        <f>'Raw Data'!T107</f>
        <v>263.27999999999997</v>
      </c>
      <c r="U107" s="21" t="str">
        <f>INDEX('Lookup Tables'!$C$7:$C$9,MATCH(E107,'Lookup Tables'!$B$7:$B$9,0))</f>
        <v>Tier 1 (Metro)</v>
      </c>
      <c r="V107" s="21" t="str">
        <f t="shared" si="3"/>
        <v>7-12 months</v>
      </c>
      <c r="W107" s="21" t="str">
        <f t="shared" si="4"/>
        <v>Low Risk</v>
      </c>
      <c r="X107" s="21" t="str">
        <f t="shared" si="5"/>
        <v>No</v>
      </c>
    </row>
    <row r="108" spans="1:24" x14ac:dyDescent="0.3">
      <c r="A108" s="21">
        <f>'Raw Data'!A108</f>
        <v>50107</v>
      </c>
      <c r="B108" s="21">
        <f>'Raw Data'!B108</f>
        <v>0</v>
      </c>
      <c r="C108" s="21">
        <f>'Raw Data'!C108</f>
        <v>5</v>
      </c>
      <c r="D108" s="21" t="str">
        <f>'Raw Data'!D108</f>
        <v>Mobile Phone</v>
      </c>
      <c r="E108" s="21">
        <f>'Raw Data'!E108</f>
        <v>2</v>
      </c>
      <c r="F108" s="21">
        <f>IF('Raw Data'!F108="",ROUND(AVERAGE('Raw Data'!$F$2:$F$1501),1),'Raw Data'!F108)</f>
        <v>28</v>
      </c>
      <c r="G108" s="21" t="str">
        <f>'Raw Data'!G108</f>
        <v>Debit Card</v>
      </c>
      <c r="H108" s="21" t="str">
        <f>'Raw Data'!H108</f>
        <v>Female</v>
      </c>
      <c r="I108" s="21">
        <f>IF('Raw Data'!I108="",ROUND(AVERAGE('Raw Data'!$I$2:$I$1501),1),'Raw Data'!I108)</f>
        <v>3.2</v>
      </c>
      <c r="J108" s="21">
        <f>'Raw Data'!J108</f>
        <v>4</v>
      </c>
      <c r="K108" s="21" t="str">
        <f>'Raw Data'!K108</f>
        <v>Laptop &amp; Accessory</v>
      </c>
      <c r="L108" s="21">
        <f>'Raw Data'!L108</f>
        <v>4</v>
      </c>
      <c r="M108" s="21" t="str">
        <f>'Raw Data'!M108</f>
        <v>Married</v>
      </c>
      <c r="N108" s="21">
        <f>'Raw Data'!N108</f>
        <v>1</v>
      </c>
      <c r="O108" s="21">
        <f>'Raw Data'!O108</f>
        <v>0</v>
      </c>
      <c r="P108" s="21">
        <f>IF('Raw Data'!P108="",ROUND(AVERAGE('Raw Data'!$P$2:$P$1501),1),'Raw Data'!P108)</f>
        <v>16.3</v>
      </c>
      <c r="Q108" s="21">
        <f>IF('Raw Data'!Q108="",ROUND(AVERAGE('Raw Data'!$Q$2:$Q$1501),0),'Raw Data'!Q108)</f>
        <v>1</v>
      </c>
      <c r="R108" s="21">
        <f>'Raw Data'!R108</f>
        <v>5</v>
      </c>
      <c r="S108" s="21">
        <f>IF('Raw Data'!S108="",ROUND(AVERAGE('Raw Data'!$S$2:$S$1501),0),'Raw Data'!S108)</f>
        <v>8</v>
      </c>
      <c r="T108" s="21">
        <f>'Raw Data'!T108</f>
        <v>183.03</v>
      </c>
      <c r="U108" s="21" t="str">
        <f>INDEX('Lookup Tables'!$C$7:$C$9,MATCH(E108,'Lookup Tables'!$B$7:$B$9,0))</f>
        <v>Tier 2 (Urban)</v>
      </c>
      <c r="V108" s="21" t="str">
        <f t="shared" si="3"/>
        <v>0-6 months</v>
      </c>
      <c r="W108" s="21" t="str">
        <f t="shared" si="4"/>
        <v>Low Risk</v>
      </c>
      <c r="X108" s="21" t="str">
        <f t="shared" si="5"/>
        <v>No</v>
      </c>
    </row>
    <row r="109" spans="1:24" x14ac:dyDescent="0.3">
      <c r="A109" s="21">
        <f>'Raw Data'!A109</f>
        <v>50108</v>
      </c>
      <c r="B109" s="21">
        <f>'Raw Data'!B109</f>
        <v>0</v>
      </c>
      <c r="C109" s="21">
        <f>'Raw Data'!C109</f>
        <v>22</v>
      </c>
      <c r="D109" s="21" t="str">
        <f>'Raw Data'!D109</f>
        <v>Mobile Phone</v>
      </c>
      <c r="E109" s="21">
        <f>'Raw Data'!E109</f>
        <v>2</v>
      </c>
      <c r="F109" s="21">
        <f>IF('Raw Data'!F109="",ROUND(AVERAGE('Raw Data'!$F$2:$F$1501),1),'Raw Data'!F109)</f>
        <v>23</v>
      </c>
      <c r="G109" s="21" t="str">
        <f>'Raw Data'!G109</f>
        <v>Credit Card</v>
      </c>
      <c r="H109" s="21" t="str">
        <f>'Raw Data'!H109</f>
        <v>Male</v>
      </c>
      <c r="I109" s="21">
        <f>IF('Raw Data'!I109="",ROUND(AVERAGE('Raw Data'!$I$2:$I$1501),1),'Raw Data'!I109)</f>
        <v>2.5</v>
      </c>
      <c r="J109" s="21">
        <f>'Raw Data'!J109</f>
        <v>4</v>
      </c>
      <c r="K109" s="21" t="str">
        <f>'Raw Data'!K109</f>
        <v>Laptop &amp; Accessory</v>
      </c>
      <c r="L109" s="21">
        <f>'Raw Data'!L109</f>
        <v>4</v>
      </c>
      <c r="M109" s="21" t="str">
        <f>'Raw Data'!M109</f>
        <v>Single</v>
      </c>
      <c r="N109" s="21">
        <f>'Raw Data'!N109</f>
        <v>3</v>
      </c>
      <c r="O109" s="21">
        <f>'Raw Data'!O109</f>
        <v>0</v>
      </c>
      <c r="P109" s="21">
        <f>IF('Raw Data'!P109="",ROUND(AVERAGE('Raw Data'!$P$2:$P$1501),1),'Raw Data'!P109)</f>
        <v>17.399999999999999</v>
      </c>
      <c r="Q109" s="21">
        <f>IF('Raw Data'!Q109="",ROUND(AVERAGE('Raw Data'!$Q$2:$Q$1501),0),'Raw Data'!Q109)</f>
        <v>4</v>
      </c>
      <c r="R109" s="21">
        <f>'Raw Data'!R109</f>
        <v>6</v>
      </c>
      <c r="S109" s="21">
        <f>IF('Raw Data'!S109="",ROUND(AVERAGE('Raw Data'!$S$2:$S$1501),0),'Raw Data'!S109)</f>
        <v>22</v>
      </c>
      <c r="T109" s="21">
        <f>'Raw Data'!T109</f>
        <v>32.700000000000003</v>
      </c>
      <c r="U109" s="21" t="str">
        <f>INDEX('Lookup Tables'!$C$7:$C$9,MATCH(E109,'Lookup Tables'!$B$7:$B$9,0))</f>
        <v>Tier 2 (Urban)</v>
      </c>
      <c r="V109" s="21" t="str">
        <f t="shared" si="3"/>
        <v>13-24 months</v>
      </c>
      <c r="W109" s="21" t="str">
        <f t="shared" si="4"/>
        <v>Medium Risk</v>
      </c>
      <c r="X109" s="21" t="str">
        <f t="shared" si="5"/>
        <v>No</v>
      </c>
    </row>
    <row r="110" spans="1:24" x14ac:dyDescent="0.3">
      <c r="A110" s="21">
        <f>'Raw Data'!A110</f>
        <v>50109</v>
      </c>
      <c r="B110" s="21">
        <f>'Raw Data'!B110</f>
        <v>0</v>
      </c>
      <c r="C110" s="21">
        <f>'Raw Data'!C110</f>
        <v>17</v>
      </c>
      <c r="D110" s="21" t="str">
        <f>'Raw Data'!D110</f>
        <v>Mobile Phone</v>
      </c>
      <c r="E110" s="21">
        <f>'Raw Data'!E110</f>
        <v>1</v>
      </c>
      <c r="F110" s="21">
        <f>IF('Raw Data'!F110="",ROUND(AVERAGE('Raw Data'!$F$2:$F$1501),1),'Raw Data'!F110)</f>
        <v>9</v>
      </c>
      <c r="G110" s="21" t="str">
        <f>'Raw Data'!G110</f>
        <v>Debit Card</v>
      </c>
      <c r="H110" s="21" t="str">
        <f>'Raw Data'!H110</f>
        <v>Male</v>
      </c>
      <c r="I110" s="21">
        <f>IF('Raw Data'!I110="",ROUND(AVERAGE('Raw Data'!$I$2:$I$1501),1),'Raw Data'!I110)</f>
        <v>2.5</v>
      </c>
      <c r="J110" s="21">
        <f>'Raw Data'!J110</f>
        <v>3</v>
      </c>
      <c r="K110" s="21" t="str">
        <f>'Raw Data'!K110</f>
        <v>Grocery</v>
      </c>
      <c r="L110" s="21">
        <f>'Raw Data'!L110</f>
        <v>3</v>
      </c>
      <c r="M110" s="21" t="str">
        <f>'Raw Data'!M110</f>
        <v>Single</v>
      </c>
      <c r="N110" s="21">
        <f>'Raw Data'!N110</f>
        <v>1</v>
      </c>
      <c r="O110" s="21">
        <f>'Raw Data'!O110</f>
        <v>0</v>
      </c>
      <c r="P110" s="21">
        <f>IF('Raw Data'!P110="",ROUND(AVERAGE('Raw Data'!$P$2:$P$1501),1),'Raw Data'!P110)</f>
        <v>15.9</v>
      </c>
      <c r="Q110" s="21">
        <f>IF('Raw Data'!Q110="",ROUND(AVERAGE('Raw Data'!$Q$2:$Q$1501),0),'Raw Data'!Q110)</f>
        <v>2</v>
      </c>
      <c r="R110" s="21">
        <f>'Raw Data'!R110</f>
        <v>6</v>
      </c>
      <c r="S110" s="21">
        <f>IF('Raw Data'!S110="",ROUND(AVERAGE('Raw Data'!$S$2:$S$1501),0),'Raw Data'!S110)</f>
        <v>9</v>
      </c>
      <c r="T110" s="21">
        <f>'Raw Data'!T110</f>
        <v>215.23</v>
      </c>
      <c r="U110" s="21" t="str">
        <f>INDEX('Lookup Tables'!$C$7:$C$9,MATCH(E110,'Lookup Tables'!$B$7:$B$9,0))</f>
        <v>Tier 1 (Metro)</v>
      </c>
      <c r="V110" s="21" t="str">
        <f t="shared" si="3"/>
        <v>13-24 months</v>
      </c>
      <c r="W110" s="21" t="str">
        <f t="shared" si="4"/>
        <v>Medium Risk</v>
      </c>
      <c r="X110" s="21" t="str">
        <f t="shared" si="5"/>
        <v>No</v>
      </c>
    </row>
    <row r="111" spans="1:24" x14ac:dyDescent="0.3">
      <c r="A111" s="21">
        <f>'Raw Data'!A111</f>
        <v>50110</v>
      </c>
      <c r="B111" s="21">
        <f>'Raw Data'!B111</f>
        <v>1</v>
      </c>
      <c r="C111" s="21">
        <f>'Raw Data'!C111</f>
        <v>4</v>
      </c>
      <c r="D111" s="21" t="str">
        <f>'Raw Data'!D111</f>
        <v>Phone</v>
      </c>
      <c r="E111" s="21">
        <f>'Raw Data'!E111</f>
        <v>1</v>
      </c>
      <c r="F111" s="21">
        <f>IF('Raw Data'!F111="",ROUND(AVERAGE('Raw Data'!$F$2:$F$1501),1),'Raw Data'!F111)</f>
        <v>17</v>
      </c>
      <c r="G111" s="21" t="str">
        <f>'Raw Data'!G111</f>
        <v>UPI</v>
      </c>
      <c r="H111" s="21" t="str">
        <f>'Raw Data'!H111</f>
        <v>Female</v>
      </c>
      <c r="I111" s="21">
        <f>IF('Raw Data'!I111="",ROUND(AVERAGE('Raw Data'!$I$2:$I$1501),1),'Raw Data'!I111)</f>
        <v>1.8</v>
      </c>
      <c r="J111" s="21">
        <f>'Raw Data'!J111</f>
        <v>5</v>
      </c>
      <c r="K111" s="21" t="str">
        <f>'Raw Data'!K111</f>
        <v>Laptop &amp; Accessory</v>
      </c>
      <c r="L111" s="21">
        <f>'Raw Data'!L111</f>
        <v>2</v>
      </c>
      <c r="M111" s="21" t="str">
        <f>'Raw Data'!M111</f>
        <v>Married</v>
      </c>
      <c r="N111" s="21">
        <f>'Raw Data'!N111</f>
        <v>3</v>
      </c>
      <c r="O111" s="21">
        <f>'Raw Data'!O111</f>
        <v>0</v>
      </c>
      <c r="P111" s="21">
        <f>IF('Raw Data'!P111="",ROUND(AVERAGE('Raw Data'!$P$2:$P$1501),1),'Raw Data'!P111)</f>
        <v>11</v>
      </c>
      <c r="Q111" s="21">
        <f>IF('Raw Data'!Q111="",ROUND(AVERAGE('Raw Data'!$Q$2:$Q$1501),0),'Raw Data'!Q111)</f>
        <v>0</v>
      </c>
      <c r="R111" s="21">
        <f>'Raw Data'!R111</f>
        <v>1</v>
      </c>
      <c r="S111" s="21">
        <f>IF('Raw Data'!S111="",ROUND(AVERAGE('Raw Data'!$S$2:$S$1501),0),'Raw Data'!S111)</f>
        <v>3</v>
      </c>
      <c r="T111" s="21">
        <f>'Raw Data'!T111</f>
        <v>249.64</v>
      </c>
      <c r="U111" s="21" t="str">
        <f>INDEX('Lookup Tables'!$C$7:$C$9,MATCH(E111,'Lookup Tables'!$B$7:$B$9,0))</f>
        <v>Tier 1 (Metro)</v>
      </c>
      <c r="V111" s="21" t="str">
        <f t="shared" si="3"/>
        <v>0-6 months</v>
      </c>
      <c r="W111" s="21" t="str">
        <f t="shared" si="4"/>
        <v>Low Risk</v>
      </c>
      <c r="X111" s="21" t="str">
        <f t="shared" si="5"/>
        <v>Yes</v>
      </c>
    </row>
    <row r="112" spans="1:24" x14ac:dyDescent="0.3">
      <c r="A112" s="21">
        <f>'Raw Data'!A112</f>
        <v>50111</v>
      </c>
      <c r="B112" s="21">
        <f>'Raw Data'!B112</f>
        <v>0</v>
      </c>
      <c r="C112" s="21">
        <f>'Raw Data'!C112</f>
        <v>3</v>
      </c>
      <c r="D112" s="21" t="str">
        <f>'Raw Data'!D112</f>
        <v>Mobile Phone</v>
      </c>
      <c r="E112" s="21">
        <f>'Raw Data'!E112</f>
        <v>3</v>
      </c>
      <c r="F112" s="21">
        <f>IF('Raw Data'!F112="",ROUND(AVERAGE('Raw Data'!$F$2:$F$1501),1),'Raw Data'!F112)</f>
        <v>5</v>
      </c>
      <c r="G112" s="21" t="str">
        <f>'Raw Data'!G112</f>
        <v>Debit Card</v>
      </c>
      <c r="H112" s="21" t="str">
        <f>'Raw Data'!H112</f>
        <v>Female</v>
      </c>
      <c r="I112" s="21">
        <f>IF('Raw Data'!I112="",ROUND(AVERAGE('Raw Data'!$I$2:$I$1501),1),'Raw Data'!I112)</f>
        <v>3.5</v>
      </c>
      <c r="J112" s="21">
        <f>'Raw Data'!J112</f>
        <v>4</v>
      </c>
      <c r="K112" s="21" t="str">
        <f>'Raw Data'!K112</f>
        <v>Mobile Phone</v>
      </c>
      <c r="L112" s="21">
        <f>'Raw Data'!L112</f>
        <v>4</v>
      </c>
      <c r="M112" s="21" t="str">
        <f>'Raw Data'!M112</f>
        <v>Married</v>
      </c>
      <c r="N112" s="21">
        <f>'Raw Data'!N112</f>
        <v>6</v>
      </c>
      <c r="O112" s="21">
        <f>'Raw Data'!O112</f>
        <v>1</v>
      </c>
      <c r="P112" s="21">
        <f>IF('Raw Data'!P112="",ROUND(AVERAGE('Raw Data'!$P$2:$P$1501),1),'Raw Data'!P112)</f>
        <v>16.100000000000001</v>
      </c>
      <c r="Q112" s="21">
        <f>IF('Raw Data'!Q112="",ROUND(AVERAGE('Raw Data'!$Q$2:$Q$1501),0),'Raw Data'!Q112)</f>
        <v>2</v>
      </c>
      <c r="R112" s="21">
        <f>'Raw Data'!R112</f>
        <v>5</v>
      </c>
      <c r="S112" s="21">
        <f>IF('Raw Data'!S112="",ROUND(AVERAGE('Raw Data'!$S$2:$S$1501),0),'Raw Data'!S112)</f>
        <v>1</v>
      </c>
      <c r="T112" s="21">
        <f>'Raw Data'!T112</f>
        <v>177.31</v>
      </c>
      <c r="U112" s="21" t="str">
        <f>INDEX('Lookup Tables'!$C$7:$C$9,MATCH(E112,'Lookup Tables'!$B$7:$B$9,0))</f>
        <v>Tier 3 (Semi-urban/Rural)</v>
      </c>
      <c r="V112" s="21" t="str">
        <f t="shared" si="3"/>
        <v>0-6 months</v>
      </c>
      <c r="W112" s="21" t="str">
        <f t="shared" si="4"/>
        <v>Low Risk</v>
      </c>
      <c r="X112" s="21" t="str">
        <f t="shared" si="5"/>
        <v>No</v>
      </c>
    </row>
    <row r="113" spans="1:24" x14ac:dyDescent="0.3">
      <c r="A113" s="21">
        <f>'Raw Data'!A113</f>
        <v>50112</v>
      </c>
      <c r="B113" s="21">
        <f>'Raw Data'!B113</f>
        <v>0</v>
      </c>
      <c r="C113" s="21">
        <f>'Raw Data'!C113</f>
        <v>4</v>
      </c>
      <c r="D113" s="21" t="str">
        <f>'Raw Data'!D113</f>
        <v>Mobile Phone</v>
      </c>
      <c r="E113" s="21">
        <f>'Raw Data'!E113</f>
        <v>1</v>
      </c>
      <c r="F113" s="21">
        <f>IF('Raw Data'!F113="",ROUND(AVERAGE('Raw Data'!$F$2:$F$1501),1),'Raw Data'!F113)</f>
        <v>19</v>
      </c>
      <c r="G113" s="21" t="str">
        <f>'Raw Data'!G113</f>
        <v>Cash on Delivery</v>
      </c>
      <c r="H113" s="21" t="str">
        <f>'Raw Data'!H113</f>
        <v>Female</v>
      </c>
      <c r="I113" s="21">
        <f>IF('Raw Data'!I113="",ROUND(AVERAGE('Raw Data'!$I$2:$I$1501),1),'Raw Data'!I113)</f>
        <v>2.6</v>
      </c>
      <c r="J113" s="21">
        <f>'Raw Data'!J113</f>
        <v>5</v>
      </c>
      <c r="K113" s="21" t="str">
        <f>'Raw Data'!K113</f>
        <v>Laptop &amp; Accessory</v>
      </c>
      <c r="L113" s="21">
        <f>'Raw Data'!L113</f>
        <v>4</v>
      </c>
      <c r="M113" s="21" t="str">
        <f>'Raw Data'!M113</f>
        <v>Divorced</v>
      </c>
      <c r="N113" s="21">
        <f>'Raw Data'!N113</f>
        <v>1</v>
      </c>
      <c r="O113" s="21">
        <f>'Raw Data'!O113</f>
        <v>1</v>
      </c>
      <c r="P113" s="21">
        <f>IF('Raw Data'!P113="",ROUND(AVERAGE('Raw Data'!$P$2:$P$1501),1),'Raw Data'!P113)</f>
        <v>16.2</v>
      </c>
      <c r="Q113" s="21">
        <f>IF('Raw Data'!Q113="",ROUND(AVERAGE('Raw Data'!$Q$2:$Q$1501),0),'Raw Data'!Q113)</f>
        <v>1</v>
      </c>
      <c r="R113" s="21">
        <f>'Raw Data'!R113</f>
        <v>3</v>
      </c>
      <c r="S113" s="21">
        <f>IF('Raw Data'!S113="",ROUND(AVERAGE('Raw Data'!$S$2:$S$1501),0),'Raw Data'!S113)</f>
        <v>4</v>
      </c>
      <c r="T113" s="21">
        <f>'Raw Data'!T113</f>
        <v>247.82</v>
      </c>
      <c r="U113" s="21" t="str">
        <f>INDEX('Lookup Tables'!$C$7:$C$9,MATCH(E113,'Lookup Tables'!$B$7:$B$9,0))</f>
        <v>Tier 1 (Metro)</v>
      </c>
      <c r="V113" s="21" t="str">
        <f t="shared" si="3"/>
        <v>0-6 months</v>
      </c>
      <c r="W113" s="21" t="str">
        <f t="shared" si="4"/>
        <v>Low Risk</v>
      </c>
      <c r="X113" s="21" t="str">
        <f t="shared" si="5"/>
        <v>No</v>
      </c>
    </row>
    <row r="114" spans="1:24" x14ac:dyDescent="0.3">
      <c r="A114" s="21">
        <f>'Raw Data'!A114</f>
        <v>50113</v>
      </c>
      <c r="B114" s="21">
        <f>'Raw Data'!B114</f>
        <v>0</v>
      </c>
      <c r="C114" s="21">
        <f>'Raw Data'!C114</f>
        <v>8</v>
      </c>
      <c r="D114" s="21" t="str">
        <f>'Raw Data'!D114</f>
        <v>Mobile Phone</v>
      </c>
      <c r="E114" s="21">
        <f>'Raw Data'!E114</f>
        <v>2</v>
      </c>
      <c r="F114" s="21">
        <f>IF('Raw Data'!F114="",ROUND(AVERAGE('Raw Data'!$F$2:$F$1501),1),'Raw Data'!F114)</f>
        <v>18</v>
      </c>
      <c r="G114" s="21" t="str">
        <f>'Raw Data'!G114</f>
        <v>UPI</v>
      </c>
      <c r="H114" s="21" t="str">
        <f>'Raw Data'!H114</f>
        <v>Male</v>
      </c>
      <c r="I114" s="21">
        <f>IF('Raw Data'!I114="",ROUND(AVERAGE('Raw Data'!$I$2:$I$1501),1),'Raw Data'!I114)</f>
        <v>3</v>
      </c>
      <c r="J114" s="21">
        <f>'Raw Data'!J114</f>
        <v>4</v>
      </c>
      <c r="K114" s="21" t="str">
        <f>'Raw Data'!K114</f>
        <v>Grocery</v>
      </c>
      <c r="L114" s="21">
        <f>'Raw Data'!L114</f>
        <v>4</v>
      </c>
      <c r="M114" s="21" t="str">
        <f>'Raw Data'!M114</f>
        <v>Married</v>
      </c>
      <c r="N114" s="21">
        <f>'Raw Data'!N114</f>
        <v>9</v>
      </c>
      <c r="O114" s="21">
        <f>'Raw Data'!O114</f>
        <v>0</v>
      </c>
      <c r="P114" s="21">
        <f>IF('Raw Data'!P114="",ROUND(AVERAGE('Raw Data'!$P$2:$P$1501),1),'Raw Data'!P114)</f>
        <v>16.8</v>
      </c>
      <c r="Q114" s="21">
        <f>IF('Raw Data'!Q114="",ROUND(AVERAGE('Raw Data'!$Q$2:$Q$1501),0),'Raw Data'!Q114)</f>
        <v>1</v>
      </c>
      <c r="R114" s="21">
        <f>'Raw Data'!R114</f>
        <v>4</v>
      </c>
      <c r="S114" s="21">
        <f>IF('Raw Data'!S114="",ROUND(AVERAGE('Raw Data'!$S$2:$S$1501),0),'Raw Data'!S114)</f>
        <v>5</v>
      </c>
      <c r="T114" s="21">
        <f>'Raw Data'!T114</f>
        <v>88.27</v>
      </c>
      <c r="U114" s="21" t="str">
        <f>INDEX('Lookup Tables'!$C$7:$C$9,MATCH(E114,'Lookup Tables'!$B$7:$B$9,0))</f>
        <v>Tier 2 (Urban)</v>
      </c>
      <c r="V114" s="21" t="str">
        <f t="shared" si="3"/>
        <v>7-12 months</v>
      </c>
      <c r="W114" s="21" t="str">
        <f t="shared" si="4"/>
        <v>Low Risk</v>
      </c>
      <c r="X114" s="21" t="str">
        <f t="shared" si="5"/>
        <v>No</v>
      </c>
    </row>
    <row r="115" spans="1:24" x14ac:dyDescent="0.3">
      <c r="A115" s="21">
        <f>'Raw Data'!A115</f>
        <v>50114</v>
      </c>
      <c r="B115" s="21">
        <f>'Raw Data'!B115</f>
        <v>0</v>
      </c>
      <c r="C115" s="21">
        <f>'Raw Data'!C115</f>
        <v>3</v>
      </c>
      <c r="D115" s="21" t="str">
        <f>'Raw Data'!D115</f>
        <v>Phone</v>
      </c>
      <c r="E115" s="21">
        <f>'Raw Data'!E115</f>
        <v>1</v>
      </c>
      <c r="F115" s="21">
        <f>IF('Raw Data'!F115="",ROUND(AVERAGE('Raw Data'!$F$2:$F$1501),1),'Raw Data'!F115)</f>
        <v>5</v>
      </c>
      <c r="G115" s="21" t="str">
        <f>'Raw Data'!G115</f>
        <v>Debit Card</v>
      </c>
      <c r="H115" s="21" t="str">
        <f>'Raw Data'!H115</f>
        <v>Female</v>
      </c>
      <c r="I115" s="21">
        <f>IF('Raw Data'!I115="",ROUND(AVERAGE('Raw Data'!$I$2:$I$1501),1),'Raw Data'!I115)</f>
        <v>2.2000000000000002</v>
      </c>
      <c r="J115" s="21">
        <f>'Raw Data'!J115</f>
        <v>1</v>
      </c>
      <c r="K115" s="21" t="str">
        <f>'Raw Data'!K115</f>
        <v>Laptop &amp; Accessory</v>
      </c>
      <c r="L115" s="21">
        <f>'Raw Data'!L115</f>
        <v>4</v>
      </c>
      <c r="M115" s="21" t="str">
        <f>'Raw Data'!M115</f>
        <v>Married</v>
      </c>
      <c r="N115" s="21">
        <f>'Raw Data'!N115</f>
        <v>2</v>
      </c>
      <c r="O115" s="21">
        <f>'Raw Data'!O115</f>
        <v>0</v>
      </c>
      <c r="P115" s="21">
        <f>IF('Raw Data'!P115="",ROUND(AVERAGE('Raw Data'!$P$2:$P$1501),1),'Raw Data'!P115)</f>
        <v>13.9</v>
      </c>
      <c r="Q115" s="21">
        <f>IF('Raw Data'!Q115="",ROUND(AVERAGE('Raw Data'!$Q$2:$Q$1501),0),'Raw Data'!Q115)</f>
        <v>2</v>
      </c>
      <c r="R115" s="21">
        <f>'Raw Data'!R115</f>
        <v>6</v>
      </c>
      <c r="S115" s="21">
        <f>IF('Raw Data'!S115="",ROUND(AVERAGE('Raw Data'!$S$2:$S$1501),0),'Raw Data'!S115)</f>
        <v>2</v>
      </c>
      <c r="T115" s="21">
        <f>'Raw Data'!T115</f>
        <v>103.79</v>
      </c>
      <c r="U115" s="21" t="str">
        <f>INDEX('Lookup Tables'!$C$7:$C$9,MATCH(E115,'Lookup Tables'!$B$7:$B$9,0))</f>
        <v>Tier 1 (Metro)</v>
      </c>
      <c r="V115" s="21" t="str">
        <f t="shared" si="3"/>
        <v>0-6 months</v>
      </c>
      <c r="W115" s="21" t="str">
        <f t="shared" si="4"/>
        <v>Low Risk</v>
      </c>
      <c r="X115" s="21" t="str">
        <f t="shared" si="5"/>
        <v>No</v>
      </c>
    </row>
    <row r="116" spans="1:24" x14ac:dyDescent="0.3">
      <c r="A116" s="21">
        <f>'Raw Data'!A116</f>
        <v>50115</v>
      </c>
      <c r="B116" s="21">
        <f>'Raw Data'!B116</f>
        <v>0</v>
      </c>
      <c r="C116" s="21">
        <f>'Raw Data'!C116</f>
        <v>9</v>
      </c>
      <c r="D116" s="21" t="str">
        <f>'Raw Data'!D116</f>
        <v>Computer</v>
      </c>
      <c r="E116" s="21">
        <f>'Raw Data'!E116</f>
        <v>1</v>
      </c>
      <c r="F116" s="21">
        <f>IF('Raw Data'!F116="",ROUND(AVERAGE('Raw Data'!$F$2:$F$1501),1),'Raw Data'!F116)</f>
        <v>5</v>
      </c>
      <c r="G116" s="21" t="str">
        <f>'Raw Data'!G116</f>
        <v>UPI</v>
      </c>
      <c r="H116" s="21" t="str">
        <f>'Raw Data'!H116</f>
        <v>Male</v>
      </c>
      <c r="I116" s="21">
        <f>IF('Raw Data'!I116="",ROUND(AVERAGE('Raw Data'!$I$2:$I$1501),1),'Raw Data'!I116)</f>
        <v>3.2</v>
      </c>
      <c r="J116" s="21">
        <f>'Raw Data'!J116</f>
        <v>5</v>
      </c>
      <c r="K116" s="21" t="str">
        <f>'Raw Data'!K116</f>
        <v>Grocery</v>
      </c>
      <c r="L116" s="21">
        <f>'Raw Data'!L116</f>
        <v>4</v>
      </c>
      <c r="M116" s="21" t="str">
        <f>'Raw Data'!M116</f>
        <v>Married</v>
      </c>
      <c r="N116" s="21">
        <f>'Raw Data'!N116</f>
        <v>8</v>
      </c>
      <c r="O116" s="21">
        <f>'Raw Data'!O116</f>
        <v>1</v>
      </c>
      <c r="P116" s="21">
        <f>IF('Raw Data'!P116="",ROUND(AVERAGE('Raw Data'!$P$2:$P$1501),1),'Raw Data'!P116)</f>
        <v>11.8</v>
      </c>
      <c r="Q116" s="21">
        <f>IF('Raw Data'!Q116="",ROUND(AVERAGE('Raw Data'!$Q$2:$Q$1501),0),'Raw Data'!Q116)</f>
        <v>4</v>
      </c>
      <c r="R116" s="21">
        <f>'Raw Data'!R116</f>
        <v>3</v>
      </c>
      <c r="S116" s="21">
        <f>IF('Raw Data'!S116="",ROUND(AVERAGE('Raw Data'!$S$2:$S$1501),0),'Raw Data'!S116)</f>
        <v>7</v>
      </c>
      <c r="T116" s="21">
        <f>'Raw Data'!T116</f>
        <v>191.27</v>
      </c>
      <c r="U116" s="21" t="str">
        <f>INDEX('Lookup Tables'!$C$7:$C$9,MATCH(E116,'Lookup Tables'!$B$7:$B$9,0))</f>
        <v>Tier 1 (Metro)</v>
      </c>
      <c r="V116" s="21" t="str">
        <f t="shared" si="3"/>
        <v>7-12 months</v>
      </c>
      <c r="W116" s="21" t="str">
        <f t="shared" si="4"/>
        <v>Low Risk</v>
      </c>
      <c r="X116" s="21" t="str">
        <f t="shared" si="5"/>
        <v>No</v>
      </c>
    </row>
    <row r="117" spans="1:24" x14ac:dyDescent="0.3">
      <c r="A117" s="21">
        <f>'Raw Data'!A117</f>
        <v>50116</v>
      </c>
      <c r="B117" s="21">
        <f>'Raw Data'!B117</f>
        <v>0</v>
      </c>
      <c r="C117" s="21">
        <f>'Raw Data'!C117</f>
        <v>5</v>
      </c>
      <c r="D117" s="21" t="str">
        <f>'Raw Data'!D117</f>
        <v>Mobile Phone</v>
      </c>
      <c r="E117" s="21">
        <f>'Raw Data'!E117</f>
        <v>1</v>
      </c>
      <c r="F117" s="21">
        <f>IF('Raw Data'!F117="",ROUND(AVERAGE('Raw Data'!$F$2:$F$1501),1),'Raw Data'!F117)</f>
        <v>12</v>
      </c>
      <c r="G117" s="21" t="str">
        <f>'Raw Data'!G117</f>
        <v>Debit Card</v>
      </c>
      <c r="H117" s="21" t="str">
        <f>'Raw Data'!H117</f>
        <v>Male</v>
      </c>
      <c r="I117" s="21">
        <f>IF('Raw Data'!I117="",ROUND(AVERAGE('Raw Data'!$I$2:$I$1501),1),'Raw Data'!I117)</f>
        <v>2.4</v>
      </c>
      <c r="J117" s="21">
        <f>'Raw Data'!J117</f>
        <v>3</v>
      </c>
      <c r="K117" s="21" t="str">
        <f>'Raw Data'!K117</f>
        <v>Fashion</v>
      </c>
      <c r="L117" s="21">
        <f>'Raw Data'!L117</f>
        <v>4</v>
      </c>
      <c r="M117" s="21" t="str">
        <f>'Raw Data'!M117</f>
        <v>Married</v>
      </c>
      <c r="N117" s="21">
        <f>'Raw Data'!N117</f>
        <v>1</v>
      </c>
      <c r="O117" s="21">
        <f>'Raw Data'!O117</f>
        <v>1</v>
      </c>
      <c r="P117" s="21">
        <f>IF('Raw Data'!P117="",ROUND(AVERAGE('Raw Data'!$P$2:$P$1501),1),'Raw Data'!P117)</f>
        <v>18.2</v>
      </c>
      <c r="Q117" s="21">
        <f>IF('Raw Data'!Q117="",ROUND(AVERAGE('Raw Data'!$Q$2:$Q$1501),0),'Raw Data'!Q117)</f>
        <v>1</v>
      </c>
      <c r="R117" s="21">
        <f>'Raw Data'!R117</f>
        <v>4</v>
      </c>
      <c r="S117" s="21">
        <f>IF('Raw Data'!S117="",ROUND(AVERAGE('Raw Data'!$S$2:$S$1501),0),'Raw Data'!S117)</f>
        <v>0</v>
      </c>
      <c r="T117" s="21">
        <f>'Raw Data'!T117</f>
        <v>206.24</v>
      </c>
      <c r="U117" s="21" t="str">
        <f>INDEX('Lookup Tables'!$C$7:$C$9,MATCH(E117,'Lookup Tables'!$B$7:$B$9,0))</f>
        <v>Tier 1 (Metro)</v>
      </c>
      <c r="V117" s="21" t="str">
        <f t="shared" si="3"/>
        <v>0-6 months</v>
      </c>
      <c r="W117" s="21" t="str">
        <f t="shared" si="4"/>
        <v>Low Risk</v>
      </c>
      <c r="X117" s="21" t="str">
        <f t="shared" si="5"/>
        <v>No</v>
      </c>
    </row>
    <row r="118" spans="1:24" x14ac:dyDescent="0.3">
      <c r="A118" s="21">
        <f>'Raw Data'!A118</f>
        <v>50117</v>
      </c>
      <c r="B118" s="21">
        <f>'Raw Data'!B118</f>
        <v>1</v>
      </c>
      <c r="C118" s="21">
        <f>'Raw Data'!C118</f>
        <v>8</v>
      </c>
      <c r="D118" s="21" t="str">
        <f>'Raw Data'!D118</f>
        <v>Mobile Phone</v>
      </c>
      <c r="E118" s="21">
        <f>'Raw Data'!E118</f>
        <v>2</v>
      </c>
      <c r="F118" s="21">
        <f>IF('Raw Data'!F118="",ROUND(AVERAGE('Raw Data'!$F$2:$F$1501),1),'Raw Data'!F118)</f>
        <v>12</v>
      </c>
      <c r="G118" s="21" t="str">
        <f>'Raw Data'!G118</f>
        <v>Cash on Delivery</v>
      </c>
      <c r="H118" s="21" t="str">
        <f>'Raw Data'!H118</f>
        <v>Male</v>
      </c>
      <c r="I118" s="21">
        <f>IF('Raw Data'!I118="",ROUND(AVERAGE('Raw Data'!$I$2:$I$1501),1),'Raw Data'!I118)</f>
        <v>2.8</v>
      </c>
      <c r="J118" s="21">
        <f>'Raw Data'!J118</f>
        <v>3</v>
      </c>
      <c r="K118" s="21" t="str">
        <f>'Raw Data'!K118</f>
        <v>Laptop &amp; Accessory</v>
      </c>
      <c r="L118" s="21">
        <f>'Raw Data'!L118</f>
        <v>3</v>
      </c>
      <c r="M118" s="21" t="str">
        <f>'Raw Data'!M118</f>
        <v>Married</v>
      </c>
      <c r="N118" s="21">
        <f>'Raw Data'!N118</f>
        <v>3</v>
      </c>
      <c r="O118" s="21">
        <f>'Raw Data'!O118</f>
        <v>0</v>
      </c>
      <c r="P118" s="21">
        <f>IF('Raw Data'!P118="",ROUND(AVERAGE('Raw Data'!$P$2:$P$1501),1),'Raw Data'!P118)</f>
        <v>15</v>
      </c>
      <c r="Q118" s="21">
        <f>IF('Raw Data'!Q118="",ROUND(AVERAGE('Raw Data'!$Q$2:$Q$1501),0),'Raw Data'!Q118)</f>
        <v>2</v>
      </c>
      <c r="R118" s="21">
        <f>'Raw Data'!R118</f>
        <v>3</v>
      </c>
      <c r="S118" s="21">
        <f>IF('Raw Data'!S118="",ROUND(AVERAGE('Raw Data'!$S$2:$S$1501),0),'Raw Data'!S118)</f>
        <v>7</v>
      </c>
      <c r="T118" s="21">
        <f>'Raw Data'!T118</f>
        <v>254.61</v>
      </c>
      <c r="U118" s="21" t="str">
        <f>INDEX('Lookup Tables'!$C$7:$C$9,MATCH(E118,'Lookup Tables'!$B$7:$B$9,0))</f>
        <v>Tier 2 (Urban)</v>
      </c>
      <c r="V118" s="21" t="str">
        <f t="shared" si="3"/>
        <v>7-12 months</v>
      </c>
      <c r="W118" s="21" t="str">
        <f t="shared" si="4"/>
        <v>Medium Risk</v>
      </c>
      <c r="X118" s="21" t="str">
        <f t="shared" si="5"/>
        <v>Yes</v>
      </c>
    </row>
    <row r="119" spans="1:24" x14ac:dyDescent="0.3">
      <c r="A119" s="21">
        <f>'Raw Data'!A119</f>
        <v>50118</v>
      </c>
      <c r="B119" s="21">
        <f>'Raw Data'!B119</f>
        <v>0</v>
      </c>
      <c r="C119" s="21">
        <f>'Raw Data'!C119</f>
        <v>5</v>
      </c>
      <c r="D119" s="21" t="str">
        <f>'Raw Data'!D119</f>
        <v>Phone</v>
      </c>
      <c r="E119" s="21">
        <f>'Raw Data'!E119</f>
        <v>3</v>
      </c>
      <c r="F119" s="21">
        <f>IF('Raw Data'!F119="",ROUND(AVERAGE('Raw Data'!$F$2:$F$1501),1),'Raw Data'!F119)</f>
        <v>5</v>
      </c>
      <c r="G119" s="21" t="str">
        <f>'Raw Data'!G119</f>
        <v>Credit Card</v>
      </c>
      <c r="H119" s="21" t="str">
        <f>'Raw Data'!H119</f>
        <v>Male</v>
      </c>
      <c r="I119" s="21">
        <f>IF('Raw Data'!I119="",ROUND(AVERAGE('Raw Data'!$I$2:$I$1501),1),'Raw Data'!I119)</f>
        <v>3.5</v>
      </c>
      <c r="J119" s="21">
        <f>'Raw Data'!J119</f>
        <v>3</v>
      </c>
      <c r="K119" s="21" t="str">
        <f>'Raw Data'!K119</f>
        <v>Mobile Phone</v>
      </c>
      <c r="L119" s="21">
        <f>'Raw Data'!L119</f>
        <v>3</v>
      </c>
      <c r="M119" s="21" t="str">
        <f>'Raw Data'!M119</f>
        <v>Divorced</v>
      </c>
      <c r="N119" s="21">
        <f>'Raw Data'!N119</f>
        <v>1</v>
      </c>
      <c r="O119" s="21">
        <f>'Raw Data'!O119</f>
        <v>0</v>
      </c>
      <c r="P119" s="21">
        <f>IF('Raw Data'!P119="",ROUND(AVERAGE('Raw Data'!$P$2:$P$1501),1),'Raw Data'!P119)</f>
        <v>16.600000000000001</v>
      </c>
      <c r="Q119" s="21">
        <f>IF('Raw Data'!Q119="",ROUND(AVERAGE('Raw Data'!$Q$2:$Q$1501),0),'Raw Data'!Q119)</f>
        <v>2</v>
      </c>
      <c r="R119" s="21">
        <f>'Raw Data'!R119</f>
        <v>7</v>
      </c>
      <c r="S119" s="21">
        <f>IF('Raw Data'!S119="",ROUND(AVERAGE('Raw Data'!$S$2:$S$1501),0),'Raw Data'!S119)</f>
        <v>0</v>
      </c>
      <c r="T119" s="21">
        <f>'Raw Data'!T119</f>
        <v>215.14</v>
      </c>
      <c r="U119" s="21" t="str">
        <f>INDEX('Lookup Tables'!$C$7:$C$9,MATCH(E119,'Lookup Tables'!$B$7:$B$9,0))</f>
        <v>Tier 3 (Semi-urban/Rural)</v>
      </c>
      <c r="V119" s="21" t="str">
        <f t="shared" si="3"/>
        <v>0-6 months</v>
      </c>
      <c r="W119" s="21" t="str">
        <f t="shared" si="4"/>
        <v>Medium Risk</v>
      </c>
      <c r="X119" s="21" t="str">
        <f t="shared" si="5"/>
        <v>No</v>
      </c>
    </row>
    <row r="120" spans="1:24" x14ac:dyDescent="0.3">
      <c r="A120" s="21">
        <f>'Raw Data'!A120</f>
        <v>50119</v>
      </c>
      <c r="B120" s="21">
        <f>'Raw Data'!B120</f>
        <v>0</v>
      </c>
      <c r="C120" s="21">
        <f>'Raw Data'!C120</f>
        <v>3</v>
      </c>
      <c r="D120" s="21" t="str">
        <f>'Raw Data'!D120</f>
        <v>Phone</v>
      </c>
      <c r="E120" s="21">
        <f>'Raw Data'!E120</f>
        <v>1</v>
      </c>
      <c r="F120" s="21">
        <f>IF('Raw Data'!F120="",ROUND(AVERAGE('Raw Data'!$F$2:$F$1501),1),'Raw Data'!F120)</f>
        <v>18</v>
      </c>
      <c r="G120" s="21" t="str">
        <f>'Raw Data'!G120</f>
        <v>Debit Card</v>
      </c>
      <c r="H120" s="21" t="str">
        <f>'Raw Data'!H120</f>
        <v>Female</v>
      </c>
      <c r="I120" s="21">
        <f>IF('Raw Data'!I120="",ROUND(AVERAGE('Raw Data'!$I$2:$I$1501),1),'Raw Data'!I120)</f>
        <v>3.5</v>
      </c>
      <c r="J120" s="21">
        <f>'Raw Data'!J120</f>
        <v>3</v>
      </c>
      <c r="K120" s="21" t="str">
        <f>'Raw Data'!K120</f>
        <v>Laptop &amp; Accessory</v>
      </c>
      <c r="L120" s="21">
        <f>'Raw Data'!L120</f>
        <v>5</v>
      </c>
      <c r="M120" s="21" t="str">
        <f>'Raw Data'!M120</f>
        <v>Married</v>
      </c>
      <c r="N120" s="21">
        <f>'Raw Data'!N120</f>
        <v>5</v>
      </c>
      <c r="O120" s="21">
        <f>'Raw Data'!O120</f>
        <v>0</v>
      </c>
      <c r="P120" s="21">
        <f>IF('Raw Data'!P120="",ROUND(AVERAGE('Raw Data'!$P$2:$P$1501),1),'Raw Data'!P120)</f>
        <v>15</v>
      </c>
      <c r="Q120" s="21">
        <f>IF('Raw Data'!Q120="",ROUND(AVERAGE('Raw Data'!$Q$2:$Q$1501),0),'Raw Data'!Q120)</f>
        <v>3</v>
      </c>
      <c r="R120" s="21">
        <f>'Raw Data'!R120</f>
        <v>2</v>
      </c>
      <c r="S120" s="21">
        <f>IF('Raw Data'!S120="",ROUND(AVERAGE('Raw Data'!$S$2:$S$1501),0),'Raw Data'!S120)</f>
        <v>3</v>
      </c>
      <c r="T120" s="21">
        <f>'Raw Data'!T120</f>
        <v>114.35</v>
      </c>
      <c r="U120" s="21" t="str">
        <f>INDEX('Lookup Tables'!$C$7:$C$9,MATCH(E120,'Lookup Tables'!$B$7:$B$9,0))</f>
        <v>Tier 1 (Metro)</v>
      </c>
      <c r="V120" s="21" t="str">
        <f t="shared" si="3"/>
        <v>0-6 months</v>
      </c>
      <c r="W120" s="21" t="str">
        <f t="shared" si="4"/>
        <v>Low Risk</v>
      </c>
      <c r="X120" s="21" t="str">
        <f t="shared" si="5"/>
        <v>No</v>
      </c>
    </row>
    <row r="121" spans="1:24" x14ac:dyDescent="0.3">
      <c r="A121" s="21">
        <f>'Raw Data'!A121</f>
        <v>50120</v>
      </c>
      <c r="B121" s="21">
        <f>'Raw Data'!B121</f>
        <v>0</v>
      </c>
      <c r="C121" s="21">
        <f>'Raw Data'!C121</f>
        <v>29</v>
      </c>
      <c r="D121" s="21" t="str">
        <f>'Raw Data'!D121</f>
        <v>Mobile Phone</v>
      </c>
      <c r="E121" s="21">
        <f>'Raw Data'!E121</f>
        <v>1</v>
      </c>
      <c r="F121" s="21">
        <f>IF('Raw Data'!F121="",ROUND(AVERAGE('Raw Data'!$F$2:$F$1501),1),'Raw Data'!F121)</f>
        <v>17</v>
      </c>
      <c r="G121" s="21" t="str">
        <f>'Raw Data'!G121</f>
        <v>Credit Card</v>
      </c>
      <c r="H121" s="21" t="str">
        <f>'Raw Data'!H121</f>
        <v>Male</v>
      </c>
      <c r="I121" s="21">
        <f>IF('Raw Data'!I121="",ROUND(AVERAGE('Raw Data'!$I$2:$I$1501),1),'Raw Data'!I121)</f>
        <v>2.9</v>
      </c>
      <c r="J121" s="21">
        <f>'Raw Data'!J121</f>
        <v>3</v>
      </c>
      <c r="K121" s="21" t="str">
        <f>'Raw Data'!K121</f>
        <v>Mobile Phone</v>
      </c>
      <c r="L121" s="21">
        <f>'Raw Data'!L121</f>
        <v>3</v>
      </c>
      <c r="M121" s="21" t="str">
        <f>'Raw Data'!M121</f>
        <v>Single</v>
      </c>
      <c r="N121" s="21">
        <f>'Raw Data'!N121</f>
        <v>3</v>
      </c>
      <c r="O121" s="21">
        <f>'Raw Data'!O121</f>
        <v>0</v>
      </c>
      <c r="P121" s="21">
        <f>IF('Raw Data'!P121="",ROUND(AVERAGE('Raw Data'!$P$2:$P$1501),1),'Raw Data'!P121)</f>
        <v>16</v>
      </c>
      <c r="Q121" s="21">
        <f>IF('Raw Data'!Q121="",ROUND(AVERAGE('Raw Data'!$Q$2:$Q$1501),0),'Raw Data'!Q121)</f>
        <v>2</v>
      </c>
      <c r="R121" s="21">
        <f>'Raw Data'!R121</f>
        <v>3</v>
      </c>
      <c r="S121" s="21">
        <f>IF('Raw Data'!S121="",ROUND(AVERAGE('Raw Data'!$S$2:$S$1501),0),'Raw Data'!S121)</f>
        <v>9</v>
      </c>
      <c r="T121" s="21">
        <f>'Raw Data'!T121</f>
        <v>191.72</v>
      </c>
      <c r="U121" s="21" t="str">
        <f>INDEX('Lookup Tables'!$C$7:$C$9,MATCH(E121,'Lookup Tables'!$B$7:$B$9,0))</f>
        <v>Tier 1 (Metro)</v>
      </c>
      <c r="V121" s="21" t="str">
        <f t="shared" si="3"/>
        <v>25+ months</v>
      </c>
      <c r="W121" s="21" t="str">
        <f t="shared" si="4"/>
        <v>Medium Risk</v>
      </c>
      <c r="X121" s="21" t="str">
        <f t="shared" si="5"/>
        <v>No</v>
      </c>
    </row>
    <row r="122" spans="1:24" x14ac:dyDescent="0.3">
      <c r="A122" s="21">
        <f>'Raw Data'!A122</f>
        <v>50121</v>
      </c>
      <c r="B122" s="21">
        <f>'Raw Data'!B122</f>
        <v>0</v>
      </c>
      <c r="C122" s="21">
        <f>'Raw Data'!C122</f>
        <v>14</v>
      </c>
      <c r="D122" s="21" t="str">
        <f>'Raw Data'!D122</f>
        <v>Mobile Phone</v>
      </c>
      <c r="E122" s="21">
        <f>'Raw Data'!E122</f>
        <v>1</v>
      </c>
      <c r="F122" s="21">
        <f>IF('Raw Data'!F122="",ROUND(AVERAGE('Raw Data'!$F$2:$F$1501),1),'Raw Data'!F122)</f>
        <v>13</v>
      </c>
      <c r="G122" s="21" t="str">
        <f>'Raw Data'!G122</f>
        <v>Debit Card</v>
      </c>
      <c r="H122" s="21" t="str">
        <f>'Raw Data'!H122</f>
        <v>Female</v>
      </c>
      <c r="I122" s="21">
        <f>IF('Raw Data'!I122="",ROUND(AVERAGE('Raw Data'!$I$2:$I$1501),1),'Raw Data'!I122)</f>
        <v>1.7</v>
      </c>
      <c r="J122" s="21">
        <f>'Raw Data'!J122</f>
        <v>3</v>
      </c>
      <c r="K122" s="21" t="str">
        <f>'Raw Data'!K122</f>
        <v>Mobile Phone</v>
      </c>
      <c r="L122" s="21">
        <f>'Raw Data'!L122</f>
        <v>3</v>
      </c>
      <c r="M122" s="21" t="str">
        <f>'Raw Data'!M122</f>
        <v>Single</v>
      </c>
      <c r="N122" s="21">
        <f>'Raw Data'!N122</f>
        <v>2</v>
      </c>
      <c r="O122" s="21">
        <f>'Raw Data'!O122</f>
        <v>0</v>
      </c>
      <c r="P122" s="21">
        <f>IF('Raw Data'!P122="",ROUND(AVERAGE('Raw Data'!$P$2:$P$1501),1),'Raw Data'!P122)</f>
        <v>14.4</v>
      </c>
      <c r="Q122" s="21">
        <f>IF('Raw Data'!Q122="",ROUND(AVERAGE('Raw Data'!$Q$2:$Q$1501),0),'Raw Data'!Q122)</f>
        <v>3</v>
      </c>
      <c r="R122" s="21">
        <f>'Raw Data'!R122</f>
        <v>4</v>
      </c>
      <c r="S122" s="21">
        <f>IF('Raw Data'!S122="",ROUND(AVERAGE('Raw Data'!$S$2:$S$1501),0),'Raw Data'!S122)</f>
        <v>0</v>
      </c>
      <c r="T122" s="21">
        <f>'Raw Data'!T122</f>
        <v>213.04</v>
      </c>
      <c r="U122" s="21" t="str">
        <f>INDEX('Lookup Tables'!$C$7:$C$9,MATCH(E122,'Lookup Tables'!$B$7:$B$9,0))</f>
        <v>Tier 1 (Metro)</v>
      </c>
      <c r="V122" s="21" t="str">
        <f t="shared" si="3"/>
        <v>13-24 months</v>
      </c>
      <c r="W122" s="21" t="str">
        <f t="shared" si="4"/>
        <v>Medium Risk</v>
      </c>
      <c r="X122" s="21" t="str">
        <f t="shared" si="5"/>
        <v>No</v>
      </c>
    </row>
    <row r="123" spans="1:24" x14ac:dyDescent="0.3">
      <c r="A123" s="21">
        <f>'Raw Data'!A123</f>
        <v>50122</v>
      </c>
      <c r="B123" s="21">
        <f>'Raw Data'!B123</f>
        <v>0</v>
      </c>
      <c r="C123" s="21">
        <f>'Raw Data'!C123</f>
        <v>1</v>
      </c>
      <c r="D123" s="21" t="str">
        <f>'Raw Data'!D123</f>
        <v>Mobile Phone</v>
      </c>
      <c r="E123" s="21">
        <f>'Raw Data'!E123</f>
        <v>1</v>
      </c>
      <c r="F123" s="21">
        <f>IF('Raw Data'!F123="",ROUND(AVERAGE('Raw Data'!$F$2:$F$1501),1),'Raw Data'!F123)</f>
        <v>8</v>
      </c>
      <c r="G123" s="21" t="str">
        <f>'Raw Data'!G123</f>
        <v>Cash on Delivery</v>
      </c>
      <c r="H123" s="21" t="str">
        <f>'Raw Data'!H123</f>
        <v>Female</v>
      </c>
      <c r="I123" s="21">
        <f>IF('Raw Data'!I123="",ROUND(AVERAGE('Raw Data'!$I$2:$I$1501),1),'Raw Data'!I123)</f>
        <v>5</v>
      </c>
      <c r="J123" s="21">
        <f>'Raw Data'!J123</f>
        <v>4</v>
      </c>
      <c r="K123" s="21" t="str">
        <f>'Raw Data'!K123</f>
        <v>Laptop &amp; Accessory</v>
      </c>
      <c r="L123" s="21">
        <f>'Raw Data'!L123</f>
        <v>4</v>
      </c>
      <c r="M123" s="21" t="str">
        <f>'Raw Data'!M123</f>
        <v>Single</v>
      </c>
      <c r="N123" s="21">
        <f>'Raw Data'!N123</f>
        <v>8</v>
      </c>
      <c r="O123" s="21">
        <f>'Raw Data'!O123</f>
        <v>0</v>
      </c>
      <c r="P123" s="21">
        <f>IF('Raw Data'!P123="",ROUND(AVERAGE('Raw Data'!$P$2:$P$1501),1),'Raw Data'!P123)</f>
        <v>12.6</v>
      </c>
      <c r="Q123" s="21">
        <f>IF('Raw Data'!Q123="",ROUND(AVERAGE('Raw Data'!$Q$2:$Q$1501),0),'Raw Data'!Q123)</f>
        <v>1</v>
      </c>
      <c r="R123" s="21">
        <f>'Raw Data'!R123</f>
        <v>5</v>
      </c>
      <c r="S123" s="21">
        <f>IF('Raw Data'!S123="",ROUND(AVERAGE('Raw Data'!$S$2:$S$1501),0),'Raw Data'!S123)</f>
        <v>3</v>
      </c>
      <c r="T123" s="21">
        <f>'Raw Data'!T123</f>
        <v>76.92</v>
      </c>
      <c r="U123" s="21" t="str">
        <f>INDEX('Lookup Tables'!$C$7:$C$9,MATCH(E123,'Lookup Tables'!$B$7:$B$9,0))</f>
        <v>Tier 1 (Metro)</v>
      </c>
      <c r="V123" s="21" t="str">
        <f t="shared" si="3"/>
        <v>0-6 months</v>
      </c>
      <c r="W123" s="21" t="str">
        <f t="shared" si="4"/>
        <v>Low Risk</v>
      </c>
      <c r="X123" s="21" t="str">
        <f t="shared" si="5"/>
        <v>No</v>
      </c>
    </row>
    <row r="124" spans="1:24" x14ac:dyDescent="0.3">
      <c r="A124" s="21">
        <f>'Raw Data'!A124</f>
        <v>50123</v>
      </c>
      <c r="B124" s="21">
        <f>'Raw Data'!B124</f>
        <v>0</v>
      </c>
      <c r="C124" s="21">
        <f>'Raw Data'!C124</f>
        <v>20</v>
      </c>
      <c r="D124" s="21" t="str">
        <f>'Raw Data'!D124</f>
        <v>Mobile Phone</v>
      </c>
      <c r="E124" s="21">
        <f>'Raw Data'!E124</f>
        <v>1</v>
      </c>
      <c r="F124" s="21">
        <f>IF('Raw Data'!F124="",ROUND(AVERAGE('Raw Data'!$F$2:$F$1501),1),'Raw Data'!F124)</f>
        <v>23</v>
      </c>
      <c r="G124" s="21" t="str">
        <f>'Raw Data'!G124</f>
        <v>Debit Card</v>
      </c>
      <c r="H124" s="21" t="str">
        <f>'Raw Data'!H124</f>
        <v>Male</v>
      </c>
      <c r="I124" s="21">
        <f>IF('Raw Data'!I124="",ROUND(AVERAGE('Raw Data'!$I$2:$I$1501),1),'Raw Data'!I124)</f>
        <v>4.0999999999999996</v>
      </c>
      <c r="J124" s="21">
        <f>'Raw Data'!J124</f>
        <v>3</v>
      </c>
      <c r="K124" s="21" t="str">
        <f>'Raw Data'!K124</f>
        <v>Others</v>
      </c>
      <c r="L124" s="21">
        <f>'Raw Data'!L124</f>
        <v>5</v>
      </c>
      <c r="M124" s="21" t="str">
        <f>'Raw Data'!M124</f>
        <v>Married</v>
      </c>
      <c r="N124" s="21">
        <f>'Raw Data'!N124</f>
        <v>1</v>
      </c>
      <c r="O124" s="21">
        <f>'Raw Data'!O124</f>
        <v>0</v>
      </c>
      <c r="P124" s="21">
        <f>IF('Raw Data'!P124="",ROUND(AVERAGE('Raw Data'!$P$2:$P$1501),1),'Raw Data'!P124)</f>
        <v>17.7</v>
      </c>
      <c r="Q124" s="21">
        <f>IF('Raw Data'!Q124="",ROUND(AVERAGE('Raw Data'!$Q$2:$Q$1501),0),'Raw Data'!Q124)</f>
        <v>2</v>
      </c>
      <c r="R124" s="21">
        <f>'Raw Data'!R124</f>
        <v>2</v>
      </c>
      <c r="S124" s="21">
        <f>IF('Raw Data'!S124="",ROUND(AVERAGE('Raw Data'!$S$2:$S$1501),0),'Raw Data'!S124)</f>
        <v>0</v>
      </c>
      <c r="T124" s="21">
        <f>'Raw Data'!T124</f>
        <v>177.6</v>
      </c>
      <c r="U124" s="21" t="str">
        <f>INDEX('Lookup Tables'!$C$7:$C$9,MATCH(E124,'Lookup Tables'!$B$7:$B$9,0))</f>
        <v>Tier 1 (Metro)</v>
      </c>
      <c r="V124" s="21" t="str">
        <f t="shared" si="3"/>
        <v>13-24 months</v>
      </c>
      <c r="W124" s="21" t="str">
        <f t="shared" si="4"/>
        <v>Low Risk</v>
      </c>
      <c r="X124" s="21" t="str">
        <f t="shared" si="5"/>
        <v>No</v>
      </c>
    </row>
    <row r="125" spans="1:24" x14ac:dyDescent="0.3">
      <c r="A125" s="21">
        <f>'Raw Data'!A125</f>
        <v>50124</v>
      </c>
      <c r="B125" s="21">
        <f>'Raw Data'!B125</f>
        <v>0</v>
      </c>
      <c r="C125" s="21">
        <f>'Raw Data'!C125</f>
        <v>6</v>
      </c>
      <c r="D125" s="21" t="str">
        <f>'Raw Data'!D125</f>
        <v>Computer</v>
      </c>
      <c r="E125" s="21">
        <f>'Raw Data'!E125</f>
        <v>1</v>
      </c>
      <c r="F125" s="21">
        <f>IF('Raw Data'!F125="",ROUND(AVERAGE('Raw Data'!$F$2:$F$1501),1),'Raw Data'!F125)</f>
        <v>28</v>
      </c>
      <c r="G125" s="21" t="str">
        <f>'Raw Data'!G125</f>
        <v>E wallet</v>
      </c>
      <c r="H125" s="21" t="str">
        <f>'Raw Data'!H125</f>
        <v>Male</v>
      </c>
      <c r="I125" s="21">
        <f>IF('Raw Data'!I125="",ROUND(AVERAGE('Raw Data'!$I$2:$I$1501),1),'Raw Data'!I125)</f>
        <v>3.4</v>
      </c>
      <c r="J125" s="21">
        <f>'Raw Data'!J125</f>
        <v>3</v>
      </c>
      <c r="K125" s="21" t="str">
        <f>'Raw Data'!K125</f>
        <v>Laptop &amp; Accessory</v>
      </c>
      <c r="L125" s="21">
        <f>'Raw Data'!L125</f>
        <v>3</v>
      </c>
      <c r="M125" s="21" t="str">
        <f>'Raw Data'!M125</f>
        <v>Single</v>
      </c>
      <c r="N125" s="21">
        <f>'Raw Data'!N125</f>
        <v>1</v>
      </c>
      <c r="O125" s="21">
        <f>'Raw Data'!O125</f>
        <v>0</v>
      </c>
      <c r="P125" s="21">
        <f>IF('Raw Data'!P125="",ROUND(AVERAGE('Raw Data'!$P$2:$P$1501),1),'Raw Data'!P125)</f>
        <v>13.9</v>
      </c>
      <c r="Q125" s="21">
        <f>IF('Raw Data'!Q125="",ROUND(AVERAGE('Raw Data'!$Q$2:$Q$1501),0),'Raw Data'!Q125)</f>
        <v>1</v>
      </c>
      <c r="R125" s="21">
        <f>'Raw Data'!R125</f>
        <v>3</v>
      </c>
      <c r="S125" s="21">
        <f>IF('Raw Data'!S125="",ROUND(AVERAGE('Raw Data'!$S$2:$S$1501),0),'Raw Data'!S125)</f>
        <v>11</v>
      </c>
      <c r="T125" s="21">
        <f>'Raw Data'!T125</f>
        <v>161.54</v>
      </c>
      <c r="U125" s="21" t="str">
        <f>INDEX('Lookup Tables'!$C$7:$C$9,MATCH(E125,'Lookup Tables'!$B$7:$B$9,0))</f>
        <v>Tier 1 (Metro)</v>
      </c>
      <c r="V125" s="21" t="str">
        <f t="shared" si="3"/>
        <v>0-6 months</v>
      </c>
      <c r="W125" s="21" t="str">
        <f t="shared" si="4"/>
        <v>Medium Risk</v>
      </c>
      <c r="X125" s="21" t="str">
        <f t="shared" si="5"/>
        <v>No</v>
      </c>
    </row>
    <row r="126" spans="1:24" x14ac:dyDescent="0.3">
      <c r="A126" s="21">
        <f>'Raw Data'!A126</f>
        <v>50125</v>
      </c>
      <c r="B126" s="21">
        <f>'Raw Data'!B126</f>
        <v>1</v>
      </c>
      <c r="C126" s="21">
        <f>'Raw Data'!C126</f>
        <v>22</v>
      </c>
      <c r="D126" s="21" t="str">
        <f>'Raw Data'!D126</f>
        <v>Phone</v>
      </c>
      <c r="E126" s="21">
        <f>'Raw Data'!E126</f>
        <v>3</v>
      </c>
      <c r="F126" s="21">
        <f>IF('Raw Data'!F126="",ROUND(AVERAGE('Raw Data'!$F$2:$F$1501),1),'Raw Data'!F126)</f>
        <v>11</v>
      </c>
      <c r="G126" s="21" t="str">
        <f>'Raw Data'!G126</f>
        <v>Credit Card</v>
      </c>
      <c r="H126" s="21" t="str">
        <f>'Raw Data'!H126</f>
        <v>Male</v>
      </c>
      <c r="I126" s="21">
        <f>IF('Raw Data'!I126="",ROUND(AVERAGE('Raw Data'!$I$2:$I$1501),1),'Raw Data'!I126)</f>
        <v>2.4</v>
      </c>
      <c r="J126" s="21">
        <f>'Raw Data'!J126</f>
        <v>2</v>
      </c>
      <c r="K126" s="21" t="str">
        <f>'Raw Data'!K126</f>
        <v>Fashion</v>
      </c>
      <c r="L126" s="21">
        <f>'Raw Data'!L126</f>
        <v>3</v>
      </c>
      <c r="M126" s="21" t="str">
        <f>'Raw Data'!M126</f>
        <v>Single</v>
      </c>
      <c r="N126" s="21">
        <f>'Raw Data'!N126</f>
        <v>3</v>
      </c>
      <c r="O126" s="21">
        <f>'Raw Data'!O126</f>
        <v>0</v>
      </c>
      <c r="P126" s="21">
        <f>IF('Raw Data'!P126="",ROUND(AVERAGE('Raw Data'!$P$2:$P$1501),1),'Raw Data'!P126)</f>
        <v>16.600000000000001</v>
      </c>
      <c r="Q126" s="21">
        <f>IF('Raw Data'!Q126="",ROUND(AVERAGE('Raw Data'!$Q$2:$Q$1501),0),'Raw Data'!Q126)</f>
        <v>1</v>
      </c>
      <c r="R126" s="21">
        <f>'Raw Data'!R126</f>
        <v>3</v>
      </c>
      <c r="S126" s="21">
        <f>IF('Raw Data'!S126="",ROUND(AVERAGE('Raw Data'!$S$2:$S$1501),0),'Raw Data'!S126)</f>
        <v>8</v>
      </c>
      <c r="T126" s="21">
        <f>'Raw Data'!T126</f>
        <v>143.99</v>
      </c>
      <c r="U126" s="21" t="str">
        <f>INDEX('Lookup Tables'!$C$7:$C$9,MATCH(E126,'Lookup Tables'!$B$7:$B$9,0))</f>
        <v>Tier 3 (Semi-urban/Rural)</v>
      </c>
      <c r="V126" s="21" t="str">
        <f t="shared" si="3"/>
        <v>13-24 months</v>
      </c>
      <c r="W126" s="21" t="str">
        <f t="shared" si="4"/>
        <v>Medium Risk</v>
      </c>
      <c r="X126" s="21" t="str">
        <f t="shared" si="5"/>
        <v>Yes</v>
      </c>
    </row>
    <row r="127" spans="1:24" x14ac:dyDescent="0.3">
      <c r="A127" s="21">
        <f>'Raw Data'!A127</f>
        <v>50126</v>
      </c>
      <c r="B127" s="21">
        <f>'Raw Data'!B127</f>
        <v>0</v>
      </c>
      <c r="C127" s="21">
        <f>'Raw Data'!C127</f>
        <v>16</v>
      </c>
      <c r="D127" s="21" t="str">
        <f>'Raw Data'!D127</f>
        <v>Mobile Phone</v>
      </c>
      <c r="E127" s="21">
        <f>'Raw Data'!E127</f>
        <v>1</v>
      </c>
      <c r="F127" s="21">
        <f>IF('Raw Data'!F127="",ROUND(AVERAGE('Raw Data'!$F$2:$F$1501),1),'Raw Data'!F127)</f>
        <v>10</v>
      </c>
      <c r="G127" s="21" t="str">
        <f>'Raw Data'!G127</f>
        <v>Cash on Delivery</v>
      </c>
      <c r="H127" s="21" t="str">
        <f>'Raw Data'!H127</f>
        <v>Male</v>
      </c>
      <c r="I127" s="21">
        <f>IF('Raw Data'!I127="",ROUND(AVERAGE('Raw Data'!$I$2:$I$1501),1),'Raw Data'!I127)</f>
        <v>2.8</v>
      </c>
      <c r="J127" s="21">
        <f>'Raw Data'!J127</f>
        <v>3</v>
      </c>
      <c r="K127" s="21" t="str">
        <f>'Raw Data'!K127</f>
        <v>Mobile Phone</v>
      </c>
      <c r="L127" s="21">
        <f>'Raw Data'!L127</f>
        <v>5</v>
      </c>
      <c r="M127" s="21" t="str">
        <f>'Raw Data'!M127</f>
        <v>Married</v>
      </c>
      <c r="N127" s="21">
        <f>'Raw Data'!N127</f>
        <v>3</v>
      </c>
      <c r="O127" s="21">
        <f>'Raw Data'!O127</f>
        <v>1</v>
      </c>
      <c r="P127" s="21">
        <f>IF('Raw Data'!P127="",ROUND(AVERAGE('Raw Data'!$P$2:$P$1501),1),'Raw Data'!P127)</f>
        <v>17.399999999999999</v>
      </c>
      <c r="Q127" s="21">
        <f>IF('Raw Data'!Q127="",ROUND(AVERAGE('Raw Data'!$Q$2:$Q$1501),0),'Raw Data'!Q127)</f>
        <v>2</v>
      </c>
      <c r="R127" s="21">
        <f>'Raw Data'!R127</f>
        <v>3</v>
      </c>
      <c r="S127" s="21">
        <f>IF('Raw Data'!S127="",ROUND(AVERAGE('Raw Data'!$S$2:$S$1501),0),'Raw Data'!S127)</f>
        <v>13</v>
      </c>
      <c r="T127" s="21">
        <f>'Raw Data'!T127</f>
        <v>207.43</v>
      </c>
      <c r="U127" s="21" t="str">
        <f>INDEX('Lookup Tables'!$C$7:$C$9,MATCH(E127,'Lookup Tables'!$B$7:$B$9,0))</f>
        <v>Tier 1 (Metro)</v>
      </c>
      <c r="V127" s="21" t="str">
        <f t="shared" si="3"/>
        <v>13-24 months</v>
      </c>
      <c r="W127" s="21" t="str">
        <f t="shared" si="4"/>
        <v>Low Risk</v>
      </c>
      <c r="X127" s="21" t="str">
        <f t="shared" si="5"/>
        <v>No</v>
      </c>
    </row>
    <row r="128" spans="1:24" x14ac:dyDescent="0.3">
      <c r="A128" s="21">
        <f>'Raw Data'!A128</f>
        <v>50127</v>
      </c>
      <c r="B128" s="21">
        <f>'Raw Data'!B128</f>
        <v>0</v>
      </c>
      <c r="C128" s="21">
        <f>'Raw Data'!C128</f>
        <v>5</v>
      </c>
      <c r="D128" s="21" t="str">
        <f>'Raw Data'!D128</f>
        <v>Phone</v>
      </c>
      <c r="E128" s="21">
        <f>'Raw Data'!E128</f>
        <v>1</v>
      </c>
      <c r="F128" s="21">
        <f>IF('Raw Data'!F128="",ROUND(AVERAGE('Raw Data'!$F$2:$F$1501),1),'Raw Data'!F128)</f>
        <v>18</v>
      </c>
      <c r="G128" s="21" t="str">
        <f>'Raw Data'!G128</f>
        <v>Debit Card</v>
      </c>
      <c r="H128" s="21" t="str">
        <f>'Raw Data'!H128</f>
        <v>Male</v>
      </c>
      <c r="I128" s="21">
        <f>IF('Raw Data'!I128="",ROUND(AVERAGE('Raw Data'!$I$2:$I$1501),1),'Raw Data'!I128)</f>
        <v>2.5</v>
      </c>
      <c r="J128" s="21">
        <f>'Raw Data'!J128</f>
        <v>3</v>
      </c>
      <c r="K128" s="21" t="str">
        <f>'Raw Data'!K128</f>
        <v>Fashion</v>
      </c>
      <c r="L128" s="21">
        <f>'Raw Data'!L128</f>
        <v>4</v>
      </c>
      <c r="M128" s="21" t="str">
        <f>'Raw Data'!M128</f>
        <v>Single</v>
      </c>
      <c r="N128" s="21">
        <f>'Raw Data'!N128</f>
        <v>2</v>
      </c>
      <c r="O128" s="21">
        <f>'Raw Data'!O128</f>
        <v>1</v>
      </c>
      <c r="P128" s="21">
        <f>IF('Raw Data'!P128="",ROUND(AVERAGE('Raw Data'!$P$2:$P$1501),1),'Raw Data'!P128)</f>
        <v>13.9</v>
      </c>
      <c r="Q128" s="21">
        <f>IF('Raw Data'!Q128="",ROUND(AVERAGE('Raw Data'!$Q$2:$Q$1501),0),'Raw Data'!Q128)</f>
        <v>1</v>
      </c>
      <c r="R128" s="21">
        <f>'Raw Data'!R128</f>
        <v>4</v>
      </c>
      <c r="S128" s="21">
        <f>IF('Raw Data'!S128="",ROUND(AVERAGE('Raw Data'!$S$2:$S$1501),0),'Raw Data'!S128)</f>
        <v>10</v>
      </c>
      <c r="T128" s="21">
        <f>'Raw Data'!T128</f>
        <v>116.77</v>
      </c>
      <c r="U128" s="21" t="str">
        <f>INDEX('Lookup Tables'!$C$7:$C$9,MATCH(E128,'Lookup Tables'!$B$7:$B$9,0))</f>
        <v>Tier 1 (Metro)</v>
      </c>
      <c r="V128" s="21" t="str">
        <f t="shared" si="3"/>
        <v>0-6 months</v>
      </c>
      <c r="W128" s="21" t="str">
        <f t="shared" si="4"/>
        <v>Low Risk</v>
      </c>
      <c r="X128" s="21" t="str">
        <f t="shared" si="5"/>
        <v>No</v>
      </c>
    </row>
    <row r="129" spans="1:24" x14ac:dyDescent="0.3">
      <c r="A129" s="21">
        <f>'Raw Data'!A129</f>
        <v>50128</v>
      </c>
      <c r="B129" s="21">
        <f>'Raw Data'!B129</f>
        <v>0</v>
      </c>
      <c r="C129" s="21">
        <f>'Raw Data'!C129</f>
        <v>0</v>
      </c>
      <c r="D129" s="21" t="str">
        <f>'Raw Data'!D129</f>
        <v>Mobile Phone</v>
      </c>
      <c r="E129" s="21">
        <f>'Raw Data'!E129</f>
        <v>3</v>
      </c>
      <c r="F129" s="21">
        <f>IF('Raw Data'!F129="",ROUND(AVERAGE('Raw Data'!$F$2:$F$1501),1),'Raw Data'!F129)</f>
        <v>12</v>
      </c>
      <c r="G129" s="21" t="str">
        <f>'Raw Data'!G129</f>
        <v>Credit Card</v>
      </c>
      <c r="H129" s="21" t="str">
        <f>'Raw Data'!H129</f>
        <v>Female</v>
      </c>
      <c r="I129" s="21">
        <f>IF('Raw Data'!I129="",ROUND(AVERAGE('Raw Data'!$I$2:$I$1501),1),'Raw Data'!I129)</f>
        <v>3.8</v>
      </c>
      <c r="J129" s="21">
        <f>'Raw Data'!J129</f>
        <v>4</v>
      </c>
      <c r="K129" s="21" t="str">
        <f>'Raw Data'!K129</f>
        <v>Mobile Phone</v>
      </c>
      <c r="L129" s="21">
        <f>'Raw Data'!L129</f>
        <v>4</v>
      </c>
      <c r="M129" s="21" t="str">
        <f>'Raw Data'!M129</f>
        <v>Married</v>
      </c>
      <c r="N129" s="21">
        <f>'Raw Data'!N129</f>
        <v>2</v>
      </c>
      <c r="O129" s="21">
        <f>'Raw Data'!O129</f>
        <v>0</v>
      </c>
      <c r="P129" s="21">
        <f>IF('Raw Data'!P129="",ROUND(AVERAGE('Raw Data'!$P$2:$P$1501),1),'Raw Data'!P129)</f>
        <v>11.8</v>
      </c>
      <c r="Q129" s="21">
        <f>IF('Raw Data'!Q129="",ROUND(AVERAGE('Raw Data'!$Q$2:$Q$1501),0),'Raw Data'!Q129)</f>
        <v>2</v>
      </c>
      <c r="R129" s="21">
        <f>'Raw Data'!R129</f>
        <v>4</v>
      </c>
      <c r="S129" s="21">
        <f>IF('Raw Data'!S129="",ROUND(AVERAGE('Raw Data'!$S$2:$S$1501),0),'Raw Data'!S129)</f>
        <v>6</v>
      </c>
      <c r="T129" s="21">
        <f>'Raw Data'!T129</f>
        <v>202.93</v>
      </c>
      <c r="U129" s="21" t="str">
        <f>INDEX('Lookup Tables'!$C$7:$C$9,MATCH(E129,'Lookup Tables'!$B$7:$B$9,0))</f>
        <v>Tier 3 (Semi-urban/Rural)</v>
      </c>
      <c r="V129" s="21" t="str">
        <f t="shared" si="3"/>
        <v>0-6 months</v>
      </c>
      <c r="W129" s="21" t="str">
        <f t="shared" si="4"/>
        <v>Low Risk</v>
      </c>
      <c r="X129" s="21" t="str">
        <f t="shared" si="5"/>
        <v>No</v>
      </c>
    </row>
    <row r="130" spans="1:24" x14ac:dyDescent="0.3">
      <c r="A130" s="21">
        <f>'Raw Data'!A130</f>
        <v>50129</v>
      </c>
      <c r="B130" s="21">
        <f>'Raw Data'!B130</f>
        <v>0</v>
      </c>
      <c r="C130" s="21">
        <f>'Raw Data'!C130</f>
        <v>3</v>
      </c>
      <c r="D130" s="21" t="str">
        <f>'Raw Data'!D130</f>
        <v>Computer</v>
      </c>
      <c r="E130" s="21">
        <f>'Raw Data'!E130</f>
        <v>1</v>
      </c>
      <c r="F130" s="21">
        <f>IF('Raw Data'!F130="",ROUND(AVERAGE('Raw Data'!$F$2:$F$1501),1),'Raw Data'!F130)</f>
        <v>13</v>
      </c>
      <c r="G130" s="21" t="str">
        <f>'Raw Data'!G130</f>
        <v>Credit Card</v>
      </c>
      <c r="H130" s="21" t="str">
        <f>'Raw Data'!H130</f>
        <v>Male</v>
      </c>
      <c r="I130" s="21">
        <f>IF('Raw Data'!I130="",ROUND(AVERAGE('Raw Data'!$I$2:$I$1501),1),'Raw Data'!I130)</f>
        <v>3.1</v>
      </c>
      <c r="J130" s="21">
        <f>'Raw Data'!J130</f>
        <v>2</v>
      </c>
      <c r="K130" s="21" t="str">
        <f>'Raw Data'!K130</f>
        <v>Fashion</v>
      </c>
      <c r="L130" s="21">
        <f>'Raw Data'!L130</f>
        <v>3</v>
      </c>
      <c r="M130" s="21" t="str">
        <f>'Raw Data'!M130</f>
        <v>Married</v>
      </c>
      <c r="N130" s="21">
        <f>'Raw Data'!N130</f>
        <v>11</v>
      </c>
      <c r="O130" s="21">
        <f>'Raw Data'!O130</f>
        <v>0</v>
      </c>
      <c r="P130" s="21">
        <f>IF('Raw Data'!P130="",ROUND(AVERAGE('Raw Data'!$P$2:$P$1501),1),'Raw Data'!P130)</f>
        <v>24.5</v>
      </c>
      <c r="Q130" s="21">
        <f>IF('Raw Data'!Q130="",ROUND(AVERAGE('Raw Data'!$Q$2:$Q$1501),0),'Raw Data'!Q130)</f>
        <v>1</v>
      </c>
      <c r="R130" s="21">
        <f>'Raw Data'!R130</f>
        <v>1</v>
      </c>
      <c r="S130" s="21">
        <f>IF('Raw Data'!S130="",ROUND(AVERAGE('Raw Data'!$S$2:$S$1501),0),'Raw Data'!S130)</f>
        <v>1</v>
      </c>
      <c r="T130" s="21">
        <f>'Raw Data'!T130</f>
        <v>210.77</v>
      </c>
      <c r="U130" s="21" t="str">
        <f>INDEX('Lookup Tables'!$C$7:$C$9,MATCH(E130,'Lookup Tables'!$B$7:$B$9,0))</f>
        <v>Tier 1 (Metro)</v>
      </c>
      <c r="V130" s="21" t="str">
        <f t="shared" ref="V130:V193" si="6">IF(C130&lt;=6,"0-6 months",IF(C130&lt;=12,"7-12 months",IF(C130&lt;=24,"13-24 months","25+ months")))</f>
        <v>0-6 months</v>
      </c>
      <c r="W130" s="21" t="str">
        <f t="shared" ref="W130:W193" si="7">IF(AND(O130=1,L130&lt;=2),"High Risk",IF(OR(L130=3,S130&gt;15),"Medium Risk","Low Risk"))</f>
        <v>Medium Risk</v>
      </c>
      <c r="X130" s="21" t="str">
        <f t="shared" ref="X130:X193" si="8">IF(B130=1,"Yes","No")</f>
        <v>No</v>
      </c>
    </row>
    <row r="131" spans="1:24" x14ac:dyDescent="0.3">
      <c r="A131" s="21">
        <f>'Raw Data'!A131</f>
        <v>50130</v>
      </c>
      <c r="B131" s="21">
        <f>'Raw Data'!B131</f>
        <v>0</v>
      </c>
      <c r="C131" s="21">
        <f>'Raw Data'!C131</f>
        <v>7</v>
      </c>
      <c r="D131" s="21" t="str">
        <f>'Raw Data'!D131</f>
        <v>Computer</v>
      </c>
      <c r="E131" s="21">
        <f>'Raw Data'!E131</f>
        <v>3</v>
      </c>
      <c r="F131" s="21">
        <f>IF('Raw Data'!F131="",ROUND(AVERAGE('Raw Data'!$F$2:$F$1501),1),'Raw Data'!F131)</f>
        <v>20</v>
      </c>
      <c r="G131" s="21" t="str">
        <f>'Raw Data'!G131</f>
        <v>E wallet</v>
      </c>
      <c r="H131" s="21" t="str">
        <f>'Raw Data'!H131</f>
        <v>Male</v>
      </c>
      <c r="I131" s="21">
        <f>IF('Raw Data'!I131="",ROUND(AVERAGE('Raw Data'!$I$2:$I$1501),1),'Raw Data'!I131)</f>
        <v>2.4</v>
      </c>
      <c r="J131" s="21">
        <f>'Raw Data'!J131</f>
        <v>2</v>
      </c>
      <c r="K131" s="21" t="str">
        <f>'Raw Data'!K131</f>
        <v>Fashion</v>
      </c>
      <c r="L131" s="21">
        <f>'Raw Data'!L131</f>
        <v>3</v>
      </c>
      <c r="M131" s="21" t="str">
        <f>'Raw Data'!M131</f>
        <v>Married</v>
      </c>
      <c r="N131" s="21">
        <f>'Raw Data'!N131</f>
        <v>4</v>
      </c>
      <c r="O131" s="21">
        <f>'Raw Data'!O131</f>
        <v>0</v>
      </c>
      <c r="P131" s="21">
        <f>IF('Raw Data'!P131="",ROUND(AVERAGE('Raw Data'!$P$2:$P$1501),1),'Raw Data'!P131)</f>
        <v>14.2</v>
      </c>
      <c r="Q131" s="21">
        <f>IF('Raw Data'!Q131="",ROUND(AVERAGE('Raw Data'!$Q$2:$Q$1501),0),'Raw Data'!Q131)</f>
        <v>1</v>
      </c>
      <c r="R131" s="21">
        <f>'Raw Data'!R131</f>
        <v>6</v>
      </c>
      <c r="S131" s="21">
        <f>IF('Raw Data'!S131="",ROUND(AVERAGE('Raw Data'!$S$2:$S$1501),0),'Raw Data'!S131)</f>
        <v>1</v>
      </c>
      <c r="T131" s="21">
        <f>'Raw Data'!T131</f>
        <v>239.61</v>
      </c>
      <c r="U131" s="21" t="str">
        <f>INDEX('Lookup Tables'!$C$7:$C$9,MATCH(E131,'Lookup Tables'!$B$7:$B$9,0))</f>
        <v>Tier 3 (Semi-urban/Rural)</v>
      </c>
      <c r="V131" s="21" t="str">
        <f t="shared" si="6"/>
        <v>7-12 months</v>
      </c>
      <c r="W131" s="21" t="str">
        <f t="shared" si="7"/>
        <v>Medium Risk</v>
      </c>
      <c r="X131" s="21" t="str">
        <f t="shared" si="8"/>
        <v>No</v>
      </c>
    </row>
    <row r="132" spans="1:24" x14ac:dyDescent="0.3">
      <c r="A132" s="21">
        <f>'Raw Data'!A132</f>
        <v>50131</v>
      </c>
      <c r="B132" s="21">
        <f>'Raw Data'!B132</f>
        <v>0</v>
      </c>
      <c r="C132" s="21">
        <f>'Raw Data'!C132</f>
        <v>10</v>
      </c>
      <c r="D132" s="21" t="str">
        <f>'Raw Data'!D132</f>
        <v>Mobile Phone</v>
      </c>
      <c r="E132" s="21">
        <f>'Raw Data'!E132</f>
        <v>1</v>
      </c>
      <c r="F132" s="21">
        <f>IF('Raw Data'!F132="",ROUND(AVERAGE('Raw Data'!$F$2:$F$1501),1),'Raw Data'!F132)</f>
        <v>5</v>
      </c>
      <c r="G132" s="21" t="str">
        <f>'Raw Data'!G132</f>
        <v>Debit Card</v>
      </c>
      <c r="H132" s="21" t="str">
        <f>'Raw Data'!H132</f>
        <v>Female</v>
      </c>
      <c r="I132" s="21">
        <f>IF('Raw Data'!I132="",ROUND(AVERAGE('Raw Data'!$I$2:$I$1501),1),'Raw Data'!I132)</f>
        <v>2.6</v>
      </c>
      <c r="J132" s="21">
        <f>'Raw Data'!J132</f>
        <v>4</v>
      </c>
      <c r="K132" s="21" t="str">
        <f>'Raw Data'!K132</f>
        <v>Fashion</v>
      </c>
      <c r="L132" s="21">
        <f>'Raw Data'!L132</f>
        <v>4</v>
      </c>
      <c r="M132" s="21" t="str">
        <f>'Raw Data'!M132</f>
        <v>Single</v>
      </c>
      <c r="N132" s="21">
        <f>'Raw Data'!N132</f>
        <v>1</v>
      </c>
      <c r="O132" s="21">
        <f>'Raw Data'!O132</f>
        <v>0</v>
      </c>
      <c r="P132" s="21">
        <f>IF('Raw Data'!P132="",ROUND(AVERAGE('Raw Data'!$P$2:$P$1501),1),'Raw Data'!P132)</f>
        <v>18.2</v>
      </c>
      <c r="Q132" s="21">
        <f>IF('Raw Data'!Q132="",ROUND(AVERAGE('Raw Data'!$Q$2:$Q$1501),0),'Raw Data'!Q132)</f>
        <v>2</v>
      </c>
      <c r="R132" s="21">
        <f>'Raw Data'!R132</f>
        <v>5</v>
      </c>
      <c r="S132" s="21">
        <f>IF('Raw Data'!S132="",ROUND(AVERAGE('Raw Data'!$S$2:$S$1501),0),'Raw Data'!S132)</f>
        <v>4</v>
      </c>
      <c r="T132" s="21">
        <f>'Raw Data'!T132</f>
        <v>118.21</v>
      </c>
      <c r="U132" s="21" t="str">
        <f>INDEX('Lookup Tables'!$C$7:$C$9,MATCH(E132,'Lookup Tables'!$B$7:$B$9,0))</f>
        <v>Tier 1 (Metro)</v>
      </c>
      <c r="V132" s="21" t="str">
        <f t="shared" si="6"/>
        <v>7-12 months</v>
      </c>
      <c r="W132" s="21" t="str">
        <f t="shared" si="7"/>
        <v>Low Risk</v>
      </c>
      <c r="X132" s="21" t="str">
        <f t="shared" si="8"/>
        <v>No</v>
      </c>
    </row>
    <row r="133" spans="1:24" x14ac:dyDescent="0.3">
      <c r="A133" s="21">
        <f>'Raw Data'!A133</f>
        <v>50132</v>
      </c>
      <c r="B133" s="21">
        <f>'Raw Data'!B133</f>
        <v>1</v>
      </c>
      <c r="C133" s="21">
        <f>'Raw Data'!C133</f>
        <v>2</v>
      </c>
      <c r="D133" s="21" t="str">
        <f>'Raw Data'!D133</f>
        <v>Mobile Phone</v>
      </c>
      <c r="E133" s="21">
        <f>'Raw Data'!E133</f>
        <v>3</v>
      </c>
      <c r="F133" s="21">
        <f>IF('Raw Data'!F133="",ROUND(AVERAGE('Raw Data'!$F$2:$F$1501),1),'Raw Data'!F133)</f>
        <v>14.8</v>
      </c>
      <c r="G133" s="21" t="str">
        <f>'Raw Data'!G133</f>
        <v>Debit Card</v>
      </c>
      <c r="H133" s="21" t="str">
        <f>'Raw Data'!H133</f>
        <v>Male</v>
      </c>
      <c r="I133" s="21">
        <f>IF('Raw Data'!I133="",ROUND(AVERAGE('Raw Data'!$I$2:$I$1501),1),'Raw Data'!I133)</f>
        <v>3.7</v>
      </c>
      <c r="J133" s="21">
        <f>'Raw Data'!J133</f>
        <v>5</v>
      </c>
      <c r="K133" s="21" t="str">
        <f>'Raw Data'!K133</f>
        <v>Laptop &amp; Accessory</v>
      </c>
      <c r="L133" s="21">
        <f>'Raw Data'!L133</f>
        <v>5</v>
      </c>
      <c r="M133" s="21" t="str">
        <f>'Raw Data'!M133</f>
        <v>Single</v>
      </c>
      <c r="N133" s="21">
        <f>'Raw Data'!N133</f>
        <v>1</v>
      </c>
      <c r="O133" s="21">
        <f>'Raw Data'!O133</f>
        <v>0</v>
      </c>
      <c r="P133" s="21">
        <f>IF('Raw Data'!P133="",ROUND(AVERAGE('Raw Data'!$P$2:$P$1501),1),'Raw Data'!P133)</f>
        <v>22.8</v>
      </c>
      <c r="Q133" s="21">
        <f>IF('Raw Data'!Q133="",ROUND(AVERAGE('Raw Data'!$Q$2:$Q$1501),0),'Raw Data'!Q133)</f>
        <v>1</v>
      </c>
      <c r="R133" s="21">
        <f>'Raw Data'!R133</f>
        <v>5</v>
      </c>
      <c r="S133" s="21">
        <f>IF('Raw Data'!S133="",ROUND(AVERAGE('Raw Data'!$S$2:$S$1501),0),'Raw Data'!S133)</f>
        <v>4</v>
      </c>
      <c r="T133" s="21">
        <f>'Raw Data'!T133</f>
        <v>97.21</v>
      </c>
      <c r="U133" s="21" t="str">
        <f>INDEX('Lookup Tables'!$C$7:$C$9,MATCH(E133,'Lookup Tables'!$B$7:$B$9,0))</f>
        <v>Tier 3 (Semi-urban/Rural)</v>
      </c>
      <c r="V133" s="21" t="str">
        <f t="shared" si="6"/>
        <v>0-6 months</v>
      </c>
      <c r="W133" s="21" t="str">
        <f t="shared" si="7"/>
        <v>Low Risk</v>
      </c>
      <c r="X133" s="21" t="str">
        <f t="shared" si="8"/>
        <v>Yes</v>
      </c>
    </row>
    <row r="134" spans="1:24" x14ac:dyDescent="0.3">
      <c r="A134" s="21">
        <f>'Raw Data'!A134</f>
        <v>50133</v>
      </c>
      <c r="B134" s="21">
        <f>'Raw Data'!B134</f>
        <v>0</v>
      </c>
      <c r="C134" s="21">
        <f>'Raw Data'!C134</f>
        <v>1</v>
      </c>
      <c r="D134" s="21" t="str">
        <f>'Raw Data'!D134</f>
        <v>Computer</v>
      </c>
      <c r="E134" s="21">
        <f>'Raw Data'!E134</f>
        <v>2</v>
      </c>
      <c r="F134" s="21">
        <f>IF('Raw Data'!F134="",ROUND(AVERAGE('Raw Data'!$F$2:$F$1501),1),'Raw Data'!F134)</f>
        <v>15</v>
      </c>
      <c r="G134" s="21" t="str">
        <f>'Raw Data'!G134</f>
        <v>Debit Card</v>
      </c>
      <c r="H134" s="21" t="str">
        <f>'Raw Data'!H134</f>
        <v>Female</v>
      </c>
      <c r="I134" s="21">
        <f>IF('Raw Data'!I134="",ROUND(AVERAGE('Raw Data'!$I$2:$I$1501),1),'Raw Data'!I134)</f>
        <v>4</v>
      </c>
      <c r="J134" s="21">
        <f>'Raw Data'!J134</f>
        <v>2</v>
      </c>
      <c r="K134" s="21" t="str">
        <f>'Raw Data'!K134</f>
        <v>Fashion</v>
      </c>
      <c r="L134" s="21">
        <f>'Raw Data'!L134</f>
        <v>5</v>
      </c>
      <c r="M134" s="21" t="str">
        <f>'Raw Data'!M134</f>
        <v>Married</v>
      </c>
      <c r="N134" s="21">
        <f>'Raw Data'!N134</f>
        <v>12</v>
      </c>
      <c r="O134" s="21">
        <f>'Raw Data'!O134</f>
        <v>0</v>
      </c>
      <c r="P134" s="21">
        <f>IF('Raw Data'!P134="",ROUND(AVERAGE('Raw Data'!$P$2:$P$1501),1),'Raw Data'!P134)</f>
        <v>18.8</v>
      </c>
      <c r="Q134" s="21">
        <f>IF('Raw Data'!Q134="",ROUND(AVERAGE('Raw Data'!$Q$2:$Q$1501),0),'Raw Data'!Q134)</f>
        <v>2</v>
      </c>
      <c r="R134" s="21">
        <f>'Raw Data'!R134</f>
        <v>1</v>
      </c>
      <c r="S134" s="21">
        <f>IF('Raw Data'!S134="",ROUND(AVERAGE('Raw Data'!$S$2:$S$1501),0),'Raw Data'!S134)</f>
        <v>7</v>
      </c>
      <c r="T134" s="21">
        <f>'Raw Data'!T134</f>
        <v>195.34</v>
      </c>
      <c r="U134" s="21" t="str">
        <f>INDEX('Lookup Tables'!$C$7:$C$9,MATCH(E134,'Lookup Tables'!$B$7:$B$9,0))</f>
        <v>Tier 2 (Urban)</v>
      </c>
      <c r="V134" s="21" t="str">
        <f t="shared" si="6"/>
        <v>0-6 months</v>
      </c>
      <c r="W134" s="21" t="str">
        <f t="shared" si="7"/>
        <v>Low Risk</v>
      </c>
      <c r="X134" s="21" t="str">
        <f t="shared" si="8"/>
        <v>No</v>
      </c>
    </row>
    <row r="135" spans="1:24" x14ac:dyDescent="0.3">
      <c r="A135" s="21">
        <f>'Raw Data'!A135</f>
        <v>50134</v>
      </c>
      <c r="B135" s="21">
        <f>'Raw Data'!B135</f>
        <v>1</v>
      </c>
      <c r="C135" s="21">
        <f>'Raw Data'!C135</f>
        <v>18</v>
      </c>
      <c r="D135" s="21" t="str">
        <f>'Raw Data'!D135</f>
        <v>Mobile Phone</v>
      </c>
      <c r="E135" s="21">
        <f>'Raw Data'!E135</f>
        <v>3</v>
      </c>
      <c r="F135" s="21">
        <f>IF('Raw Data'!F135="",ROUND(AVERAGE('Raw Data'!$F$2:$F$1501),1),'Raw Data'!F135)</f>
        <v>11</v>
      </c>
      <c r="G135" s="21" t="str">
        <f>'Raw Data'!G135</f>
        <v>E wallet</v>
      </c>
      <c r="H135" s="21" t="str">
        <f>'Raw Data'!H135</f>
        <v>Male</v>
      </c>
      <c r="I135" s="21">
        <f>IF('Raw Data'!I135="",ROUND(AVERAGE('Raw Data'!$I$2:$I$1501),1),'Raw Data'!I135)</f>
        <v>4</v>
      </c>
      <c r="J135" s="21">
        <f>'Raw Data'!J135</f>
        <v>5</v>
      </c>
      <c r="K135" s="21" t="str">
        <f>'Raw Data'!K135</f>
        <v>Laptop &amp; Accessory</v>
      </c>
      <c r="L135" s="21">
        <f>'Raw Data'!L135</f>
        <v>2</v>
      </c>
      <c r="M135" s="21" t="str">
        <f>'Raw Data'!M135</f>
        <v>Married</v>
      </c>
      <c r="N135" s="21">
        <f>'Raw Data'!N135</f>
        <v>4</v>
      </c>
      <c r="O135" s="21">
        <f>'Raw Data'!O135</f>
        <v>0</v>
      </c>
      <c r="P135" s="21">
        <f>IF('Raw Data'!P135="",ROUND(AVERAGE('Raw Data'!$P$2:$P$1501),1),'Raw Data'!P135)</f>
        <v>14.9</v>
      </c>
      <c r="Q135" s="21">
        <f>IF('Raw Data'!Q135="",ROUND(AVERAGE('Raw Data'!$Q$2:$Q$1501),0),'Raw Data'!Q135)</f>
        <v>3</v>
      </c>
      <c r="R135" s="21">
        <f>'Raw Data'!R135</f>
        <v>4</v>
      </c>
      <c r="S135" s="21">
        <f>IF('Raw Data'!S135="",ROUND(AVERAGE('Raw Data'!$S$2:$S$1501),0),'Raw Data'!S135)</f>
        <v>1</v>
      </c>
      <c r="T135" s="21">
        <f>'Raw Data'!T135</f>
        <v>164.26</v>
      </c>
      <c r="U135" s="21" t="str">
        <f>INDEX('Lookup Tables'!$C$7:$C$9,MATCH(E135,'Lookup Tables'!$B$7:$B$9,0))</f>
        <v>Tier 3 (Semi-urban/Rural)</v>
      </c>
      <c r="V135" s="21" t="str">
        <f t="shared" si="6"/>
        <v>13-24 months</v>
      </c>
      <c r="W135" s="21" t="str">
        <f t="shared" si="7"/>
        <v>Low Risk</v>
      </c>
      <c r="X135" s="21" t="str">
        <f t="shared" si="8"/>
        <v>Yes</v>
      </c>
    </row>
    <row r="136" spans="1:24" x14ac:dyDescent="0.3">
      <c r="A136" s="21">
        <f>'Raw Data'!A136</f>
        <v>50135</v>
      </c>
      <c r="B136" s="21">
        <f>'Raw Data'!B136</f>
        <v>0</v>
      </c>
      <c r="C136" s="21">
        <f>'Raw Data'!C136</f>
        <v>41</v>
      </c>
      <c r="D136" s="21" t="str">
        <f>'Raw Data'!D136</f>
        <v>Mobile Phone</v>
      </c>
      <c r="E136" s="21">
        <f>'Raw Data'!E136</f>
        <v>3</v>
      </c>
      <c r="F136" s="21">
        <f>IF('Raw Data'!F136="",ROUND(AVERAGE('Raw Data'!$F$2:$F$1501),1),'Raw Data'!F136)</f>
        <v>14</v>
      </c>
      <c r="G136" s="21" t="str">
        <f>'Raw Data'!G136</f>
        <v>Debit Card</v>
      </c>
      <c r="H136" s="21" t="str">
        <f>'Raw Data'!H136</f>
        <v>Male</v>
      </c>
      <c r="I136" s="21">
        <f>IF('Raw Data'!I136="",ROUND(AVERAGE('Raw Data'!$I$2:$I$1501),1),'Raw Data'!I136)</f>
        <v>3.4</v>
      </c>
      <c r="J136" s="21">
        <f>'Raw Data'!J136</f>
        <v>3</v>
      </c>
      <c r="K136" s="21" t="str">
        <f>'Raw Data'!K136</f>
        <v>Laptop &amp; Accessory</v>
      </c>
      <c r="L136" s="21">
        <f>'Raw Data'!L136</f>
        <v>3</v>
      </c>
      <c r="M136" s="21" t="str">
        <f>'Raw Data'!M136</f>
        <v>Married</v>
      </c>
      <c r="N136" s="21">
        <f>'Raw Data'!N136</f>
        <v>8</v>
      </c>
      <c r="O136" s="21">
        <f>'Raw Data'!O136</f>
        <v>0</v>
      </c>
      <c r="P136" s="21">
        <f>IF('Raw Data'!P136="",ROUND(AVERAGE('Raw Data'!$P$2:$P$1501),1),'Raw Data'!P136)</f>
        <v>15.8</v>
      </c>
      <c r="Q136" s="21">
        <f>IF('Raw Data'!Q136="",ROUND(AVERAGE('Raw Data'!$Q$2:$Q$1501),0),'Raw Data'!Q136)</f>
        <v>2</v>
      </c>
      <c r="R136" s="21">
        <f>'Raw Data'!R136</f>
        <v>5</v>
      </c>
      <c r="S136" s="21">
        <f>IF('Raw Data'!S136="",ROUND(AVERAGE('Raw Data'!$S$2:$S$1501),0),'Raw Data'!S136)</f>
        <v>0</v>
      </c>
      <c r="T136" s="21">
        <f>'Raw Data'!T136</f>
        <v>325</v>
      </c>
      <c r="U136" s="21" t="str">
        <f>INDEX('Lookup Tables'!$C$7:$C$9,MATCH(E136,'Lookup Tables'!$B$7:$B$9,0))</f>
        <v>Tier 3 (Semi-urban/Rural)</v>
      </c>
      <c r="V136" s="21" t="str">
        <f t="shared" si="6"/>
        <v>25+ months</v>
      </c>
      <c r="W136" s="21" t="str">
        <f t="shared" si="7"/>
        <v>Medium Risk</v>
      </c>
      <c r="X136" s="21" t="str">
        <f t="shared" si="8"/>
        <v>No</v>
      </c>
    </row>
    <row r="137" spans="1:24" x14ac:dyDescent="0.3">
      <c r="A137" s="21">
        <f>'Raw Data'!A137</f>
        <v>50136</v>
      </c>
      <c r="B137" s="21">
        <f>'Raw Data'!B137</f>
        <v>0</v>
      </c>
      <c r="C137" s="21">
        <f>'Raw Data'!C137</f>
        <v>7</v>
      </c>
      <c r="D137" s="21" t="str">
        <f>'Raw Data'!D137</f>
        <v>Mobile Phone</v>
      </c>
      <c r="E137" s="21">
        <f>'Raw Data'!E137</f>
        <v>1</v>
      </c>
      <c r="F137" s="21">
        <f>IF('Raw Data'!F137="",ROUND(AVERAGE('Raw Data'!$F$2:$F$1501),1),'Raw Data'!F137)</f>
        <v>14</v>
      </c>
      <c r="G137" s="21" t="str">
        <f>'Raw Data'!G137</f>
        <v>Credit Card</v>
      </c>
      <c r="H137" s="21" t="str">
        <f>'Raw Data'!H137</f>
        <v>Male</v>
      </c>
      <c r="I137" s="21">
        <f>IF('Raw Data'!I137="",ROUND(AVERAGE('Raw Data'!$I$2:$I$1501),1),'Raw Data'!I137)</f>
        <v>2.7</v>
      </c>
      <c r="J137" s="21">
        <f>'Raw Data'!J137</f>
        <v>3</v>
      </c>
      <c r="K137" s="21" t="str">
        <f>'Raw Data'!K137</f>
        <v>Mobile Phone</v>
      </c>
      <c r="L137" s="21">
        <f>'Raw Data'!L137</f>
        <v>3</v>
      </c>
      <c r="M137" s="21" t="str">
        <f>'Raw Data'!M137</f>
        <v>Single</v>
      </c>
      <c r="N137" s="21">
        <f>'Raw Data'!N137</f>
        <v>1</v>
      </c>
      <c r="O137" s="21">
        <f>'Raw Data'!O137</f>
        <v>0</v>
      </c>
      <c r="P137" s="21">
        <f>IF('Raw Data'!P137="",ROUND(AVERAGE('Raw Data'!$P$2:$P$1501),1),'Raw Data'!P137)</f>
        <v>13.1</v>
      </c>
      <c r="Q137" s="21">
        <f>IF('Raw Data'!Q137="",ROUND(AVERAGE('Raw Data'!$Q$2:$Q$1501),0),'Raw Data'!Q137)</f>
        <v>5</v>
      </c>
      <c r="R137" s="21">
        <f>'Raw Data'!R137</f>
        <v>3</v>
      </c>
      <c r="S137" s="21">
        <f>IF('Raw Data'!S137="",ROUND(AVERAGE('Raw Data'!$S$2:$S$1501),0),'Raw Data'!S137)</f>
        <v>3</v>
      </c>
      <c r="T137" s="21">
        <f>'Raw Data'!T137</f>
        <v>205.22</v>
      </c>
      <c r="U137" s="21" t="str">
        <f>INDEX('Lookup Tables'!$C$7:$C$9,MATCH(E137,'Lookup Tables'!$B$7:$B$9,0))</f>
        <v>Tier 1 (Metro)</v>
      </c>
      <c r="V137" s="21" t="str">
        <f t="shared" si="6"/>
        <v>7-12 months</v>
      </c>
      <c r="W137" s="21" t="str">
        <f t="shared" si="7"/>
        <v>Medium Risk</v>
      </c>
      <c r="X137" s="21" t="str">
        <f t="shared" si="8"/>
        <v>No</v>
      </c>
    </row>
    <row r="138" spans="1:24" x14ac:dyDescent="0.3">
      <c r="A138" s="21">
        <f>'Raw Data'!A138</f>
        <v>50137</v>
      </c>
      <c r="B138" s="21">
        <f>'Raw Data'!B138</f>
        <v>0</v>
      </c>
      <c r="C138" s="21">
        <f>'Raw Data'!C138</f>
        <v>1</v>
      </c>
      <c r="D138" s="21" t="str">
        <f>'Raw Data'!D138</f>
        <v>Phone</v>
      </c>
      <c r="E138" s="21">
        <f>'Raw Data'!E138</f>
        <v>3</v>
      </c>
      <c r="F138" s="21">
        <f>IF('Raw Data'!F138="",ROUND(AVERAGE('Raw Data'!$F$2:$F$1501),1),'Raw Data'!F138)</f>
        <v>5</v>
      </c>
      <c r="G138" s="21" t="str">
        <f>'Raw Data'!G138</f>
        <v>Debit Card</v>
      </c>
      <c r="H138" s="21" t="str">
        <f>'Raw Data'!H138</f>
        <v>Male</v>
      </c>
      <c r="I138" s="21">
        <f>IF('Raw Data'!I138="",ROUND(AVERAGE('Raw Data'!$I$2:$I$1501),1),'Raw Data'!I138)</f>
        <v>0.6</v>
      </c>
      <c r="J138" s="21">
        <f>'Raw Data'!J138</f>
        <v>3</v>
      </c>
      <c r="K138" s="21" t="str">
        <f>'Raw Data'!K138</f>
        <v>Mobile Phone</v>
      </c>
      <c r="L138" s="21">
        <f>'Raw Data'!L138</f>
        <v>5</v>
      </c>
      <c r="M138" s="21" t="str">
        <f>'Raw Data'!M138</f>
        <v>Married</v>
      </c>
      <c r="N138" s="21">
        <f>'Raw Data'!N138</f>
        <v>4</v>
      </c>
      <c r="O138" s="21">
        <f>'Raw Data'!O138</f>
        <v>1</v>
      </c>
      <c r="P138" s="21">
        <f>IF('Raw Data'!P138="",ROUND(AVERAGE('Raw Data'!$P$2:$P$1501),1),'Raw Data'!P138)</f>
        <v>19.100000000000001</v>
      </c>
      <c r="Q138" s="21">
        <f>IF('Raw Data'!Q138="",ROUND(AVERAGE('Raw Data'!$Q$2:$Q$1501),0),'Raw Data'!Q138)</f>
        <v>0</v>
      </c>
      <c r="R138" s="21">
        <f>'Raw Data'!R138</f>
        <v>2</v>
      </c>
      <c r="S138" s="21">
        <f>IF('Raw Data'!S138="",ROUND(AVERAGE('Raw Data'!$S$2:$S$1501),0),'Raw Data'!S138)</f>
        <v>0</v>
      </c>
      <c r="T138" s="21">
        <f>'Raw Data'!T138</f>
        <v>183.2</v>
      </c>
      <c r="U138" s="21" t="str">
        <f>INDEX('Lookup Tables'!$C$7:$C$9,MATCH(E138,'Lookup Tables'!$B$7:$B$9,0))</f>
        <v>Tier 3 (Semi-urban/Rural)</v>
      </c>
      <c r="V138" s="21" t="str">
        <f t="shared" si="6"/>
        <v>0-6 months</v>
      </c>
      <c r="W138" s="21" t="str">
        <f t="shared" si="7"/>
        <v>Low Risk</v>
      </c>
      <c r="X138" s="21" t="str">
        <f t="shared" si="8"/>
        <v>No</v>
      </c>
    </row>
    <row r="139" spans="1:24" x14ac:dyDescent="0.3">
      <c r="A139" s="21">
        <f>'Raw Data'!A139</f>
        <v>50138</v>
      </c>
      <c r="B139" s="21">
        <f>'Raw Data'!B139</f>
        <v>1</v>
      </c>
      <c r="C139" s="21">
        <f>'Raw Data'!C139</f>
        <v>3</v>
      </c>
      <c r="D139" s="21" t="str">
        <f>'Raw Data'!D139</f>
        <v>Mobile Phone</v>
      </c>
      <c r="E139" s="21">
        <f>'Raw Data'!E139</f>
        <v>1</v>
      </c>
      <c r="F139" s="21">
        <f>IF('Raw Data'!F139="",ROUND(AVERAGE('Raw Data'!$F$2:$F$1501),1),'Raw Data'!F139)</f>
        <v>26</v>
      </c>
      <c r="G139" s="21" t="str">
        <f>'Raw Data'!G139</f>
        <v>UPI</v>
      </c>
      <c r="H139" s="21" t="str">
        <f>'Raw Data'!H139</f>
        <v>Male</v>
      </c>
      <c r="I139" s="21">
        <f>IF('Raw Data'!I139="",ROUND(AVERAGE('Raw Data'!$I$2:$I$1501),1),'Raw Data'!I139)</f>
        <v>3.1</v>
      </c>
      <c r="J139" s="21">
        <f>'Raw Data'!J139</f>
        <v>2</v>
      </c>
      <c r="K139" s="21" t="str">
        <f>'Raw Data'!K139</f>
        <v>Mobile Phone</v>
      </c>
      <c r="L139" s="21">
        <f>'Raw Data'!L139</f>
        <v>4</v>
      </c>
      <c r="M139" s="21" t="str">
        <f>'Raw Data'!M139</f>
        <v>Single</v>
      </c>
      <c r="N139" s="21">
        <f>'Raw Data'!N139</f>
        <v>4</v>
      </c>
      <c r="O139" s="21">
        <f>'Raw Data'!O139</f>
        <v>0</v>
      </c>
      <c r="P139" s="21">
        <f>IF('Raw Data'!P139="",ROUND(AVERAGE('Raw Data'!$P$2:$P$1501),1),'Raw Data'!P139)</f>
        <v>18</v>
      </c>
      <c r="Q139" s="21">
        <f>IF('Raw Data'!Q139="",ROUND(AVERAGE('Raw Data'!$Q$2:$Q$1501),0),'Raw Data'!Q139)</f>
        <v>1</v>
      </c>
      <c r="R139" s="21">
        <f>'Raw Data'!R139</f>
        <v>3</v>
      </c>
      <c r="S139" s="21">
        <f>IF('Raw Data'!S139="",ROUND(AVERAGE('Raw Data'!$S$2:$S$1501),0),'Raw Data'!S139)</f>
        <v>5</v>
      </c>
      <c r="T139" s="21">
        <f>'Raw Data'!T139</f>
        <v>170.49</v>
      </c>
      <c r="U139" s="21" t="str">
        <f>INDEX('Lookup Tables'!$C$7:$C$9,MATCH(E139,'Lookup Tables'!$B$7:$B$9,0))</f>
        <v>Tier 1 (Metro)</v>
      </c>
      <c r="V139" s="21" t="str">
        <f t="shared" si="6"/>
        <v>0-6 months</v>
      </c>
      <c r="W139" s="21" t="str">
        <f t="shared" si="7"/>
        <v>Low Risk</v>
      </c>
      <c r="X139" s="21" t="str">
        <f t="shared" si="8"/>
        <v>Yes</v>
      </c>
    </row>
    <row r="140" spans="1:24" x14ac:dyDescent="0.3">
      <c r="A140" s="21">
        <f>'Raw Data'!A140</f>
        <v>50139</v>
      </c>
      <c r="B140" s="21">
        <f>'Raw Data'!B140</f>
        <v>0</v>
      </c>
      <c r="C140" s="21">
        <f>'Raw Data'!C140</f>
        <v>0</v>
      </c>
      <c r="D140" s="21" t="str">
        <f>'Raw Data'!D140</f>
        <v>Phone</v>
      </c>
      <c r="E140" s="21">
        <f>'Raw Data'!E140</f>
        <v>1</v>
      </c>
      <c r="F140" s="21">
        <f>IF('Raw Data'!F140="",ROUND(AVERAGE('Raw Data'!$F$2:$F$1501),1),'Raw Data'!F140)</f>
        <v>14.8</v>
      </c>
      <c r="G140" s="21" t="str">
        <f>'Raw Data'!G140</f>
        <v>Cash on Delivery</v>
      </c>
      <c r="H140" s="21" t="str">
        <f>'Raw Data'!H140</f>
        <v>Female</v>
      </c>
      <c r="I140" s="21">
        <f>IF('Raw Data'!I140="",ROUND(AVERAGE('Raw Data'!$I$2:$I$1501),1),'Raw Data'!I140)</f>
        <v>2.9</v>
      </c>
      <c r="J140" s="21">
        <f>'Raw Data'!J140</f>
        <v>4</v>
      </c>
      <c r="K140" s="21" t="str">
        <f>'Raw Data'!K140</f>
        <v>Fashion</v>
      </c>
      <c r="L140" s="21">
        <f>'Raw Data'!L140</f>
        <v>3</v>
      </c>
      <c r="M140" s="21" t="str">
        <f>'Raw Data'!M140</f>
        <v>Divorced</v>
      </c>
      <c r="N140" s="21">
        <f>'Raw Data'!N140</f>
        <v>1</v>
      </c>
      <c r="O140" s="21">
        <f>'Raw Data'!O140</f>
        <v>0</v>
      </c>
      <c r="P140" s="21">
        <f>IF('Raw Data'!P140="",ROUND(AVERAGE('Raw Data'!$P$2:$P$1501),1),'Raw Data'!P140)</f>
        <v>14.2</v>
      </c>
      <c r="Q140" s="21">
        <f>IF('Raw Data'!Q140="",ROUND(AVERAGE('Raw Data'!$Q$2:$Q$1501),0),'Raw Data'!Q140)</f>
        <v>2</v>
      </c>
      <c r="R140" s="21">
        <f>'Raw Data'!R140</f>
        <v>5</v>
      </c>
      <c r="S140" s="21">
        <f>IF('Raw Data'!S140="",ROUND(AVERAGE('Raw Data'!$S$2:$S$1501),0),'Raw Data'!S140)</f>
        <v>4</v>
      </c>
      <c r="T140" s="21">
        <f>'Raw Data'!T140</f>
        <v>113.01</v>
      </c>
      <c r="U140" s="21" t="str">
        <f>INDEX('Lookup Tables'!$C$7:$C$9,MATCH(E140,'Lookup Tables'!$B$7:$B$9,0))</f>
        <v>Tier 1 (Metro)</v>
      </c>
      <c r="V140" s="21" t="str">
        <f t="shared" si="6"/>
        <v>0-6 months</v>
      </c>
      <c r="W140" s="21" t="str">
        <f t="shared" si="7"/>
        <v>Medium Risk</v>
      </c>
      <c r="X140" s="21" t="str">
        <f t="shared" si="8"/>
        <v>No</v>
      </c>
    </row>
    <row r="141" spans="1:24" x14ac:dyDescent="0.3">
      <c r="A141" s="21">
        <f>'Raw Data'!A141</f>
        <v>50140</v>
      </c>
      <c r="B141" s="21">
        <f>'Raw Data'!B141</f>
        <v>0</v>
      </c>
      <c r="C141" s="21">
        <f>'Raw Data'!C141</f>
        <v>24</v>
      </c>
      <c r="D141" s="21" t="str">
        <f>'Raw Data'!D141</f>
        <v>Mobile Phone</v>
      </c>
      <c r="E141" s="21">
        <f>'Raw Data'!E141</f>
        <v>1</v>
      </c>
      <c r="F141" s="21">
        <f>IF('Raw Data'!F141="",ROUND(AVERAGE('Raw Data'!$F$2:$F$1501),1),'Raw Data'!F141)</f>
        <v>18</v>
      </c>
      <c r="G141" s="21" t="str">
        <f>'Raw Data'!G141</f>
        <v>Credit Card</v>
      </c>
      <c r="H141" s="21" t="str">
        <f>'Raw Data'!H141</f>
        <v>Male</v>
      </c>
      <c r="I141" s="21">
        <f>IF('Raw Data'!I141="",ROUND(AVERAGE('Raw Data'!$I$2:$I$1501),1),'Raw Data'!I141)</f>
        <v>3</v>
      </c>
      <c r="J141" s="21">
        <f>'Raw Data'!J141</f>
        <v>2</v>
      </c>
      <c r="K141" s="21" t="str">
        <f>'Raw Data'!K141</f>
        <v>Laptop &amp; Accessory</v>
      </c>
      <c r="L141" s="21">
        <f>'Raw Data'!L141</f>
        <v>1</v>
      </c>
      <c r="M141" s="21" t="str">
        <f>'Raw Data'!M141</f>
        <v>Divorced</v>
      </c>
      <c r="N141" s="21">
        <f>'Raw Data'!N141</f>
        <v>2</v>
      </c>
      <c r="O141" s="21">
        <f>'Raw Data'!O141</f>
        <v>0</v>
      </c>
      <c r="P141" s="21">
        <f>IF('Raw Data'!P141="",ROUND(AVERAGE('Raw Data'!$P$2:$P$1501),1),'Raw Data'!P141)</f>
        <v>12.4</v>
      </c>
      <c r="Q141" s="21">
        <f>IF('Raw Data'!Q141="",ROUND(AVERAGE('Raw Data'!$Q$2:$Q$1501),0),'Raw Data'!Q141)</f>
        <v>4</v>
      </c>
      <c r="R141" s="21">
        <f>'Raw Data'!R141</f>
        <v>4</v>
      </c>
      <c r="S141" s="21">
        <f>IF('Raw Data'!S141="",ROUND(AVERAGE('Raw Data'!$S$2:$S$1501),0),'Raw Data'!S141)</f>
        <v>6</v>
      </c>
      <c r="T141" s="21">
        <f>'Raw Data'!T141</f>
        <v>211.01</v>
      </c>
      <c r="U141" s="21" t="str">
        <f>INDEX('Lookup Tables'!$C$7:$C$9,MATCH(E141,'Lookup Tables'!$B$7:$B$9,0))</f>
        <v>Tier 1 (Metro)</v>
      </c>
      <c r="V141" s="21" t="str">
        <f t="shared" si="6"/>
        <v>13-24 months</v>
      </c>
      <c r="W141" s="21" t="str">
        <f t="shared" si="7"/>
        <v>Low Risk</v>
      </c>
      <c r="X141" s="21" t="str">
        <f t="shared" si="8"/>
        <v>No</v>
      </c>
    </row>
    <row r="142" spans="1:24" x14ac:dyDescent="0.3">
      <c r="A142" s="21">
        <f>'Raw Data'!A142</f>
        <v>50141</v>
      </c>
      <c r="B142" s="21">
        <f>'Raw Data'!B142</f>
        <v>0</v>
      </c>
      <c r="C142" s="21">
        <f>'Raw Data'!C142</f>
        <v>1</v>
      </c>
      <c r="D142" s="21" t="str">
        <f>'Raw Data'!D142</f>
        <v>Computer</v>
      </c>
      <c r="E142" s="21">
        <f>'Raw Data'!E142</f>
        <v>2</v>
      </c>
      <c r="F142" s="21">
        <f>IF('Raw Data'!F142="",ROUND(AVERAGE('Raw Data'!$F$2:$F$1501),1),'Raw Data'!F142)</f>
        <v>22</v>
      </c>
      <c r="G142" s="21" t="str">
        <f>'Raw Data'!G142</f>
        <v>Credit Card</v>
      </c>
      <c r="H142" s="21" t="str">
        <f>'Raw Data'!H142</f>
        <v>Female</v>
      </c>
      <c r="I142" s="21">
        <f>IF('Raw Data'!I142="",ROUND(AVERAGE('Raw Data'!$I$2:$I$1501),1),'Raw Data'!I142)</f>
        <v>2.9</v>
      </c>
      <c r="J142" s="21">
        <f>'Raw Data'!J142</f>
        <v>2</v>
      </c>
      <c r="K142" s="21" t="str">
        <f>'Raw Data'!K142</f>
        <v>Laptop &amp; Accessory</v>
      </c>
      <c r="L142" s="21">
        <f>'Raw Data'!L142</f>
        <v>4</v>
      </c>
      <c r="M142" s="21" t="str">
        <f>'Raw Data'!M142</f>
        <v>Married</v>
      </c>
      <c r="N142" s="21">
        <f>'Raw Data'!N142</f>
        <v>3</v>
      </c>
      <c r="O142" s="21">
        <f>'Raw Data'!O142</f>
        <v>0</v>
      </c>
      <c r="P142" s="21">
        <f>IF('Raw Data'!P142="",ROUND(AVERAGE('Raw Data'!$P$2:$P$1501),1),'Raw Data'!P142)</f>
        <v>11.4</v>
      </c>
      <c r="Q142" s="21">
        <f>IF('Raw Data'!Q142="",ROUND(AVERAGE('Raw Data'!$Q$2:$Q$1501),0),'Raw Data'!Q142)</f>
        <v>3</v>
      </c>
      <c r="R142" s="21">
        <f>'Raw Data'!R142</f>
        <v>3</v>
      </c>
      <c r="S142" s="21">
        <f>IF('Raw Data'!S142="",ROUND(AVERAGE('Raw Data'!$S$2:$S$1501),0),'Raw Data'!S142)</f>
        <v>0</v>
      </c>
      <c r="T142" s="21">
        <f>'Raw Data'!T142</f>
        <v>175.65</v>
      </c>
      <c r="U142" s="21" t="str">
        <f>INDEX('Lookup Tables'!$C$7:$C$9,MATCH(E142,'Lookup Tables'!$B$7:$B$9,0))</f>
        <v>Tier 2 (Urban)</v>
      </c>
      <c r="V142" s="21" t="str">
        <f t="shared" si="6"/>
        <v>0-6 months</v>
      </c>
      <c r="W142" s="21" t="str">
        <f t="shared" si="7"/>
        <v>Low Risk</v>
      </c>
      <c r="X142" s="21" t="str">
        <f t="shared" si="8"/>
        <v>No</v>
      </c>
    </row>
    <row r="143" spans="1:24" x14ac:dyDescent="0.3">
      <c r="A143" s="21">
        <f>'Raw Data'!A143</f>
        <v>50142</v>
      </c>
      <c r="B143" s="21">
        <f>'Raw Data'!B143</f>
        <v>0</v>
      </c>
      <c r="C143" s="21">
        <f>'Raw Data'!C143</f>
        <v>8</v>
      </c>
      <c r="D143" s="21" t="str">
        <f>'Raw Data'!D143</f>
        <v>Computer</v>
      </c>
      <c r="E143" s="21">
        <f>'Raw Data'!E143</f>
        <v>1</v>
      </c>
      <c r="F143" s="21">
        <f>IF('Raw Data'!F143="",ROUND(AVERAGE('Raw Data'!$F$2:$F$1501),1),'Raw Data'!F143)</f>
        <v>6</v>
      </c>
      <c r="G143" s="21" t="str">
        <f>'Raw Data'!G143</f>
        <v>Debit Card</v>
      </c>
      <c r="H143" s="21" t="str">
        <f>'Raw Data'!H143</f>
        <v>Male</v>
      </c>
      <c r="I143" s="21">
        <f>IF('Raw Data'!I143="",ROUND(AVERAGE('Raw Data'!$I$2:$I$1501),1),'Raw Data'!I143)</f>
        <v>2</v>
      </c>
      <c r="J143" s="21">
        <f>'Raw Data'!J143</f>
        <v>4</v>
      </c>
      <c r="K143" s="21" t="str">
        <f>'Raw Data'!K143</f>
        <v>Laptop &amp; Accessory</v>
      </c>
      <c r="L143" s="21">
        <f>'Raw Data'!L143</f>
        <v>1</v>
      </c>
      <c r="M143" s="21" t="str">
        <f>'Raw Data'!M143</f>
        <v>Married</v>
      </c>
      <c r="N143" s="21">
        <f>'Raw Data'!N143</f>
        <v>2</v>
      </c>
      <c r="O143" s="21">
        <f>'Raw Data'!O143</f>
        <v>0</v>
      </c>
      <c r="P143" s="21">
        <f>IF('Raw Data'!P143="",ROUND(AVERAGE('Raw Data'!$P$2:$P$1501),1),'Raw Data'!P143)</f>
        <v>19.5</v>
      </c>
      <c r="Q143" s="21">
        <f>IF('Raw Data'!Q143="",ROUND(AVERAGE('Raw Data'!$Q$2:$Q$1501),0),'Raw Data'!Q143)</f>
        <v>3</v>
      </c>
      <c r="R143" s="21">
        <f>'Raw Data'!R143</f>
        <v>3</v>
      </c>
      <c r="S143" s="21">
        <f>IF('Raw Data'!S143="",ROUND(AVERAGE('Raw Data'!$S$2:$S$1501),0),'Raw Data'!S143)</f>
        <v>16</v>
      </c>
      <c r="T143" s="21">
        <f>'Raw Data'!T143</f>
        <v>175.69</v>
      </c>
      <c r="U143" s="21" t="str">
        <f>INDEX('Lookup Tables'!$C$7:$C$9,MATCH(E143,'Lookup Tables'!$B$7:$B$9,0))</f>
        <v>Tier 1 (Metro)</v>
      </c>
      <c r="V143" s="21" t="str">
        <f t="shared" si="6"/>
        <v>7-12 months</v>
      </c>
      <c r="W143" s="21" t="str">
        <f t="shared" si="7"/>
        <v>Medium Risk</v>
      </c>
      <c r="X143" s="21" t="str">
        <f t="shared" si="8"/>
        <v>No</v>
      </c>
    </row>
    <row r="144" spans="1:24" x14ac:dyDescent="0.3">
      <c r="A144" s="21">
        <f>'Raw Data'!A144</f>
        <v>50143</v>
      </c>
      <c r="B144" s="21">
        <f>'Raw Data'!B144</f>
        <v>0</v>
      </c>
      <c r="C144" s="21">
        <f>'Raw Data'!C144</f>
        <v>3</v>
      </c>
      <c r="D144" s="21" t="str">
        <f>'Raw Data'!D144</f>
        <v>Phone</v>
      </c>
      <c r="E144" s="21">
        <f>'Raw Data'!E144</f>
        <v>2</v>
      </c>
      <c r="F144" s="21">
        <f>IF('Raw Data'!F144="",ROUND(AVERAGE('Raw Data'!$F$2:$F$1501),1),'Raw Data'!F144)</f>
        <v>18</v>
      </c>
      <c r="G144" s="21" t="str">
        <f>'Raw Data'!G144</f>
        <v>Debit Card</v>
      </c>
      <c r="H144" s="21" t="str">
        <f>'Raw Data'!H144</f>
        <v>Male</v>
      </c>
      <c r="I144" s="21">
        <f>IF('Raw Data'!I144="",ROUND(AVERAGE('Raw Data'!$I$2:$I$1501),1),'Raw Data'!I144)</f>
        <v>3.3</v>
      </c>
      <c r="J144" s="21">
        <f>'Raw Data'!J144</f>
        <v>1</v>
      </c>
      <c r="K144" s="21" t="str">
        <f>'Raw Data'!K144</f>
        <v>Fashion</v>
      </c>
      <c r="L144" s="21">
        <f>'Raw Data'!L144</f>
        <v>5</v>
      </c>
      <c r="M144" s="21" t="str">
        <f>'Raw Data'!M144</f>
        <v>Married</v>
      </c>
      <c r="N144" s="21">
        <f>'Raw Data'!N144</f>
        <v>6</v>
      </c>
      <c r="O144" s="21">
        <f>'Raw Data'!O144</f>
        <v>1</v>
      </c>
      <c r="P144" s="21">
        <f>IF('Raw Data'!P144="",ROUND(AVERAGE('Raw Data'!$P$2:$P$1501),1),'Raw Data'!P144)</f>
        <v>16.399999999999999</v>
      </c>
      <c r="Q144" s="21">
        <f>IF('Raw Data'!Q144="",ROUND(AVERAGE('Raw Data'!$Q$2:$Q$1501),0),'Raw Data'!Q144)</f>
        <v>1</v>
      </c>
      <c r="R144" s="21">
        <f>'Raw Data'!R144</f>
        <v>4</v>
      </c>
      <c r="S144" s="21">
        <f>IF('Raw Data'!S144="",ROUND(AVERAGE('Raw Data'!$S$2:$S$1501),0),'Raw Data'!S144)</f>
        <v>0</v>
      </c>
      <c r="T144" s="21">
        <f>'Raw Data'!T144</f>
        <v>185.19</v>
      </c>
      <c r="U144" s="21" t="str">
        <f>INDEX('Lookup Tables'!$C$7:$C$9,MATCH(E144,'Lookup Tables'!$B$7:$B$9,0))</f>
        <v>Tier 2 (Urban)</v>
      </c>
      <c r="V144" s="21" t="str">
        <f t="shared" si="6"/>
        <v>0-6 months</v>
      </c>
      <c r="W144" s="21" t="str">
        <f t="shared" si="7"/>
        <v>Low Risk</v>
      </c>
      <c r="X144" s="21" t="str">
        <f t="shared" si="8"/>
        <v>No</v>
      </c>
    </row>
    <row r="145" spans="1:24" x14ac:dyDescent="0.3">
      <c r="A145" s="21">
        <f>'Raw Data'!A145</f>
        <v>50144</v>
      </c>
      <c r="B145" s="21">
        <f>'Raw Data'!B145</f>
        <v>0</v>
      </c>
      <c r="C145" s="21">
        <f>'Raw Data'!C145</f>
        <v>8</v>
      </c>
      <c r="D145" s="21" t="str">
        <f>'Raw Data'!D145</f>
        <v>Mobile Phone</v>
      </c>
      <c r="E145" s="21">
        <f>'Raw Data'!E145</f>
        <v>2</v>
      </c>
      <c r="F145" s="21">
        <f>IF('Raw Data'!F145="",ROUND(AVERAGE('Raw Data'!$F$2:$F$1501),1),'Raw Data'!F145)</f>
        <v>12</v>
      </c>
      <c r="G145" s="21" t="str">
        <f>'Raw Data'!G145</f>
        <v>Debit Card</v>
      </c>
      <c r="H145" s="21" t="str">
        <f>'Raw Data'!H145</f>
        <v>Male</v>
      </c>
      <c r="I145" s="21">
        <f>IF('Raw Data'!I145="",ROUND(AVERAGE('Raw Data'!$I$2:$I$1501),1),'Raw Data'!I145)</f>
        <v>3.3</v>
      </c>
      <c r="J145" s="21">
        <f>'Raw Data'!J145</f>
        <v>2</v>
      </c>
      <c r="K145" s="21" t="str">
        <f>'Raw Data'!K145</f>
        <v>Mobile Phone</v>
      </c>
      <c r="L145" s="21">
        <f>'Raw Data'!L145</f>
        <v>4</v>
      </c>
      <c r="M145" s="21" t="str">
        <f>'Raw Data'!M145</f>
        <v>Married</v>
      </c>
      <c r="N145" s="21">
        <f>'Raw Data'!N145</f>
        <v>6</v>
      </c>
      <c r="O145" s="21">
        <f>'Raw Data'!O145</f>
        <v>0</v>
      </c>
      <c r="P145" s="21">
        <f>IF('Raw Data'!P145="",ROUND(AVERAGE('Raw Data'!$P$2:$P$1501),1),'Raw Data'!P145)</f>
        <v>16.8</v>
      </c>
      <c r="Q145" s="21">
        <f>IF('Raw Data'!Q145="",ROUND(AVERAGE('Raw Data'!$Q$2:$Q$1501),0),'Raw Data'!Q145)</f>
        <v>2</v>
      </c>
      <c r="R145" s="21">
        <f>'Raw Data'!R145</f>
        <v>3</v>
      </c>
      <c r="S145" s="21">
        <f>IF('Raw Data'!S145="",ROUND(AVERAGE('Raw Data'!$S$2:$S$1501),0),'Raw Data'!S145)</f>
        <v>1</v>
      </c>
      <c r="T145" s="21">
        <f>'Raw Data'!T145</f>
        <v>192.17</v>
      </c>
      <c r="U145" s="21" t="str">
        <f>INDEX('Lookup Tables'!$C$7:$C$9,MATCH(E145,'Lookup Tables'!$B$7:$B$9,0))</f>
        <v>Tier 2 (Urban)</v>
      </c>
      <c r="V145" s="21" t="str">
        <f t="shared" si="6"/>
        <v>7-12 months</v>
      </c>
      <c r="W145" s="21" t="str">
        <f t="shared" si="7"/>
        <v>Low Risk</v>
      </c>
      <c r="X145" s="21" t="str">
        <f t="shared" si="8"/>
        <v>No</v>
      </c>
    </row>
    <row r="146" spans="1:24" x14ac:dyDescent="0.3">
      <c r="A146" s="21">
        <f>'Raw Data'!A146</f>
        <v>50145</v>
      </c>
      <c r="B146" s="21">
        <f>'Raw Data'!B146</f>
        <v>1</v>
      </c>
      <c r="C146" s="21">
        <f>'Raw Data'!C146</f>
        <v>10</v>
      </c>
      <c r="D146" s="21" t="str">
        <f>'Raw Data'!D146</f>
        <v>Computer</v>
      </c>
      <c r="E146" s="21">
        <f>'Raw Data'!E146</f>
        <v>3</v>
      </c>
      <c r="F146" s="21">
        <f>IF('Raw Data'!F146="",ROUND(AVERAGE('Raw Data'!$F$2:$F$1501),1),'Raw Data'!F146)</f>
        <v>21</v>
      </c>
      <c r="G146" s="21" t="str">
        <f>'Raw Data'!G146</f>
        <v>E wallet</v>
      </c>
      <c r="H146" s="21" t="str">
        <f>'Raw Data'!H146</f>
        <v>Female</v>
      </c>
      <c r="I146" s="21">
        <f>IF('Raw Data'!I146="",ROUND(AVERAGE('Raw Data'!$I$2:$I$1501),1),'Raw Data'!I146)</f>
        <v>3.4</v>
      </c>
      <c r="J146" s="21">
        <f>'Raw Data'!J146</f>
        <v>3</v>
      </c>
      <c r="K146" s="21" t="str">
        <f>'Raw Data'!K146</f>
        <v>Mobile Phone</v>
      </c>
      <c r="L146" s="21">
        <f>'Raw Data'!L146</f>
        <v>3</v>
      </c>
      <c r="M146" s="21" t="str">
        <f>'Raw Data'!M146</f>
        <v>Married</v>
      </c>
      <c r="N146" s="21">
        <f>'Raw Data'!N146</f>
        <v>6</v>
      </c>
      <c r="O146" s="21">
        <f>'Raw Data'!O146</f>
        <v>1</v>
      </c>
      <c r="P146" s="21">
        <f>IF('Raw Data'!P146="",ROUND(AVERAGE('Raw Data'!$P$2:$P$1501),1),'Raw Data'!P146)</f>
        <v>13.1</v>
      </c>
      <c r="Q146" s="21">
        <f>IF('Raw Data'!Q146="",ROUND(AVERAGE('Raw Data'!$Q$2:$Q$1501),0),'Raw Data'!Q146)</f>
        <v>3</v>
      </c>
      <c r="R146" s="21">
        <f>'Raw Data'!R146</f>
        <v>4</v>
      </c>
      <c r="S146" s="21">
        <f>IF('Raw Data'!S146="",ROUND(AVERAGE('Raw Data'!$S$2:$S$1501),0),'Raw Data'!S146)</f>
        <v>5</v>
      </c>
      <c r="T146" s="21">
        <f>'Raw Data'!T146</f>
        <v>84.34</v>
      </c>
      <c r="U146" s="21" t="str">
        <f>INDEX('Lookup Tables'!$C$7:$C$9,MATCH(E146,'Lookup Tables'!$B$7:$B$9,0))</f>
        <v>Tier 3 (Semi-urban/Rural)</v>
      </c>
      <c r="V146" s="21" t="str">
        <f t="shared" si="6"/>
        <v>7-12 months</v>
      </c>
      <c r="W146" s="21" t="str">
        <f t="shared" si="7"/>
        <v>Medium Risk</v>
      </c>
      <c r="X146" s="21" t="str">
        <f t="shared" si="8"/>
        <v>Yes</v>
      </c>
    </row>
    <row r="147" spans="1:24" x14ac:dyDescent="0.3">
      <c r="A147" s="21">
        <f>'Raw Data'!A147</f>
        <v>50146</v>
      </c>
      <c r="B147" s="21">
        <f>'Raw Data'!B147</f>
        <v>0</v>
      </c>
      <c r="C147" s="21">
        <f>'Raw Data'!C147</f>
        <v>17</v>
      </c>
      <c r="D147" s="21" t="str">
        <f>'Raw Data'!D147</f>
        <v>Computer</v>
      </c>
      <c r="E147" s="21">
        <f>'Raw Data'!E147</f>
        <v>3</v>
      </c>
      <c r="F147" s="21">
        <f>IF('Raw Data'!F147="",ROUND(AVERAGE('Raw Data'!$F$2:$F$1501),1),'Raw Data'!F147)</f>
        <v>5</v>
      </c>
      <c r="G147" s="21" t="str">
        <f>'Raw Data'!G147</f>
        <v>Credit Card</v>
      </c>
      <c r="H147" s="21" t="str">
        <f>'Raw Data'!H147</f>
        <v>Male</v>
      </c>
      <c r="I147" s="21">
        <f>IF('Raw Data'!I147="",ROUND(AVERAGE('Raw Data'!$I$2:$I$1501),1),'Raw Data'!I147)</f>
        <v>3.6</v>
      </c>
      <c r="J147" s="21">
        <f>'Raw Data'!J147</f>
        <v>3</v>
      </c>
      <c r="K147" s="21" t="str">
        <f>'Raw Data'!K147</f>
        <v>Fashion</v>
      </c>
      <c r="L147" s="21">
        <f>'Raw Data'!L147</f>
        <v>3</v>
      </c>
      <c r="M147" s="21" t="str">
        <f>'Raw Data'!M147</f>
        <v>Divorced</v>
      </c>
      <c r="N147" s="21">
        <f>'Raw Data'!N147</f>
        <v>5</v>
      </c>
      <c r="O147" s="21">
        <f>'Raw Data'!O147</f>
        <v>0</v>
      </c>
      <c r="P147" s="21">
        <f>IF('Raw Data'!P147="",ROUND(AVERAGE('Raw Data'!$P$2:$P$1501),1),'Raw Data'!P147)</f>
        <v>11</v>
      </c>
      <c r="Q147" s="21">
        <f>IF('Raw Data'!Q147="",ROUND(AVERAGE('Raw Data'!$Q$2:$Q$1501),0),'Raw Data'!Q147)</f>
        <v>1</v>
      </c>
      <c r="R147" s="21">
        <f>'Raw Data'!R147</f>
        <v>2</v>
      </c>
      <c r="S147" s="21">
        <f>IF('Raw Data'!S147="",ROUND(AVERAGE('Raw Data'!$S$2:$S$1501),0),'Raw Data'!S147)</f>
        <v>0</v>
      </c>
      <c r="T147" s="21">
        <f>'Raw Data'!T147</f>
        <v>226.04</v>
      </c>
      <c r="U147" s="21" t="str">
        <f>INDEX('Lookup Tables'!$C$7:$C$9,MATCH(E147,'Lookup Tables'!$B$7:$B$9,0))</f>
        <v>Tier 3 (Semi-urban/Rural)</v>
      </c>
      <c r="V147" s="21" t="str">
        <f t="shared" si="6"/>
        <v>13-24 months</v>
      </c>
      <c r="W147" s="21" t="str">
        <f t="shared" si="7"/>
        <v>Medium Risk</v>
      </c>
      <c r="X147" s="21" t="str">
        <f t="shared" si="8"/>
        <v>No</v>
      </c>
    </row>
    <row r="148" spans="1:24" x14ac:dyDescent="0.3">
      <c r="A148" s="21">
        <f>'Raw Data'!A148</f>
        <v>50147</v>
      </c>
      <c r="B148" s="21">
        <f>'Raw Data'!B148</f>
        <v>0</v>
      </c>
      <c r="C148" s="21">
        <f>'Raw Data'!C148</f>
        <v>2</v>
      </c>
      <c r="D148" s="21" t="str">
        <f>'Raw Data'!D148</f>
        <v>Mobile Phone</v>
      </c>
      <c r="E148" s="21">
        <f>'Raw Data'!E148</f>
        <v>1</v>
      </c>
      <c r="F148" s="21">
        <f>IF('Raw Data'!F148="",ROUND(AVERAGE('Raw Data'!$F$2:$F$1501),1),'Raw Data'!F148)</f>
        <v>14</v>
      </c>
      <c r="G148" s="21" t="str">
        <f>'Raw Data'!G148</f>
        <v>Cash on Delivery</v>
      </c>
      <c r="H148" s="21" t="str">
        <f>'Raw Data'!H148</f>
        <v>Male</v>
      </c>
      <c r="I148" s="21">
        <f>IF('Raw Data'!I148="",ROUND(AVERAGE('Raw Data'!$I$2:$I$1501),1),'Raw Data'!I148)</f>
        <v>3.3</v>
      </c>
      <c r="J148" s="21">
        <f>'Raw Data'!J148</f>
        <v>4</v>
      </c>
      <c r="K148" s="21" t="str">
        <f>'Raw Data'!K148</f>
        <v>Mobile Phone</v>
      </c>
      <c r="L148" s="21">
        <f>'Raw Data'!L148</f>
        <v>5</v>
      </c>
      <c r="M148" s="21" t="str">
        <f>'Raw Data'!M148</f>
        <v>Married</v>
      </c>
      <c r="N148" s="21">
        <f>'Raw Data'!N148</f>
        <v>2</v>
      </c>
      <c r="O148" s="21">
        <f>'Raw Data'!O148</f>
        <v>0</v>
      </c>
      <c r="P148" s="21">
        <f>IF('Raw Data'!P148="",ROUND(AVERAGE('Raw Data'!$P$2:$P$1501),1),'Raw Data'!P148)</f>
        <v>19.399999999999999</v>
      </c>
      <c r="Q148" s="21">
        <f>IF('Raw Data'!Q148="",ROUND(AVERAGE('Raw Data'!$Q$2:$Q$1501),0),'Raw Data'!Q148)</f>
        <v>2</v>
      </c>
      <c r="R148" s="21">
        <f>'Raw Data'!R148</f>
        <v>6</v>
      </c>
      <c r="S148" s="21">
        <f>IF('Raw Data'!S148="",ROUND(AVERAGE('Raw Data'!$S$2:$S$1501),0),'Raw Data'!S148)</f>
        <v>0</v>
      </c>
      <c r="T148" s="21">
        <f>'Raw Data'!T148</f>
        <v>133.44999999999999</v>
      </c>
      <c r="U148" s="21" t="str">
        <f>INDEX('Lookup Tables'!$C$7:$C$9,MATCH(E148,'Lookup Tables'!$B$7:$B$9,0))</f>
        <v>Tier 1 (Metro)</v>
      </c>
      <c r="V148" s="21" t="str">
        <f t="shared" si="6"/>
        <v>0-6 months</v>
      </c>
      <c r="W148" s="21" t="str">
        <f t="shared" si="7"/>
        <v>Low Risk</v>
      </c>
      <c r="X148" s="21" t="str">
        <f t="shared" si="8"/>
        <v>No</v>
      </c>
    </row>
    <row r="149" spans="1:24" x14ac:dyDescent="0.3">
      <c r="A149" s="21">
        <f>'Raw Data'!A149</f>
        <v>50148</v>
      </c>
      <c r="B149" s="21">
        <f>'Raw Data'!B149</f>
        <v>0</v>
      </c>
      <c r="C149" s="21">
        <f>'Raw Data'!C149</f>
        <v>0</v>
      </c>
      <c r="D149" s="21" t="str">
        <f>'Raw Data'!D149</f>
        <v>Mobile Phone</v>
      </c>
      <c r="E149" s="21">
        <f>'Raw Data'!E149</f>
        <v>1</v>
      </c>
      <c r="F149" s="21">
        <f>IF('Raw Data'!F149="",ROUND(AVERAGE('Raw Data'!$F$2:$F$1501),1),'Raw Data'!F149)</f>
        <v>10</v>
      </c>
      <c r="G149" s="21" t="str">
        <f>'Raw Data'!G149</f>
        <v>Credit Card</v>
      </c>
      <c r="H149" s="21" t="str">
        <f>'Raw Data'!H149</f>
        <v>Female</v>
      </c>
      <c r="I149" s="21">
        <f>IF('Raw Data'!I149="",ROUND(AVERAGE('Raw Data'!$I$2:$I$1501),1),'Raw Data'!I149)</f>
        <v>2.6</v>
      </c>
      <c r="J149" s="21">
        <f>'Raw Data'!J149</f>
        <v>3</v>
      </c>
      <c r="K149" s="21" t="str">
        <f>'Raw Data'!K149</f>
        <v>Mobile Phone</v>
      </c>
      <c r="L149" s="21">
        <f>'Raw Data'!L149</f>
        <v>3</v>
      </c>
      <c r="M149" s="21" t="str">
        <f>'Raw Data'!M149</f>
        <v>Married</v>
      </c>
      <c r="N149" s="21">
        <f>'Raw Data'!N149</f>
        <v>1</v>
      </c>
      <c r="O149" s="21">
        <f>'Raw Data'!O149</f>
        <v>0</v>
      </c>
      <c r="P149" s="21">
        <f>IF('Raw Data'!P149="",ROUND(AVERAGE('Raw Data'!$P$2:$P$1501),1),'Raw Data'!P149)</f>
        <v>16.100000000000001</v>
      </c>
      <c r="Q149" s="21">
        <f>IF('Raw Data'!Q149="",ROUND(AVERAGE('Raw Data'!$Q$2:$Q$1501),0),'Raw Data'!Q149)</f>
        <v>2</v>
      </c>
      <c r="R149" s="21">
        <f>'Raw Data'!R149</f>
        <v>2</v>
      </c>
      <c r="S149" s="21">
        <f>IF('Raw Data'!S149="",ROUND(AVERAGE('Raw Data'!$S$2:$S$1501),0),'Raw Data'!S149)</f>
        <v>0</v>
      </c>
      <c r="T149" s="21">
        <f>'Raw Data'!T149</f>
        <v>172.41</v>
      </c>
      <c r="U149" s="21" t="str">
        <f>INDEX('Lookup Tables'!$C$7:$C$9,MATCH(E149,'Lookup Tables'!$B$7:$B$9,0))</f>
        <v>Tier 1 (Metro)</v>
      </c>
      <c r="V149" s="21" t="str">
        <f t="shared" si="6"/>
        <v>0-6 months</v>
      </c>
      <c r="W149" s="21" t="str">
        <f t="shared" si="7"/>
        <v>Medium Risk</v>
      </c>
      <c r="X149" s="21" t="str">
        <f t="shared" si="8"/>
        <v>No</v>
      </c>
    </row>
    <row r="150" spans="1:24" x14ac:dyDescent="0.3">
      <c r="A150" s="21">
        <f>'Raw Data'!A150</f>
        <v>50149</v>
      </c>
      <c r="B150" s="21">
        <f>'Raw Data'!B150</f>
        <v>0</v>
      </c>
      <c r="C150" s="21">
        <f>'Raw Data'!C150</f>
        <v>1</v>
      </c>
      <c r="D150" s="21" t="str">
        <f>'Raw Data'!D150</f>
        <v>Mobile Phone</v>
      </c>
      <c r="E150" s="21">
        <f>'Raw Data'!E150</f>
        <v>1</v>
      </c>
      <c r="F150" s="21">
        <f>IF('Raw Data'!F150="",ROUND(AVERAGE('Raw Data'!$F$2:$F$1501),1),'Raw Data'!F150)</f>
        <v>18</v>
      </c>
      <c r="G150" s="21" t="str">
        <f>'Raw Data'!G150</f>
        <v>E wallet</v>
      </c>
      <c r="H150" s="21" t="str">
        <f>'Raw Data'!H150</f>
        <v>Male</v>
      </c>
      <c r="I150" s="21">
        <f>IF('Raw Data'!I150="",ROUND(AVERAGE('Raw Data'!$I$2:$I$1501),1),'Raw Data'!I150)</f>
        <v>2.9</v>
      </c>
      <c r="J150" s="21">
        <f>'Raw Data'!J150</f>
        <v>6</v>
      </c>
      <c r="K150" s="21" t="str">
        <f>'Raw Data'!K150</f>
        <v>Mobile Phone</v>
      </c>
      <c r="L150" s="21">
        <f>'Raw Data'!L150</f>
        <v>2</v>
      </c>
      <c r="M150" s="21" t="str">
        <f>'Raw Data'!M150</f>
        <v>Married</v>
      </c>
      <c r="N150" s="21">
        <f>'Raw Data'!N150</f>
        <v>6</v>
      </c>
      <c r="O150" s="21">
        <f>'Raw Data'!O150</f>
        <v>0</v>
      </c>
      <c r="P150" s="21">
        <f>IF('Raw Data'!P150="",ROUND(AVERAGE('Raw Data'!$P$2:$P$1501),1),'Raw Data'!P150)</f>
        <v>19.2</v>
      </c>
      <c r="Q150" s="21">
        <f>IF('Raw Data'!Q150="",ROUND(AVERAGE('Raw Data'!$Q$2:$Q$1501),0),'Raw Data'!Q150)</f>
        <v>1</v>
      </c>
      <c r="R150" s="21">
        <f>'Raw Data'!R150</f>
        <v>4</v>
      </c>
      <c r="S150" s="21">
        <f>IF('Raw Data'!S150="",ROUND(AVERAGE('Raw Data'!$S$2:$S$1501),0),'Raw Data'!S150)</f>
        <v>4</v>
      </c>
      <c r="T150" s="21">
        <f>'Raw Data'!T150</f>
        <v>250.72</v>
      </c>
      <c r="U150" s="21" t="str">
        <f>INDEX('Lookup Tables'!$C$7:$C$9,MATCH(E150,'Lookup Tables'!$B$7:$B$9,0))</f>
        <v>Tier 1 (Metro)</v>
      </c>
      <c r="V150" s="21" t="str">
        <f t="shared" si="6"/>
        <v>0-6 months</v>
      </c>
      <c r="W150" s="21" t="str">
        <f t="shared" si="7"/>
        <v>Low Risk</v>
      </c>
      <c r="X150" s="21" t="str">
        <f t="shared" si="8"/>
        <v>No</v>
      </c>
    </row>
    <row r="151" spans="1:24" x14ac:dyDescent="0.3">
      <c r="A151" s="21">
        <f>'Raw Data'!A151</f>
        <v>50150</v>
      </c>
      <c r="B151" s="21">
        <f>'Raw Data'!B151</f>
        <v>0</v>
      </c>
      <c r="C151" s="21">
        <f>'Raw Data'!C151</f>
        <v>23</v>
      </c>
      <c r="D151" s="21" t="str">
        <f>'Raw Data'!D151</f>
        <v>Mobile Phone</v>
      </c>
      <c r="E151" s="21">
        <f>'Raw Data'!E151</f>
        <v>1</v>
      </c>
      <c r="F151" s="21">
        <f>IF('Raw Data'!F151="",ROUND(AVERAGE('Raw Data'!$F$2:$F$1501),1),'Raw Data'!F151)</f>
        <v>18</v>
      </c>
      <c r="G151" s="21" t="str">
        <f>'Raw Data'!G151</f>
        <v>Credit Card</v>
      </c>
      <c r="H151" s="21" t="str">
        <f>'Raw Data'!H151</f>
        <v>Female</v>
      </c>
      <c r="I151" s="21">
        <f>IF('Raw Data'!I151="",ROUND(AVERAGE('Raw Data'!$I$2:$I$1501),1),'Raw Data'!I151)</f>
        <v>3</v>
      </c>
      <c r="J151" s="21">
        <f>'Raw Data'!J151</f>
        <v>3</v>
      </c>
      <c r="K151" s="21" t="str">
        <f>'Raw Data'!K151</f>
        <v>Fashion</v>
      </c>
      <c r="L151" s="21">
        <f>'Raw Data'!L151</f>
        <v>5</v>
      </c>
      <c r="M151" s="21" t="str">
        <f>'Raw Data'!M151</f>
        <v>Married</v>
      </c>
      <c r="N151" s="21">
        <f>'Raw Data'!N151</f>
        <v>2</v>
      </c>
      <c r="O151" s="21">
        <f>'Raw Data'!O151</f>
        <v>0</v>
      </c>
      <c r="P151" s="21">
        <f>IF('Raw Data'!P151="",ROUND(AVERAGE('Raw Data'!$P$2:$P$1501),1),'Raw Data'!P151)</f>
        <v>14.6</v>
      </c>
      <c r="Q151" s="21">
        <f>IF('Raw Data'!Q151="",ROUND(AVERAGE('Raw Data'!$Q$2:$Q$1501),0),'Raw Data'!Q151)</f>
        <v>2</v>
      </c>
      <c r="R151" s="21">
        <f>'Raw Data'!R151</f>
        <v>4</v>
      </c>
      <c r="S151" s="21">
        <f>IF('Raw Data'!S151="",ROUND(AVERAGE('Raw Data'!$S$2:$S$1501),0),'Raw Data'!S151)</f>
        <v>11</v>
      </c>
      <c r="T151" s="21">
        <f>'Raw Data'!T151</f>
        <v>277.87</v>
      </c>
      <c r="U151" s="21" t="str">
        <f>INDEX('Lookup Tables'!$C$7:$C$9,MATCH(E151,'Lookup Tables'!$B$7:$B$9,0))</f>
        <v>Tier 1 (Metro)</v>
      </c>
      <c r="V151" s="21" t="str">
        <f t="shared" si="6"/>
        <v>13-24 months</v>
      </c>
      <c r="W151" s="21" t="str">
        <f t="shared" si="7"/>
        <v>Low Risk</v>
      </c>
      <c r="X151" s="21" t="str">
        <f t="shared" si="8"/>
        <v>No</v>
      </c>
    </row>
    <row r="152" spans="1:24" x14ac:dyDescent="0.3">
      <c r="A152" s="21">
        <f>'Raw Data'!A152</f>
        <v>50151</v>
      </c>
      <c r="B152" s="21">
        <f>'Raw Data'!B152</f>
        <v>0</v>
      </c>
      <c r="C152" s="21">
        <f>'Raw Data'!C152</f>
        <v>20</v>
      </c>
      <c r="D152" s="21" t="str">
        <f>'Raw Data'!D152</f>
        <v>Phone</v>
      </c>
      <c r="E152" s="21">
        <f>'Raw Data'!E152</f>
        <v>1</v>
      </c>
      <c r="F152" s="21">
        <f>IF('Raw Data'!F152="",ROUND(AVERAGE('Raw Data'!$F$2:$F$1501),1),'Raw Data'!F152)</f>
        <v>9</v>
      </c>
      <c r="G152" s="21" t="str">
        <f>'Raw Data'!G152</f>
        <v>Credit Card</v>
      </c>
      <c r="H152" s="21" t="str">
        <f>'Raw Data'!H152</f>
        <v>Male</v>
      </c>
      <c r="I152" s="21">
        <f>IF('Raw Data'!I152="",ROUND(AVERAGE('Raw Data'!$I$2:$I$1501),1),'Raw Data'!I152)</f>
        <v>2.9</v>
      </c>
      <c r="J152" s="21">
        <f>'Raw Data'!J152</f>
        <v>3</v>
      </c>
      <c r="K152" s="21" t="str">
        <f>'Raw Data'!K152</f>
        <v>Fashion</v>
      </c>
      <c r="L152" s="21">
        <f>'Raw Data'!L152</f>
        <v>4</v>
      </c>
      <c r="M152" s="21" t="str">
        <f>'Raw Data'!M152</f>
        <v>Married</v>
      </c>
      <c r="N152" s="21">
        <f>'Raw Data'!N152</f>
        <v>1</v>
      </c>
      <c r="O152" s="21">
        <f>'Raw Data'!O152</f>
        <v>1</v>
      </c>
      <c r="P152" s="21">
        <f>IF('Raw Data'!P152="",ROUND(AVERAGE('Raw Data'!$P$2:$P$1501),1),'Raw Data'!P152)</f>
        <v>15.2</v>
      </c>
      <c r="Q152" s="21">
        <f>IF('Raw Data'!Q152="",ROUND(AVERAGE('Raw Data'!$Q$2:$Q$1501),0),'Raw Data'!Q152)</f>
        <v>4</v>
      </c>
      <c r="R152" s="21">
        <f>'Raw Data'!R152</f>
        <v>3</v>
      </c>
      <c r="S152" s="21">
        <f>IF('Raw Data'!S152="",ROUND(AVERAGE('Raw Data'!$S$2:$S$1501),0),'Raw Data'!S152)</f>
        <v>4</v>
      </c>
      <c r="T152" s="21">
        <f>'Raw Data'!T152</f>
        <v>86.47</v>
      </c>
      <c r="U152" s="21" t="str">
        <f>INDEX('Lookup Tables'!$C$7:$C$9,MATCH(E152,'Lookup Tables'!$B$7:$B$9,0))</f>
        <v>Tier 1 (Metro)</v>
      </c>
      <c r="V152" s="21" t="str">
        <f t="shared" si="6"/>
        <v>13-24 months</v>
      </c>
      <c r="W152" s="21" t="str">
        <f t="shared" si="7"/>
        <v>Low Risk</v>
      </c>
      <c r="X152" s="21" t="str">
        <f t="shared" si="8"/>
        <v>No</v>
      </c>
    </row>
    <row r="153" spans="1:24" x14ac:dyDescent="0.3">
      <c r="A153" s="21">
        <f>'Raw Data'!A153</f>
        <v>50152</v>
      </c>
      <c r="B153" s="21">
        <f>'Raw Data'!B153</f>
        <v>0</v>
      </c>
      <c r="C153" s="21">
        <f>'Raw Data'!C153</f>
        <v>9</v>
      </c>
      <c r="D153" s="21" t="str">
        <f>'Raw Data'!D153</f>
        <v>Mobile Phone</v>
      </c>
      <c r="E153" s="21">
        <f>'Raw Data'!E153</f>
        <v>1</v>
      </c>
      <c r="F153" s="21">
        <f>IF('Raw Data'!F153="",ROUND(AVERAGE('Raw Data'!$F$2:$F$1501),1),'Raw Data'!F153)</f>
        <v>9</v>
      </c>
      <c r="G153" s="21" t="str">
        <f>'Raw Data'!G153</f>
        <v>Debit Card</v>
      </c>
      <c r="H153" s="21" t="str">
        <f>'Raw Data'!H153</f>
        <v>Female</v>
      </c>
      <c r="I153" s="21">
        <f>IF('Raw Data'!I153="",ROUND(AVERAGE('Raw Data'!$I$2:$I$1501),1),'Raw Data'!I153)</f>
        <v>3.6</v>
      </c>
      <c r="J153" s="21">
        <f>'Raw Data'!J153</f>
        <v>2</v>
      </c>
      <c r="K153" s="21" t="str">
        <f>'Raw Data'!K153</f>
        <v>Laptop &amp; Accessory</v>
      </c>
      <c r="L153" s="21">
        <f>'Raw Data'!L153</f>
        <v>4</v>
      </c>
      <c r="M153" s="21" t="str">
        <f>'Raw Data'!M153</f>
        <v>Single</v>
      </c>
      <c r="N153" s="21">
        <f>'Raw Data'!N153</f>
        <v>2</v>
      </c>
      <c r="O153" s="21">
        <f>'Raw Data'!O153</f>
        <v>0</v>
      </c>
      <c r="P153" s="21">
        <f>IF('Raw Data'!P153="",ROUND(AVERAGE('Raw Data'!$P$2:$P$1501),1),'Raw Data'!P153)</f>
        <v>18.5</v>
      </c>
      <c r="Q153" s="21">
        <f>IF('Raw Data'!Q153="",ROUND(AVERAGE('Raw Data'!$Q$2:$Q$1501),0),'Raw Data'!Q153)</f>
        <v>3</v>
      </c>
      <c r="R153" s="21">
        <f>'Raw Data'!R153</f>
        <v>3</v>
      </c>
      <c r="S153" s="21">
        <f>IF('Raw Data'!S153="",ROUND(AVERAGE('Raw Data'!$S$2:$S$1501),0),'Raw Data'!S153)</f>
        <v>4</v>
      </c>
      <c r="T153" s="21">
        <f>'Raw Data'!T153</f>
        <v>181.66</v>
      </c>
      <c r="U153" s="21" t="str">
        <f>INDEX('Lookup Tables'!$C$7:$C$9,MATCH(E153,'Lookup Tables'!$B$7:$B$9,0))</f>
        <v>Tier 1 (Metro)</v>
      </c>
      <c r="V153" s="21" t="str">
        <f t="shared" si="6"/>
        <v>7-12 months</v>
      </c>
      <c r="W153" s="21" t="str">
        <f t="shared" si="7"/>
        <v>Low Risk</v>
      </c>
      <c r="X153" s="21" t="str">
        <f t="shared" si="8"/>
        <v>No</v>
      </c>
    </row>
    <row r="154" spans="1:24" x14ac:dyDescent="0.3">
      <c r="A154" s="21">
        <f>'Raw Data'!A154</f>
        <v>50153</v>
      </c>
      <c r="B154" s="21">
        <f>'Raw Data'!B154</f>
        <v>0</v>
      </c>
      <c r="C154" s="21">
        <f>'Raw Data'!C154</f>
        <v>9</v>
      </c>
      <c r="D154" s="21" t="str">
        <f>'Raw Data'!D154</f>
        <v>Mobile Phone</v>
      </c>
      <c r="E154" s="21">
        <f>'Raw Data'!E154</f>
        <v>1</v>
      </c>
      <c r="F154" s="21">
        <f>IF('Raw Data'!F154="",ROUND(AVERAGE('Raw Data'!$F$2:$F$1501),1),'Raw Data'!F154)</f>
        <v>14</v>
      </c>
      <c r="G154" s="21" t="str">
        <f>'Raw Data'!G154</f>
        <v>Credit Card</v>
      </c>
      <c r="H154" s="21" t="str">
        <f>'Raw Data'!H154</f>
        <v>Female</v>
      </c>
      <c r="I154" s="21">
        <f>IF('Raw Data'!I154="",ROUND(AVERAGE('Raw Data'!$I$2:$I$1501),1),'Raw Data'!I154)</f>
        <v>3.4</v>
      </c>
      <c r="J154" s="21">
        <f>'Raw Data'!J154</f>
        <v>3</v>
      </c>
      <c r="K154" s="21" t="str">
        <f>'Raw Data'!K154</f>
        <v>Laptop &amp; Accessory</v>
      </c>
      <c r="L154" s="21">
        <f>'Raw Data'!L154</f>
        <v>2</v>
      </c>
      <c r="M154" s="21" t="str">
        <f>'Raw Data'!M154</f>
        <v>Single</v>
      </c>
      <c r="N154" s="21">
        <f>'Raw Data'!N154</f>
        <v>1</v>
      </c>
      <c r="O154" s="21">
        <f>'Raw Data'!O154</f>
        <v>0</v>
      </c>
      <c r="P154" s="21">
        <f>IF('Raw Data'!P154="",ROUND(AVERAGE('Raw Data'!$P$2:$P$1501),1),'Raw Data'!P154)</f>
        <v>18.600000000000001</v>
      </c>
      <c r="Q154" s="21">
        <f>IF('Raw Data'!Q154="",ROUND(AVERAGE('Raw Data'!$Q$2:$Q$1501),0),'Raw Data'!Q154)</f>
        <v>2</v>
      </c>
      <c r="R154" s="21">
        <f>'Raw Data'!R154</f>
        <v>4</v>
      </c>
      <c r="S154" s="21">
        <f>IF('Raw Data'!S154="",ROUND(AVERAGE('Raw Data'!$S$2:$S$1501),0),'Raw Data'!S154)</f>
        <v>2</v>
      </c>
      <c r="T154" s="21">
        <f>'Raw Data'!T154</f>
        <v>195.01</v>
      </c>
      <c r="U154" s="21" t="str">
        <f>INDEX('Lookup Tables'!$C$7:$C$9,MATCH(E154,'Lookup Tables'!$B$7:$B$9,0))</f>
        <v>Tier 1 (Metro)</v>
      </c>
      <c r="V154" s="21" t="str">
        <f t="shared" si="6"/>
        <v>7-12 months</v>
      </c>
      <c r="W154" s="21" t="str">
        <f t="shared" si="7"/>
        <v>Low Risk</v>
      </c>
      <c r="X154" s="21" t="str">
        <f t="shared" si="8"/>
        <v>No</v>
      </c>
    </row>
    <row r="155" spans="1:24" x14ac:dyDescent="0.3">
      <c r="A155" s="21">
        <f>'Raw Data'!A155</f>
        <v>50154</v>
      </c>
      <c r="B155" s="21">
        <f>'Raw Data'!B155</f>
        <v>1</v>
      </c>
      <c r="C155" s="21">
        <f>'Raw Data'!C155</f>
        <v>10</v>
      </c>
      <c r="D155" s="21" t="str">
        <f>'Raw Data'!D155</f>
        <v>Computer</v>
      </c>
      <c r="E155" s="21">
        <f>'Raw Data'!E155</f>
        <v>3</v>
      </c>
      <c r="F155" s="21">
        <f>IF('Raw Data'!F155="",ROUND(AVERAGE('Raw Data'!$F$2:$F$1501),1),'Raw Data'!F155)</f>
        <v>7</v>
      </c>
      <c r="G155" s="21" t="str">
        <f>'Raw Data'!G155</f>
        <v>Credit Card</v>
      </c>
      <c r="H155" s="21" t="str">
        <f>'Raw Data'!H155</f>
        <v>Female</v>
      </c>
      <c r="I155" s="21">
        <f>IF('Raw Data'!I155="",ROUND(AVERAGE('Raw Data'!$I$2:$I$1501),1),'Raw Data'!I155)</f>
        <v>4.4000000000000004</v>
      </c>
      <c r="J155" s="21">
        <f>'Raw Data'!J155</f>
        <v>4</v>
      </c>
      <c r="K155" s="21" t="str">
        <f>'Raw Data'!K155</f>
        <v>Laptop &amp; Accessory</v>
      </c>
      <c r="L155" s="21">
        <f>'Raw Data'!L155</f>
        <v>2</v>
      </c>
      <c r="M155" s="21" t="str">
        <f>'Raw Data'!M155</f>
        <v>Single</v>
      </c>
      <c r="N155" s="21">
        <f>'Raw Data'!N155</f>
        <v>4</v>
      </c>
      <c r="O155" s="21">
        <f>'Raw Data'!O155</f>
        <v>1</v>
      </c>
      <c r="P155" s="21">
        <f>IF('Raw Data'!P155="",ROUND(AVERAGE('Raw Data'!$P$2:$P$1501),1),'Raw Data'!P155)</f>
        <v>18.8</v>
      </c>
      <c r="Q155" s="21">
        <f>IF('Raw Data'!Q155="",ROUND(AVERAGE('Raw Data'!$Q$2:$Q$1501),0),'Raw Data'!Q155)</f>
        <v>1</v>
      </c>
      <c r="R155" s="21">
        <f>'Raw Data'!R155</f>
        <v>5</v>
      </c>
      <c r="S155" s="21">
        <f>IF('Raw Data'!S155="",ROUND(AVERAGE('Raw Data'!$S$2:$S$1501),0),'Raw Data'!S155)</f>
        <v>0</v>
      </c>
      <c r="T155" s="21">
        <f>'Raw Data'!T155</f>
        <v>97.09</v>
      </c>
      <c r="U155" s="21" t="str">
        <f>INDEX('Lookup Tables'!$C$7:$C$9,MATCH(E155,'Lookup Tables'!$B$7:$B$9,0))</f>
        <v>Tier 3 (Semi-urban/Rural)</v>
      </c>
      <c r="V155" s="21" t="str">
        <f t="shared" si="6"/>
        <v>7-12 months</v>
      </c>
      <c r="W155" s="21" t="str">
        <f t="shared" si="7"/>
        <v>High Risk</v>
      </c>
      <c r="X155" s="21" t="str">
        <f t="shared" si="8"/>
        <v>Yes</v>
      </c>
    </row>
    <row r="156" spans="1:24" x14ac:dyDescent="0.3">
      <c r="A156" s="21">
        <f>'Raw Data'!A156</f>
        <v>50155</v>
      </c>
      <c r="B156" s="21">
        <f>'Raw Data'!B156</f>
        <v>0</v>
      </c>
      <c r="C156" s="21">
        <f>'Raw Data'!C156</f>
        <v>1</v>
      </c>
      <c r="D156" s="21" t="str">
        <f>'Raw Data'!D156</f>
        <v>Mobile Phone</v>
      </c>
      <c r="E156" s="21">
        <f>'Raw Data'!E156</f>
        <v>2</v>
      </c>
      <c r="F156" s="21">
        <f>IF('Raw Data'!F156="",ROUND(AVERAGE('Raw Data'!$F$2:$F$1501),1),'Raw Data'!F156)</f>
        <v>21</v>
      </c>
      <c r="G156" s="21" t="str">
        <f>'Raw Data'!G156</f>
        <v>E wallet</v>
      </c>
      <c r="H156" s="21" t="str">
        <f>'Raw Data'!H156</f>
        <v>Male</v>
      </c>
      <c r="I156" s="21">
        <f>IF('Raw Data'!I156="",ROUND(AVERAGE('Raw Data'!$I$2:$I$1501),1),'Raw Data'!I156)</f>
        <v>4.4000000000000004</v>
      </c>
      <c r="J156" s="21">
        <f>'Raw Data'!J156</f>
        <v>4</v>
      </c>
      <c r="K156" s="21" t="str">
        <f>'Raw Data'!K156</f>
        <v>Fashion</v>
      </c>
      <c r="L156" s="21">
        <f>'Raw Data'!L156</f>
        <v>1</v>
      </c>
      <c r="M156" s="21" t="str">
        <f>'Raw Data'!M156</f>
        <v>Married</v>
      </c>
      <c r="N156" s="21">
        <f>'Raw Data'!N156</f>
        <v>1</v>
      </c>
      <c r="O156" s="21">
        <f>'Raw Data'!O156</f>
        <v>0</v>
      </c>
      <c r="P156" s="21">
        <f>IF('Raw Data'!P156="",ROUND(AVERAGE('Raw Data'!$P$2:$P$1501),1),'Raw Data'!P156)</f>
        <v>15</v>
      </c>
      <c r="Q156" s="21">
        <f>IF('Raw Data'!Q156="",ROUND(AVERAGE('Raw Data'!$Q$2:$Q$1501),0),'Raw Data'!Q156)</f>
        <v>2</v>
      </c>
      <c r="R156" s="21">
        <f>'Raw Data'!R156</f>
        <v>4</v>
      </c>
      <c r="S156" s="21">
        <f>IF('Raw Data'!S156="",ROUND(AVERAGE('Raw Data'!$S$2:$S$1501),0),'Raw Data'!S156)</f>
        <v>0</v>
      </c>
      <c r="T156" s="21">
        <f>'Raw Data'!T156</f>
        <v>224.14</v>
      </c>
      <c r="U156" s="21" t="str">
        <f>INDEX('Lookup Tables'!$C$7:$C$9,MATCH(E156,'Lookup Tables'!$B$7:$B$9,0))</f>
        <v>Tier 2 (Urban)</v>
      </c>
      <c r="V156" s="21" t="str">
        <f t="shared" si="6"/>
        <v>0-6 months</v>
      </c>
      <c r="W156" s="21" t="str">
        <f t="shared" si="7"/>
        <v>Low Risk</v>
      </c>
      <c r="X156" s="21" t="str">
        <f t="shared" si="8"/>
        <v>No</v>
      </c>
    </row>
    <row r="157" spans="1:24" x14ac:dyDescent="0.3">
      <c r="A157" s="21">
        <f>'Raw Data'!A157</f>
        <v>50156</v>
      </c>
      <c r="B157" s="21">
        <f>'Raw Data'!B157</f>
        <v>0</v>
      </c>
      <c r="C157" s="21">
        <f>'Raw Data'!C157</f>
        <v>24</v>
      </c>
      <c r="D157" s="21" t="str">
        <f>'Raw Data'!D157</f>
        <v>Mobile Phone</v>
      </c>
      <c r="E157" s="21">
        <f>'Raw Data'!E157</f>
        <v>1</v>
      </c>
      <c r="F157" s="21">
        <f>IF('Raw Data'!F157="",ROUND(AVERAGE('Raw Data'!$F$2:$F$1501),1),'Raw Data'!F157)</f>
        <v>12</v>
      </c>
      <c r="G157" s="21" t="str">
        <f>'Raw Data'!G157</f>
        <v>Cash on Delivery</v>
      </c>
      <c r="H157" s="21" t="str">
        <f>'Raw Data'!H157</f>
        <v>Male</v>
      </c>
      <c r="I157" s="21">
        <f>IF('Raw Data'!I157="",ROUND(AVERAGE('Raw Data'!$I$2:$I$1501),1),'Raw Data'!I157)</f>
        <v>3</v>
      </c>
      <c r="J157" s="21">
        <f>'Raw Data'!J157</f>
        <v>2</v>
      </c>
      <c r="K157" s="21" t="str">
        <f>'Raw Data'!K157</f>
        <v>Grocery</v>
      </c>
      <c r="L157" s="21">
        <f>'Raw Data'!L157</f>
        <v>2</v>
      </c>
      <c r="M157" s="21" t="str">
        <f>'Raw Data'!M157</f>
        <v>Married</v>
      </c>
      <c r="N157" s="21">
        <f>'Raw Data'!N157</f>
        <v>1</v>
      </c>
      <c r="O157" s="21">
        <f>'Raw Data'!O157</f>
        <v>0</v>
      </c>
      <c r="P157" s="21">
        <f>IF('Raw Data'!P157="",ROUND(AVERAGE('Raw Data'!$P$2:$P$1501),1),'Raw Data'!P157)</f>
        <v>18.2</v>
      </c>
      <c r="Q157" s="21">
        <f>IF('Raw Data'!Q157="",ROUND(AVERAGE('Raw Data'!$Q$2:$Q$1501),0),'Raw Data'!Q157)</f>
        <v>3</v>
      </c>
      <c r="R157" s="21">
        <f>'Raw Data'!R157</f>
        <v>1</v>
      </c>
      <c r="S157" s="21">
        <f>IF('Raw Data'!S157="",ROUND(AVERAGE('Raw Data'!$S$2:$S$1501),0),'Raw Data'!S157)</f>
        <v>4</v>
      </c>
      <c r="T157" s="21">
        <f>'Raw Data'!T157</f>
        <v>186.39</v>
      </c>
      <c r="U157" s="21" t="str">
        <f>INDEX('Lookup Tables'!$C$7:$C$9,MATCH(E157,'Lookup Tables'!$B$7:$B$9,0))</f>
        <v>Tier 1 (Metro)</v>
      </c>
      <c r="V157" s="21" t="str">
        <f t="shared" si="6"/>
        <v>13-24 months</v>
      </c>
      <c r="W157" s="21" t="str">
        <f t="shared" si="7"/>
        <v>Low Risk</v>
      </c>
      <c r="X157" s="21" t="str">
        <f t="shared" si="8"/>
        <v>No</v>
      </c>
    </row>
    <row r="158" spans="1:24" x14ac:dyDescent="0.3">
      <c r="A158" s="21">
        <f>'Raw Data'!A158</f>
        <v>50157</v>
      </c>
      <c r="B158" s="21">
        <f>'Raw Data'!B158</f>
        <v>0</v>
      </c>
      <c r="C158" s="21">
        <f>'Raw Data'!C158</f>
        <v>5</v>
      </c>
      <c r="D158" s="21" t="str">
        <f>'Raw Data'!D158</f>
        <v>Mobile Phone</v>
      </c>
      <c r="E158" s="21">
        <f>'Raw Data'!E158</f>
        <v>2</v>
      </c>
      <c r="F158" s="21">
        <f>IF('Raw Data'!F158="",ROUND(AVERAGE('Raw Data'!$F$2:$F$1501),1),'Raw Data'!F158)</f>
        <v>5</v>
      </c>
      <c r="G158" s="21" t="str">
        <f>'Raw Data'!G158</f>
        <v>Debit Card</v>
      </c>
      <c r="H158" s="21" t="str">
        <f>'Raw Data'!H158</f>
        <v>Female</v>
      </c>
      <c r="I158" s="21">
        <f>IF('Raw Data'!I158="",ROUND(AVERAGE('Raw Data'!$I$2:$I$1501),1),'Raw Data'!I158)</f>
        <v>0.2</v>
      </c>
      <c r="J158" s="21">
        <f>'Raw Data'!J158</f>
        <v>3</v>
      </c>
      <c r="K158" s="21" t="str">
        <f>'Raw Data'!K158</f>
        <v>Mobile Phone</v>
      </c>
      <c r="L158" s="21">
        <f>'Raw Data'!L158</f>
        <v>4</v>
      </c>
      <c r="M158" s="21" t="str">
        <f>'Raw Data'!M158</f>
        <v>Divorced</v>
      </c>
      <c r="N158" s="21">
        <f>'Raw Data'!N158</f>
        <v>10</v>
      </c>
      <c r="O158" s="21">
        <f>'Raw Data'!O158</f>
        <v>0</v>
      </c>
      <c r="P158" s="21">
        <f>IF('Raw Data'!P158="",ROUND(AVERAGE('Raw Data'!$P$2:$P$1501),1),'Raw Data'!P158)</f>
        <v>19.899999999999999</v>
      </c>
      <c r="Q158" s="21">
        <f>IF('Raw Data'!Q158="",ROUND(AVERAGE('Raw Data'!$Q$2:$Q$1501),0),'Raw Data'!Q158)</f>
        <v>2</v>
      </c>
      <c r="R158" s="21">
        <f>'Raw Data'!R158</f>
        <v>3</v>
      </c>
      <c r="S158" s="21">
        <f>IF('Raw Data'!S158="",ROUND(AVERAGE('Raw Data'!$S$2:$S$1501),0),'Raw Data'!S158)</f>
        <v>0</v>
      </c>
      <c r="T158" s="21">
        <f>'Raw Data'!T158</f>
        <v>190.68</v>
      </c>
      <c r="U158" s="21" t="str">
        <f>INDEX('Lookup Tables'!$C$7:$C$9,MATCH(E158,'Lookup Tables'!$B$7:$B$9,0))</f>
        <v>Tier 2 (Urban)</v>
      </c>
      <c r="V158" s="21" t="str">
        <f t="shared" si="6"/>
        <v>0-6 months</v>
      </c>
      <c r="W158" s="21" t="str">
        <f t="shared" si="7"/>
        <v>Low Risk</v>
      </c>
      <c r="X158" s="21" t="str">
        <f t="shared" si="8"/>
        <v>No</v>
      </c>
    </row>
    <row r="159" spans="1:24" x14ac:dyDescent="0.3">
      <c r="A159" s="21">
        <f>'Raw Data'!A159</f>
        <v>50158</v>
      </c>
      <c r="B159" s="21">
        <f>'Raw Data'!B159</f>
        <v>0</v>
      </c>
      <c r="C159" s="21">
        <f>'Raw Data'!C159</f>
        <v>4</v>
      </c>
      <c r="D159" s="21" t="str">
        <f>'Raw Data'!D159</f>
        <v>Phone</v>
      </c>
      <c r="E159" s="21">
        <f>'Raw Data'!E159</f>
        <v>1</v>
      </c>
      <c r="F159" s="21">
        <f>IF('Raw Data'!F159="",ROUND(AVERAGE('Raw Data'!$F$2:$F$1501),1),'Raw Data'!F159)</f>
        <v>12</v>
      </c>
      <c r="G159" s="21" t="str">
        <f>'Raw Data'!G159</f>
        <v>Debit Card</v>
      </c>
      <c r="H159" s="21" t="str">
        <f>'Raw Data'!H159</f>
        <v>Male</v>
      </c>
      <c r="I159" s="21">
        <f>IF('Raw Data'!I159="",ROUND(AVERAGE('Raw Data'!$I$2:$I$1501),1),'Raw Data'!I159)</f>
        <v>3.8</v>
      </c>
      <c r="J159" s="21">
        <f>'Raw Data'!J159</f>
        <v>4</v>
      </c>
      <c r="K159" s="21" t="str">
        <f>'Raw Data'!K159</f>
        <v>Laptop &amp; Accessory</v>
      </c>
      <c r="L159" s="21">
        <f>'Raw Data'!L159</f>
        <v>2</v>
      </c>
      <c r="M159" s="21" t="str">
        <f>'Raw Data'!M159</f>
        <v>Married</v>
      </c>
      <c r="N159" s="21">
        <f>'Raw Data'!N159</f>
        <v>5</v>
      </c>
      <c r="O159" s="21">
        <f>'Raw Data'!O159</f>
        <v>0</v>
      </c>
      <c r="P159" s="21">
        <f>IF('Raw Data'!P159="",ROUND(AVERAGE('Raw Data'!$P$2:$P$1501),1),'Raw Data'!P159)</f>
        <v>15.6</v>
      </c>
      <c r="Q159" s="21">
        <f>IF('Raw Data'!Q159="",ROUND(AVERAGE('Raw Data'!$Q$2:$Q$1501),0),'Raw Data'!Q159)</f>
        <v>2</v>
      </c>
      <c r="R159" s="21">
        <f>'Raw Data'!R159</f>
        <v>2</v>
      </c>
      <c r="S159" s="21">
        <f>IF('Raw Data'!S159="",ROUND(AVERAGE('Raw Data'!$S$2:$S$1501),0),'Raw Data'!S159)</f>
        <v>42</v>
      </c>
      <c r="T159" s="21">
        <f>'Raw Data'!T159</f>
        <v>129.53</v>
      </c>
      <c r="U159" s="21" t="str">
        <f>INDEX('Lookup Tables'!$C$7:$C$9,MATCH(E159,'Lookup Tables'!$B$7:$B$9,0))</f>
        <v>Tier 1 (Metro)</v>
      </c>
      <c r="V159" s="21" t="str">
        <f t="shared" si="6"/>
        <v>0-6 months</v>
      </c>
      <c r="W159" s="21" t="str">
        <f t="shared" si="7"/>
        <v>Medium Risk</v>
      </c>
      <c r="X159" s="21" t="str">
        <f t="shared" si="8"/>
        <v>No</v>
      </c>
    </row>
    <row r="160" spans="1:24" x14ac:dyDescent="0.3">
      <c r="A160" s="21">
        <f>'Raw Data'!A160</f>
        <v>50159</v>
      </c>
      <c r="B160" s="21">
        <f>'Raw Data'!B160</f>
        <v>0</v>
      </c>
      <c r="C160" s="21">
        <f>'Raw Data'!C160</f>
        <v>7</v>
      </c>
      <c r="D160" s="21" t="str">
        <f>'Raw Data'!D160</f>
        <v>Phone</v>
      </c>
      <c r="E160" s="21">
        <f>'Raw Data'!E160</f>
        <v>1</v>
      </c>
      <c r="F160" s="21">
        <f>IF('Raw Data'!F160="",ROUND(AVERAGE('Raw Data'!$F$2:$F$1501),1),'Raw Data'!F160)</f>
        <v>6</v>
      </c>
      <c r="G160" s="21" t="str">
        <f>'Raw Data'!G160</f>
        <v>Credit Card</v>
      </c>
      <c r="H160" s="21" t="str">
        <f>'Raw Data'!H160</f>
        <v>Male</v>
      </c>
      <c r="I160" s="21">
        <f>IF('Raw Data'!I160="",ROUND(AVERAGE('Raw Data'!$I$2:$I$1501),1),'Raw Data'!I160)</f>
        <v>2.5</v>
      </c>
      <c r="J160" s="21">
        <f>'Raw Data'!J160</f>
        <v>4</v>
      </c>
      <c r="K160" s="21" t="str">
        <f>'Raw Data'!K160</f>
        <v>Fashion</v>
      </c>
      <c r="L160" s="21">
        <f>'Raw Data'!L160</f>
        <v>4</v>
      </c>
      <c r="M160" s="21" t="str">
        <f>'Raw Data'!M160</f>
        <v>Married</v>
      </c>
      <c r="N160" s="21">
        <f>'Raw Data'!N160</f>
        <v>5</v>
      </c>
      <c r="O160" s="21">
        <f>'Raw Data'!O160</f>
        <v>0</v>
      </c>
      <c r="P160" s="21">
        <f>IF('Raw Data'!P160="",ROUND(AVERAGE('Raw Data'!$P$2:$P$1501),1),'Raw Data'!P160)</f>
        <v>14.2</v>
      </c>
      <c r="Q160" s="21">
        <f>IF('Raw Data'!Q160="",ROUND(AVERAGE('Raw Data'!$Q$2:$Q$1501),0),'Raw Data'!Q160)</f>
        <v>4</v>
      </c>
      <c r="R160" s="21">
        <f>'Raw Data'!R160</f>
        <v>2</v>
      </c>
      <c r="S160" s="21">
        <f>IF('Raw Data'!S160="",ROUND(AVERAGE('Raw Data'!$S$2:$S$1501),0),'Raw Data'!S160)</f>
        <v>0</v>
      </c>
      <c r="T160" s="21">
        <f>'Raw Data'!T160</f>
        <v>202.71</v>
      </c>
      <c r="U160" s="21" t="str">
        <f>INDEX('Lookup Tables'!$C$7:$C$9,MATCH(E160,'Lookup Tables'!$B$7:$B$9,0))</f>
        <v>Tier 1 (Metro)</v>
      </c>
      <c r="V160" s="21" t="str">
        <f t="shared" si="6"/>
        <v>7-12 months</v>
      </c>
      <c r="W160" s="21" t="str">
        <f t="shared" si="7"/>
        <v>Low Risk</v>
      </c>
      <c r="X160" s="21" t="str">
        <f t="shared" si="8"/>
        <v>No</v>
      </c>
    </row>
    <row r="161" spans="1:24" x14ac:dyDescent="0.3">
      <c r="A161" s="21">
        <f>'Raw Data'!A161</f>
        <v>50160</v>
      </c>
      <c r="B161" s="21">
        <f>'Raw Data'!B161</f>
        <v>1</v>
      </c>
      <c r="C161" s="21">
        <f>'Raw Data'!C161</f>
        <v>0</v>
      </c>
      <c r="D161" s="21" t="str">
        <f>'Raw Data'!D161</f>
        <v>Phone</v>
      </c>
      <c r="E161" s="21">
        <f>'Raw Data'!E161</f>
        <v>2</v>
      </c>
      <c r="F161" s="21">
        <f>IF('Raw Data'!F161="",ROUND(AVERAGE('Raw Data'!$F$2:$F$1501),1),'Raw Data'!F161)</f>
        <v>5</v>
      </c>
      <c r="G161" s="21" t="str">
        <f>'Raw Data'!G161</f>
        <v>Credit Card</v>
      </c>
      <c r="H161" s="21" t="str">
        <f>'Raw Data'!H161</f>
        <v>Female</v>
      </c>
      <c r="I161" s="21">
        <f>IF('Raw Data'!I161="",ROUND(AVERAGE('Raw Data'!$I$2:$I$1501),1),'Raw Data'!I161)</f>
        <v>2.2999999999999998</v>
      </c>
      <c r="J161" s="21">
        <f>'Raw Data'!J161</f>
        <v>3</v>
      </c>
      <c r="K161" s="21" t="str">
        <f>'Raw Data'!K161</f>
        <v>Grocery</v>
      </c>
      <c r="L161" s="21">
        <f>'Raw Data'!L161</f>
        <v>3</v>
      </c>
      <c r="M161" s="21" t="str">
        <f>'Raw Data'!M161</f>
        <v>Single</v>
      </c>
      <c r="N161" s="21">
        <f>'Raw Data'!N161</f>
        <v>3</v>
      </c>
      <c r="O161" s="21">
        <f>'Raw Data'!O161</f>
        <v>0</v>
      </c>
      <c r="P161" s="21">
        <f>IF('Raw Data'!P161="",ROUND(AVERAGE('Raw Data'!$P$2:$P$1501),1),'Raw Data'!P161)</f>
        <v>20.7</v>
      </c>
      <c r="Q161" s="21">
        <f>IF('Raw Data'!Q161="",ROUND(AVERAGE('Raw Data'!$Q$2:$Q$1501),0),'Raw Data'!Q161)</f>
        <v>0</v>
      </c>
      <c r="R161" s="21">
        <f>'Raw Data'!R161</f>
        <v>4</v>
      </c>
      <c r="S161" s="21">
        <f>IF('Raw Data'!S161="",ROUND(AVERAGE('Raw Data'!$S$2:$S$1501),0),'Raw Data'!S161)</f>
        <v>5</v>
      </c>
      <c r="T161" s="21">
        <f>'Raw Data'!T161</f>
        <v>226.1</v>
      </c>
      <c r="U161" s="21" t="str">
        <f>INDEX('Lookup Tables'!$C$7:$C$9,MATCH(E161,'Lookup Tables'!$B$7:$B$9,0))</f>
        <v>Tier 2 (Urban)</v>
      </c>
      <c r="V161" s="21" t="str">
        <f t="shared" si="6"/>
        <v>0-6 months</v>
      </c>
      <c r="W161" s="21" t="str">
        <f t="shared" si="7"/>
        <v>Medium Risk</v>
      </c>
      <c r="X161" s="21" t="str">
        <f t="shared" si="8"/>
        <v>Yes</v>
      </c>
    </row>
    <row r="162" spans="1:24" x14ac:dyDescent="0.3">
      <c r="A162" s="21">
        <f>'Raw Data'!A162</f>
        <v>50161</v>
      </c>
      <c r="B162" s="21">
        <f>'Raw Data'!B162</f>
        <v>0</v>
      </c>
      <c r="C162" s="21">
        <f>'Raw Data'!C162</f>
        <v>1</v>
      </c>
      <c r="D162" s="21" t="str">
        <f>'Raw Data'!D162</f>
        <v>Mobile Phone</v>
      </c>
      <c r="E162" s="21">
        <f>'Raw Data'!E162</f>
        <v>1</v>
      </c>
      <c r="F162" s="21">
        <f>IF('Raw Data'!F162="",ROUND(AVERAGE('Raw Data'!$F$2:$F$1501),1),'Raw Data'!F162)</f>
        <v>5</v>
      </c>
      <c r="G162" s="21" t="str">
        <f>'Raw Data'!G162</f>
        <v>Debit Card</v>
      </c>
      <c r="H162" s="21" t="str">
        <f>'Raw Data'!H162</f>
        <v>Male</v>
      </c>
      <c r="I162" s="21">
        <f>IF('Raw Data'!I162="",ROUND(AVERAGE('Raw Data'!$I$2:$I$1501),1),'Raw Data'!I162)</f>
        <v>2.6</v>
      </c>
      <c r="J162" s="21">
        <f>'Raw Data'!J162</f>
        <v>4</v>
      </c>
      <c r="K162" s="21" t="str">
        <f>'Raw Data'!K162</f>
        <v>Grocery</v>
      </c>
      <c r="L162" s="21">
        <f>'Raw Data'!L162</f>
        <v>3</v>
      </c>
      <c r="M162" s="21" t="str">
        <f>'Raw Data'!M162</f>
        <v>Married</v>
      </c>
      <c r="N162" s="21">
        <f>'Raw Data'!N162</f>
        <v>6</v>
      </c>
      <c r="O162" s="21">
        <f>'Raw Data'!O162</f>
        <v>0</v>
      </c>
      <c r="P162" s="21">
        <f>IF('Raw Data'!P162="",ROUND(AVERAGE('Raw Data'!$P$2:$P$1501),1),'Raw Data'!P162)</f>
        <v>13.7</v>
      </c>
      <c r="Q162" s="21">
        <f>IF('Raw Data'!Q162="",ROUND(AVERAGE('Raw Data'!$Q$2:$Q$1501),0),'Raw Data'!Q162)</f>
        <v>1</v>
      </c>
      <c r="R162" s="21">
        <f>'Raw Data'!R162</f>
        <v>3</v>
      </c>
      <c r="S162" s="21">
        <f>IF('Raw Data'!S162="",ROUND(AVERAGE('Raw Data'!$S$2:$S$1501),0),'Raw Data'!S162)</f>
        <v>14</v>
      </c>
      <c r="T162" s="21">
        <f>'Raw Data'!T162</f>
        <v>187</v>
      </c>
      <c r="U162" s="21" t="str">
        <f>INDEX('Lookup Tables'!$C$7:$C$9,MATCH(E162,'Lookup Tables'!$B$7:$B$9,0))</f>
        <v>Tier 1 (Metro)</v>
      </c>
      <c r="V162" s="21" t="str">
        <f t="shared" si="6"/>
        <v>0-6 months</v>
      </c>
      <c r="W162" s="21" t="str">
        <f t="shared" si="7"/>
        <v>Medium Risk</v>
      </c>
      <c r="X162" s="21" t="str">
        <f t="shared" si="8"/>
        <v>No</v>
      </c>
    </row>
    <row r="163" spans="1:24" x14ac:dyDescent="0.3">
      <c r="A163" s="21">
        <f>'Raw Data'!A163</f>
        <v>50162</v>
      </c>
      <c r="B163" s="21">
        <f>'Raw Data'!B163</f>
        <v>0</v>
      </c>
      <c r="C163" s="21">
        <f>'Raw Data'!C163</f>
        <v>13</v>
      </c>
      <c r="D163" s="21" t="str">
        <f>'Raw Data'!D163</f>
        <v>Computer</v>
      </c>
      <c r="E163" s="21">
        <f>'Raw Data'!E163</f>
        <v>1</v>
      </c>
      <c r="F163" s="21">
        <f>IF('Raw Data'!F163="",ROUND(AVERAGE('Raw Data'!$F$2:$F$1501),1),'Raw Data'!F163)</f>
        <v>15</v>
      </c>
      <c r="G163" s="21" t="str">
        <f>'Raw Data'!G163</f>
        <v>UPI</v>
      </c>
      <c r="H163" s="21" t="str">
        <f>'Raw Data'!H163</f>
        <v>Male</v>
      </c>
      <c r="I163" s="21">
        <f>IF('Raw Data'!I163="",ROUND(AVERAGE('Raw Data'!$I$2:$I$1501),1),'Raw Data'!I163)</f>
        <v>2.6</v>
      </c>
      <c r="J163" s="21">
        <f>'Raw Data'!J163</f>
        <v>2</v>
      </c>
      <c r="K163" s="21" t="str">
        <f>'Raw Data'!K163</f>
        <v>Fashion</v>
      </c>
      <c r="L163" s="21">
        <f>'Raw Data'!L163</f>
        <v>5</v>
      </c>
      <c r="M163" s="21" t="str">
        <f>'Raw Data'!M163</f>
        <v>Married</v>
      </c>
      <c r="N163" s="21">
        <f>'Raw Data'!N163</f>
        <v>4</v>
      </c>
      <c r="O163" s="21">
        <f>'Raw Data'!O163</f>
        <v>0</v>
      </c>
      <c r="P163" s="21">
        <f>IF('Raw Data'!P163="",ROUND(AVERAGE('Raw Data'!$P$2:$P$1501),1),'Raw Data'!P163)</f>
        <v>18.2</v>
      </c>
      <c r="Q163" s="21">
        <f>IF('Raw Data'!Q163="",ROUND(AVERAGE('Raw Data'!$Q$2:$Q$1501),0),'Raw Data'!Q163)</f>
        <v>2</v>
      </c>
      <c r="R163" s="21">
        <f>'Raw Data'!R163</f>
        <v>3</v>
      </c>
      <c r="S163" s="21">
        <f>IF('Raw Data'!S163="",ROUND(AVERAGE('Raw Data'!$S$2:$S$1501),0),'Raw Data'!S163)</f>
        <v>2</v>
      </c>
      <c r="T163" s="21">
        <f>'Raw Data'!T163</f>
        <v>151.72999999999999</v>
      </c>
      <c r="U163" s="21" t="str">
        <f>INDEX('Lookup Tables'!$C$7:$C$9,MATCH(E163,'Lookup Tables'!$B$7:$B$9,0))</f>
        <v>Tier 1 (Metro)</v>
      </c>
      <c r="V163" s="21" t="str">
        <f t="shared" si="6"/>
        <v>13-24 months</v>
      </c>
      <c r="W163" s="21" t="str">
        <f t="shared" si="7"/>
        <v>Low Risk</v>
      </c>
      <c r="X163" s="21" t="str">
        <f t="shared" si="8"/>
        <v>No</v>
      </c>
    </row>
    <row r="164" spans="1:24" x14ac:dyDescent="0.3">
      <c r="A164" s="21">
        <f>'Raw Data'!A164</f>
        <v>50163</v>
      </c>
      <c r="B164" s="21">
        <f>'Raw Data'!B164</f>
        <v>0</v>
      </c>
      <c r="C164" s="21">
        <f>'Raw Data'!C164</f>
        <v>0</v>
      </c>
      <c r="D164" s="21" t="str">
        <f>'Raw Data'!D164</f>
        <v>Mobile Phone</v>
      </c>
      <c r="E164" s="21">
        <f>'Raw Data'!E164</f>
        <v>3</v>
      </c>
      <c r="F164" s="21">
        <f>IF('Raw Data'!F164="",ROUND(AVERAGE('Raw Data'!$F$2:$F$1501),1),'Raw Data'!F164)</f>
        <v>25</v>
      </c>
      <c r="G164" s="21" t="str">
        <f>'Raw Data'!G164</f>
        <v>Cash on Delivery</v>
      </c>
      <c r="H164" s="21" t="str">
        <f>'Raw Data'!H164</f>
        <v>Male</v>
      </c>
      <c r="I164" s="21">
        <f>IF('Raw Data'!I164="",ROUND(AVERAGE('Raw Data'!$I$2:$I$1501),1),'Raw Data'!I164)</f>
        <v>3.3</v>
      </c>
      <c r="J164" s="21">
        <f>'Raw Data'!J164</f>
        <v>5</v>
      </c>
      <c r="K164" s="21" t="str">
        <f>'Raw Data'!K164</f>
        <v>Grocery</v>
      </c>
      <c r="L164" s="21">
        <f>'Raw Data'!L164</f>
        <v>2</v>
      </c>
      <c r="M164" s="21" t="str">
        <f>'Raw Data'!M164</f>
        <v>Married</v>
      </c>
      <c r="N164" s="21">
        <f>'Raw Data'!N164</f>
        <v>3</v>
      </c>
      <c r="O164" s="21">
        <f>'Raw Data'!O164</f>
        <v>0</v>
      </c>
      <c r="P164" s="21">
        <f>IF('Raw Data'!P164="",ROUND(AVERAGE('Raw Data'!$P$2:$P$1501),1),'Raw Data'!P164)</f>
        <v>15.8</v>
      </c>
      <c r="Q164" s="21">
        <f>IF('Raw Data'!Q164="",ROUND(AVERAGE('Raw Data'!$Q$2:$Q$1501),0),'Raw Data'!Q164)</f>
        <v>3</v>
      </c>
      <c r="R164" s="21">
        <f>'Raw Data'!R164</f>
        <v>4</v>
      </c>
      <c r="S164" s="21">
        <f>IF('Raw Data'!S164="",ROUND(AVERAGE('Raw Data'!$S$2:$S$1501),0),'Raw Data'!S164)</f>
        <v>6</v>
      </c>
      <c r="T164" s="21">
        <f>'Raw Data'!T164</f>
        <v>156.02000000000001</v>
      </c>
      <c r="U164" s="21" t="str">
        <f>INDEX('Lookup Tables'!$C$7:$C$9,MATCH(E164,'Lookup Tables'!$B$7:$B$9,0))</f>
        <v>Tier 3 (Semi-urban/Rural)</v>
      </c>
      <c r="V164" s="21" t="str">
        <f t="shared" si="6"/>
        <v>0-6 months</v>
      </c>
      <c r="W164" s="21" t="str">
        <f t="shared" si="7"/>
        <v>Low Risk</v>
      </c>
      <c r="X164" s="21" t="str">
        <f t="shared" si="8"/>
        <v>No</v>
      </c>
    </row>
    <row r="165" spans="1:24" x14ac:dyDescent="0.3">
      <c r="A165" s="21">
        <f>'Raw Data'!A165</f>
        <v>50164</v>
      </c>
      <c r="B165" s="21">
        <f>'Raw Data'!B165</f>
        <v>0</v>
      </c>
      <c r="C165" s="21">
        <f>'Raw Data'!C165</f>
        <v>9</v>
      </c>
      <c r="D165" s="21" t="str">
        <f>'Raw Data'!D165</f>
        <v>Mobile Phone</v>
      </c>
      <c r="E165" s="21">
        <f>'Raw Data'!E165</f>
        <v>3</v>
      </c>
      <c r="F165" s="21">
        <f>IF('Raw Data'!F165="",ROUND(AVERAGE('Raw Data'!$F$2:$F$1501),1),'Raw Data'!F165)</f>
        <v>17</v>
      </c>
      <c r="G165" s="21" t="str">
        <f>'Raw Data'!G165</f>
        <v>Cash on Delivery</v>
      </c>
      <c r="H165" s="21" t="str">
        <f>'Raw Data'!H165</f>
        <v>Male</v>
      </c>
      <c r="I165" s="21">
        <f>IF('Raw Data'!I165="",ROUND(AVERAGE('Raw Data'!$I$2:$I$1501),1),'Raw Data'!I165)</f>
        <v>1.8</v>
      </c>
      <c r="J165" s="21">
        <f>'Raw Data'!J165</f>
        <v>4</v>
      </c>
      <c r="K165" s="21" t="str">
        <f>'Raw Data'!K165</f>
        <v>Laptop &amp; Accessory</v>
      </c>
      <c r="L165" s="21">
        <f>'Raw Data'!L165</f>
        <v>3</v>
      </c>
      <c r="M165" s="21" t="str">
        <f>'Raw Data'!M165</f>
        <v>Single</v>
      </c>
      <c r="N165" s="21">
        <f>'Raw Data'!N165</f>
        <v>11</v>
      </c>
      <c r="O165" s="21">
        <f>'Raw Data'!O165</f>
        <v>0</v>
      </c>
      <c r="P165" s="21">
        <f>IF('Raw Data'!P165="",ROUND(AVERAGE('Raw Data'!$P$2:$P$1501),1),'Raw Data'!P165)</f>
        <v>11</v>
      </c>
      <c r="Q165" s="21">
        <f>IF('Raw Data'!Q165="",ROUND(AVERAGE('Raw Data'!$Q$2:$Q$1501),0),'Raw Data'!Q165)</f>
        <v>1</v>
      </c>
      <c r="R165" s="21">
        <f>'Raw Data'!R165</f>
        <v>3</v>
      </c>
      <c r="S165" s="21">
        <f>IF('Raw Data'!S165="",ROUND(AVERAGE('Raw Data'!$S$2:$S$1501),0),'Raw Data'!S165)</f>
        <v>2</v>
      </c>
      <c r="T165" s="21">
        <f>'Raw Data'!T165</f>
        <v>192.12</v>
      </c>
      <c r="U165" s="21" t="str">
        <f>INDEX('Lookup Tables'!$C$7:$C$9,MATCH(E165,'Lookup Tables'!$B$7:$B$9,0))</f>
        <v>Tier 3 (Semi-urban/Rural)</v>
      </c>
      <c r="V165" s="21" t="str">
        <f t="shared" si="6"/>
        <v>7-12 months</v>
      </c>
      <c r="W165" s="21" t="str">
        <f t="shared" si="7"/>
        <v>Medium Risk</v>
      </c>
      <c r="X165" s="21" t="str">
        <f t="shared" si="8"/>
        <v>No</v>
      </c>
    </row>
    <row r="166" spans="1:24" x14ac:dyDescent="0.3">
      <c r="A166" s="21">
        <f>'Raw Data'!A166</f>
        <v>50165</v>
      </c>
      <c r="B166" s="21">
        <f>'Raw Data'!B166</f>
        <v>0</v>
      </c>
      <c r="C166" s="21">
        <f>'Raw Data'!C166</f>
        <v>2</v>
      </c>
      <c r="D166" s="21" t="str">
        <f>'Raw Data'!D166</f>
        <v>Mobile Phone</v>
      </c>
      <c r="E166" s="21">
        <f>'Raw Data'!E166</f>
        <v>2</v>
      </c>
      <c r="F166" s="21">
        <f>IF('Raw Data'!F166="",ROUND(AVERAGE('Raw Data'!$F$2:$F$1501),1),'Raw Data'!F166)</f>
        <v>10</v>
      </c>
      <c r="G166" s="21" t="str">
        <f>'Raw Data'!G166</f>
        <v>Debit Card</v>
      </c>
      <c r="H166" s="21" t="str">
        <f>'Raw Data'!H166</f>
        <v>Male</v>
      </c>
      <c r="I166" s="21">
        <f>IF('Raw Data'!I166="",ROUND(AVERAGE('Raw Data'!$I$2:$I$1501),1),'Raw Data'!I166)</f>
        <v>2.1</v>
      </c>
      <c r="J166" s="21">
        <f>'Raw Data'!J166</f>
        <v>2</v>
      </c>
      <c r="K166" s="21" t="str">
        <f>'Raw Data'!K166</f>
        <v>Laptop &amp; Accessory</v>
      </c>
      <c r="L166" s="21">
        <f>'Raw Data'!L166</f>
        <v>3</v>
      </c>
      <c r="M166" s="21" t="str">
        <f>'Raw Data'!M166</f>
        <v>Married</v>
      </c>
      <c r="N166" s="21">
        <f>'Raw Data'!N166</f>
        <v>1</v>
      </c>
      <c r="O166" s="21">
        <f>'Raw Data'!O166</f>
        <v>0</v>
      </c>
      <c r="P166" s="21">
        <f>IF('Raw Data'!P166="",ROUND(AVERAGE('Raw Data'!$P$2:$P$1501),1),'Raw Data'!P166)</f>
        <v>20</v>
      </c>
      <c r="Q166" s="21">
        <f>IF('Raw Data'!Q166="",ROUND(AVERAGE('Raw Data'!$Q$2:$Q$1501),0),'Raw Data'!Q166)</f>
        <v>1</v>
      </c>
      <c r="R166" s="21">
        <f>'Raw Data'!R166</f>
        <v>4</v>
      </c>
      <c r="S166" s="21">
        <f>IF('Raw Data'!S166="",ROUND(AVERAGE('Raw Data'!$S$2:$S$1501),0),'Raw Data'!S166)</f>
        <v>1</v>
      </c>
      <c r="T166" s="21">
        <f>'Raw Data'!T166</f>
        <v>182.68</v>
      </c>
      <c r="U166" s="21" t="str">
        <f>INDEX('Lookup Tables'!$C$7:$C$9,MATCH(E166,'Lookup Tables'!$B$7:$B$9,0))</f>
        <v>Tier 2 (Urban)</v>
      </c>
      <c r="V166" s="21" t="str">
        <f t="shared" si="6"/>
        <v>0-6 months</v>
      </c>
      <c r="W166" s="21" t="str">
        <f t="shared" si="7"/>
        <v>Medium Risk</v>
      </c>
      <c r="X166" s="21" t="str">
        <f t="shared" si="8"/>
        <v>No</v>
      </c>
    </row>
    <row r="167" spans="1:24" x14ac:dyDescent="0.3">
      <c r="A167" s="21">
        <f>'Raw Data'!A167</f>
        <v>50166</v>
      </c>
      <c r="B167" s="21">
        <f>'Raw Data'!B167</f>
        <v>1</v>
      </c>
      <c r="C167" s="21">
        <f>'Raw Data'!C167</f>
        <v>4</v>
      </c>
      <c r="D167" s="21" t="str">
        <f>'Raw Data'!D167</f>
        <v>Computer</v>
      </c>
      <c r="E167" s="21">
        <f>'Raw Data'!E167</f>
        <v>2</v>
      </c>
      <c r="F167" s="21">
        <f>IF('Raw Data'!F167="",ROUND(AVERAGE('Raw Data'!$F$2:$F$1501),1),'Raw Data'!F167)</f>
        <v>18</v>
      </c>
      <c r="G167" s="21" t="str">
        <f>'Raw Data'!G167</f>
        <v>UPI</v>
      </c>
      <c r="H167" s="21" t="str">
        <f>'Raw Data'!H167</f>
        <v>Female</v>
      </c>
      <c r="I167" s="21">
        <f>IF('Raw Data'!I167="",ROUND(AVERAGE('Raw Data'!$I$2:$I$1501),1),'Raw Data'!I167)</f>
        <v>3.1</v>
      </c>
      <c r="J167" s="21">
        <f>'Raw Data'!J167</f>
        <v>2</v>
      </c>
      <c r="K167" s="21" t="str">
        <f>'Raw Data'!K167</f>
        <v>Laptop &amp; Accessory</v>
      </c>
      <c r="L167" s="21">
        <f>'Raw Data'!L167</f>
        <v>2</v>
      </c>
      <c r="M167" s="21" t="str">
        <f>'Raw Data'!M167</f>
        <v>Married</v>
      </c>
      <c r="N167" s="21">
        <f>'Raw Data'!N167</f>
        <v>10</v>
      </c>
      <c r="O167" s="21">
        <f>'Raw Data'!O167</f>
        <v>1</v>
      </c>
      <c r="P167" s="21">
        <f>IF('Raw Data'!P167="",ROUND(AVERAGE('Raw Data'!$P$2:$P$1501),1),'Raw Data'!P167)</f>
        <v>11</v>
      </c>
      <c r="Q167" s="21">
        <f>IF('Raw Data'!Q167="",ROUND(AVERAGE('Raw Data'!$Q$2:$Q$1501),0),'Raw Data'!Q167)</f>
        <v>1</v>
      </c>
      <c r="R167" s="21">
        <f>'Raw Data'!R167</f>
        <v>4</v>
      </c>
      <c r="S167" s="21">
        <f>IF('Raw Data'!S167="",ROUND(AVERAGE('Raw Data'!$S$2:$S$1501),0),'Raw Data'!S167)</f>
        <v>1</v>
      </c>
      <c r="T167" s="21">
        <f>'Raw Data'!T167</f>
        <v>229.77</v>
      </c>
      <c r="U167" s="21" t="str">
        <f>INDEX('Lookup Tables'!$C$7:$C$9,MATCH(E167,'Lookup Tables'!$B$7:$B$9,0))</f>
        <v>Tier 2 (Urban)</v>
      </c>
      <c r="V167" s="21" t="str">
        <f t="shared" si="6"/>
        <v>0-6 months</v>
      </c>
      <c r="W167" s="21" t="str">
        <f t="shared" si="7"/>
        <v>High Risk</v>
      </c>
      <c r="X167" s="21" t="str">
        <f t="shared" si="8"/>
        <v>Yes</v>
      </c>
    </row>
    <row r="168" spans="1:24" x14ac:dyDescent="0.3">
      <c r="A168" s="21">
        <f>'Raw Data'!A168</f>
        <v>50167</v>
      </c>
      <c r="B168" s="21">
        <f>'Raw Data'!B168</f>
        <v>0</v>
      </c>
      <c r="C168" s="21">
        <f>'Raw Data'!C168</f>
        <v>3</v>
      </c>
      <c r="D168" s="21" t="str">
        <f>'Raw Data'!D168</f>
        <v>Mobile Phone</v>
      </c>
      <c r="E168" s="21">
        <f>'Raw Data'!E168</f>
        <v>2</v>
      </c>
      <c r="F168" s="21">
        <f>IF('Raw Data'!F168="",ROUND(AVERAGE('Raw Data'!$F$2:$F$1501),1),'Raw Data'!F168)</f>
        <v>11</v>
      </c>
      <c r="G168" s="21" t="str">
        <f>'Raw Data'!G168</f>
        <v>E wallet</v>
      </c>
      <c r="H168" s="21" t="str">
        <f>'Raw Data'!H168</f>
        <v>Male</v>
      </c>
      <c r="I168" s="21">
        <f>IF('Raw Data'!I168="",ROUND(AVERAGE('Raw Data'!$I$2:$I$1501),1),'Raw Data'!I168)</f>
        <v>3.3</v>
      </c>
      <c r="J168" s="21">
        <f>'Raw Data'!J168</f>
        <v>2</v>
      </c>
      <c r="K168" s="21" t="str">
        <f>'Raw Data'!K168</f>
        <v>Fashion</v>
      </c>
      <c r="L168" s="21">
        <f>'Raw Data'!L168</f>
        <v>3</v>
      </c>
      <c r="M168" s="21" t="str">
        <f>'Raw Data'!M168</f>
        <v>Married</v>
      </c>
      <c r="N168" s="21">
        <f>'Raw Data'!N168</f>
        <v>1</v>
      </c>
      <c r="O168" s="21">
        <f>'Raw Data'!O168</f>
        <v>0</v>
      </c>
      <c r="P168" s="21">
        <f>IF('Raw Data'!P168="",ROUND(AVERAGE('Raw Data'!$P$2:$P$1501),1),'Raw Data'!P168)</f>
        <v>11</v>
      </c>
      <c r="Q168" s="21">
        <f>IF('Raw Data'!Q168="",ROUND(AVERAGE('Raw Data'!$Q$2:$Q$1501),0),'Raw Data'!Q168)</f>
        <v>2</v>
      </c>
      <c r="R168" s="21">
        <f>'Raw Data'!R168</f>
        <v>3</v>
      </c>
      <c r="S168" s="21">
        <f>IF('Raw Data'!S168="",ROUND(AVERAGE('Raw Data'!$S$2:$S$1501),0),'Raw Data'!S168)</f>
        <v>8</v>
      </c>
      <c r="T168" s="21">
        <f>'Raw Data'!T168</f>
        <v>153.59</v>
      </c>
      <c r="U168" s="21" t="str">
        <f>INDEX('Lookup Tables'!$C$7:$C$9,MATCH(E168,'Lookup Tables'!$B$7:$B$9,0))</f>
        <v>Tier 2 (Urban)</v>
      </c>
      <c r="V168" s="21" t="str">
        <f t="shared" si="6"/>
        <v>0-6 months</v>
      </c>
      <c r="W168" s="21" t="str">
        <f t="shared" si="7"/>
        <v>Medium Risk</v>
      </c>
      <c r="X168" s="21" t="str">
        <f t="shared" si="8"/>
        <v>No</v>
      </c>
    </row>
    <row r="169" spans="1:24" x14ac:dyDescent="0.3">
      <c r="A169" s="21">
        <f>'Raw Data'!A169</f>
        <v>50168</v>
      </c>
      <c r="B169" s="21">
        <f>'Raw Data'!B169</f>
        <v>0</v>
      </c>
      <c r="C169" s="21">
        <f>'Raw Data'!C169</f>
        <v>4</v>
      </c>
      <c r="D169" s="21" t="str">
        <f>'Raw Data'!D169</f>
        <v>Mobile Phone</v>
      </c>
      <c r="E169" s="21">
        <f>'Raw Data'!E169</f>
        <v>1</v>
      </c>
      <c r="F169" s="21">
        <f>IF('Raw Data'!F169="",ROUND(AVERAGE('Raw Data'!$F$2:$F$1501),1),'Raw Data'!F169)</f>
        <v>9</v>
      </c>
      <c r="G169" s="21" t="str">
        <f>'Raw Data'!G169</f>
        <v>Credit Card</v>
      </c>
      <c r="H169" s="21" t="str">
        <f>'Raw Data'!H169</f>
        <v>Female</v>
      </c>
      <c r="I169" s="21">
        <f>IF('Raw Data'!I169="",ROUND(AVERAGE('Raw Data'!$I$2:$I$1501),1),'Raw Data'!I169)</f>
        <v>3.3</v>
      </c>
      <c r="J169" s="21">
        <f>'Raw Data'!J169</f>
        <v>4</v>
      </c>
      <c r="K169" s="21" t="str">
        <f>'Raw Data'!K169</f>
        <v>Laptop &amp; Accessory</v>
      </c>
      <c r="L169" s="21">
        <f>'Raw Data'!L169</f>
        <v>3</v>
      </c>
      <c r="M169" s="21" t="str">
        <f>'Raw Data'!M169</f>
        <v>Divorced</v>
      </c>
      <c r="N169" s="21">
        <f>'Raw Data'!N169</f>
        <v>2</v>
      </c>
      <c r="O169" s="21">
        <f>'Raw Data'!O169</f>
        <v>1</v>
      </c>
      <c r="P169" s="21">
        <f>IF('Raw Data'!P169="",ROUND(AVERAGE('Raw Data'!$P$2:$P$1501),1),'Raw Data'!P169)</f>
        <v>17.8</v>
      </c>
      <c r="Q169" s="21">
        <f>IF('Raw Data'!Q169="",ROUND(AVERAGE('Raw Data'!$Q$2:$Q$1501),0),'Raw Data'!Q169)</f>
        <v>3</v>
      </c>
      <c r="R169" s="21">
        <f>'Raw Data'!R169</f>
        <v>5</v>
      </c>
      <c r="S169" s="21">
        <f>IF('Raw Data'!S169="",ROUND(AVERAGE('Raw Data'!$S$2:$S$1501),0),'Raw Data'!S169)</f>
        <v>1</v>
      </c>
      <c r="T169" s="21">
        <f>'Raw Data'!T169</f>
        <v>112.99</v>
      </c>
      <c r="U169" s="21" t="str">
        <f>INDEX('Lookup Tables'!$C$7:$C$9,MATCH(E169,'Lookup Tables'!$B$7:$B$9,0))</f>
        <v>Tier 1 (Metro)</v>
      </c>
      <c r="V169" s="21" t="str">
        <f t="shared" si="6"/>
        <v>0-6 months</v>
      </c>
      <c r="W169" s="21" t="str">
        <f t="shared" si="7"/>
        <v>Medium Risk</v>
      </c>
      <c r="X169" s="21" t="str">
        <f t="shared" si="8"/>
        <v>No</v>
      </c>
    </row>
    <row r="170" spans="1:24" x14ac:dyDescent="0.3">
      <c r="A170" s="21">
        <f>'Raw Data'!A170</f>
        <v>50169</v>
      </c>
      <c r="B170" s="21">
        <f>'Raw Data'!B170</f>
        <v>0</v>
      </c>
      <c r="C170" s="21">
        <f>'Raw Data'!C170</f>
        <v>12</v>
      </c>
      <c r="D170" s="21" t="str">
        <f>'Raw Data'!D170</f>
        <v>Mobile Phone</v>
      </c>
      <c r="E170" s="21">
        <f>'Raw Data'!E170</f>
        <v>1</v>
      </c>
      <c r="F170" s="21">
        <f>IF('Raw Data'!F170="",ROUND(AVERAGE('Raw Data'!$F$2:$F$1501),1),'Raw Data'!F170)</f>
        <v>5</v>
      </c>
      <c r="G170" s="21" t="str">
        <f>'Raw Data'!G170</f>
        <v>Credit Card</v>
      </c>
      <c r="H170" s="21" t="str">
        <f>'Raw Data'!H170</f>
        <v>Female</v>
      </c>
      <c r="I170" s="21">
        <f>IF('Raw Data'!I170="",ROUND(AVERAGE('Raw Data'!$I$2:$I$1501),1),'Raw Data'!I170)</f>
        <v>2.2999999999999998</v>
      </c>
      <c r="J170" s="21">
        <f>'Raw Data'!J170</f>
        <v>2</v>
      </c>
      <c r="K170" s="21" t="str">
        <f>'Raw Data'!K170</f>
        <v>Mobile Phone</v>
      </c>
      <c r="L170" s="21">
        <f>'Raw Data'!L170</f>
        <v>4</v>
      </c>
      <c r="M170" s="21" t="str">
        <f>'Raw Data'!M170</f>
        <v>Divorced</v>
      </c>
      <c r="N170" s="21">
        <f>'Raw Data'!N170</f>
        <v>1</v>
      </c>
      <c r="O170" s="21">
        <f>'Raw Data'!O170</f>
        <v>0</v>
      </c>
      <c r="P170" s="21">
        <f>IF('Raw Data'!P170="",ROUND(AVERAGE('Raw Data'!$P$2:$P$1501),1),'Raw Data'!P170)</f>
        <v>17.8</v>
      </c>
      <c r="Q170" s="21">
        <f>IF('Raw Data'!Q170="",ROUND(AVERAGE('Raw Data'!$Q$2:$Q$1501),0),'Raw Data'!Q170)</f>
        <v>1</v>
      </c>
      <c r="R170" s="21">
        <f>'Raw Data'!R170</f>
        <v>3</v>
      </c>
      <c r="S170" s="21">
        <f>IF('Raw Data'!S170="",ROUND(AVERAGE('Raw Data'!$S$2:$S$1501),0),'Raw Data'!S170)</f>
        <v>1</v>
      </c>
      <c r="T170" s="21">
        <f>'Raw Data'!T170</f>
        <v>199.77</v>
      </c>
      <c r="U170" s="21" t="str">
        <f>INDEX('Lookup Tables'!$C$7:$C$9,MATCH(E170,'Lookup Tables'!$B$7:$B$9,0))</f>
        <v>Tier 1 (Metro)</v>
      </c>
      <c r="V170" s="21" t="str">
        <f t="shared" si="6"/>
        <v>7-12 months</v>
      </c>
      <c r="W170" s="21" t="str">
        <f t="shared" si="7"/>
        <v>Low Risk</v>
      </c>
      <c r="X170" s="21" t="str">
        <f t="shared" si="8"/>
        <v>No</v>
      </c>
    </row>
    <row r="171" spans="1:24" x14ac:dyDescent="0.3">
      <c r="A171" s="21">
        <f>'Raw Data'!A171</f>
        <v>50170</v>
      </c>
      <c r="B171" s="21">
        <f>'Raw Data'!B171</f>
        <v>0</v>
      </c>
      <c r="C171" s="21">
        <f>'Raw Data'!C171</f>
        <v>3</v>
      </c>
      <c r="D171" s="21" t="str">
        <f>'Raw Data'!D171</f>
        <v>Mobile Phone</v>
      </c>
      <c r="E171" s="21">
        <f>'Raw Data'!E171</f>
        <v>1</v>
      </c>
      <c r="F171" s="21">
        <f>IF('Raw Data'!F171="",ROUND(AVERAGE('Raw Data'!$F$2:$F$1501),1),'Raw Data'!F171)</f>
        <v>5</v>
      </c>
      <c r="G171" s="21" t="str">
        <f>'Raw Data'!G171</f>
        <v>UPI</v>
      </c>
      <c r="H171" s="21" t="str">
        <f>'Raw Data'!H171</f>
        <v>Female</v>
      </c>
      <c r="I171" s="21">
        <f>IF('Raw Data'!I171="",ROUND(AVERAGE('Raw Data'!$I$2:$I$1501),1),'Raw Data'!I171)</f>
        <v>2.2000000000000002</v>
      </c>
      <c r="J171" s="21">
        <f>'Raw Data'!J171</f>
        <v>3</v>
      </c>
      <c r="K171" s="21" t="str">
        <f>'Raw Data'!K171</f>
        <v>Mobile Phone</v>
      </c>
      <c r="L171" s="21">
        <f>'Raw Data'!L171</f>
        <v>4</v>
      </c>
      <c r="M171" s="21" t="str">
        <f>'Raw Data'!M171</f>
        <v>Divorced</v>
      </c>
      <c r="N171" s="21">
        <f>'Raw Data'!N171</f>
        <v>2</v>
      </c>
      <c r="O171" s="21">
        <f>'Raw Data'!O171</f>
        <v>0</v>
      </c>
      <c r="P171" s="21">
        <f>IF('Raw Data'!P171="",ROUND(AVERAGE('Raw Data'!$P$2:$P$1501),1),'Raw Data'!P171)</f>
        <v>13.8</v>
      </c>
      <c r="Q171" s="21">
        <f>IF('Raw Data'!Q171="",ROUND(AVERAGE('Raw Data'!$Q$2:$Q$1501),0),'Raw Data'!Q171)</f>
        <v>0</v>
      </c>
      <c r="R171" s="21">
        <f>'Raw Data'!R171</f>
        <v>4</v>
      </c>
      <c r="S171" s="21">
        <f>IF('Raw Data'!S171="",ROUND(AVERAGE('Raw Data'!$S$2:$S$1501),0),'Raw Data'!S171)</f>
        <v>34</v>
      </c>
      <c r="T171" s="21">
        <f>'Raw Data'!T171</f>
        <v>153.74</v>
      </c>
      <c r="U171" s="21" t="str">
        <f>INDEX('Lookup Tables'!$C$7:$C$9,MATCH(E171,'Lookup Tables'!$B$7:$B$9,0))</f>
        <v>Tier 1 (Metro)</v>
      </c>
      <c r="V171" s="21" t="str">
        <f t="shared" si="6"/>
        <v>0-6 months</v>
      </c>
      <c r="W171" s="21" t="str">
        <f t="shared" si="7"/>
        <v>Medium Risk</v>
      </c>
      <c r="X171" s="21" t="str">
        <f t="shared" si="8"/>
        <v>No</v>
      </c>
    </row>
    <row r="172" spans="1:24" x14ac:dyDescent="0.3">
      <c r="A172" s="21">
        <f>'Raw Data'!A172</f>
        <v>50171</v>
      </c>
      <c r="B172" s="21">
        <f>'Raw Data'!B172</f>
        <v>0</v>
      </c>
      <c r="C172" s="21">
        <f>'Raw Data'!C172</f>
        <v>8</v>
      </c>
      <c r="D172" s="21" t="str">
        <f>'Raw Data'!D172</f>
        <v>Computer</v>
      </c>
      <c r="E172" s="21">
        <f>'Raw Data'!E172</f>
        <v>1</v>
      </c>
      <c r="F172" s="21">
        <f>IF('Raw Data'!F172="",ROUND(AVERAGE('Raw Data'!$F$2:$F$1501),1),'Raw Data'!F172)</f>
        <v>11</v>
      </c>
      <c r="G172" s="21" t="str">
        <f>'Raw Data'!G172</f>
        <v>Credit Card</v>
      </c>
      <c r="H172" s="21" t="str">
        <f>'Raw Data'!H172</f>
        <v>Male</v>
      </c>
      <c r="I172" s="21">
        <f>IF('Raw Data'!I172="",ROUND(AVERAGE('Raw Data'!$I$2:$I$1501),1),'Raw Data'!I172)</f>
        <v>2.5</v>
      </c>
      <c r="J172" s="21">
        <f>'Raw Data'!J172</f>
        <v>4</v>
      </c>
      <c r="K172" s="21" t="str">
        <f>'Raw Data'!K172</f>
        <v>Laptop &amp; Accessory</v>
      </c>
      <c r="L172" s="21">
        <f>'Raw Data'!L172</f>
        <v>3</v>
      </c>
      <c r="M172" s="21" t="str">
        <f>'Raw Data'!M172</f>
        <v>Married</v>
      </c>
      <c r="N172" s="21">
        <f>'Raw Data'!N172</f>
        <v>3</v>
      </c>
      <c r="O172" s="21">
        <f>'Raw Data'!O172</f>
        <v>0</v>
      </c>
      <c r="P172" s="21">
        <f>IF('Raw Data'!P172="",ROUND(AVERAGE('Raw Data'!$P$2:$P$1501),1),'Raw Data'!P172)</f>
        <v>16.5</v>
      </c>
      <c r="Q172" s="21">
        <f>IF('Raw Data'!Q172="",ROUND(AVERAGE('Raw Data'!$Q$2:$Q$1501),0),'Raw Data'!Q172)</f>
        <v>1</v>
      </c>
      <c r="R172" s="21">
        <f>'Raw Data'!R172</f>
        <v>3</v>
      </c>
      <c r="S172" s="21">
        <f>IF('Raw Data'!S172="",ROUND(AVERAGE('Raw Data'!$S$2:$S$1501),0),'Raw Data'!S172)</f>
        <v>1</v>
      </c>
      <c r="T172" s="21">
        <f>'Raw Data'!T172</f>
        <v>223.1</v>
      </c>
      <c r="U172" s="21" t="str">
        <f>INDEX('Lookup Tables'!$C$7:$C$9,MATCH(E172,'Lookup Tables'!$B$7:$B$9,0))</f>
        <v>Tier 1 (Metro)</v>
      </c>
      <c r="V172" s="21" t="str">
        <f t="shared" si="6"/>
        <v>7-12 months</v>
      </c>
      <c r="W172" s="21" t="str">
        <f t="shared" si="7"/>
        <v>Medium Risk</v>
      </c>
      <c r="X172" s="21" t="str">
        <f t="shared" si="8"/>
        <v>No</v>
      </c>
    </row>
    <row r="173" spans="1:24" x14ac:dyDescent="0.3">
      <c r="A173" s="21">
        <f>'Raw Data'!A173</f>
        <v>50172</v>
      </c>
      <c r="B173" s="21">
        <f>'Raw Data'!B173</f>
        <v>0</v>
      </c>
      <c r="C173" s="21">
        <f>'Raw Data'!C173</f>
        <v>6</v>
      </c>
      <c r="D173" s="21" t="str">
        <f>'Raw Data'!D173</f>
        <v>Mobile Phone</v>
      </c>
      <c r="E173" s="21">
        <f>'Raw Data'!E173</f>
        <v>2</v>
      </c>
      <c r="F173" s="21">
        <f>IF('Raw Data'!F173="",ROUND(AVERAGE('Raw Data'!$F$2:$F$1501),1),'Raw Data'!F173)</f>
        <v>16</v>
      </c>
      <c r="G173" s="21" t="str">
        <f>'Raw Data'!G173</f>
        <v>Credit Card</v>
      </c>
      <c r="H173" s="21" t="str">
        <f>'Raw Data'!H173</f>
        <v>Female</v>
      </c>
      <c r="I173" s="21">
        <f>IF('Raw Data'!I173="",ROUND(AVERAGE('Raw Data'!$I$2:$I$1501),1),'Raw Data'!I173)</f>
        <v>3.1</v>
      </c>
      <c r="J173" s="21">
        <f>'Raw Data'!J173</f>
        <v>3</v>
      </c>
      <c r="K173" s="21" t="str">
        <f>'Raw Data'!K173</f>
        <v>Grocery</v>
      </c>
      <c r="L173" s="21">
        <f>'Raw Data'!L173</f>
        <v>1</v>
      </c>
      <c r="M173" s="21" t="str">
        <f>'Raw Data'!M173</f>
        <v>Divorced</v>
      </c>
      <c r="N173" s="21">
        <f>'Raw Data'!N173</f>
        <v>21</v>
      </c>
      <c r="O173" s="21">
        <f>'Raw Data'!O173</f>
        <v>1</v>
      </c>
      <c r="P173" s="21">
        <f>IF('Raw Data'!P173="",ROUND(AVERAGE('Raw Data'!$P$2:$P$1501),1),'Raw Data'!P173)</f>
        <v>11</v>
      </c>
      <c r="Q173" s="21">
        <f>IF('Raw Data'!Q173="",ROUND(AVERAGE('Raw Data'!$Q$2:$Q$1501),0),'Raw Data'!Q173)</f>
        <v>1</v>
      </c>
      <c r="R173" s="21">
        <f>'Raw Data'!R173</f>
        <v>3</v>
      </c>
      <c r="S173" s="21">
        <f>IF('Raw Data'!S173="",ROUND(AVERAGE('Raw Data'!$S$2:$S$1501),0),'Raw Data'!S173)</f>
        <v>2</v>
      </c>
      <c r="T173" s="21">
        <f>'Raw Data'!T173</f>
        <v>180.41</v>
      </c>
      <c r="U173" s="21" t="str">
        <f>INDEX('Lookup Tables'!$C$7:$C$9,MATCH(E173,'Lookup Tables'!$B$7:$B$9,0))</f>
        <v>Tier 2 (Urban)</v>
      </c>
      <c r="V173" s="21" t="str">
        <f t="shared" si="6"/>
        <v>0-6 months</v>
      </c>
      <c r="W173" s="21" t="str">
        <f t="shared" si="7"/>
        <v>High Risk</v>
      </c>
      <c r="X173" s="21" t="str">
        <f t="shared" si="8"/>
        <v>No</v>
      </c>
    </row>
    <row r="174" spans="1:24" x14ac:dyDescent="0.3">
      <c r="A174" s="21">
        <f>'Raw Data'!A174</f>
        <v>50173</v>
      </c>
      <c r="B174" s="21">
        <f>'Raw Data'!B174</f>
        <v>0</v>
      </c>
      <c r="C174" s="21">
        <f>'Raw Data'!C174</f>
        <v>10</v>
      </c>
      <c r="D174" s="21" t="str">
        <f>'Raw Data'!D174</f>
        <v>Computer</v>
      </c>
      <c r="E174" s="21">
        <f>'Raw Data'!E174</f>
        <v>1</v>
      </c>
      <c r="F174" s="21">
        <f>IF('Raw Data'!F174="",ROUND(AVERAGE('Raw Data'!$F$2:$F$1501),1),'Raw Data'!F174)</f>
        <v>14</v>
      </c>
      <c r="G174" s="21" t="str">
        <f>'Raw Data'!G174</f>
        <v>Credit Card</v>
      </c>
      <c r="H174" s="21" t="str">
        <f>'Raw Data'!H174</f>
        <v>Male</v>
      </c>
      <c r="I174" s="21">
        <f>IF('Raw Data'!I174="",ROUND(AVERAGE('Raw Data'!$I$2:$I$1501),1),'Raw Data'!I174)</f>
        <v>3.9</v>
      </c>
      <c r="J174" s="21">
        <f>'Raw Data'!J174</f>
        <v>3</v>
      </c>
      <c r="K174" s="21" t="str">
        <f>'Raw Data'!K174</f>
        <v>Laptop &amp; Accessory</v>
      </c>
      <c r="L174" s="21">
        <f>'Raw Data'!L174</f>
        <v>4</v>
      </c>
      <c r="M174" s="21" t="str">
        <f>'Raw Data'!M174</f>
        <v>Married</v>
      </c>
      <c r="N174" s="21">
        <f>'Raw Data'!N174</f>
        <v>12</v>
      </c>
      <c r="O174" s="21">
        <f>'Raw Data'!O174</f>
        <v>0</v>
      </c>
      <c r="P174" s="21">
        <f>IF('Raw Data'!P174="",ROUND(AVERAGE('Raw Data'!$P$2:$P$1501),1),'Raw Data'!P174)</f>
        <v>18.5</v>
      </c>
      <c r="Q174" s="21">
        <f>IF('Raw Data'!Q174="",ROUND(AVERAGE('Raw Data'!$Q$2:$Q$1501),0),'Raw Data'!Q174)</f>
        <v>1</v>
      </c>
      <c r="R174" s="21">
        <f>'Raw Data'!R174</f>
        <v>3</v>
      </c>
      <c r="S174" s="21">
        <f>IF('Raw Data'!S174="",ROUND(AVERAGE('Raw Data'!$S$2:$S$1501),0),'Raw Data'!S174)</f>
        <v>23</v>
      </c>
      <c r="T174" s="21">
        <f>'Raw Data'!T174</f>
        <v>216.01</v>
      </c>
      <c r="U174" s="21" t="str">
        <f>INDEX('Lookup Tables'!$C$7:$C$9,MATCH(E174,'Lookup Tables'!$B$7:$B$9,0))</f>
        <v>Tier 1 (Metro)</v>
      </c>
      <c r="V174" s="21" t="str">
        <f t="shared" si="6"/>
        <v>7-12 months</v>
      </c>
      <c r="W174" s="21" t="str">
        <f t="shared" si="7"/>
        <v>Medium Risk</v>
      </c>
      <c r="X174" s="21" t="str">
        <f t="shared" si="8"/>
        <v>No</v>
      </c>
    </row>
    <row r="175" spans="1:24" x14ac:dyDescent="0.3">
      <c r="A175" s="21">
        <f>'Raw Data'!A175</f>
        <v>50174</v>
      </c>
      <c r="B175" s="21">
        <f>'Raw Data'!B175</f>
        <v>0</v>
      </c>
      <c r="C175" s="21">
        <f>'Raw Data'!C175</f>
        <v>27</v>
      </c>
      <c r="D175" s="21" t="str">
        <f>'Raw Data'!D175</f>
        <v>Mobile Phone</v>
      </c>
      <c r="E175" s="21">
        <f>'Raw Data'!E175</f>
        <v>3</v>
      </c>
      <c r="F175" s="21">
        <f>IF('Raw Data'!F175="",ROUND(AVERAGE('Raw Data'!$F$2:$F$1501),1),'Raw Data'!F175)</f>
        <v>14.8</v>
      </c>
      <c r="G175" s="21" t="str">
        <f>'Raw Data'!G175</f>
        <v>Credit Card</v>
      </c>
      <c r="H175" s="21" t="str">
        <f>'Raw Data'!H175</f>
        <v>Male</v>
      </c>
      <c r="I175" s="21">
        <f>IF('Raw Data'!I175="",ROUND(AVERAGE('Raw Data'!$I$2:$I$1501),1),'Raw Data'!I175)</f>
        <v>1.5</v>
      </c>
      <c r="J175" s="21">
        <f>'Raw Data'!J175</f>
        <v>2</v>
      </c>
      <c r="K175" s="21" t="str">
        <f>'Raw Data'!K175</f>
        <v>Mobile Phone</v>
      </c>
      <c r="L175" s="21">
        <f>'Raw Data'!L175</f>
        <v>1</v>
      </c>
      <c r="M175" s="21" t="str">
        <f>'Raw Data'!M175</f>
        <v>Single</v>
      </c>
      <c r="N175" s="21">
        <f>'Raw Data'!N175</f>
        <v>11</v>
      </c>
      <c r="O175" s="21">
        <f>'Raw Data'!O175</f>
        <v>1</v>
      </c>
      <c r="P175" s="21">
        <f>IF('Raw Data'!P175="",ROUND(AVERAGE('Raw Data'!$P$2:$P$1501),1),'Raw Data'!P175)</f>
        <v>16.899999999999999</v>
      </c>
      <c r="Q175" s="21">
        <f>IF('Raw Data'!Q175="",ROUND(AVERAGE('Raw Data'!$Q$2:$Q$1501),0),'Raw Data'!Q175)</f>
        <v>2</v>
      </c>
      <c r="R175" s="21">
        <f>'Raw Data'!R175</f>
        <v>4</v>
      </c>
      <c r="S175" s="21">
        <f>IF('Raw Data'!S175="",ROUND(AVERAGE('Raw Data'!$S$2:$S$1501),0),'Raw Data'!S175)</f>
        <v>2</v>
      </c>
      <c r="T175" s="21">
        <f>'Raw Data'!T175</f>
        <v>124.21</v>
      </c>
      <c r="U175" s="21" t="str">
        <f>INDEX('Lookup Tables'!$C$7:$C$9,MATCH(E175,'Lookup Tables'!$B$7:$B$9,0))</f>
        <v>Tier 3 (Semi-urban/Rural)</v>
      </c>
      <c r="V175" s="21" t="str">
        <f t="shared" si="6"/>
        <v>25+ months</v>
      </c>
      <c r="W175" s="21" t="str">
        <f t="shared" si="7"/>
        <v>High Risk</v>
      </c>
      <c r="X175" s="21" t="str">
        <f t="shared" si="8"/>
        <v>No</v>
      </c>
    </row>
    <row r="176" spans="1:24" x14ac:dyDescent="0.3">
      <c r="A176" s="21">
        <f>'Raw Data'!A176</f>
        <v>50175</v>
      </c>
      <c r="B176" s="21">
        <f>'Raw Data'!B176</f>
        <v>0</v>
      </c>
      <c r="C176" s="21">
        <f>'Raw Data'!C176</f>
        <v>13</v>
      </c>
      <c r="D176" s="21" t="str">
        <f>'Raw Data'!D176</f>
        <v>Phone</v>
      </c>
      <c r="E176" s="21">
        <f>'Raw Data'!E176</f>
        <v>3</v>
      </c>
      <c r="F176" s="21">
        <f>IF('Raw Data'!F176="",ROUND(AVERAGE('Raw Data'!$F$2:$F$1501),1),'Raw Data'!F176)</f>
        <v>7</v>
      </c>
      <c r="G176" s="21" t="str">
        <f>'Raw Data'!G176</f>
        <v>Debit Card</v>
      </c>
      <c r="H176" s="21" t="str">
        <f>'Raw Data'!H176</f>
        <v>Female</v>
      </c>
      <c r="I176" s="21">
        <f>IF('Raw Data'!I176="",ROUND(AVERAGE('Raw Data'!$I$2:$I$1501),1),'Raw Data'!I176)</f>
        <v>2.7</v>
      </c>
      <c r="J176" s="21">
        <f>'Raw Data'!J176</f>
        <v>4</v>
      </c>
      <c r="K176" s="21" t="str">
        <f>'Raw Data'!K176</f>
        <v>Fashion</v>
      </c>
      <c r="L176" s="21">
        <f>'Raw Data'!L176</f>
        <v>4</v>
      </c>
      <c r="M176" s="21" t="str">
        <f>'Raw Data'!M176</f>
        <v>Married</v>
      </c>
      <c r="N176" s="21">
        <f>'Raw Data'!N176</f>
        <v>1</v>
      </c>
      <c r="O176" s="21">
        <f>'Raw Data'!O176</f>
        <v>1</v>
      </c>
      <c r="P176" s="21">
        <f>IF('Raw Data'!P176="",ROUND(AVERAGE('Raw Data'!$P$2:$P$1501),1),'Raw Data'!P176)</f>
        <v>16.3</v>
      </c>
      <c r="Q176" s="21">
        <f>IF('Raw Data'!Q176="",ROUND(AVERAGE('Raw Data'!$Q$2:$Q$1501),0),'Raw Data'!Q176)</f>
        <v>1</v>
      </c>
      <c r="R176" s="21">
        <f>'Raw Data'!R176</f>
        <v>4</v>
      </c>
      <c r="S176" s="21">
        <f>IF('Raw Data'!S176="",ROUND(AVERAGE('Raw Data'!$S$2:$S$1501),0),'Raw Data'!S176)</f>
        <v>2</v>
      </c>
      <c r="T176" s="21">
        <f>'Raw Data'!T176</f>
        <v>187.89</v>
      </c>
      <c r="U176" s="21" t="str">
        <f>INDEX('Lookup Tables'!$C$7:$C$9,MATCH(E176,'Lookup Tables'!$B$7:$B$9,0))</f>
        <v>Tier 3 (Semi-urban/Rural)</v>
      </c>
      <c r="V176" s="21" t="str">
        <f t="shared" si="6"/>
        <v>13-24 months</v>
      </c>
      <c r="W176" s="21" t="str">
        <f t="shared" si="7"/>
        <v>Low Risk</v>
      </c>
      <c r="X176" s="21" t="str">
        <f t="shared" si="8"/>
        <v>No</v>
      </c>
    </row>
    <row r="177" spans="1:24" x14ac:dyDescent="0.3">
      <c r="A177" s="21">
        <f>'Raw Data'!A177</f>
        <v>50176</v>
      </c>
      <c r="B177" s="21">
        <f>'Raw Data'!B177</f>
        <v>0</v>
      </c>
      <c r="C177" s="21">
        <f>'Raw Data'!C177</f>
        <v>2</v>
      </c>
      <c r="D177" s="21" t="str">
        <f>'Raw Data'!D177</f>
        <v>Computer</v>
      </c>
      <c r="E177" s="21">
        <f>'Raw Data'!E177</f>
        <v>3</v>
      </c>
      <c r="F177" s="21">
        <f>IF('Raw Data'!F177="",ROUND(AVERAGE('Raw Data'!$F$2:$F$1501),1),'Raw Data'!F177)</f>
        <v>19</v>
      </c>
      <c r="G177" s="21" t="str">
        <f>'Raw Data'!G177</f>
        <v>Cash on Delivery</v>
      </c>
      <c r="H177" s="21" t="str">
        <f>'Raw Data'!H177</f>
        <v>Male</v>
      </c>
      <c r="I177" s="21">
        <f>IF('Raw Data'!I177="",ROUND(AVERAGE('Raw Data'!$I$2:$I$1501),1),'Raw Data'!I177)</f>
        <v>2</v>
      </c>
      <c r="J177" s="21">
        <f>'Raw Data'!J177</f>
        <v>3</v>
      </c>
      <c r="K177" s="21" t="str">
        <f>'Raw Data'!K177</f>
        <v>Laptop &amp; Accessory</v>
      </c>
      <c r="L177" s="21">
        <f>'Raw Data'!L177</f>
        <v>4</v>
      </c>
      <c r="M177" s="21" t="str">
        <f>'Raw Data'!M177</f>
        <v>Single</v>
      </c>
      <c r="N177" s="21">
        <f>'Raw Data'!N177</f>
        <v>16</v>
      </c>
      <c r="O177" s="21">
        <f>'Raw Data'!O177</f>
        <v>0</v>
      </c>
      <c r="P177" s="21">
        <f>IF('Raw Data'!P177="",ROUND(AVERAGE('Raw Data'!$P$2:$P$1501),1),'Raw Data'!P177)</f>
        <v>16.100000000000001</v>
      </c>
      <c r="Q177" s="21">
        <f>IF('Raw Data'!Q177="",ROUND(AVERAGE('Raw Data'!$Q$2:$Q$1501),0),'Raw Data'!Q177)</f>
        <v>2</v>
      </c>
      <c r="R177" s="21">
        <f>'Raw Data'!R177</f>
        <v>4</v>
      </c>
      <c r="S177" s="21">
        <f>IF('Raw Data'!S177="",ROUND(AVERAGE('Raw Data'!$S$2:$S$1501),0),'Raw Data'!S177)</f>
        <v>8</v>
      </c>
      <c r="T177" s="21">
        <f>'Raw Data'!T177</f>
        <v>141.54</v>
      </c>
      <c r="U177" s="21" t="str">
        <f>INDEX('Lookup Tables'!$C$7:$C$9,MATCH(E177,'Lookup Tables'!$B$7:$B$9,0))</f>
        <v>Tier 3 (Semi-urban/Rural)</v>
      </c>
      <c r="V177" s="21" t="str">
        <f t="shared" si="6"/>
        <v>0-6 months</v>
      </c>
      <c r="W177" s="21" t="str">
        <f t="shared" si="7"/>
        <v>Low Risk</v>
      </c>
      <c r="X177" s="21" t="str">
        <f t="shared" si="8"/>
        <v>No</v>
      </c>
    </row>
    <row r="178" spans="1:24" x14ac:dyDescent="0.3">
      <c r="A178" s="21">
        <f>'Raw Data'!A178</f>
        <v>50177</v>
      </c>
      <c r="B178" s="21">
        <f>'Raw Data'!B178</f>
        <v>0</v>
      </c>
      <c r="C178" s="21">
        <f>'Raw Data'!C178</f>
        <v>0</v>
      </c>
      <c r="D178" s="21" t="str">
        <f>'Raw Data'!D178</f>
        <v>Mobile Phone</v>
      </c>
      <c r="E178" s="21">
        <f>'Raw Data'!E178</f>
        <v>2</v>
      </c>
      <c r="F178" s="21">
        <f>IF('Raw Data'!F178="",ROUND(AVERAGE('Raw Data'!$F$2:$F$1501),1),'Raw Data'!F178)</f>
        <v>5</v>
      </c>
      <c r="G178" s="21" t="str">
        <f>'Raw Data'!G178</f>
        <v>E wallet</v>
      </c>
      <c r="H178" s="21" t="str">
        <f>'Raw Data'!H178</f>
        <v>Female</v>
      </c>
      <c r="I178" s="21">
        <f>IF('Raw Data'!I178="",ROUND(AVERAGE('Raw Data'!$I$2:$I$1501),1),'Raw Data'!I178)</f>
        <v>1.7</v>
      </c>
      <c r="J178" s="21">
        <f>'Raw Data'!J178</f>
        <v>3</v>
      </c>
      <c r="K178" s="21" t="str">
        <f>'Raw Data'!K178</f>
        <v>Fashion</v>
      </c>
      <c r="L178" s="21">
        <f>'Raw Data'!L178</f>
        <v>2</v>
      </c>
      <c r="M178" s="21" t="str">
        <f>'Raw Data'!M178</f>
        <v>Single</v>
      </c>
      <c r="N178" s="21">
        <f>'Raw Data'!N178</f>
        <v>2</v>
      </c>
      <c r="O178" s="21">
        <f>'Raw Data'!O178</f>
        <v>0</v>
      </c>
      <c r="P178" s="21">
        <f>IF('Raw Data'!P178="",ROUND(AVERAGE('Raw Data'!$P$2:$P$1501),1),'Raw Data'!P178)</f>
        <v>17.7</v>
      </c>
      <c r="Q178" s="21">
        <f>IF('Raw Data'!Q178="",ROUND(AVERAGE('Raw Data'!$Q$2:$Q$1501),0),'Raw Data'!Q178)</f>
        <v>0</v>
      </c>
      <c r="R178" s="21">
        <f>'Raw Data'!R178</f>
        <v>3</v>
      </c>
      <c r="S178" s="21">
        <f>IF('Raw Data'!S178="",ROUND(AVERAGE('Raw Data'!$S$2:$S$1501),0),'Raw Data'!S178)</f>
        <v>1</v>
      </c>
      <c r="T178" s="21">
        <f>'Raw Data'!T178</f>
        <v>112.88</v>
      </c>
      <c r="U178" s="21" t="str">
        <f>INDEX('Lookup Tables'!$C$7:$C$9,MATCH(E178,'Lookup Tables'!$B$7:$B$9,0))</f>
        <v>Tier 2 (Urban)</v>
      </c>
      <c r="V178" s="21" t="str">
        <f t="shared" si="6"/>
        <v>0-6 months</v>
      </c>
      <c r="W178" s="21" t="str">
        <f t="shared" si="7"/>
        <v>Low Risk</v>
      </c>
      <c r="X178" s="21" t="str">
        <f t="shared" si="8"/>
        <v>No</v>
      </c>
    </row>
    <row r="179" spans="1:24" x14ac:dyDescent="0.3">
      <c r="A179" s="21">
        <f>'Raw Data'!A179</f>
        <v>50178</v>
      </c>
      <c r="B179" s="21">
        <f>'Raw Data'!B179</f>
        <v>0</v>
      </c>
      <c r="C179" s="21">
        <f>'Raw Data'!C179</f>
        <v>3</v>
      </c>
      <c r="D179" s="21" t="str">
        <f>'Raw Data'!D179</f>
        <v>Mobile Phone</v>
      </c>
      <c r="E179" s="21">
        <f>'Raw Data'!E179</f>
        <v>3</v>
      </c>
      <c r="F179" s="21">
        <f>IF('Raw Data'!F179="",ROUND(AVERAGE('Raw Data'!$F$2:$F$1501),1),'Raw Data'!F179)</f>
        <v>21</v>
      </c>
      <c r="G179" s="21" t="str">
        <f>'Raw Data'!G179</f>
        <v>E wallet</v>
      </c>
      <c r="H179" s="21" t="str">
        <f>'Raw Data'!H179</f>
        <v>Male</v>
      </c>
      <c r="I179" s="21">
        <f>IF('Raw Data'!I179="",ROUND(AVERAGE('Raw Data'!$I$2:$I$1501),1),'Raw Data'!I179)</f>
        <v>3.6</v>
      </c>
      <c r="J179" s="21">
        <f>'Raw Data'!J179</f>
        <v>3</v>
      </c>
      <c r="K179" s="21" t="str">
        <f>'Raw Data'!K179</f>
        <v>Grocery</v>
      </c>
      <c r="L179" s="21">
        <f>'Raw Data'!L179</f>
        <v>4</v>
      </c>
      <c r="M179" s="21" t="str">
        <f>'Raw Data'!M179</f>
        <v>Single</v>
      </c>
      <c r="N179" s="21">
        <f>'Raw Data'!N179</f>
        <v>6</v>
      </c>
      <c r="O179" s="21">
        <f>'Raw Data'!O179</f>
        <v>0</v>
      </c>
      <c r="P179" s="21">
        <f>IF('Raw Data'!P179="",ROUND(AVERAGE('Raw Data'!$P$2:$P$1501),1),'Raw Data'!P179)</f>
        <v>15.9</v>
      </c>
      <c r="Q179" s="21">
        <f>IF('Raw Data'!Q179="",ROUND(AVERAGE('Raw Data'!$Q$2:$Q$1501),0),'Raw Data'!Q179)</f>
        <v>2</v>
      </c>
      <c r="R179" s="21">
        <f>'Raw Data'!R179</f>
        <v>4</v>
      </c>
      <c r="S179" s="21">
        <f>IF('Raw Data'!S179="",ROUND(AVERAGE('Raw Data'!$S$2:$S$1501),0),'Raw Data'!S179)</f>
        <v>1</v>
      </c>
      <c r="T179" s="21">
        <f>'Raw Data'!T179</f>
        <v>132.63999999999999</v>
      </c>
      <c r="U179" s="21" t="str">
        <f>INDEX('Lookup Tables'!$C$7:$C$9,MATCH(E179,'Lookup Tables'!$B$7:$B$9,0))</f>
        <v>Tier 3 (Semi-urban/Rural)</v>
      </c>
      <c r="V179" s="21" t="str">
        <f t="shared" si="6"/>
        <v>0-6 months</v>
      </c>
      <c r="W179" s="21" t="str">
        <f t="shared" si="7"/>
        <v>Low Risk</v>
      </c>
      <c r="X179" s="21" t="str">
        <f t="shared" si="8"/>
        <v>No</v>
      </c>
    </row>
    <row r="180" spans="1:24" x14ac:dyDescent="0.3">
      <c r="A180" s="21">
        <f>'Raw Data'!A180</f>
        <v>50179</v>
      </c>
      <c r="B180" s="21">
        <f>'Raw Data'!B180</f>
        <v>0</v>
      </c>
      <c r="C180" s="21">
        <f>'Raw Data'!C180</f>
        <v>9</v>
      </c>
      <c r="D180" s="21" t="str">
        <f>'Raw Data'!D180</f>
        <v>Computer</v>
      </c>
      <c r="E180" s="21">
        <f>'Raw Data'!E180</f>
        <v>1</v>
      </c>
      <c r="F180" s="21">
        <f>IF('Raw Data'!F180="",ROUND(AVERAGE('Raw Data'!$F$2:$F$1501),1),'Raw Data'!F180)</f>
        <v>6</v>
      </c>
      <c r="G180" s="21" t="str">
        <f>'Raw Data'!G180</f>
        <v>Debit Card</v>
      </c>
      <c r="H180" s="21" t="str">
        <f>'Raw Data'!H180</f>
        <v>Female</v>
      </c>
      <c r="I180" s="21">
        <f>IF('Raw Data'!I180="",ROUND(AVERAGE('Raw Data'!$I$2:$I$1501),1),'Raw Data'!I180)</f>
        <v>3.3</v>
      </c>
      <c r="J180" s="21">
        <f>'Raw Data'!J180</f>
        <v>3</v>
      </c>
      <c r="K180" s="21" t="str">
        <f>'Raw Data'!K180</f>
        <v>Others</v>
      </c>
      <c r="L180" s="21">
        <f>'Raw Data'!L180</f>
        <v>5</v>
      </c>
      <c r="M180" s="21" t="str">
        <f>'Raw Data'!M180</f>
        <v>Single</v>
      </c>
      <c r="N180" s="21">
        <f>'Raw Data'!N180</f>
        <v>1</v>
      </c>
      <c r="O180" s="21">
        <f>'Raw Data'!O180</f>
        <v>0</v>
      </c>
      <c r="P180" s="21">
        <f>IF('Raw Data'!P180="",ROUND(AVERAGE('Raw Data'!$P$2:$P$1501),1),'Raw Data'!P180)</f>
        <v>11</v>
      </c>
      <c r="Q180" s="21">
        <f>IF('Raw Data'!Q180="",ROUND(AVERAGE('Raw Data'!$Q$2:$Q$1501),0),'Raw Data'!Q180)</f>
        <v>1</v>
      </c>
      <c r="R180" s="21">
        <f>'Raw Data'!R180</f>
        <v>2</v>
      </c>
      <c r="S180" s="21">
        <f>IF('Raw Data'!S180="",ROUND(AVERAGE('Raw Data'!$S$2:$S$1501),0),'Raw Data'!S180)</f>
        <v>2</v>
      </c>
      <c r="T180" s="21">
        <f>'Raw Data'!T180</f>
        <v>150.05000000000001</v>
      </c>
      <c r="U180" s="21" t="str">
        <f>INDEX('Lookup Tables'!$C$7:$C$9,MATCH(E180,'Lookup Tables'!$B$7:$B$9,0))</f>
        <v>Tier 1 (Metro)</v>
      </c>
      <c r="V180" s="21" t="str">
        <f t="shared" si="6"/>
        <v>7-12 months</v>
      </c>
      <c r="W180" s="21" t="str">
        <f t="shared" si="7"/>
        <v>Low Risk</v>
      </c>
      <c r="X180" s="21" t="str">
        <f t="shared" si="8"/>
        <v>No</v>
      </c>
    </row>
    <row r="181" spans="1:24" x14ac:dyDescent="0.3">
      <c r="A181" s="21">
        <f>'Raw Data'!A181</f>
        <v>50180</v>
      </c>
      <c r="B181" s="21">
        <f>'Raw Data'!B181</f>
        <v>0</v>
      </c>
      <c r="C181" s="21">
        <f>'Raw Data'!C181</f>
        <v>0</v>
      </c>
      <c r="D181" s="21" t="str">
        <f>'Raw Data'!D181</f>
        <v>Phone</v>
      </c>
      <c r="E181" s="21">
        <f>'Raw Data'!E181</f>
        <v>3</v>
      </c>
      <c r="F181" s="21">
        <f>IF('Raw Data'!F181="",ROUND(AVERAGE('Raw Data'!$F$2:$F$1501),1),'Raw Data'!F181)</f>
        <v>8</v>
      </c>
      <c r="G181" s="21" t="str">
        <f>'Raw Data'!G181</f>
        <v>E wallet</v>
      </c>
      <c r="H181" s="21" t="str">
        <f>'Raw Data'!H181</f>
        <v>Male</v>
      </c>
      <c r="I181" s="21">
        <f>IF('Raw Data'!I181="",ROUND(AVERAGE('Raw Data'!$I$2:$I$1501),1),'Raw Data'!I181)</f>
        <v>3.2</v>
      </c>
      <c r="J181" s="21">
        <f>'Raw Data'!J181</f>
        <v>3</v>
      </c>
      <c r="K181" s="21" t="str">
        <f>'Raw Data'!K181</f>
        <v>Grocery</v>
      </c>
      <c r="L181" s="21">
        <f>'Raw Data'!L181</f>
        <v>4</v>
      </c>
      <c r="M181" s="21" t="str">
        <f>'Raw Data'!M181</f>
        <v>Married</v>
      </c>
      <c r="N181" s="21">
        <f>'Raw Data'!N181</f>
        <v>2</v>
      </c>
      <c r="O181" s="21">
        <f>'Raw Data'!O181</f>
        <v>0</v>
      </c>
      <c r="P181" s="21">
        <f>IF('Raw Data'!P181="",ROUND(AVERAGE('Raw Data'!$P$2:$P$1501),1),'Raw Data'!P181)</f>
        <v>23.7</v>
      </c>
      <c r="Q181" s="21">
        <f>IF('Raw Data'!Q181="",ROUND(AVERAGE('Raw Data'!$Q$2:$Q$1501),0),'Raw Data'!Q181)</f>
        <v>2</v>
      </c>
      <c r="R181" s="21">
        <f>'Raw Data'!R181</f>
        <v>5</v>
      </c>
      <c r="S181" s="21">
        <f>IF('Raw Data'!S181="",ROUND(AVERAGE('Raw Data'!$S$2:$S$1501),0),'Raw Data'!S181)</f>
        <v>6</v>
      </c>
      <c r="T181" s="21">
        <f>'Raw Data'!T181</f>
        <v>248.46</v>
      </c>
      <c r="U181" s="21" t="str">
        <f>INDEX('Lookup Tables'!$C$7:$C$9,MATCH(E181,'Lookup Tables'!$B$7:$B$9,0))</f>
        <v>Tier 3 (Semi-urban/Rural)</v>
      </c>
      <c r="V181" s="21" t="str">
        <f t="shared" si="6"/>
        <v>0-6 months</v>
      </c>
      <c r="W181" s="21" t="str">
        <f t="shared" si="7"/>
        <v>Low Risk</v>
      </c>
      <c r="X181" s="21" t="str">
        <f t="shared" si="8"/>
        <v>No</v>
      </c>
    </row>
    <row r="182" spans="1:24" x14ac:dyDescent="0.3">
      <c r="A182" s="21">
        <f>'Raw Data'!A182</f>
        <v>50181</v>
      </c>
      <c r="B182" s="21">
        <f>'Raw Data'!B182</f>
        <v>0</v>
      </c>
      <c r="C182" s="21">
        <f>'Raw Data'!C182</f>
        <v>6</v>
      </c>
      <c r="D182" s="21" t="str">
        <f>'Raw Data'!D182</f>
        <v>Mobile Phone</v>
      </c>
      <c r="E182" s="21">
        <f>'Raw Data'!E182</f>
        <v>1</v>
      </c>
      <c r="F182" s="21">
        <f>IF('Raw Data'!F182="",ROUND(AVERAGE('Raw Data'!$F$2:$F$1501),1),'Raw Data'!F182)</f>
        <v>5</v>
      </c>
      <c r="G182" s="21" t="str">
        <f>'Raw Data'!G182</f>
        <v>Debit Card</v>
      </c>
      <c r="H182" s="21" t="str">
        <f>'Raw Data'!H182</f>
        <v>Female</v>
      </c>
      <c r="I182" s="21">
        <f>IF('Raw Data'!I182="",ROUND(AVERAGE('Raw Data'!$I$2:$I$1501),1),'Raw Data'!I182)</f>
        <v>3.5</v>
      </c>
      <c r="J182" s="21">
        <f>'Raw Data'!J182</f>
        <v>2</v>
      </c>
      <c r="K182" s="21" t="str">
        <f>'Raw Data'!K182</f>
        <v>Laptop &amp; Accessory</v>
      </c>
      <c r="L182" s="21">
        <f>'Raw Data'!L182</f>
        <v>3</v>
      </c>
      <c r="M182" s="21" t="str">
        <f>'Raw Data'!M182</f>
        <v>Married</v>
      </c>
      <c r="N182" s="21">
        <f>'Raw Data'!N182</f>
        <v>11</v>
      </c>
      <c r="O182" s="21">
        <f>'Raw Data'!O182</f>
        <v>1</v>
      </c>
      <c r="P182" s="21">
        <f>IF('Raw Data'!P182="",ROUND(AVERAGE('Raw Data'!$P$2:$P$1501),1),'Raw Data'!P182)</f>
        <v>20.2</v>
      </c>
      <c r="Q182" s="21">
        <f>IF('Raw Data'!Q182="",ROUND(AVERAGE('Raw Data'!$Q$2:$Q$1501),0),'Raw Data'!Q182)</f>
        <v>1</v>
      </c>
      <c r="R182" s="21">
        <f>'Raw Data'!R182</f>
        <v>5</v>
      </c>
      <c r="S182" s="21">
        <f>IF('Raw Data'!S182="",ROUND(AVERAGE('Raw Data'!$S$2:$S$1501),0),'Raw Data'!S182)</f>
        <v>0</v>
      </c>
      <c r="T182" s="21">
        <f>'Raw Data'!T182</f>
        <v>148.6</v>
      </c>
      <c r="U182" s="21" t="str">
        <f>INDEX('Lookup Tables'!$C$7:$C$9,MATCH(E182,'Lookup Tables'!$B$7:$B$9,0))</f>
        <v>Tier 1 (Metro)</v>
      </c>
      <c r="V182" s="21" t="str">
        <f t="shared" si="6"/>
        <v>0-6 months</v>
      </c>
      <c r="W182" s="21" t="str">
        <f t="shared" si="7"/>
        <v>Medium Risk</v>
      </c>
      <c r="X182" s="21" t="str">
        <f t="shared" si="8"/>
        <v>No</v>
      </c>
    </row>
    <row r="183" spans="1:24" x14ac:dyDescent="0.3">
      <c r="A183" s="21">
        <f>'Raw Data'!A183</f>
        <v>50182</v>
      </c>
      <c r="B183" s="21">
        <f>'Raw Data'!B183</f>
        <v>0</v>
      </c>
      <c r="C183" s="21">
        <f>'Raw Data'!C183</f>
        <v>9</v>
      </c>
      <c r="D183" s="21" t="str">
        <f>'Raw Data'!D183</f>
        <v>Mobile Phone</v>
      </c>
      <c r="E183" s="21">
        <f>'Raw Data'!E183</f>
        <v>3</v>
      </c>
      <c r="F183" s="21">
        <f>IF('Raw Data'!F183="",ROUND(AVERAGE('Raw Data'!$F$2:$F$1501),1),'Raw Data'!F183)</f>
        <v>10</v>
      </c>
      <c r="G183" s="21" t="str">
        <f>'Raw Data'!G183</f>
        <v>Debit Card</v>
      </c>
      <c r="H183" s="21" t="str">
        <f>'Raw Data'!H183</f>
        <v>Male</v>
      </c>
      <c r="I183" s="21">
        <f>IF('Raw Data'!I183="",ROUND(AVERAGE('Raw Data'!$I$2:$I$1501),1),'Raw Data'!I183)</f>
        <v>2.6</v>
      </c>
      <c r="J183" s="21">
        <f>'Raw Data'!J183</f>
        <v>3</v>
      </c>
      <c r="K183" s="21" t="str">
        <f>'Raw Data'!K183</f>
        <v>Mobile Phone</v>
      </c>
      <c r="L183" s="21">
        <f>'Raw Data'!L183</f>
        <v>4</v>
      </c>
      <c r="M183" s="21" t="str">
        <f>'Raw Data'!M183</f>
        <v>Single</v>
      </c>
      <c r="N183" s="21">
        <f>'Raw Data'!N183</f>
        <v>10</v>
      </c>
      <c r="O183" s="21">
        <f>'Raw Data'!O183</f>
        <v>0</v>
      </c>
      <c r="P183" s="21">
        <f>IF('Raw Data'!P183="",ROUND(AVERAGE('Raw Data'!$P$2:$P$1501),1),'Raw Data'!P183)</f>
        <v>11.5</v>
      </c>
      <c r="Q183" s="21">
        <f>IF('Raw Data'!Q183="",ROUND(AVERAGE('Raw Data'!$Q$2:$Q$1501),0),'Raw Data'!Q183)</f>
        <v>2</v>
      </c>
      <c r="R183" s="21">
        <f>'Raw Data'!R183</f>
        <v>3</v>
      </c>
      <c r="S183" s="21">
        <f>IF('Raw Data'!S183="",ROUND(AVERAGE('Raw Data'!$S$2:$S$1501),0),'Raw Data'!S183)</f>
        <v>2</v>
      </c>
      <c r="T183" s="21">
        <f>'Raw Data'!T183</f>
        <v>110.07</v>
      </c>
      <c r="U183" s="21" t="str">
        <f>INDEX('Lookup Tables'!$C$7:$C$9,MATCH(E183,'Lookup Tables'!$B$7:$B$9,0))</f>
        <v>Tier 3 (Semi-urban/Rural)</v>
      </c>
      <c r="V183" s="21" t="str">
        <f t="shared" si="6"/>
        <v>7-12 months</v>
      </c>
      <c r="W183" s="21" t="str">
        <f t="shared" si="7"/>
        <v>Low Risk</v>
      </c>
      <c r="X183" s="21" t="str">
        <f t="shared" si="8"/>
        <v>No</v>
      </c>
    </row>
    <row r="184" spans="1:24" x14ac:dyDescent="0.3">
      <c r="A184" s="21">
        <f>'Raw Data'!A184</f>
        <v>50183</v>
      </c>
      <c r="B184" s="21">
        <f>'Raw Data'!B184</f>
        <v>0</v>
      </c>
      <c r="C184" s="21">
        <f>'Raw Data'!C184</f>
        <v>4</v>
      </c>
      <c r="D184" s="21" t="str">
        <f>'Raw Data'!D184</f>
        <v>Phone</v>
      </c>
      <c r="E184" s="21">
        <f>'Raw Data'!E184</f>
        <v>1</v>
      </c>
      <c r="F184" s="21">
        <f>IF('Raw Data'!F184="",ROUND(AVERAGE('Raw Data'!$F$2:$F$1501),1),'Raw Data'!F184)</f>
        <v>22</v>
      </c>
      <c r="G184" s="21" t="str">
        <f>'Raw Data'!G184</f>
        <v>Credit Card</v>
      </c>
      <c r="H184" s="21" t="str">
        <f>'Raw Data'!H184</f>
        <v>Male</v>
      </c>
      <c r="I184" s="21">
        <f>IF('Raw Data'!I184="",ROUND(AVERAGE('Raw Data'!$I$2:$I$1501),1),'Raw Data'!I184)</f>
        <v>2.6</v>
      </c>
      <c r="J184" s="21">
        <f>'Raw Data'!J184</f>
        <v>3</v>
      </c>
      <c r="K184" s="21" t="str">
        <f>'Raw Data'!K184</f>
        <v>Laptop &amp; Accessory</v>
      </c>
      <c r="L184" s="21">
        <f>'Raw Data'!L184</f>
        <v>5</v>
      </c>
      <c r="M184" s="21" t="str">
        <f>'Raw Data'!M184</f>
        <v>Married</v>
      </c>
      <c r="N184" s="21">
        <f>'Raw Data'!N184</f>
        <v>4</v>
      </c>
      <c r="O184" s="21">
        <f>'Raw Data'!O184</f>
        <v>0</v>
      </c>
      <c r="P184" s="21">
        <f>IF('Raw Data'!P184="",ROUND(AVERAGE('Raw Data'!$P$2:$P$1501),1),'Raw Data'!P184)</f>
        <v>14.8</v>
      </c>
      <c r="Q184" s="21">
        <f>IF('Raw Data'!Q184="",ROUND(AVERAGE('Raw Data'!$Q$2:$Q$1501),0),'Raw Data'!Q184)</f>
        <v>1</v>
      </c>
      <c r="R184" s="21">
        <f>'Raw Data'!R184</f>
        <v>2</v>
      </c>
      <c r="S184" s="21">
        <f>IF('Raw Data'!S184="",ROUND(AVERAGE('Raw Data'!$S$2:$S$1501),0),'Raw Data'!S184)</f>
        <v>2</v>
      </c>
      <c r="T184" s="21">
        <f>'Raw Data'!T184</f>
        <v>187.23</v>
      </c>
      <c r="U184" s="21" t="str">
        <f>INDEX('Lookup Tables'!$C$7:$C$9,MATCH(E184,'Lookup Tables'!$B$7:$B$9,0))</f>
        <v>Tier 1 (Metro)</v>
      </c>
      <c r="V184" s="21" t="str">
        <f t="shared" si="6"/>
        <v>0-6 months</v>
      </c>
      <c r="W184" s="21" t="str">
        <f t="shared" si="7"/>
        <v>Low Risk</v>
      </c>
      <c r="X184" s="21" t="str">
        <f t="shared" si="8"/>
        <v>No</v>
      </c>
    </row>
    <row r="185" spans="1:24" x14ac:dyDescent="0.3">
      <c r="A185" s="21">
        <f>'Raw Data'!A185</f>
        <v>50184</v>
      </c>
      <c r="B185" s="21">
        <f>'Raw Data'!B185</f>
        <v>0</v>
      </c>
      <c r="C185" s="21">
        <f>'Raw Data'!C185</f>
        <v>14</v>
      </c>
      <c r="D185" s="21" t="str">
        <f>'Raw Data'!D185</f>
        <v>Computer</v>
      </c>
      <c r="E185" s="21">
        <f>'Raw Data'!E185</f>
        <v>3</v>
      </c>
      <c r="F185" s="21">
        <f>IF('Raw Data'!F185="",ROUND(AVERAGE('Raw Data'!$F$2:$F$1501),1),'Raw Data'!F185)</f>
        <v>19</v>
      </c>
      <c r="G185" s="21" t="str">
        <f>'Raw Data'!G185</f>
        <v>Credit Card</v>
      </c>
      <c r="H185" s="21" t="str">
        <f>'Raw Data'!H185</f>
        <v>Male</v>
      </c>
      <c r="I185" s="21">
        <f>IF('Raw Data'!I185="",ROUND(AVERAGE('Raw Data'!$I$2:$I$1501),1),'Raw Data'!I185)</f>
        <v>4.4000000000000004</v>
      </c>
      <c r="J185" s="21">
        <f>'Raw Data'!J185</f>
        <v>2</v>
      </c>
      <c r="K185" s="21" t="str">
        <f>'Raw Data'!K185</f>
        <v>Laptop &amp; Accessory</v>
      </c>
      <c r="L185" s="21">
        <f>'Raw Data'!L185</f>
        <v>3</v>
      </c>
      <c r="M185" s="21" t="str">
        <f>'Raw Data'!M185</f>
        <v>Married</v>
      </c>
      <c r="N185" s="21">
        <f>'Raw Data'!N185</f>
        <v>5</v>
      </c>
      <c r="O185" s="21">
        <f>'Raw Data'!O185</f>
        <v>0</v>
      </c>
      <c r="P185" s="21">
        <f>IF('Raw Data'!P185="",ROUND(AVERAGE('Raw Data'!$P$2:$P$1501),1),'Raw Data'!P185)</f>
        <v>15.2</v>
      </c>
      <c r="Q185" s="21">
        <f>IF('Raw Data'!Q185="",ROUND(AVERAGE('Raw Data'!$Q$2:$Q$1501),0),'Raw Data'!Q185)</f>
        <v>2</v>
      </c>
      <c r="R185" s="21">
        <f>'Raw Data'!R185</f>
        <v>4</v>
      </c>
      <c r="S185" s="21">
        <f>IF('Raw Data'!S185="",ROUND(AVERAGE('Raw Data'!$S$2:$S$1501),0),'Raw Data'!S185)</f>
        <v>1</v>
      </c>
      <c r="T185" s="21">
        <f>'Raw Data'!T185</f>
        <v>181.6</v>
      </c>
      <c r="U185" s="21" t="str">
        <f>INDEX('Lookup Tables'!$C$7:$C$9,MATCH(E185,'Lookup Tables'!$B$7:$B$9,0))</f>
        <v>Tier 3 (Semi-urban/Rural)</v>
      </c>
      <c r="V185" s="21" t="str">
        <f t="shared" si="6"/>
        <v>13-24 months</v>
      </c>
      <c r="W185" s="21" t="str">
        <f t="shared" si="7"/>
        <v>Medium Risk</v>
      </c>
      <c r="X185" s="21" t="str">
        <f t="shared" si="8"/>
        <v>No</v>
      </c>
    </row>
    <row r="186" spans="1:24" x14ac:dyDescent="0.3">
      <c r="A186" s="21">
        <f>'Raw Data'!A186</f>
        <v>50185</v>
      </c>
      <c r="B186" s="21">
        <f>'Raw Data'!B186</f>
        <v>1</v>
      </c>
      <c r="C186" s="21">
        <f>'Raw Data'!C186</f>
        <v>1</v>
      </c>
      <c r="D186" s="21" t="str">
        <f>'Raw Data'!D186</f>
        <v>Mobile Phone</v>
      </c>
      <c r="E186" s="21">
        <f>'Raw Data'!E186</f>
        <v>3</v>
      </c>
      <c r="F186" s="21">
        <f>IF('Raw Data'!F186="",ROUND(AVERAGE('Raw Data'!$F$2:$F$1501),1),'Raw Data'!F186)</f>
        <v>22</v>
      </c>
      <c r="G186" s="21" t="str">
        <f>'Raw Data'!G186</f>
        <v>Credit Card</v>
      </c>
      <c r="H186" s="21" t="str">
        <f>'Raw Data'!H186</f>
        <v>Male</v>
      </c>
      <c r="I186" s="21">
        <f>IF('Raw Data'!I186="",ROUND(AVERAGE('Raw Data'!$I$2:$I$1501),1),'Raw Data'!I186)</f>
        <v>2.7</v>
      </c>
      <c r="J186" s="21">
        <f>'Raw Data'!J186</f>
        <v>3</v>
      </c>
      <c r="K186" s="21" t="str">
        <f>'Raw Data'!K186</f>
        <v>Laptop &amp; Accessory</v>
      </c>
      <c r="L186" s="21">
        <f>'Raw Data'!L186</f>
        <v>4</v>
      </c>
      <c r="M186" s="21" t="str">
        <f>'Raw Data'!M186</f>
        <v>Divorced</v>
      </c>
      <c r="N186" s="21">
        <f>'Raw Data'!N186</f>
        <v>1</v>
      </c>
      <c r="O186" s="21">
        <f>'Raw Data'!O186</f>
        <v>1</v>
      </c>
      <c r="P186" s="21">
        <f>IF('Raw Data'!P186="",ROUND(AVERAGE('Raw Data'!$P$2:$P$1501),1),'Raw Data'!P186)</f>
        <v>19.8</v>
      </c>
      <c r="Q186" s="21">
        <f>IF('Raw Data'!Q186="",ROUND(AVERAGE('Raw Data'!$Q$2:$Q$1501),0),'Raw Data'!Q186)</f>
        <v>0</v>
      </c>
      <c r="R186" s="21">
        <f>'Raw Data'!R186</f>
        <v>4</v>
      </c>
      <c r="S186" s="21">
        <f>IF('Raw Data'!S186="",ROUND(AVERAGE('Raw Data'!$S$2:$S$1501),0),'Raw Data'!S186)</f>
        <v>5</v>
      </c>
      <c r="T186" s="21">
        <f>'Raw Data'!T186</f>
        <v>152.94</v>
      </c>
      <c r="U186" s="21" t="str">
        <f>INDEX('Lookup Tables'!$C$7:$C$9,MATCH(E186,'Lookup Tables'!$B$7:$B$9,0))</f>
        <v>Tier 3 (Semi-urban/Rural)</v>
      </c>
      <c r="V186" s="21" t="str">
        <f t="shared" si="6"/>
        <v>0-6 months</v>
      </c>
      <c r="W186" s="21" t="str">
        <f t="shared" si="7"/>
        <v>Low Risk</v>
      </c>
      <c r="X186" s="21" t="str">
        <f t="shared" si="8"/>
        <v>Yes</v>
      </c>
    </row>
    <row r="187" spans="1:24" x14ac:dyDescent="0.3">
      <c r="A187" s="21">
        <f>'Raw Data'!A187</f>
        <v>50186</v>
      </c>
      <c r="B187" s="21">
        <f>'Raw Data'!B187</f>
        <v>0</v>
      </c>
      <c r="C187" s="21">
        <f>'Raw Data'!C187</f>
        <v>0</v>
      </c>
      <c r="D187" s="21" t="str">
        <f>'Raw Data'!D187</f>
        <v>Mobile Phone</v>
      </c>
      <c r="E187" s="21">
        <f>'Raw Data'!E187</f>
        <v>1</v>
      </c>
      <c r="F187" s="21">
        <f>IF('Raw Data'!F187="",ROUND(AVERAGE('Raw Data'!$F$2:$F$1501),1),'Raw Data'!F187)</f>
        <v>19</v>
      </c>
      <c r="G187" s="21" t="str">
        <f>'Raw Data'!G187</f>
        <v>Debit Card</v>
      </c>
      <c r="H187" s="21" t="str">
        <f>'Raw Data'!H187</f>
        <v>Male</v>
      </c>
      <c r="I187" s="21">
        <f>IF('Raw Data'!I187="",ROUND(AVERAGE('Raw Data'!$I$2:$I$1501),1),'Raw Data'!I187)</f>
        <v>3.4</v>
      </c>
      <c r="J187" s="21">
        <f>'Raw Data'!J187</f>
        <v>4</v>
      </c>
      <c r="K187" s="21" t="str">
        <f>'Raw Data'!K187</f>
        <v>Laptop &amp; Accessory</v>
      </c>
      <c r="L187" s="21">
        <f>'Raw Data'!L187</f>
        <v>1</v>
      </c>
      <c r="M187" s="21" t="str">
        <f>'Raw Data'!M187</f>
        <v>Married</v>
      </c>
      <c r="N187" s="21">
        <f>'Raw Data'!N187</f>
        <v>4</v>
      </c>
      <c r="O187" s="21">
        <f>'Raw Data'!O187</f>
        <v>0</v>
      </c>
      <c r="P187" s="21">
        <f>IF('Raw Data'!P187="",ROUND(AVERAGE('Raw Data'!$P$2:$P$1501),1),'Raw Data'!P187)</f>
        <v>11</v>
      </c>
      <c r="Q187" s="21">
        <f>IF('Raw Data'!Q187="",ROUND(AVERAGE('Raw Data'!$Q$2:$Q$1501),0),'Raw Data'!Q187)</f>
        <v>1</v>
      </c>
      <c r="R187" s="21">
        <f>'Raw Data'!R187</f>
        <v>3</v>
      </c>
      <c r="S187" s="21">
        <f>IF('Raw Data'!S187="",ROUND(AVERAGE('Raw Data'!$S$2:$S$1501),0),'Raw Data'!S187)</f>
        <v>1</v>
      </c>
      <c r="T187" s="21">
        <f>'Raw Data'!T187</f>
        <v>171.13</v>
      </c>
      <c r="U187" s="21" t="str">
        <f>INDEX('Lookup Tables'!$C$7:$C$9,MATCH(E187,'Lookup Tables'!$B$7:$B$9,0))</f>
        <v>Tier 1 (Metro)</v>
      </c>
      <c r="V187" s="21" t="str">
        <f t="shared" si="6"/>
        <v>0-6 months</v>
      </c>
      <c r="W187" s="21" t="str">
        <f t="shared" si="7"/>
        <v>Low Risk</v>
      </c>
      <c r="X187" s="21" t="str">
        <f t="shared" si="8"/>
        <v>No</v>
      </c>
    </row>
    <row r="188" spans="1:24" x14ac:dyDescent="0.3">
      <c r="A188" s="21">
        <f>'Raw Data'!A188</f>
        <v>50187</v>
      </c>
      <c r="B188" s="21">
        <f>'Raw Data'!B188</f>
        <v>0</v>
      </c>
      <c r="C188" s="21">
        <f>'Raw Data'!C188</f>
        <v>13</v>
      </c>
      <c r="D188" s="21" t="str">
        <f>'Raw Data'!D188</f>
        <v>Mobile Phone</v>
      </c>
      <c r="E188" s="21">
        <f>'Raw Data'!E188</f>
        <v>1</v>
      </c>
      <c r="F188" s="21">
        <f>IF('Raw Data'!F188="",ROUND(AVERAGE('Raw Data'!$F$2:$F$1501),1),'Raw Data'!F188)</f>
        <v>6</v>
      </c>
      <c r="G188" s="21" t="str">
        <f>'Raw Data'!G188</f>
        <v>Credit Card</v>
      </c>
      <c r="H188" s="21" t="str">
        <f>'Raw Data'!H188</f>
        <v>Male</v>
      </c>
      <c r="I188" s="21">
        <f>IF('Raw Data'!I188="",ROUND(AVERAGE('Raw Data'!$I$2:$I$1501),1),'Raw Data'!I188)</f>
        <v>2.9</v>
      </c>
      <c r="J188" s="21">
        <f>'Raw Data'!J188</f>
        <v>2</v>
      </c>
      <c r="K188" s="21" t="str">
        <f>'Raw Data'!K188</f>
        <v>Grocery</v>
      </c>
      <c r="L188" s="21">
        <f>'Raw Data'!L188</f>
        <v>1</v>
      </c>
      <c r="M188" s="21" t="str">
        <f>'Raw Data'!M188</f>
        <v>Married</v>
      </c>
      <c r="N188" s="21">
        <f>'Raw Data'!N188</f>
        <v>3</v>
      </c>
      <c r="O188" s="21">
        <f>'Raw Data'!O188</f>
        <v>1</v>
      </c>
      <c r="P188" s="21">
        <f>IF('Raw Data'!P188="",ROUND(AVERAGE('Raw Data'!$P$2:$P$1501),1),'Raw Data'!P188)</f>
        <v>14.3</v>
      </c>
      <c r="Q188" s="21">
        <f>IF('Raw Data'!Q188="",ROUND(AVERAGE('Raw Data'!$Q$2:$Q$1501),0),'Raw Data'!Q188)</f>
        <v>2</v>
      </c>
      <c r="R188" s="21">
        <f>'Raw Data'!R188</f>
        <v>5</v>
      </c>
      <c r="S188" s="21">
        <f>IF('Raw Data'!S188="",ROUND(AVERAGE('Raw Data'!$S$2:$S$1501),0),'Raw Data'!S188)</f>
        <v>4</v>
      </c>
      <c r="T188" s="21">
        <f>'Raw Data'!T188</f>
        <v>233.69</v>
      </c>
      <c r="U188" s="21" t="str">
        <f>INDEX('Lookup Tables'!$C$7:$C$9,MATCH(E188,'Lookup Tables'!$B$7:$B$9,0))</f>
        <v>Tier 1 (Metro)</v>
      </c>
      <c r="V188" s="21" t="str">
        <f t="shared" si="6"/>
        <v>13-24 months</v>
      </c>
      <c r="W188" s="21" t="str">
        <f t="shared" si="7"/>
        <v>High Risk</v>
      </c>
      <c r="X188" s="21" t="str">
        <f t="shared" si="8"/>
        <v>No</v>
      </c>
    </row>
    <row r="189" spans="1:24" x14ac:dyDescent="0.3">
      <c r="A189" s="21">
        <f>'Raw Data'!A189</f>
        <v>50188</v>
      </c>
      <c r="B189" s="21">
        <f>'Raw Data'!B189</f>
        <v>1</v>
      </c>
      <c r="C189" s="21">
        <f>'Raw Data'!C189</f>
        <v>6</v>
      </c>
      <c r="D189" s="21" t="str">
        <f>'Raw Data'!D189</f>
        <v>Computer</v>
      </c>
      <c r="E189" s="21">
        <f>'Raw Data'!E189</f>
        <v>3</v>
      </c>
      <c r="F189" s="21">
        <f>IF('Raw Data'!F189="",ROUND(AVERAGE('Raw Data'!$F$2:$F$1501),1),'Raw Data'!F189)</f>
        <v>12</v>
      </c>
      <c r="G189" s="21" t="str">
        <f>'Raw Data'!G189</f>
        <v>Debit Card</v>
      </c>
      <c r="H189" s="21" t="str">
        <f>'Raw Data'!H189</f>
        <v>Male</v>
      </c>
      <c r="I189" s="21">
        <f>IF('Raw Data'!I189="",ROUND(AVERAGE('Raw Data'!$I$2:$I$1501),1),'Raw Data'!I189)</f>
        <v>1.6</v>
      </c>
      <c r="J189" s="21">
        <f>'Raw Data'!J189</f>
        <v>4</v>
      </c>
      <c r="K189" s="21" t="str">
        <f>'Raw Data'!K189</f>
        <v>Mobile Phone</v>
      </c>
      <c r="L189" s="21">
        <f>'Raw Data'!L189</f>
        <v>4</v>
      </c>
      <c r="M189" s="21" t="str">
        <f>'Raw Data'!M189</f>
        <v>Single</v>
      </c>
      <c r="N189" s="21">
        <f>'Raw Data'!N189</f>
        <v>1</v>
      </c>
      <c r="O189" s="21">
        <f>'Raw Data'!O189</f>
        <v>1</v>
      </c>
      <c r="P189" s="21">
        <f>IF('Raw Data'!P189="",ROUND(AVERAGE('Raw Data'!$P$2:$P$1501),1),'Raw Data'!P189)</f>
        <v>11</v>
      </c>
      <c r="Q189" s="21">
        <f>IF('Raw Data'!Q189="",ROUND(AVERAGE('Raw Data'!$Q$2:$Q$1501),0),'Raw Data'!Q189)</f>
        <v>2</v>
      </c>
      <c r="R189" s="21">
        <f>'Raw Data'!R189</f>
        <v>5</v>
      </c>
      <c r="S189" s="21">
        <f>IF('Raw Data'!S189="",ROUND(AVERAGE('Raw Data'!$S$2:$S$1501),0),'Raw Data'!S189)</f>
        <v>3</v>
      </c>
      <c r="T189" s="21">
        <f>'Raw Data'!T189</f>
        <v>216.89</v>
      </c>
      <c r="U189" s="21" t="str">
        <f>INDEX('Lookup Tables'!$C$7:$C$9,MATCH(E189,'Lookup Tables'!$B$7:$B$9,0))</f>
        <v>Tier 3 (Semi-urban/Rural)</v>
      </c>
      <c r="V189" s="21" t="str">
        <f t="shared" si="6"/>
        <v>0-6 months</v>
      </c>
      <c r="W189" s="21" t="str">
        <f t="shared" si="7"/>
        <v>Low Risk</v>
      </c>
      <c r="X189" s="21" t="str">
        <f t="shared" si="8"/>
        <v>Yes</v>
      </c>
    </row>
    <row r="190" spans="1:24" x14ac:dyDescent="0.3">
      <c r="A190" s="21">
        <f>'Raw Data'!A190</f>
        <v>50189</v>
      </c>
      <c r="B190" s="21">
        <f>'Raw Data'!B190</f>
        <v>0</v>
      </c>
      <c r="C190" s="21">
        <f>'Raw Data'!C190</f>
        <v>11</v>
      </c>
      <c r="D190" s="21" t="str">
        <f>'Raw Data'!D190</f>
        <v>Mobile Phone</v>
      </c>
      <c r="E190" s="21">
        <f>'Raw Data'!E190</f>
        <v>1</v>
      </c>
      <c r="F190" s="21">
        <f>IF('Raw Data'!F190="",ROUND(AVERAGE('Raw Data'!$F$2:$F$1501),1),'Raw Data'!F190)</f>
        <v>14.8</v>
      </c>
      <c r="G190" s="21" t="str">
        <f>'Raw Data'!G190</f>
        <v>Cash on Delivery</v>
      </c>
      <c r="H190" s="21" t="str">
        <f>'Raw Data'!H190</f>
        <v>Male</v>
      </c>
      <c r="I190" s="21">
        <f>IF('Raw Data'!I190="",ROUND(AVERAGE('Raw Data'!$I$2:$I$1501),1),'Raw Data'!I190)</f>
        <v>1.5</v>
      </c>
      <c r="J190" s="21">
        <f>'Raw Data'!J190</f>
        <v>4</v>
      </c>
      <c r="K190" s="21" t="str">
        <f>'Raw Data'!K190</f>
        <v>Mobile Phone</v>
      </c>
      <c r="L190" s="21">
        <f>'Raw Data'!L190</f>
        <v>4</v>
      </c>
      <c r="M190" s="21" t="str">
        <f>'Raw Data'!M190</f>
        <v>Single</v>
      </c>
      <c r="N190" s="21">
        <f>'Raw Data'!N190</f>
        <v>1</v>
      </c>
      <c r="O190" s="21">
        <f>'Raw Data'!O190</f>
        <v>0</v>
      </c>
      <c r="P190" s="21">
        <f>IF('Raw Data'!P190="",ROUND(AVERAGE('Raw Data'!$P$2:$P$1501),1),'Raw Data'!P190)</f>
        <v>15</v>
      </c>
      <c r="Q190" s="21">
        <f>IF('Raw Data'!Q190="",ROUND(AVERAGE('Raw Data'!$Q$2:$Q$1501),0),'Raw Data'!Q190)</f>
        <v>3</v>
      </c>
      <c r="R190" s="21">
        <f>'Raw Data'!R190</f>
        <v>3</v>
      </c>
      <c r="S190" s="21">
        <f>IF('Raw Data'!S190="",ROUND(AVERAGE('Raw Data'!$S$2:$S$1501),0),'Raw Data'!S190)</f>
        <v>1</v>
      </c>
      <c r="T190" s="21">
        <f>'Raw Data'!T190</f>
        <v>212.13</v>
      </c>
      <c r="U190" s="21" t="str">
        <f>INDEX('Lookup Tables'!$C$7:$C$9,MATCH(E190,'Lookup Tables'!$B$7:$B$9,0))</f>
        <v>Tier 1 (Metro)</v>
      </c>
      <c r="V190" s="21" t="str">
        <f t="shared" si="6"/>
        <v>7-12 months</v>
      </c>
      <c r="W190" s="21" t="str">
        <f t="shared" si="7"/>
        <v>Low Risk</v>
      </c>
      <c r="X190" s="21" t="str">
        <f t="shared" si="8"/>
        <v>No</v>
      </c>
    </row>
    <row r="191" spans="1:24" x14ac:dyDescent="0.3">
      <c r="A191" s="21">
        <f>'Raw Data'!A191</f>
        <v>50190</v>
      </c>
      <c r="B191" s="21">
        <f>'Raw Data'!B191</f>
        <v>0</v>
      </c>
      <c r="C191" s="21">
        <f>'Raw Data'!C191</f>
        <v>5</v>
      </c>
      <c r="D191" s="21" t="str">
        <f>'Raw Data'!D191</f>
        <v>Phone</v>
      </c>
      <c r="E191" s="21">
        <f>'Raw Data'!E191</f>
        <v>3</v>
      </c>
      <c r="F191" s="21">
        <f>IF('Raw Data'!F191="",ROUND(AVERAGE('Raw Data'!$F$2:$F$1501),1),'Raw Data'!F191)</f>
        <v>25</v>
      </c>
      <c r="G191" s="21" t="str">
        <f>'Raw Data'!G191</f>
        <v>Credit Card</v>
      </c>
      <c r="H191" s="21" t="str">
        <f>'Raw Data'!H191</f>
        <v>Male</v>
      </c>
      <c r="I191" s="21">
        <f>IF('Raw Data'!I191="",ROUND(AVERAGE('Raw Data'!$I$2:$I$1501),1),'Raw Data'!I191)</f>
        <v>2.5</v>
      </c>
      <c r="J191" s="21">
        <f>'Raw Data'!J191</f>
        <v>2</v>
      </c>
      <c r="K191" s="21" t="str">
        <f>'Raw Data'!K191</f>
        <v>Mobile Phone</v>
      </c>
      <c r="L191" s="21">
        <f>'Raw Data'!L191</f>
        <v>4</v>
      </c>
      <c r="M191" s="21" t="str">
        <f>'Raw Data'!M191</f>
        <v>Single</v>
      </c>
      <c r="N191" s="21">
        <f>'Raw Data'!N191</f>
        <v>1</v>
      </c>
      <c r="O191" s="21">
        <f>'Raw Data'!O191</f>
        <v>0</v>
      </c>
      <c r="P191" s="21">
        <f>IF('Raw Data'!P191="",ROUND(AVERAGE('Raw Data'!$P$2:$P$1501),1),'Raw Data'!P191)</f>
        <v>14.3</v>
      </c>
      <c r="Q191" s="21">
        <f>IF('Raw Data'!Q191="",ROUND(AVERAGE('Raw Data'!$Q$2:$Q$1501),0),'Raw Data'!Q191)</f>
        <v>0</v>
      </c>
      <c r="R191" s="21">
        <f>'Raw Data'!R191</f>
        <v>5</v>
      </c>
      <c r="S191" s="21">
        <f>IF('Raw Data'!S191="",ROUND(AVERAGE('Raw Data'!$S$2:$S$1501),0),'Raw Data'!S191)</f>
        <v>1</v>
      </c>
      <c r="T191" s="21">
        <f>'Raw Data'!T191</f>
        <v>114.9</v>
      </c>
      <c r="U191" s="21" t="str">
        <f>INDEX('Lookup Tables'!$C$7:$C$9,MATCH(E191,'Lookup Tables'!$B$7:$B$9,0))</f>
        <v>Tier 3 (Semi-urban/Rural)</v>
      </c>
      <c r="V191" s="21" t="str">
        <f t="shared" si="6"/>
        <v>0-6 months</v>
      </c>
      <c r="W191" s="21" t="str">
        <f t="shared" si="7"/>
        <v>Low Risk</v>
      </c>
      <c r="X191" s="21" t="str">
        <f t="shared" si="8"/>
        <v>No</v>
      </c>
    </row>
    <row r="192" spans="1:24" x14ac:dyDescent="0.3">
      <c r="A192" s="21">
        <f>'Raw Data'!A192</f>
        <v>50191</v>
      </c>
      <c r="B192" s="21">
        <f>'Raw Data'!B192</f>
        <v>0</v>
      </c>
      <c r="C192" s="21">
        <f>'Raw Data'!C192</f>
        <v>2</v>
      </c>
      <c r="D192" s="21" t="str">
        <f>'Raw Data'!D192</f>
        <v>Mobile Phone</v>
      </c>
      <c r="E192" s="21">
        <f>'Raw Data'!E192</f>
        <v>2</v>
      </c>
      <c r="F192" s="21">
        <f>IF('Raw Data'!F192="",ROUND(AVERAGE('Raw Data'!$F$2:$F$1501),1),'Raw Data'!F192)</f>
        <v>5</v>
      </c>
      <c r="G192" s="21" t="str">
        <f>'Raw Data'!G192</f>
        <v>E wallet</v>
      </c>
      <c r="H192" s="21" t="str">
        <f>'Raw Data'!H192</f>
        <v>Female</v>
      </c>
      <c r="I192" s="21">
        <f>IF('Raw Data'!I192="",ROUND(AVERAGE('Raw Data'!$I$2:$I$1501),1),'Raw Data'!I192)</f>
        <v>3.6</v>
      </c>
      <c r="J192" s="21">
        <f>'Raw Data'!J192</f>
        <v>5</v>
      </c>
      <c r="K192" s="21" t="str">
        <f>'Raw Data'!K192</f>
        <v>Mobile Phone</v>
      </c>
      <c r="L192" s="21">
        <f>'Raw Data'!L192</f>
        <v>5</v>
      </c>
      <c r="M192" s="21" t="str">
        <f>'Raw Data'!M192</f>
        <v>Married</v>
      </c>
      <c r="N192" s="21">
        <f>'Raw Data'!N192</f>
        <v>4</v>
      </c>
      <c r="O192" s="21">
        <f>'Raw Data'!O192</f>
        <v>0</v>
      </c>
      <c r="P192" s="21">
        <f>IF('Raw Data'!P192="",ROUND(AVERAGE('Raw Data'!$P$2:$P$1501),1),'Raw Data'!P192)</f>
        <v>16.3</v>
      </c>
      <c r="Q192" s="21">
        <f>IF('Raw Data'!Q192="",ROUND(AVERAGE('Raw Data'!$Q$2:$Q$1501),0),'Raw Data'!Q192)</f>
        <v>3</v>
      </c>
      <c r="R192" s="21">
        <f>'Raw Data'!R192</f>
        <v>4</v>
      </c>
      <c r="S192" s="21">
        <f>IF('Raw Data'!S192="",ROUND(AVERAGE('Raw Data'!$S$2:$S$1501),0),'Raw Data'!S192)</f>
        <v>0</v>
      </c>
      <c r="T192" s="21">
        <f>'Raw Data'!T192</f>
        <v>325</v>
      </c>
      <c r="U192" s="21" t="str">
        <f>INDEX('Lookup Tables'!$C$7:$C$9,MATCH(E192,'Lookup Tables'!$B$7:$B$9,0))</f>
        <v>Tier 2 (Urban)</v>
      </c>
      <c r="V192" s="21" t="str">
        <f t="shared" si="6"/>
        <v>0-6 months</v>
      </c>
      <c r="W192" s="21" t="str">
        <f t="shared" si="7"/>
        <v>Low Risk</v>
      </c>
      <c r="X192" s="21" t="str">
        <f t="shared" si="8"/>
        <v>No</v>
      </c>
    </row>
    <row r="193" spans="1:24" x14ac:dyDescent="0.3">
      <c r="A193" s="21">
        <f>'Raw Data'!A193</f>
        <v>50192</v>
      </c>
      <c r="B193" s="21">
        <f>'Raw Data'!B193</f>
        <v>0</v>
      </c>
      <c r="C193" s="21">
        <f>'Raw Data'!C193</f>
        <v>17</v>
      </c>
      <c r="D193" s="21" t="str">
        <f>'Raw Data'!D193</f>
        <v>Mobile Phone</v>
      </c>
      <c r="E193" s="21">
        <f>'Raw Data'!E193</f>
        <v>1</v>
      </c>
      <c r="F193" s="21">
        <f>IF('Raw Data'!F193="",ROUND(AVERAGE('Raw Data'!$F$2:$F$1501),1),'Raw Data'!F193)</f>
        <v>22</v>
      </c>
      <c r="G193" s="21" t="str">
        <f>'Raw Data'!G193</f>
        <v>Debit Card</v>
      </c>
      <c r="H193" s="21" t="str">
        <f>'Raw Data'!H193</f>
        <v>Female</v>
      </c>
      <c r="I193" s="21">
        <f>IF('Raw Data'!I193="",ROUND(AVERAGE('Raw Data'!$I$2:$I$1501),1),'Raw Data'!I193)</f>
        <v>3.5</v>
      </c>
      <c r="J193" s="21">
        <f>'Raw Data'!J193</f>
        <v>3</v>
      </c>
      <c r="K193" s="21" t="str">
        <f>'Raw Data'!K193</f>
        <v>Others</v>
      </c>
      <c r="L193" s="21">
        <f>'Raw Data'!L193</f>
        <v>2</v>
      </c>
      <c r="M193" s="21" t="str">
        <f>'Raw Data'!M193</f>
        <v>Divorced</v>
      </c>
      <c r="N193" s="21">
        <f>'Raw Data'!N193</f>
        <v>1</v>
      </c>
      <c r="O193" s="21">
        <f>'Raw Data'!O193</f>
        <v>0</v>
      </c>
      <c r="P193" s="21">
        <f>IF('Raw Data'!P193="",ROUND(AVERAGE('Raw Data'!$P$2:$P$1501),1),'Raw Data'!P193)</f>
        <v>13.9</v>
      </c>
      <c r="Q193" s="21">
        <f>IF('Raw Data'!Q193="",ROUND(AVERAGE('Raw Data'!$Q$2:$Q$1501),0),'Raw Data'!Q193)</f>
        <v>1</v>
      </c>
      <c r="R193" s="21">
        <f>'Raw Data'!R193</f>
        <v>2</v>
      </c>
      <c r="S193" s="21">
        <f>IF('Raw Data'!S193="",ROUND(AVERAGE('Raw Data'!$S$2:$S$1501),0),'Raw Data'!S193)</f>
        <v>0</v>
      </c>
      <c r="T193" s="21">
        <f>'Raw Data'!T193</f>
        <v>237.82</v>
      </c>
      <c r="U193" s="21" t="str">
        <f>INDEX('Lookup Tables'!$C$7:$C$9,MATCH(E193,'Lookup Tables'!$B$7:$B$9,0))</f>
        <v>Tier 1 (Metro)</v>
      </c>
      <c r="V193" s="21" t="str">
        <f t="shared" si="6"/>
        <v>13-24 months</v>
      </c>
      <c r="W193" s="21" t="str">
        <f t="shared" si="7"/>
        <v>Low Risk</v>
      </c>
      <c r="X193" s="21" t="str">
        <f t="shared" si="8"/>
        <v>No</v>
      </c>
    </row>
    <row r="194" spans="1:24" x14ac:dyDescent="0.3">
      <c r="A194" s="21">
        <f>'Raw Data'!A194</f>
        <v>50193</v>
      </c>
      <c r="B194" s="21">
        <f>'Raw Data'!B194</f>
        <v>0</v>
      </c>
      <c r="C194" s="21">
        <f>'Raw Data'!C194</f>
        <v>16</v>
      </c>
      <c r="D194" s="21" t="str">
        <f>'Raw Data'!D194</f>
        <v>Computer</v>
      </c>
      <c r="E194" s="21">
        <f>'Raw Data'!E194</f>
        <v>1</v>
      </c>
      <c r="F194" s="21">
        <f>IF('Raw Data'!F194="",ROUND(AVERAGE('Raw Data'!$F$2:$F$1501),1),'Raw Data'!F194)</f>
        <v>22</v>
      </c>
      <c r="G194" s="21" t="str">
        <f>'Raw Data'!G194</f>
        <v>Debit Card</v>
      </c>
      <c r="H194" s="21" t="str">
        <f>'Raw Data'!H194</f>
        <v>Female</v>
      </c>
      <c r="I194" s="21">
        <f>IF('Raw Data'!I194="",ROUND(AVERAGE('Raw Data'!$I$2:$I$1501),1),'Raw Data'!I194)</f>
        <v>3.5</v>
      </c>
      <c r="J194" s="21">
        <f>'Raw Data'!J194</f>
        <v>4</v>
      </c>
      <c r="K194" s="21" t="str">
        <f>'Raw Data'!K194</f>
        <v>Laptop &amp; Accessory</v>
      </c>
      <c r="L194" s="21">
        <f>'Raw Data'!L194</f>
        <v>2</v>
      </c>
      <c r="M194" s="21" t="str">
        <f>'Raw Data'!M194</f>
        <v>Single</v>
      </c>
      <c r="N194" s="21">
        <f>'Raw Data'!N194</f>
        <v>2</v>
      </c>
      <c r="O194" s="21">
        <f>'Raw Data'!O194</f>
        <v>0</v>
      </c>
      <c r="P194" s="21">
        <f>IF('Raw Data'!P194="",ROUND(AVERAGE('Raw Data'!$P$2:$P$1501),1),'Raw Data'!P194)</f>
        <v>13.4</v>
      </c>
      <c r="Q194" s="21">
        <f>IF('Raw Data'!Q194="",ROUND(AVERAGE('Raw Data'!$Q$2:$Q$1501),0),'Raw Data'!Q194)</f>
        <v>2</v>
      </c>
      <c r="R194" s="21">
        <f>'Raw Data'!R194</f>
        <v>5</v>
      </c>
      <c r="S194" s="21">
        <f>IF('Raw Data'!S194="",ROUND(AVERAGE('Raw Data'!$S$2:$S$1501),0),'Raw Data'!S194)</f>
        <v>4</v>
      </c>
      <c r="T194" s="21">
        <f>'Raw Data'!T194</f>
        <v>208.44</v>
      </c>
      <c r="U194" s="21" t="str">
        <f>INDEX('Lookup Tables'!$C$7:$C$9,MATCH(E194,'Lookup Tables'!$B$7:$B$9,0))</f>
        <v>Tier 1 (Metro)</v>
      </c>
      <c r="V194" s="21" t="str">
        <f t="shared" ref="V194:V257" si="9">IF(C194&lt;=6,"0-6 months",IF(C194&lt;=12,"7-12 months",IF(C194&lt;=24,"13-24 months","25+ months")))</f>
        <v>13-24 months</v>
      </c>
      <c r="W194" s="21" t="str">
        <f t="shared" ref="W194:W257" si="10">IF(AND(O194=1,L194&lt;=2),"High Risk",IF(OR(L194=3,S194&gt;15),"Medium Risk","Low Risk"))</f>
        <v>Low Risk</v>
      </c>
      <c r="X194" s="21" t="str">
        <f t="shared" ref="X194:X257" si="11">IF(B194=1,"Yes","No")</f>
        <v>No</v>
      </c>
    </row>
    <row r="195" spans="1:24" x14ac:dyDescent="0.3">
      <c r="A195" s="21">
        <f>'Raw Data'!A195</f>
        <v>50194</v>
      </c>
      <c r="B195" s="21">
        <f>'Raw Data'!B195</f>
        <v>0</v>
      </c>
      <c r="C195" s="21">
        <f>'Raw Data'!C195</f>
        <v>11</v>
      </c>
      <c r="D195" s="21" t="str">
        <f>'Raw Data'!D195</f>
        <v>Phone</v>
      </c>
      <c r="E195" s="21">
        <f>'Raw Data'!E195</f>
        <v>1</v>
      </c>
      <c r="F195" s="21">
        <f>IF('Raw Data'!F195="",ROUND(AVERAGE('Raw Data'!$F$2:$F$1501),1),'Raw Data'!F195)</f>
        <v>29</v>
      </c>
      <c r="G195" s="21" t="str">
        <f>'Raw Data'!G195</f>
        <v>Cash on Delivery</v>
      </c>
      <c r="H195" s="21" t="str">
        <f>'Raw Data'!H195</f>
        <v>Female</v>
      </c>
      <c r="I195" s="21">
        <f>IF('Raw Data'!I195="",ROUND(AVERAGE('Raw Data'!$I$2:$I$1501),1),'Raw Data'!I195)</f>
        <v>2.2000000000000002</v>
      </c>
      <c r="J195" s="21">
        <f>'Raw Data'!J195</f>
        <v>3</v>
      </c>
      <c r="K195" s="21" t="str">
        <f>'Raw Data'!K195</f>
        <v>Fashion</v>
      </c>
      <c r="L195" s="21">
        <f>'Raw Data'!L195</f>
        <v>5</v>
      </c>
      <c r="M195" s="21" t="str">
        <f>'Raw Data'!M195</f>
        <v>Single</v>
      </c>
      <c r="N195" s="21">
        <f>'Raw Data'!N195</f>
        <v>1</v>
      </c>
      <c r="O195" s="21">
        <f>'Raw Data'!O195</f>
        <v>0</v>
      </c>
      <c r="P195" s="21">
        <f>IF('Raw Data'!P195="",ROUND(AVERAGE('Raw Data'!$P$2:$P$1501),1),'Raw Data'!P195)</f>
        <v>18.2</v>
      </c>
      <c r="Q195" s="21">
        <f>IF('Raw Data'!Q195="",ROUND(AVERAGE('Raw Data'!$Q$2:$Q$1501),0),'Raw Data'!Q195)</f>
        <v>1</v>
      </c>
      <c r="R195" s="21">
        <f>'Raw Data'!R195</f>
        <v>1</v>
      </c>
      <c r="S195" s="21">
        <f>IF('Raw Data'!S195="",ROUND(AVERAGE('Raw Data'!$S$2:$S$1501),0),'Raw Data'!S195)</f>
        <v>5</v>
      </c>
      <c r="T195" s="21">
        <f>'Raw Data'!T195</f>
        <v>115.96</v>
      </c>
      <c r="U195" s="21" t="str">
        <f>INDEX('Lookup Tables'!$C$7:$C$9,MATCH(E195,'Lookup Tables'!$B$7:$B$9,0))</f>
        <v>Tier 1 (Metro)</v>
      </c>
      <c r="V195" s="21" t="str">
        <f t="shared" si="9"/>
        <v>7-12 months</v>
      </c>
      <c r="W195" s="21" t="str">
        <f t="shared" si="10"/>
        <v>Low Risk</v>
      </c>
      <c r="X195" s="21" t="str">
        <f t="shared" si="11"/>
        <v>No</v>
      </c>
    </row>
    <row r="196" spans="1:24" x14ac:dyDescent="0.3">
      <c r="A196" s="21">
        <f>'Raw Data'!A196</f>
        <v>50195</v>
      </c>
      <c r="B196" s="21">
        <f>'Raw Data'!B196</f>
        <v>0</v>
      </c>
      <c r="C196" s="21">
        <f>'Raw Data'!C196</f>
        <v>3</v>
      </c>
      <c r="D196" s="21" t="str">
        <f>'Raw Data'!D196</f>
        <v>Phone</v>
      </c>
      <c r="E196" s="21">
        <f>'Raw Data'!E196</f>
        <v>3</v>
      </c>
      <c r="F196" s="21">
        <f>IF('Raw Data'!F196="",ROUND(AVERAGE('Raw Data'!$F$2:$F$1501),1),'Raw Data'!F196)</f>
        <v>11</v>
      </c>
      <c r="G196" s="21" t="str">
        <f>'Raw Data'!G196</f>
        <v>Debit Card</v>
      </c>
      <c r="H196" s="21" t="str">
        <f>'Raw Data'!H196</f>
        <v>Male</v>
      </c>
      <c r="I196" s="21">
        <f>IF('Raw Data'!I196="",ROUND(AVERAGE('Raw Data'!$I$2:$I$1501),1),'Raw Data'!I196)</f>
        <v>4</v>
      </c>
      <c r="J196" s="21">
        <f>'Raw Data'!J196</f>
        <v>4</v>
      </c>
      <c r="K196" s="21" t="str">
        <f>'Raw Data'!K196</f>
        <v>Mobile Phone</v>
      </c>
      <c r="L196" s="21">
        <f>'Raw Data'!L196</f>
        <v>2</v>
      </c>
      <c r="M196" s="21" t="str">
        <f>'Raw Data'!M196</f>
        <v>Single</v>
      </c>
      <c r="N196" s="21">
        <f>'Raw Data'!N196</f>
        <v>2</v>
      </c>
      <c r="O196" s="21">
        <f>'Raw Data'!O196</f>
        <v>0</v>
      </c>
      <c r="P196" s="21">
        <f>IF('Raw Data'!P196="",ROUND(AVERAGE('Raw Data'!$P$2:$P$1501),1),'Raw Data'!P196)</f>
        <v>17.600000000000001</v>
      </c>
      <c r="Q196" s="21">
        <f>IF('Raw Data'!Q196="",ROUND(AVERAGE('Raw Data'!$Q$2:$Q$1501),0),'Raw Data'!Q196)</f>
        <v>2</v>
      </c>
      <c r="R196" s="21">
        <f>'Raw Data'!R196</f>
        <v>6</v>
      </c>
      <c r="S196" s="21">
        <f>IF('Raw Data'!S196="",ROUND(AVERAGE('Raw Data'!$S$2:$S$1501),0),'Raw Data'!S196)</f>
        <v>0</v>
      </c>
      <c r="T196" s="21">
        <f>'Raw Data'!T196</f>
        <v>232.13</v>
      </c>
      <c r="U196" s="21" t="str">
        <f>INDEX('Lookup Tables'!$C$7:$C$9,MATCH(E196,'Lookup Tables'!$B$7:$B$9,0))</f>
        <v>Tier 3 (Semi-urban/Rural)</v>
      </c>
      <c r="V196" s="21" t="str">
        <f t="shared" si="9"/>
        <v>0-6 months</v>
      </c>
      <c r="W196" s="21" t="str">
        <f t="shared" si="10"/>
        <v>Low Risk</v>
      </c>
      <c r="X196" s="21" t="str">
        <f t="shared" si="11"/>
        <v>No</v>
      </c>
    </row>
    <row r="197" spans="1:24" x14ac:dyDescent="0.3">
      <c r="A197" s="21">
        <f>'Raw Data'!A197</f>
        <v>50196</v>
      </c>
      <c r="B197" s="21">
        <f>'Raw Data'!B197</f>
        <v>0</v>
      </c>
      <c r="C197" s="21">
        <f>'Raw Data'!C197</f>
        <v>8</v>
      </c>
      <c r="D197" s="21" t="str">
        <f>'Raw Data'!D197</f>
        <v>Mobile Phone</v>
      </c>
      <c r="E197" s="21">
        <f>'Raw Data'!E197</f>
        <v>1</v>
      </c>
      <c r="F197" s="21">
        <f>IF('Raw Data'!F197="",ROUND(AVERAGE('Raw Data'!$F$2:$F$1501),1),'Raw Data'!F197)</f>
        <v>20</v>
      </c>
      <c r="G197" s="21" t="str">
        <f>'Raw Data'!G197</f>
        <v>Credit Card</v>
      </c>
      <c r="H197" s="21" t="str">
        <f>'Raw Data'!H197</f>
        <v>Male</v>
      </c>
      <c r="I197" s="21">
        <f>IF('Raw Data'!I197="",ROUND(AVERAGE('Raw Data'!$I$2:$I$1501),1),'Raw Data'!I197)</f>
        <v>2.2000000000000002</v>
      </c>
      <c r="J197" s="21">
        <f>'Raw Data'!J197</f>
        <v>4</v>
      </c>
      <c r="K197" s="21" t="str">
        <f>'Raw Data'!K197</f>
        <v>Laptop &amp; Accessory</v>
      </c>
      <c r="L197" s="21">
        <f>'Raw Data'!L197</f>
        <v>4</v>
      </c>
      <c r="M197" s="21" t="str">
        <f>'Raw Data'!M197</f>
        <v>Married</v>
      </c>
      <c r="N197" s="21">
        <f>'Raw Data'!N197</f>
        <v>4</v>
      </c>
      <c r="O197" s="21">
        <f>'Raw Data'!O197</f>
        <v>0</v>
      </c>
      <c r="P197" s="21">
        <f>IF('Raw Data'!P197="",ROUND(AVERAGE('Raw Data'!$P$2:$P$1501),1),'Raw Data'!P197)</f>
        <v>17.899999999999999</v>
      </c>
      <c r="Q197" s="21">
        <f>IF('Raw Data'!Q197="",ROUND(AVERAGE('Raw Data'!$Q$2:$Q$1501),0),'Raw Data'!Q197)</f>
        <v>2</v>
      </c>
      <c r="R197" s="21">
        <f>'Raw Data'!R197</f>
        <v>2</v>
      </c>
      <c r="S197" s="21">
        <f>IF('Raw Data'!S197="",ROUND(AVERAGE('Raw Data'!$S$2:$S$1501),0),'Raw Data'!S197)</f>
        <v>4</v>
      </c>
      <c r="T197" s="21">
        <f>'Raw Data'!T197</f>
        <v>152.44</v>
      </c>
      <c r="U197" s="21" t="str">
        <f>INDEX('Lookup Tables'!$C$7:$C$9,MATCH(E197,'Lookup Tables'!$B$7:$B$9,0))</f>
        <v>Tier 1 (Metro)</v>
      </c>
      <c r="V197" s="21" t="str">
        <f t="shared" si="9"/>
        <v>7-12 months</v>
      </c>
      <c r="W197" s="21" t="str">
        <f t="shared" si="10"/>
        <v>Low Risk</v>
      </c>
      <c r="X197" s="21" t="str">
        <f t="shared" si="11"/>
        <v>No</v>
      </c>
    </row>
    <row r="198" spans="1:24" x14ac:dyDescent="0.3">
      <c r="A198" s="21">
        <f>'Raw Data'!A198</f>
        <v>50197</v>
      </c>
      <c r="B198" s="21">
        <f>'Raw Data'!B198</f>
        <v>1</v>
      </c>
      <c r="C198" s="21">
        <f>'Raw Data'!C198</f>
        <v>4</v>
      </c>
      <c r="D198" s="21" t="str">
        <f>'Raw Data'!D198</f>
        <v>Computer</v>
      </c>
      <c r="E198" s="21">
        <f>'Raw Data'!E198</f>
        <v>2</v>
      </c>
      <c r="F198" s="21">
        <f>IF('Raw Data'!F198="",ROUND(AVERAGE('Raw Data'!$F$2:$F$1501),1),'Raw Data'!F198)</f>
        <v>33</v>
      </c>
      <c r="G198" s="21" t="str">
        <f>'Raw Data'!G198</f>
        <v>E wallet</v>
      </c>
      <c r="H198" s="21" t="str">
        <f>'Raw Data'!H198</f>
        <v>Male</v>
      </c>
      <c r="I198" s="21">
        <f>IF('Raw Data'!I198="",ROUND(AVERAGE('Raw Data'!$I$2:$I$1501),1),'Raw Data'!I198)</f>
        <v>3</v>
      </c>
      <c r="J198" s="21">
        <f>'Raw Data'!J198</f>
        <v>2</v>
      </c>
      <c r="K198" s="21" t="str">
        <f>'Raw Data'!K198</f>
        <v>Mobile Phone</v>
      </c>
      <c r="L198" s="21">
        <f>'Raw Data'!L198</f>
        <v>3</v>
      </c>
      <c r="M198" s="21" t="str">
        <f>'Raw Data'!M198</f>
        <v>Single</v>
      </c>
      <c r="N198" s="21">
        <f>'Raw Data'!N198</f>
        <v>4</v>
      </c>
      <c r="O198" s="21">
        <f>'Raw Data'!O198</f>
        <v>0</v>
      </c>
      <c r="P198" s="21">
        <f>IF('Raw Data'!P198="",ROUND(AVERAGE('Raw Data'!$P$2:$P$1501),1),'Raw Data'!P198)</f>
        <v>15.4</v>
      </c>
      <c r="Q198" s="21">
        <f>IF('Raw Data'!Q198="",ROUND(AVERAGE('Raw Data'!$Q$2:$Q$1501),0),'Raw Data'!Q198)</f>
        <v>2</v>
      </c>
      <c r="R198" s="21">
        <f>'Raw Data'!R198</f>
        <v>5</v>
      </c>
      <c r="S198" s="21">
        <f>IF('Raw Data'!S198="",ROUND(AVERAGE('Raw Data'!$S$2:$S$1501),0),'Raw Data'!S198)</f>
        <v>20</v>
      </c>
      <c r="T198" s="21">
        <f>'Raw Data'!T198</f>
        <v>169.32</v>
      </c>
      <c r="U198" s="21" t="str">
        <f>INDEX('Lookup Tables'!$C$7:$C$9,MATCH(E198,'Lookup Tables'!$B$7:$B$9,0))</f>
        <v>Tier 2 (Urban)</v>
      </c>
      <c r="V198" s="21" t="str">
        <f t="shared" si="9"/>
        <v>0-6 months</v>
      </c>
      <c r="W198" s="21" t="str">
        <f t="shared" si="10"/>
        <v>Medium Risk</v>
      </c>
      <c r="X198" s="21" t="str">
        <f t="shared" si="11"/>
        <v>Yes</v>
      </c>
    </row>
    <row r="199" spans="1:24" x14ac:dyDescent="0.3">
      <c r="A199" s="21">
        <f>'Raw Data'!A199</f>
        <v>50198</v>
      </c>
      <c r="B199" s="21">
        <f>'Raw Data'!B199</f>
        <v>1</v>
      </c>
      <c r="C199" s="21">
        <f>'Raw Data'!C199</f>
        <v>0</v>
      </c>
      <c r="D199" s="21" t="str">
        <f>'Raw Data'!D199</f>
        <v>Computer</v>
      </c>
      <c r="E199" s="21">
        <f>'Raw Data'!E199</f>
        <v>1</v>
      </c>
      <c r="F199" s="21">
        <f>IF('Raw Data'!F199="",ROUND(AVERAGE('Raw Data'!$F$2:$F$1501),1),'Raw Data'!F199)</f>
        <v>10</v>
      </c>
      <c r="G199" s="21" t="str">
        <f>'Raw Data'!G199</f>
        <v>Debit Card</v>
      </c>
      <c r="H199" s="21" t="str">
        <f>'Raw Data'!H199</f>
        <v>Female</v>
      </c>
      <c r="I199" s="21">
        <f>IF('Raw Data'!I199="",ROUND(AVERAGE('Raw Data'!$I$2:$I$1501),1),'Raw Data'!I199)</f>
        <v>2.9</v>
      </c>
      <c r="J199" s="21">
        <f>'Raw Data'!J199</f>
        <v>2</v>
      </c>
      <c r="K199" s="21" t="str">
        <f>'Raw Data'!K199</f>
        <v>Grocery</v>
      </c>
      <c r="L199" s="21">
        <f>'Raw Data'!L199</f>
        <v>1</v>
      </c>
      <c r="M199" s="21" t="str">
        <f>'Raw Data'!M199</f>
        <v>Married</v>
      </c>
      <c r="N199" s="21">
        <f>'Raw Data'!N199</f>
        <v>2</v>
      </c>
      <c r="O199" s="21">
        <f>'Raw Data'!O199</f>
        <v>0</v>
      </c>
      <c r="P199" s="21">
        <f>IF('Raw Data'!P199="",ROUND(AVERAGE('Raw Data'!$P$2:$P$1501),1),'Raw Data'!P199)</f>
        <v>14</v>
      </c>
      <c r="Q199" s="21">
        <f>IF('Raw Data'!Q199="",ROUND(AVERAGE('Raw Data'!$Q$2:$Q$1501),0),'Raw Data'!Q199)</f>
        <v>2</v>
      </c>
      <c r="R199" s="21">
        <f>'Raw Data'!R199</f>
        <v>3</v>
      </c>
      <c r="S199" s="21">
        <f>IF('Raw Data'!S199="",ROUND(AVERAGE('Raw Data'!$S$2:$S$1501),0),'Raw Data'!S199)</f>
        <v>0</v>
      </c>
      <c r="T199" s="21">
        <f>'Raw Data'!T199</f>
        <v>87.56</v>
      </c>
      <c r="U199" s="21" t="str">
        <f>INDEX('Lookup Tables'!$C$7:$C$9,MATCH(E199,'Lookup Tables'!$B$7:$B$9,0))</f>
        <v>Tier 1 (Metro)</v>
      </c>
      <c r="V199" s="21" t="str">
        <f t="shared" si="9"/>
        <v>0-6 months</v>
      </c>
      <c r="W199" s="21" t="str">
        <f t="shared" si="10"/>
        <v>Low Risk</v>
      </c>
      <c r="X199" s="21" t="str">
        <f t="shared" si="11"/>
        <v>Yes</v>
      </c>
    </row>
    <row r="200" spans="1:24" x14ac:dyDescent="0.3">
      <c r="A200" s="21">
        <f>'Raw Data'!A200</f>
        <v>50199</v>
      </c>
      <c r="B200" s="21">
        <f>'Raw Data'!B200</f>
        <v>0</v>
      </c>
      <c r="C200" s="21">
        <f>'Raw Data'!C200</f>
        <v>24</v>
      </c>
      <c r="D200" s="21" t="str">
        <f>'Raw Data'!D200</f>
        <v>Mobile Phone</v>
      </c>
      <c r="E200" s="21">
        <f>'Raw Data'!E200</f>
        <v>2</v>
      </c>
      <c r="F200" s="21">
        <f>IF('Raw Data'!F200="",ROUND(AVERAGE('Raw Data'!$F$2:$F$1501),1),'Raw Data'!F200)</f>
        <v>5</v>
      </c>
      <c r="G200" s="21" t="str">
        <f>'Raw Data'!G200</f>
        <v>UPI</v>
      </c>
      <c r="H200" s="21" t="str">
        <f>'Raw Data'!H200</f>
        <v>Female</v>
      </c>
      <c r="I200" s="21">
        <f>IF('Raw Data'!I200="",ROUND(AVERAGE('Raw Data'!$I$2:$I$1501),1),'Raw Data'!I200)</f>
        <v>2.8</v>
      </c>
      <c r="J200" s="21">
        <f>'Raw Data'!J200</f>
        <v>2</v>
      </c>
      <c r="K200" s="21" t="str">
        <f>'Raw Data'!K200</f>
        <v>Laptop &amp; Accessory</v>
      </c>
      <c r="L200" s="21">
        <f>'Raw Data'!L200</f>
        <v>3</v>
      </c>
      <c r="M200" s="21" t="str">
        <f>'Raw Data'!M200</f>
        <v>Single</v>
      </c>
      <c r="N200" s="21">
        <f>'Raw Data'!N200</f>
        <v>2</v>
      </c>
      <c r="O200" s="21">
        <f>'Raw Data'!O200</f>
        <v>0</v>
      </c>
      <c r="P200" s="21">
        <f>IF('Raw Data'!P200="",ROUND(AVERAGE('Raw Data'!$P$2:$P$1501),1),'Raw Data'!P200)</f>
        <v>15.6</v>
      </c>
      <c r="Q200" s="21">
        <f>IF('Raw Data'!Q200="",ROUND(AVERAGE('Raw Data'!$Q$2:$Q$1501),0),'Raw Data'!Q200)</f>
        <v>4</v>
      </c>
      <c r="R200" s="21">
        <f>'Raw Data'!R200</f>
        <v>2</v>
      </c>
      <c r="S200" s="21">
        <f>IF('Raw Data'!S200="",ROUND(AVERAGE('Raw Data'!$S$2:$S$1501),0),'Raw Data'!S200)</f>
        <v>3</v>
      </c>
      <c r="T200" s="21">
        <f>'Raw Data'!T200</f>
        <v>111.72</v>
      </c>
      <c r="U200" s="21" t="str">
        <f>INDEX('Lookup Tables'!$C$7:$C$9,MATCH(E200,'Lookup Tables'!$B$7:$B$9,0))</f>
        <v>Tier 2 (Urban)</v>
      </c>
      <c r="V200" s="21" t="str">
        <f t="shared" si="9"/>
        <v>13-24 months</v>
      </c>
      <c r="W200" s="21" t="str">
        <f t="shared" si="10"/>
        <v>Medium Risk</v>
      </c>
      <c r="X200" s="21" t="str">
        <f t="shared" si="11"/>
        <v>No</v>
      </c>
    </row>
    <row r="201" spans="1:24" x14ac:dyDescent="0.3">
      <c r="A201" s="21">
        <f>'Raw Data'!A201</f>
        <v>50200</v>
      </c>
      <c r="B201" s="21">
        <f>'Raw Data'!B201</f>
        <v>1</v>
      </c>
      <c r="C201" s="21">
        <f>'Raw Data'!C201</f>
        <v>1</v>
      </c>
      <c r="D201" s="21" t="str">
        <f>'Raw Data'!D201</f>
        <v>Mobile Phone</v>
      </c>
      <c r="E201" s="21">
        <f>'Raw Data'!E201</f>
        <v>3</v>
      </c>
      <c r="F201" s="21">
        <f>IF('Raw Data'!F201="",ROUND(AVERAGE('Raw Data'!$F$2:$F$1501),1),'Raw Data'!F201)</f>
        <v>5</v>
      </c>
      <c r="G201" s="21" t="str">
        <f>'Raw Data'!G201</f>
        <v>Credit Card</v>
      </c>
      <c r="H201" s="21" t="str">
        <f>'Raw Data'!H201</f>
        <v>Male</v>
      </c>
      <c r="I201" s="21">
        <f>IF('Raw Data'!I201="",ROUND(AVERAGE('Raw Data'!$I$2:$I$1501),1),'Raw Data'!I201)</f>
        <v>3.8</v>
      </c>
      <c r="J201" s="21">
        <f>'Raw Data'!J201</f>
        <v>3</v>
      </c>
      <c r="K201" s="21" t="str">
        <f>'Raw Data'!K201</f>
        <v>Laptop &amp; Accessory</v>
      </c>
      <c r="L201" s="21">
        <f>'Raw Data'!L201</f>
        <v>3</v>
      </c>
      <c r="M201" s="21" t="str">
        <f>'Raw Data'!M201</f>
        <v>Married</v>
      </c>
      <c r="N201" s="21">
        <f>'Raw Data'!N201</f>
        <v>1</v>
      </c>
      <c r="O201" s="21">
        <f>'Raw Data'!O201</f>
        <v>1</v>
      </c>
      <c r="P201" s="21">
        <f>IF('Raw Data'!P201="",ROUND(AVERAGE('Raw Data'!$P$2:$P$1501),1),'Raw Data'!P201)</f>
        <v>17.8</v>
      </c>
      <c r="Q201" s="21">
        <f>IF('Raw Data'!Q201="",ROUND(AVERAGE('Raw Data'!$Q$2:$Q$1501),0),'Raw Data'!Q201)</f>
        <v>1</v>
      </c>
      <c r="R201" s="21">
        <f>'Raw Data'!R201</f>
        <v>6</v>
      </c>
      <c r="S201" s="21">
        <f>IF('Raw Data'!S201="",ROUND(AVERAGE('Raw Data'!$S$2:$S$1501),0),'Raw Data'!S201)</f>
        <v>6</v>
      </c>
      <c r="T201" s="21">
        <f>'Raw Data'!T201</f>
        <v>204.12</v>
      </c>
      <c r="U201" s="21" t="str">
        <f>INDEX('Lookup Tables'!$C$7:$C$9,MATCH(E201,'Lookup Tables'!$B$7:$B$9,0))</f>
        <v>Tier 3 (Semi-urban/Rural)</v>
      </c>
      <c r="V201" s="21" t="str">
        <f t="shared" si="9"/>
        <v>0-6 months</v>
      </c>
      <c r="W201" s="21" t="str">
        <f t="shared" si="10"/>
        <v>Medium Risk</v>
      </c>
      <c r="X201" s="21" t="str">
        <f t="shared" si="11"/>
        <v>Yes</v>
      </c>
    </row>
    <row r="202" spans="1:24" x14ac:dyDescent="0.3">
      <c r="A202" s="21">
        <f>'Raw Data'!A202</f>
        <v>50201</v>
      </c>
      <c r="B202" s="21">
        <f>'Raw Data'!B202</f>
        <v>0</v>
      </c>
      <c r="C202" s="21">
        <f>'Raw Data'!C202</f>
        <v>30</v>
      </c>
      <c r="D202" s="21" t="str">
        <f>'Raw Data'!D202</f>
        <v>Mobile Phone</v>
      </c>
      <c r="E202" s="21">
        <f>'Raw Data'!E202</f>
        <v>3</v>
      </c>
      <c r="F202" s="21">
        <f>IF('Raw Data'!F202="",ROUND(AVERAGE('Raw Data'!$F$2:$F$1501),1),'Raw Data'!F202)</f>
        <v>20</v>
      </c>
      <c r="G202" s="21" t="str">
        <f>'Raw Data'!G202</f>
        <v>Debit Card</v>
      </c>
      <c r="H202" s="21" t="str">
        <f>'Raw Data'!H202</f>
        <v>Male</v>
      </c>
      <c r="I202" s="21">
        <f>IF('Raw Data'!I202="",ROUND(AVERAGE('Raw Data'!$I$2:$I$1501),1),'Raw Data'!I202)</f>
        <v>2.4</v>
      </c>
      <c r="J202" s="21">
        <f>'Raw Data'!J202</f>
        <v>4</v>
      </c>
      <c r="K202" s="21" t="str">
        <f>'Raw Data'!K202</f>
        <v>Laptop &amp; Accessory</v>
      </c>
      <c r="L202" s="21">
        <f>'Raw Data'!L202</f>
        <v>5</v>
      </c>
      <c r="M202" s="21" t="str">
        <f>'Raw Data'!M202</f>
        <v>Single</v>
      </c>
      <c r="N202" s="21">
        <f>'Raw Data'!N202</f>
        <v>6</v>
      </c>
      <c r="O202" s="21">
        <f>'Raw Data'!O202</f>
        <v>0</v>
      </c>
      <c r="P202" s="21">
        <f>IF('Raw Data'!P202="",ROUND(AVERAGE('Raw Data'!$P$2:$P$1501),1),'Raw Data'!P202)</f>
        <v>11</v>
      </c>
      <c r="Q202" s="21">
        <f>IF('Raw Data'!Q202="",ROUND(AVERAGE('Raw Data'!$Q$2:$Q$1501),0),'Raw Data'!Q202)</f>
        <v>2</v>
      </c>
      <c r="R202" s="21">
        <f>'Raw Data'!R202</f>
        <v>4</v>
      </c>
      <c r="S202" s="21">
        <f>IF('Raw Data'!S202="",ROUND(AVERAGE('Raw Data'!$S$2:$S$1501),0),'Raw Data'!S202)</f>
        <v>0</v>
      </c>
      <c r="T202" s="21">
        <f>'Raw Data'!T202</f>
        <v>235.34</v>
      </c>
      <c r="U202" s="21" t="str">
        <f>INDEX('Lookup Tables'!$C$7:$C$9,MATCH(E202,'Lookup Tables'!$B$7:$B$9,0))</f>
        <v>Tier 3 (Semi-urban/Rural)</v>
      </c>
      <c r="V202" s="21" t="str">
        <f t="shared" si="9"/>
        <v>25+ months</v>
      </c>
      <c r="W202" s="21" t="str">
        <f t="shared" si="10"/>
        <v>Low Risk</v>
      </c>
      <c r="X202" s="21" t="str">
        <f t="shared" si="11"/>
        <v>No</v>
      </c>
    </row>
    <row r="203" spans="1:24" x14ac:dyDescent="0.3">
      <c r="A203" s="21">
        <f>'Raw Data'!A203</f>
        <v>50202</v>
      </c>
      <c r="B203" s="21">
        <f>'Raw Data'!B203</f>
        <v>0</v>
      </c>
      <c r="C203" s="21">
        <f>'Raw Data'!C203</f>
        <v>5</v>
      </c>
      <c r="D203" s="21" t="str">
        <f>'Raw Data'!D203</f>
        <v>Mobile Phone</v>
      </c>
      <c r="E203" s="21">
        <f>'Raw Data'!E203</f>
        <v>1</v>
      </c>
      <c r="F203" s="21">
        <f>IF('Raw Data'!F203="",ROUND(AVERAGE('Raw Data'!$F$2:$F$1501),1),'Raw Data'!F203)</f>
        <v>5</v>
      </c>
      <c r="G203" s="21" t="str">
        <f>'Raw Data'!G203</f>
        <v>Debit Card</v>
      </c>
      <c r="H203" s="21" t="str">
        <f>'Raw Data'!H203</f>
        <v>Male</v>
      </c>
      <c r="I203" s="21">
        <f>IF('Raw Data'!I203="",ROUND(AVERAGE('Raw Data'!$I$2:$I$1501),1),'Raw Data'!I203)</f>
        <v>2</v>
      </c>
      <c r="J203" s="21">
        <f>'Raw Data'!J203</f>
        <v>4</v>
      </c>
      <c r="K203" s="21" t="str">
        <f>'Raw Data'!K203</f>
        <v>Fashion</v>
      </c>
      <c r="L203" s="21">
        <f>'Raw Data'!L203</f>
        <v>4</v>
      </c>
      <c r="M203" s="21" t="str">
        <f>'Raw Data'!M203</f>
        <v>Married</v>
      </c>
      <c r="N203" s="21">
        <f>'Raw Data'!N203</f>
        <v>1</v>
      </c>
      <c r="O203" s="21">
        <f>'Raw Data'!O203</f>
        <v>0</v>
      </c>
      <c r="P203" s="21">
        <f>IF('Raw Data'!P203="",ROUND(AVERAGE('Raw Data'!$P$2:$P$1501),1),'Raw Data'!P203)</f>
        <v>17.399999999999999</v>
      </c>
      <c r="Q203" s="21">
        <f>IF('Raw Data'!Q203="",ROUND(AVERAGE('Raw Data'!$Q$2:$Q$1501),0),'Raw Data'!Q203)</f>
        <v>2</v>
      </c>
      <c r="R203" s="21">
        <f>'Raw Data'!R203</f>
        <v>3</v>
      </c>
      <c r="S203" s="21">
        <f>IF('Raw Data'!S203="",ROUND(AVERAGE('Raw Data'!$S$2:$S$1501),0),'Raw Data'!S203)</f>
        <v>7</v>
      </c>
      <c r="T203" s="21">
        <f>'Raw Data'!T203</f>
        <v>217.67</v>
      </c>
      <c r="U203" s="21" t="str">
        <f>INDEX('Lookup Tables'!$C$7:$C$9,MATCH(E203,'Lookup Tables'!$B$7:$B$9,0))</f>
        <v>Tier 1 (Metro)</v>
      </c>
      <c r="V203" s="21" t="str">
        <f t="shared" si="9"/>
        <v>0-6 months</v>
      </c>
      <c r="W203" s="21" t="str">
        <f t="shared" si="10"/>
        <v>Low Risk</v>
      </c>
      <c r="X203" s="21" t="str">
        <f t="shared" si="11"/>
        <v>No</v>
      </c>
    </row>
    <row r="204" spans="1:24" x14ac:dyDescent="0.3">
      <c r="A204" s="21">
        <f>'Raw Data'!A204</f>
        <v>50203</v>
      </c>
      <c r="B204" s="21">
        <f>'Raw Data'!B204</f>
        <v>0</v>
      </c>
      <c r="C204" s="21">
        <f>'Raw Data'!C204</f>
        <v>2</v>
      </c>
      <c r="D204" s="21" t="str">
        <f>'Raw Data'!D204</f>
        <v>Phone</v>
      </c>
      <c r="E204" s="21">
        <f>'Raw Data'!E204</f>
        <v>3</v>
      </c>
      <c r="F204" s="21">
        <f>IF('Raw Data'!F204="",ROUND(AVERAGE('Raw Data'!$F$2:$F$1501),1),'Raw Data'!F204)</f>
        <v>12</v>
      </c>
      <c r="G204" s="21" t="str">
        <f>'Raw Data'!G204</f>
        <v>Debit Card</v>
      </c>
      <c r="H204" s="21" t="str">
        <f>'Raw Data'!H204</f>
        <v>Male</v>
      </c>
      <c r="I204" s="21">
        <f>IF('Raw Data'!I204="",ROUND(AVERAGE('Raw Data'!$I$2:$I$1501),1),'Raw Data'!I204)</f>
        <v>2.9</v>
      </c>
      <c r="J204" s="21">
        <f>'Raw Data'!J204</f>
        <v>3</v>
      </c>
      <c r="K204" s="21" t="str">
        <f>'Raw Data'!K204</f>
        <v>Fashion</v>
      </c>
      <c r="L204" s="21">
        <f>'Raw Data'!L204</f>
        <v>4</v>
      </c>
      <c r="M204" s="21" t="str">
        <f>'Raw Data'!M204</f>
        <v>Single</v>
      </c>
      <c r="N204" s="21">
        <f>'Raw Data'!N204</f>
        <v>1</v>
      </c>
      <c r="O204" s="21">
        <f>'Raw Data'!O204</f>
        <v>1</v>
      </c>
      <c r="P204" s="21">
        <f>IF('Raw Data'!P204="",ROUND(AVERAGE('Raw Data'!$P$2:$P$1501),1),'Raw Data'!P204)</f>
        <v>17.100000000000001</v>
      </c>
      <c r="Q204" s="21">
        <f>IF('Raw Data'!Q204="",ROUND(AVERAGE('Raw Data'!$Q$2:$Q$1501),0),'Raw Data'!Q204)</f>
        <v>1</v>
      </c>
      <c r="R204" s="21">
        <f>'Raw Data'!R204</f>
        <v>3</v>
      </c>
      <c r="S204" s="21">
        <f>IF('Raw Data'!S204="",ROUND(AVERAGE('Raw Data'!$S$2:$S$1501),0),'Raw Data'!S204)</f>
        <v>19</v>
      </c>
      <c r="T204" s="21">
        <f>'Raw Data'!T204</f>
        <v>215.8</v>
      </c>
      <c r="U204" s="21" t="str">
        <f>INDEX('Lookup Tables'!$C$7:$C$9,MATCH(E204,'Lookup Tables'!$B$7:$B$9,0))</f>
        <v>Tier 3 (Semi-urban/Rural)</v>
      </c>
      <c r="V204" s="21" t="str">
        <f t="shared" si="9"/>
        <v>0-6 months</v>
      </c>
      <c r="W204" s="21" t="str">
        <f t="shared" si="10"/>
        <v>Medium Risk</v>
      </c>
      <c r="X204" s="21" t="str">
        <f t="shared" si="11"/>
        <v>No</v>
      </c>
    </row>
    <row r="205" spans="1:24" x14ac:dyDescent="0.3">
      <c r="A205" s="21">
        <f>'Raw Data'!A205</f>
        <v>50204</v>
      </c>
      <c r="B205" s="21">
        <f>'Raw Data'!B205</f>
        <v>0</v>
      </c>
      <c r="C205" s="21">
        <f>'Raw Data'!C205</f>
        <v>7</v>
      </c>
      <c r="D205" s="21" t="str">
        <f>'Raw Data'!D205</f>
        <v>Mobile Phone</v>
      </c>
      <c r="E205" s="21">
        <f>'Raw Data'!E205</f>
        <v>3</v>
      </c>
      <c r="F205" s="21">
        <f>IF('Raw Data'!F205="",ROUND(AVERAGE('Raw Data'!$F$2:$F$1501),1),'Raw Data'!F205)</f>
        <v>18</v>
      </c>
      <c r="G205" s="21" t="str">
        <f>'Raw Data'!G205</f>
        <v>UPI</v>
      </c>
      <c r="H205" s="21" t="str">
        <f>'Raw Data'!H205</f>
        <v>Male</v>
      </c>
      <c r="I205" s="21">
        <f>IF('Raw Data'!I205="",ROUND(AVERAGE('Raw Data'!$I$2:$I$1501),1),'Raw Data'!I205)</f>
        <v>2.6</v>
      </c>
      <c r="J205" s="21">
        <f>'Raw Data'!J205</f>
        <v>2</v>
      </c>
      <c r="K205" s="21" t="str">
        <f>'Raw Data'!K205</f>
        <v>Mobile Phone</v>
      </c>
      <c r="L205" s="21">
        <f>'Raw Data'!L205</f>
        <v>3</v>
      </c>
      <c r="M205" s="21" t="str">
        <f>'Raw Data'!M205</f>
        <v>Married</v>
      </c>
      <c r="N205" s="21">
        <f>'Raw Data'!N205</f>
        <v>4</v>
      </c>
      <c r="O205" s="21">
        <f>'Raw Data'!O205</f>
        <v>1</v>
      </c>
      <c r="P205" s="21">
        <f>IF('Raw Data'!P205="",ROUND(AVERAGE('Raw Data'!$P$2:$P$1501),1),'Raw Data'!P205)</f>
        <v>16.2</v>
      </c>
      <c r="Q205" s="21">
        <f>IF('Raw Data'!Q205="",ROUND(AVERAGE('Raw Data'!$Q$2:$Q$1501),0),'Raw Data'!Q205)</f>
        <v>1</v>
      </c>
      <c r="R205" s="21">
        <f>'Raw Data'!R205</f>
        <v>8</v>
      </c>
      <c r="S205" s="21">
        <f>IF('Raw Data'!S205="",ROUND(AVERAGE('Raw Data'!$S$2:$S$1501),0),'Raw Data'!S205)</f>
        <v>0</v>
      </c>
      <c r="T205" s="21">
        <f>'Raw Data'!T205</f>
        <v>176.44</v>
      </c>
      <c r="U205" s="21" t="str">
        <f>INDEX('Lookup Tables'!$C$7:$C$9,MATCH(E205,'Lookup Tables'!$B$7:$B$9,0))</f>
        <v>Tier 3 (Semi-urban/Rural)</v>
      </c>
      <c r="V205" s="21" t="str">
        <f t="shared" si="9"/>
        <v>7-12 months</v>
      </c>
      <c r="W205" s="21" t="str">
        <f t="shared" si="10"/>
        <v>Medium Risk</v>
      </c>
      <c r="X205" s="21" t="str">
        <f t="shared" si="11"/>
        <v>No</v>
      </c>
    </row>
    <row r="206" spans="1:24" x14ac:dyDescent="0.3">
      <c r="A206" s="21">
        <f>'Raw Data'!A206</f>
        <v>50205</v>
      </c>
      <c r="B206" s="21">
        <f>'Raw Data'!B206</f>
        <v>0</v>
      </c>
      <c r="C206" s="21">
        <f>'Raw Data'!C206</f>
        <v>20</v>
      </c>
      <c r="D206" s="21" t="str">
        <f>'Raw Data'!D206</f>
        <v>Phone</v>
      </c>
      <c r="E206" s="21">
        <f>'Raw Data'!E206</f>
        <v>2</v>
      </c>
      <c r="F206" s="21">
        <f>IF('Raw Data'!F206="",ROUND(AVERAGE('Raw Data'!$F$2:$F$1501),1),'Raw Data'!F206)</f>
        <v>16</v>
      </c>
      <c r="G206" s="21" t="str">
        <f>'Raw Data'!G206</f>
        <v>E wallet</v>
      </c>
      <c r="H206" s="21" t="str">
        <f>'Raw Data'!H206</f>
        <v>Male</v>
      </c>
      <c r="I206" s="21">
        <f>IF('Raw Data'!I206="",ROUND(AVERAGE('Raw Data'!$I$2:$I$1501),1),'Raw Data'!I206)</f>
        <v>2.9</v>
      </c>
      <c r="J206" s="21">
        <f>'Raw Data'!J206</f>
        <v>3</v>
      </c>
      <c r="K206" s="21" t="str">
        <f>'Raw Data'!K206</f>
        <v>Mobile Phone</v>
      </c>
      <c r="L206" s="21">
        <f>'Raw Data'!L206</f>
        <v>3</v>
      </c>
      <c r="M206" s="21" t="str">
        <f>'Raw Data'!M206</f>
        <v>Married</v>
      </c>
      <c r="N206" s="21">
        <f>'Raw Data'!N206</f>
        <v>1</v>
      </c>
      <c r="O206" s="21">
        <f>'Raw Data'!O206</f>
        <v>0</v>
      </c>
      <c r="P206" s="21">
        <f>IF('Raw Data'!P206="",ROUND(AVERAGE('Raw Data'!$P$2:$P$1501),1),'Raw Data'!P206)</f>
        <v>15.5</v>
      </c>
      <c r="Q206" s="21">
        <f>IF('Raw Data'!Q206="",ROUND(AVERAGE('Raw Data'!$Q$2:$Q$1501),0),'Raw Data'!Q206)</f>
        <v>1</v>
      </c>
      <c r="R206" s="21">
        <f>'Raw Data'!R206</f>
        <v>5</v>
      </c>
      <c r="S206" s="21">
        <f>IF('Raw Data'!S206="",ROUND(AVERAGE('Raw Data'!$S$2:$S$1501),0),'Raw Data'!S206)</f>
        <v>8</v>
      </c>
      <c r="T206" s="21">
        <f>'Raw Data'!T206</f>
        <v>157.63</v>
      </c>
      <c r="U206" s="21" t="str">
        <f>INDEX('Lookup Tables'!$C$7:$C$9,MATCH(E206,'Lookup Tables'!$B$7:$B$9,0))</f>
        <v>Tier 2 (Urban)</v>
      </c>
      <c r="V206" s="21" t="str">
        <f t="shared" si="9"/>
        <v>13-24 months</v>
      </c>
      <c r="W206" s="21" t="str">
        <f t="shared" si="10"/>
        <v>Medium Risk</v>
      </c>
      <c r="X206" s="21" t="str">
        <f t="shared" si="11"/>
        <v>No</v>
      </c>
    </row>
    <row r="207" spans="1:24" x14ac:dyDescent="0.3">
      <c r="A207" s="21">
        <f>'Raw Data'!A207</f>
        <v>50206</v>
      </c>
      <c r="B207" s="21">
        <f>'Raw Data'!B207</f>
        <v>0</v>
      </c>
      <c r="C207" s="21">
        <f>'Raw Data'!C207</f>
        <v>13</v>
      </c>
      <c r="D207" s="21" t="str">
        <f>'Raw Data'!D207</f>
        <v>Mobile Phone</v>
      </c>
      <c r="E207" s="21">
        <f>'Raw Data'!E207</f>
        <v>3</v>
      </c>
      <c r="F207" s="21">
        <f>IF('Raw Data'!F207="",ROUND(AVERAGE('Raw Data'!$F$2:$F$1501),1),'Raw Data'!F207)</f>
        <v>18</v>
      </c>
      <c r="G207" s="21" t="str">
        <f>'Raw Data'!G207</f>
        <v>Debit Card</v>
      </c>
      <c r="H207" s="21" t="str">
        <f>'Raw Data'!H207</f>
        <v>Female</v>
      </c>
      <c r="I207" s="21">
        <f>IF('Raw Data'!I207="",ROUND(AVERAGE('Raw Data'!$I$2:$I$1501),1),'Raw Data'!I207)</f>
        <v>3.4</v>
      </c>
      <c r="J207" s="21">
        <f>'Raw Data'!J207</f>
        <v>4</v>
      </c>
      <c r="K207" s="21" t="str">
        <f>'Raw Data'!K207</f>
        <v>Grocery</v>
      </c>
      <c r="L207" s="21">
        <f>'Raw Data'!L207</f>
        <v>2</v>
      </c>
      <c r="M207" s="21" t="str">
        <f>'Raw Data'!M207</f>
        <v>Married</v>
      </c>
      <c r="N207" s="21">
        <f>'Raw Data'!N207</f>
        <v>6</v>
      </c>
      <c r="O207" s="21">
        <f>'Raw Data'!O207</f>
        <v>0</v>
      </c>
      <c r="P207" s="21">
        <f>IF('Raw Data'!P207="",ROUND(AVERAGE('Raw Data'!$P$2:$P$1501),1),'Raw Data'!P207)</f>
        <v>11</v>
      </c>
      <c r="Q207" s="21">
        <f>IF('Raw Data'!Q207="",ROUND(AVERAGE('Raw Data'!$Q$2:$Q$1501),0),'Raw Data'!Q207)</f>
        <v>3</v>
      </c>
      <c r="R207" s="21">
        <f>'Raw Data'!R207</f>
        <v>3</v>
      </c>
      <c r="S207" s="21">
        <f>IF('Raw Data'!S207="",ROUND(AVERAGE('Raw Data'!$S$2:$S$1501),0),'Raw Data'!S207)</f>
        <v>2</v>
      </c>
      <c r="T207" s="21">
        <f>'Raw Data'!T207</f>
        <v>195.89</v>
      </c>
      <c r="U207" s="21" t="str">
        <f>INDEX('Lookup Tables'!$C$7:$C$9,MATCH(E207,'Lookup Tables'!$B$7:$B$9,0))</f>
        <v>Tier 3 (Semi-urban/Rural)</v>
      </c>
      <c r="V207" s="21" t="str">
        <f t="shared" si="9"/>
        <v>13-24 months</v>
      </c>
      <c r="W207" s="21" t="str">
        <f t="shared" si="10"/>
        <v>Low Risk</v>
      </c>
      <c r="X207" s="21" t="str">
        <f t="shared" si="11"/>
        <v>No</v>
      </c>
    </row>
    <row r="208" spans="1:24" x14ac:dyDescent="0.3">
      <c r="A208" s="21">
        <f>'Raw Data'!A208</f>
        <v>50207</v>
      </c>
      <c r="B208" s="21">
        <f>'Raw Data'!B208</f>
        <v>0</v>
      </c>
      <c r="C208" s="21">
        <f>'Raw Data'!C208</f>
        <v>16</v>
      </c>
      <c r="D208" s="21" t="str">
        <f>'Raw Data'!D208</f>
        <v>Computer</v>
      </c>
      <c r="E208" s="21">
        <f>'Raw Data'!E208</f>
        <v>1</v>
      </c>
      <c r="F208" s="21">
        <f>IF('Raw Data'!F208="",ROUND(AVERAGE('Raw Data'!$F$2:$F$1501),1),'Raw Data'!F208)</f>
        <v>16</v>
      </c>
      <c r="G208" s="21" t="str">
        <f>'Raw Data'!G208</f>
        <v>Debit Card</v>
      </c>
      <c r="H208" s="21" t="str">
        <f>'Raw Data'!H208</f>
        <v>Male</v>
      </c>
      <c r="I208" s="21">
        <f>IF('Raw Data'!I208="",ROUND(AVERAGE('Raw Data'!$I$2:$I$1501),1),'Raw Data'!I208)</f>
        <v>2.6</v>
      </c>
      <c r="J208" s="21">
        <f>'Raw Data'!J208</f>
        <v>3</v>
      </c>
      <c r="K208" s="21" t="str">
        <f>'Raw Data'!K208</f>
        <v>Fashion</v>
      </c>
      <c r="L208" s="21">
        <f>'Raw Data'!L208</f>
        <v>3</v>
      </c>
      <c r="M208" s="21" t="str">
        <f>'Raw Data'!M208</f>
        <v>Married</v>
      </c>
      <c r="N208" s="21">
        <f>'Raw Data'!N208</f>
        <v>1</v>
      </c>
      <c r="O208" s="21">
        <f>'Raw Data'!O208</f>
        <v>0</v>
      </c>
      <c r="P208" s="21">
        <f>IF('Raw Data'!P208="",ROUND(AVERAGE('Raw Data'!$P$2:$P$1501),1),'Raw Data'!P208)</f>
        <v>14.5</v>
      </c>
      <c r="Q208" s="21">
        <f>IF('Raw Data'!Q208="",ROUND(AVERAGE('Raw Data'!$Q$2:$Q$1501),0),'Raw Data'!Q208)</f>
        <v>1</v>
      </c>
      <c r="R208" s="21">
        <f>'Raw Data'!R208</f>
        <v>1</v>
      </c>
      <c r="S208" s="21">
        <f>IF('Raw Data'!S208="",ROUND(AVERAGE('Raw Data'!$S$2:$S$1501),0),'Raw Data'!S208)</f>
        <v>0</v>
      </c>
      <c r="T208" s="21">
        <f>'Raw Data'!T208</f>
        <v>225.18</v>
      </c>
      <c r="U208" s="21" t="str">
        <f>INDEX('Lookup Tables'!$C$7:$C$9,MATCH(E208,'Lookup Tables'!$B$7:$B$9,0))</f>
        <v>Tier 1 (Metro)</v>
      </c>
      <c r="V208" s="21" t="str">
        <f t="shared" si="9"/>
        <v>13-24 months</v>
      </c>
      <c r="W208" s="21" t="str">
        <f t="shared" si="10"/>
        <v>Medium Risk</v>
      </c>
      <c r="X208" s="21" t="str">
        <f t="shared" si="11"/>
        <v>No</v>
      </c>
    </row>
    <row r="209" spans="1:24" x14ac:dyDescent="0.3">
      <c r="A209" s="21">
        <f>'Raw Data'!A209</f>
        <v>50208</v>
      </c>
      <c r="B209" s="21">
        <f>'Raw Data'!B209</f>
        <v>0</v>
      </c>
      <c r="C209" s="21">
        <f>'Raw Data'!C209</f>
        <v>10</v>
      </c>
      <c r="D209" s="21" t="str">
        <f>'Raw Data'!D209</f>
        <v>Mobile Phone</v>
      </c>
      <c r="E209" s="21">
        <f>'Raw Data'!E209</f>
        <v>1</v>
      </c>
      <c r="F209" s="21">
        <f>IF('Raw Data'!F209="",ROUND(AVERAGE('Raw Data'!$F$2:$F$1501),1),'Raw Data'!F209)</f>
        <v>25</v>
      </c>
      <c r="G209" s="21" t="str">
        <f>'Raw Data'!G209</f>
        <v>E wallet</v>
      </c>
      <c r="H209" s="21" t="str">
        <f>'Raw Data'!H209</f>
        <v>Female</v>
      </c>
      <c r="I209" s="21">
        <f>IF('Raw Data'!I209="",ROUND(AVERAGE('Raw Data'!$I$2:$I$1501),1),'Raw Data'!I209)</f>
        <v>2.2000000000000002</v>
      </c>
      <c r="J209" s="21">
        <f>'Raw Data'!J209</f>
        <v>3</v>
      </c>
      <c r="K209" s="21" t="str">
        <f>'Raw Data'!K209</f>
        <v>Grocery</v>
      </c>
      <c r="L209" s="21">
        <f>'Raw Data'!L209</f>
        <v>1</v>
      </c>
      <c r="M209" s="21" t="str">
        <f>'Raw Data'!M209</f>
        <v>Single</v>
      </c>
      <c r="N209" s="21">
        <f>'Raw Data'!N209</f>
        <v>4</v>
      </c>
      <c r="O209" s="21">
        <f>'Raw Data'!O209</f>
        <v>0</v>
      </c>
      <c r="P209" s="21">
        <f>IF('Raw Data'!P209="",ROUND(AVERAGE('Raw Data'!$P$2:$P$1501),1),'Raw Data'!P209)</f>
        <v>22.3</v>
      </c>
      <c r="Q209" s="21">
        <f>IF('Raw Data'!Q209="",ROUND(AVERAGE('Raw Data'!$Q$2:$Q$1501),0),'Raw Data'!Q209)</f>
        <v>3</v>
      </c>
      <c r="R209" s="21">
        <f>'Raw Data'!R209</f>
        <v>3</v>
      </c>
      <c r="S209" s="21">
        <f>IF('Raw Data'!S209="",ROUND(AVERAGE('Raw Data'!$S$2:$S$1501),0),'Raw Data'!S209)</f>
        <v>4</v>
      </c>
      <c r="T209" s="21">
        <f>'Raw Data'!T209</f>
        <v>180.27</v>
      </c>
      <c r="U209" s="21" t="str">
        <f>INDEX('Lookup Tables'!$C$7:$C$9,MATCH(E209,'Lookup Tables'!$B$7:$B$9,0))</f>
        <v>Tier 1 (Metro)</v>
      </c>
      <c r="V209" s="21" t="str">
        <f t="shared" si="9"/>
        <v>7-12 months</v>
      </c>
      <c r="W209" s="21" t="str">
        <f t="shared" si="10"/>
        <v>Low Risk</v>
      </c>
      <c r="X209" s="21" t="str">
        <f t="shared" si="11"/>
        <v>No</v>
      </c>
    </row>
    <row r="210" spans="1:24" x14ac:dyDescent="0.3">
      <c r="A210" s="21">
        <f>'Raw Data'!A210</f>
        <v>50209</v>
      </c>
      <c r="B210" s="21">
        <f>'Raw Data'!B210</f>
        <v>0</v>
      </c>
      <c r="C210" s="21">
        <f>'Raw Data'!C210</f>
        <v>11</v>
      </c>
      <c r="D210" s="21" t="str">
        <f>'Raw Data'!D210</f>
        <v>Mobile Phone</v>
      </c>
      <c r="E210" s="21">
        <f>'Raw Data'!E210</f>
        <v>3</v>
      </c>
      <c r="F210" s="21">
        <f>IF('Raw Data'!F210="",ROUND(AVERAGE('Raw Data'!$F$2:$F$1501),1),'Raw Data'!F210)</f>
        <v>7</v>
      </c>
      <c r="G210" s="21" t="str">
        <f>'Raw Data'!G210</f>
        <v>Credit Card</v>
      </c>
      <c r="H210" s="21" t="str">
        <f>'Raw Data'!H210</f>
        <v>Female</v>
      </c>
      <c r="I210" s="21">
        <f>IF('Raw Data'!I210="",ROUND(AVERAGE('Raw Data'!$I$2:$I$1501),1),'Raw Data'!I210)</f>
        <v>1.6</v>
      </c>
      <c r="J210" s="21">
        <f>'Raw Data'!J210</f>
        <v>2</v>
      </c>
      <c r="K210" s="21" t="str">
        <f>'Raw Data'!K210</f>
        <v>Grocery</v>
      </c>
      <c r="L210" s="21">
        <f>'Raw Data'!L210</f>
        <v>2</v>
      </c>
      <c r="M210" s="21" t="str">
        <f>'Raw Data'!M210</f>
        <v>Single</v>
      </c>
      <c r="N210" s="21">
        <f>'Raw Data'!N210</f>
        <v>1</v>
      </c>
      <c r="O210" s="21">
        <f>'Raw Data'!O210</f>
        <v>1</v>
      </c>
      <c r="P210" s="21">
        <f>IF('Raw Data'!P210="",ROUND(AVERAGE('Raw Data'!$P$2:$P$1501),1),'Raw Data'!P210)</f>
        <v>16</v>
      </c>
      <c r="Q210" s="21">
        <f>IF('Raw Data'!Q210="",ROUND(AVERAGE('Raw Data'!$Q$2:$Q$1501),0),'Raw Data'!Q210)</f>
        <v>0</v>
      </c>
      <c r="R210" s="21">
        <f>'Raw Data'!R210</f>
        <v>2</v>
      </c>
      <c r="S210" s="21">
        <f>IF('Raw Data'!S210="",ROUND(AVERAGE('Raw Data'!$S$2:$S$1501),0),'Raw Data'!S210)</f>
        <v>0</v>
      </c>
      <c r="T210" s="21">
        <f>'Raw Data'!T210</f>
        <v>246.56</v>
      </c>
      <c r="U210" s="21" t="str">
        <f>INDEX('Lookup Tables'!$C$7:$C$9,MATCH(E210,'Lookup Tables'!$B$7:$B$9,0))</f>
        <v>Tier 3 (Semi-urban/Rural)</v>
      </c>
      <c r="V210" s="21" t="str">
        <f t="shared" si="9"/>
        <v>7-12 months</v>
      </c>
      <c r="W210" s="21" t="str">
        <f t="shared" si="10"/>
        <v>High Risk</v>
      </c>
      <c r="X210" s="21" t="str">
        <f t="shared" si="11"/>
        <v>No</v>
      </c>
    </row>
    <row r="211" spans="1:24" x14ac:dyDescent="0.3">
      <c r="A211" s="21">
        <f>'Raw Data'!A211</f>
        <v>50210</v>
      </c>
      <c r="B211" s="21">
        <f>'Raw Data'!B211</f>
        <v>0</v>
      </c>
      <c r="C211" s="21">
        <f>'Raw Data'!C211</f>
        <v>18</v>
      </c>
      <c r="D211" s="21" t="str">
        <f>'Raw Data'!D211</f>
        <v>Mobile Phone</v>
      </c>
      <c r="E211" s="21">
        <f>'Raw Data'!E211</f>
        <v>1</v>
      </c>
      <c r="F211" s="21">
        <f>IF('Raw Data'!F211="",ROUND(AVERAGE('Raw Data'!$F$2:$F$1501),1),'Raw Data'!F211)</f>
        <v>9</v>
      </c>
      <c r="G211" s="21" t="str">
        <f>'Raw Data'!G211</f>
        <v>Credit Card</v>
      </c>
      <c r="H211" s="21" t="str">
        <f>'Raw Data'!H211</f>
        <v>Female</v>
      </c>
      <c r="I211" s="21">
        <f>IF('Raw Data'!I211="",ROUND(AVERAGE('Raw Data'!$I$2:$I$1501),1),'Raw Data'!I211)</f>
        <v>2.2000000000000002</v>
      </c>
      <c r="J211" s="21">
        <f>'Raw Data'!J211</f>
        <v>4</v>
      </c>
      <c r="K211" s="21" t="str">
        <f>'Raw Data'!K211</f>
        <v>Fashion</v>
      </c>
      <c r="L211" s="21">
        <f>'Raw Data'!L211</f>
        <v>3</v>
      </c>
      <c r="M211" s="21" t="str">
        <f>'Raw Data'!M211</f>
        <v>Married</v>
      </c>
      <c r="N211" s="21">
        <f>'Raw Data'!N211</f>
        <v>1</v>
      </c>
      <c r="O211" s="21">
        <f>'Raw Data'!O211</f>
        <v>0</v>
      </c>
      <c r="P211" s="21">
        <f>IF('Raw Data'!P211="",ROUND(AVERAGE('Raw Data'!$P$2:$P$1501),1),'Raw Data'!P211)</f>
        <v>14.9</v>
      </c>
      <c r="Q211" s="21">
        <f>IF('Raw Data'!Q211="",ROUND(AVERAGE('Raw Data'!$Q$2:$Q$1501),0),'Raw Data'!Q211)</f>
        <v>1</v>
      </c>
      <c r="R211" s="21">
        <f>'Raw Data'!R211</f>
        <v>3</v>
      </c>
      <c r="S211" s="21">
        <f>IF('Raw Data'!S211="",ROUND(AVERAGE('Raw Data'!$S$2:$S$1501),0),'Raw Data'!S211)</f>
        <v>3</v>
      </c>
      <c r="T211" s="21">
        <f>'Raw Data'!T211</f>
        <v>168.17</v>
      </c>
      <c r="U211" s="21" t="str">
        <f>INDEX('Lookup Tables'!$C$7:$C$9,MATCH(E211,'Lookup Tables'!$B$7:$B$9,0))</f>
        <v>Tier 1 (Metro)</v>
      </c>
      <c r="V211" s="21" t="str">
        <f t="shared" si="9"/>
        <v>13-24 months</v>
      </c>
      <c r="W211" s="21" t="str">
        <f t="shared" si="10"/>
        <v>Medium Risk</v>
      </c>
      <c r="X211" s="21" t="str">
        <f t="shared" si="11"/>
        <v>No</v>
      </c>
    </row>
    <row r="212" spans="1:24" x14ac:dyDescent="0.3">
      <c r="A212" s="21">
        <f>'Raw Data'!A212</f>
        <v>50211</v>
      </c>
      <c r="B212" s="21">
        <f>'Raw Data'!B212</f>
        <v>1</v>
      </c>
      <c r="C212" s="21">
        <f>'Raw Data'!C212</f>
        <v>2</v>
      </c>
      <c r="D212" s="21" t="str">
        <f>'Raw Data'!D212</f>
        <v>Mobile Phone</v>
      </c>
      <c r="E212" s="21">
        <f>'Raw Data'!E212</f>
        <v>3</v>
      </c>
      <c r="F212" s="21">
        <f>IF('Raw Data'!F212="",ROUND(AVERAGE('Raw Data'!$F$2:$F$1501),1),'Raw Data'!F212)</f>
        <v>8</v>
      </c>
      <c r="G212" s="21" t="str">
        <f>'Raw Data'!G212</f>
        <v>Credit Card</v>
      </c>
      <c r="H212" s="21" t="str">
        <f>'Raw Data'!H212</f>
        <v>Female</v>
      </c>
      <c r="I212" s="21">
        <f>IF('Raw Data'!I212="",ROUND(AVERAGE('Raw Data'!$I$2:$I$1501),1),'Raw Data'!I212)</f>
        <v>3</v>
      </c>
      <c r="J212" s="21">
        <f>'Raw Data'!J212</f>
        <v>3</v>
      </c>
      <c r="K212" s="21" t="str">
        <f>'Raw Data'!K212</f>
        <v>Mobile Phone</v>
      </c>
      <c r="L212" s="21">
        <f>'Raw Data'!L212</f>
        <v>3</v>
      </c>
      <c r="M212" s="21" t="str">
        <f>'Raw Data'!M212</f>
        <v>Married</v>
      </c>
      <c r="N212" s="21">
        <f>'Raw Data'!N212</f>
        <v>1</v>
      </c>
      <c r="O212" s="21">
        <f>'Raw Data'!O212</f>
        <v>1</v>
      </c>
      <c r="P212" s="21">
        <f>IF('Raw Data'!P212="",ROUND(AVERAGE('Raw Data'!$P$2:$P$1501),1),'Raw Data'!P212)</f>
        <v>16.100000000000001</v>
      </c>
      <c r="Q212" s="21">
        <f>IF('Raw Data'!Q212="",ROUND(AVERAGE('Raw Data'!$Q$2:$Q$1501),0),'Raw Data'!Q212)</f>
        <v>1</v>
      </c>
      <c r="R212" s="21">
        <f>'Raw Data'!R212</f>
        <v>4</v>
      </c>
      <c r="S212" s="21">
        <f>IF('Raw Data'!S212="",ROUND(AVERAGE('Raw Data'!$S$2:$S$1501),0),'Raw Data'!S212)</f>
        <v>0</v>
      </c>
      <c r="T212" s="21">
        <f>'Raw Data'!T212</f>
        <v>126.08</v>
      </c>
      <c r="U212" s="21" t="str">
        <f>INDEX('Lookup Tables'!$C$7:$C$9,MATCH(E212,'Lookup Tables'!$B$7:$B$9,0))</f>
        <v>Tier 3 (Semi-urban/Rural)</v>
      </c>
      <c r="V212" s="21" t="str">
        <f t="shared" si="9"/>
        <v>0-6 months</v>
      </c>
      <c r="W212" s="21" t="str">
        <f t="shared" si="10"/>
        <v>Medium Risk</v>
      </c>
      <c r="X212" s="21" t="str">
        <f t="shared" si="11"/>
        <v>Yes</v>
      </c>
    </row>
    <row r="213" spans="1:24" x14ac:dyDescent="0.3">
      <c r="A213" s="21">
        <f>'Raw Data'!A213</f>
        <v>50212</v>
      </c>
      <c r="B213" s="21">
        <f>'Raw Data'!B213</f>
        <v>0</v>
      </c>
      <c r="C213" s="21">
        <f>'Raw Data'!C213</f>
        <v>6</v>
      </c>
      <c r="D213" s="21" t="str">
        <f>'Raw Data'!D213</f>
        <v>Computer</v>
      </c>
      <c r="E213" s="21">
        <f>'Raw Data'!E213</f>
        <v>3</v>
      </c>
      <c r="F213" s="21">
        <f>IF('Raw Data'!F213="",ROUND(AVERAGE('Raw Data'!$F$2:$F$1501),1),'Raw Data'!F213)</f>
        <v>21</v>
      </c>
      <c r="G213" s="21" t="str">
        <f>'Raw Data'!G213</f>
        <v>Debit Card</v>
      </c>
      <c r="H213" s="21" t="str">
        <f>'Raw Data'!H213</f>
        <v>Female</v>
      </c>
      <c r="I213" s="21">
        <f>IF('Raw Data'!I213="",ROUND(AVERAGE('Raw Data'!$I$2:$I$1501),1),'Raw Data'!I213)</f>
        <v>3.9</v>
      </c>
      <c r="J213" s="21">
        <f>'Raw Data'!J213</f>
        <v>4</v>
      </c>
      <c r="K213" s="21" t="str">
        <f>'Raw Data'!K213</f>
        <v>Grocery</v>
      </c>
      <c r="L213" s="21">
        <f>'Raw Data'!L213</f>
        <v>1</v>
      </c>
      <c r="M213" s="21" t="str">
        <f>'Raw Data'!M213</f>
        <v>Married</v>
      </c>
      <c r="N213" s="21">
        <f>'Raw Data'!N213</f>
        <v>5</v>
      </c>
      <c r="O213" s="21">
        <f>'Raw Data'!O213</f>
        <v>0</v>
      </c>
      <c r="P213" s="21">
        <f>IF('Raw Data'!P213="",ROUND(AVERAGE('Raw Data'!$P$2:$P$1501),1),'Raw Data'!P213)</f>
        <v>17.2</v>
      </c>
      <c r="Q213" s="21">
        <f>IF('Raw Data'!Q213="",ROUND(AVERAGE('Raw Data'!$Q$2:$Q$1501),0),'Raw Data'!Q213)</f>
        <v>0</v>
      </c>
      <c r="R213" s="21">
        <f>'Raw Data'!R213</f>
        <v>4</v>
      </c>
      <c r="S213" s="21">
        <f>IF('Raw Data'!S213="",ROUND(AVERAGE('Raw Data'!$S$2:$S$1501),0),'Raw Data'!S213)</f>
        <v>6</v>
      </c>
      <c r="T213" s="21">
        <f>'Raw Data'!T213</f>
        <v>179.43</v>
      </c>
      <c r="U213" s="21" t="str">
        <f>INDEX('Lookup Tables'!$C$7:$C$9,MATCH(E213,'Lookup Tables'!$B$7:$B$9,0))</f>
        <v>Tier 3 (Semi-urban/Rural)</v>
      </c>
      <c r="V213" s="21" t="str">
        <f t="shared" si="9"/>
        <v>0-6 months</v>
      </c>
      <c r="W213" s="21" t="str">
        <f t="shared" si="10"/>
        <v>Low Risk</v>
      </c>
      <c r="X213" s="21" t="str">
        <f t="shared" si="11"/>
        <v>No</v>
      </c>
    </row>
    <row r="214" spans="1:24" x14ac:dyDescent="0.3">
      <c r="A214" s="21">
        <f>'Raw Data'!A214</f>
        <v>50213</v>
      </c>
      <c r="B214" s="21">
        <f>'Raw Data'!B214</f>
        <v>1</v>
      </c>
      <c r="C214" s="21">
        <f>'Raw Data'!C214</f>
        <v>2</v>
      </c>
      <c r="D214" s="21" t="str">
        <f>'Raw Data'!D214</f>
        <v>Mobile Phone</v>
      </c>
      <c r="E214" s="21">
        <f>'Raw Data'!E214</f>
        <v>1</v>
      </c>
      <c r="F214" s="21">
        <f>IF('Raw Data'!F214="",ROUND(AVERAGE('Raw Data'!$F$2:$F$1501),1),'Raw Data'!F214)</f>
        <v>22</v>
      </c>
      <c r="G214" s="21" t="str">
        <f>'Raw Data'!G214</f>
        <v>E wallet</v>
      </c>
      <c r="H214" s="21" t="str">
        <f>'Raw Data'!H214</f>
        <v>Female</v>
      </c>
      <c r="I214" s="21">
        <f>IF('Raw Data'!I214="",ROUND(AVERAGE('Raw Data'!$I$2:$I$1501),1),'Raw Data'!I214)</f>
        <v>3.7</v>
      </c>
      <c r="J214" s="21">
        <f>'Raw Data'!J214</f>
        <v>4</v>
      </c>
      <c r="K214" s="21" t="str">
        <f>'Raw Data'!K214</f>
        <v>Others</v>
      </c>
      <c r="L214" s="21">
        <f>'Raw Data'!L214</f>
        <v>4</v>
      </c>
      <c r="M214" s="21" t="str">
        <f>'Raw Data'!M214</f>
        <v>Married</v>
      </c>
      <c r="N214" s="21">
        <f>'Raw Data'!N214</f>
        <v>11</v>
      </c>
      <c r="O214" s="21">
        <f>'Raw Data'!O214</f>
        <v>0</v>
      </c>
      <c r="P214" s="21">
        <f>IF('Raw Data'!P214="",ROUND(AVERAGE('Raw Data'!$P$2:$P$1501),1),'Raw Data'!P214)</f>
        <v>18.3</v>
      </c>
      <c r="Q214" s="21">
        <f>IF('Raw Data'!Q214="",ROUND(AVERAGE('Raw Data'!$Q$2:$Q$1501),0),'Raw Data'!Q214)</f>
        <v>3</v>
      </c>
      <c r="R214" s="21">
        <f>'Raw Data'!R214</f>
        <v>4</v>
      </c>
      <c r="S214" s="21">
        <f>IF('Raw Data'!S214="",ROUND(AVERAGE('Raw Data'!$S$2:$S$1501),0),'Raw Data'!S214)</f>
        <v>3</v>
      </c>
      <c r="T214" s="21">
        <f>'Raw Data'!T214</f>
        <v>185.83</v>
      </c>
      <c r="U214" s="21" t="str">
        <f>INDEX('Lookup Tables'!$C$7:$C$9,MATCH(E214,'Lookup Tables'!$B$7:$B$9,0))</f>
        <v>Tier 1 (Metro)</v>
      </c>
      <c r="V214" s="21" t="str">
        <f t="shared" si="9"/>
        <v>0-6 months</v>
      </c>
      <c r="W214" s="21" t="str">
        <f t="shared" si="10"/>
        <v>Low Risk</v>
      </c>
      <c r="X214" s="21" t="str">
        <f t="shared" si="11"/>
        <v>Yes</v>
      </c>
    </row>
    <row r="215" spans="1:24" x14ac:dyDescent="0.3">
      <c r="A215" s="21">
        <f>'Raw Data'!A215</f>
        <v>50214</v>
      </c>
      <c r="B215" s="21">
        <f>'Raw Data'!B215</f>
        <v>0</v>
      </c>
      <c r="C215" s="21">
        <f>'Raw Data'!C215</f>
        <v>43</v>
      </c>
      <c r="D215" s="21" t="str">
        <f>'Raw Data'!D215</f>
        <v>Computer</v>
      </c>
      <c r="E215" s="21">
        <f>'Raw Data'!E215</f>
        <v>3</v>
      </c>
      <c r="F215" s="21">
        <f>IF('Raw Data'!F215="",ROUND(AVERAGE('Raw Data'!$F$2:$F$1501),1),'Raw Data'!F215)</f>
        <v>18</v>
      </c>
      <c r="G215" s="21" t="str">
        <f>'Raw Data'!G215</f>
        <v>Cash on Delivery</v>
      </c>
      <c r="H215" s="21" t="str">
        <f>'Raw Data'!H215</f>
        <v>Female</v>
      </c>
      <c r="I215" s="21">
        <f>IF('Raw Data'!I215="",ROUND(AVERAGE('Raw Data'!$I$2:$I$1501),1),'Raw Data'!I215)</f>
        <v>3.1</v>
      </c>
      <c r="J215" s="21">
        <f>'Raw Data'!J215</f>
        <v>3</v>
      </c>
      <c r="K215" s="21" t="str">
        <f>'Raw Data'!K215</f>
        <v>Laptop &amp; Accessory</v>
      </c>
      <c r="L215" s="21">
        <f>'Raw Data'!L215</f>
        <v>3</v>
      </c>
      <c r="M215" s="21" t="str">
        <f>'Raw Data'!M215</f>
        <v>Married</v>
      </c>
      <c r="N215" s="21">
        <f>'Raw Data'!N215</f>
        <v>2</v>
      </c>
      <c r="O215" s="21">
        <f>'Raw Data'!O215</f>
        <v>0</v>
      </c>
      <c r="P215" s="21">
        <f>IF('Raw Data'!P215="",ROUND(AVERAGE('Raw Data'!$P$2:$P$1501),1),'Raw Data'!P215)</f>
        <v>15.2</v>
      </c>
      <c r="Q215" s="21">
        <f>IF('Raw Data'!Q215="",ROUND(AVERAGE('Raw Data'!$Q$2:$Q$1501),0),'Raw Data'!Q215)</f>
        <v>3</v>
      </c>
      <c r="R215" s="21">
        <f>'Raw Data'!R215</f>
        <v>5</v>
      </c>
      <c r="S215" s="21">
        <f>IF('Raw Data'!S215="",ROUND(AVERAGE('Raw Data'!$S$2:$S$1501),0),'Raw Data'!S215)</f>
        <v>3</v>
      </c>
      <c r="T215" s="21">
        <f>'Raw Data'!T215</f>
        <v>175.49</v>
      </c>
      <c r="U215" s="21" t="str">
        <f>INDEX('Lookup Tables'!$C$7:$C$9,MATCH(E215,'Lookup Tables'!$B$7:$B$9,0))</f>
        <v>Tier 3 (Semi-urban/Rural)</v>
      </c>
      <c r="V215" s="21" t="str">
        <f t="shared" si="9"/>
        <v>25+ months</v>
      </c>
      <c r="W215" s="21" t="str">
        <f t="shared" si="10"/>
        <v>Medium Risk</v>
      </c>
      <c r="X215" s="21" t="str">
        <f t="shared" si="11"/>
        <v>No</v>
      </c>
    </row>
    <row r="216" spans="1:24" x14ac:dyDescent="0.3">
      <c r="A216" s="21">
        <f>'Raw Data'!A216</f>
        <v>50215</v>
      </c>
      <c r="B216" s="21">
        <f>'Raw Data'!B216</f>
        <v>0</v>
      </c>
      <c r="C216" s="21">
        <f>'Raw Data'!C216</f>
        <v>28</v>
      </c>
      <c r="D216" s="21" t="str">
        <f>'Raw Data'!D216</f>
        <v>Mobile Phone</v>
      </c>
      <c r="E216" s="21">
        <f>'Raw Data'!E216</f>
        <v>1</v>
      </c>
      <c r="F216" s="21">
        <f>IF('Raw Data'!F216="",ROUND(AVERAGE('Raw Data'!$F$2:$F$1501),1),'Raw Data'!F216)</f>
        <v>24</v>
      </c>
      <c r="G216" s="21" t="str">
        <f>'Raw Data'!G216</f>
        <v>Debit Card</v>
      </c>
      <c r="H216" s="21" t="str">
        <f>'Raw Data'!H216</f>
        <v>Male</v>
      </c>
      <c r="I216" s="21">
        <f>IF('Raw Data'!I216="",ROUND(AVERAGE('Raw Data'!$I$2:$I$1501),1),'Raw Data'!I216)</f>
        <v>2.7</v>
      </c>
      <c r="J216" s="21">
        <f>'Raw Data'!J216</f>
        <v>3</v>
      </c>
      <c r="K216" s="21" t="str">
        <f>'Raw Data'!K216</f>
        <v>Laptop &amp; Accessory</v>
      </c>
      <c r="L216" s="21">
        <f>'Raw Data'!L216</f>
        <v>1</v>
      </c>
      <c r="M216" s="21" t="str">
        <f>'Raw Data'!M216</f>
        <v>Married</v>
      </c>
      <c r="N216" s="21">
        <f>'Raw Data'!N216</f>
        <v>6</v>
      </c>
      <c r="O216" s="21">
        <f>'Raw Data'!O216</f>
        <v>0</v>
      </c>
      <c r="P216" s="21">
        <f>IF('Raw Data'!P216="",ROUND(AVERAGE('Raw Data'!$P$2:$P$1501),1),'Raw Data'!P216)</f>
        <v>17.5</v>
      </c>
      <c r="Q216" s="21">
        <f>IF('Raw Data'!Q216="",ROUND(AVERAGE('Raw Data'!$Q$2:$Q$1501),0),'Raw Data'!Q216)</f>
        <v>1</v>
      </c>
      <c r="R216" s="21">
        <f>'Raw Data'!R216</f>
        <v>2</v>
      </c>
      <c r="S216" s="21">
        <f>IF('Raw Data'!S216="",ROUND(AVERAGE('Raw Data'!$S$2:$S$1501),0),'Raw Data'!S216)</f>
        <v>1</v>
      </c>
      <c r="T216" s="21">
        <f>'Raw Data'!T216</f>
        <v>250.44</v>
      </c>
      <c r="U216" s="21" t="str">
        <f>INDEX('Lookup Tables'!$C$7:$C$9,MATCH(E216,'Lookup Tables'!$B$7:$B$9,0))</f>
        <v>Tier 1 (Metro)</v>
      </c>
      <c r="V216" s="21" t="str">
        <f t="shared" si="9"/>
        <v>25+ months</v>
      </c>
      <c r="W216" s="21" t="str">
        <f t="shared" si="10"/>
        <v>Low Risk</v>
      </c>
      <c r="X216" s="21" t="str">
        <f t="shared" si="11"/>
        <v>No</v>
      </c>
    </row>
    <row r="217" spans="1:24" x14ac:dyDescent="0.3">
      <c r="A217" s="21">
        <f>'Raw Data'!A217</f>
        <v>50216</v>
      </c>
      <c r="B217" s="21">
        <f>'Raw Data'!B217</f>
        <v>0</v>
      </c>
      <c r="C217" s="21">
        <f>'Raw Data'!C217</f>
        <v>0</v>
      </c>
      <c r="D217" s="21" t="str">
        <f>'Raw Data'!D217</f>
        <v>Mobile Phone</v>
      </c>
      <c r="E217" s="21">
        <f>'Raw Data'!E217</f>
        <v>2</v>
      </c>
      <c r="F217" s="21">
        <f>IF('Raw Data'!F217="",ROUND(AVERAGE('Raw Data'!$F$2:$F$1501),1),'Raw Data'!F217)</f>
        <v>5</v>
      </c>
      <c r="G217" s="21" t="str">
        <f>'Raw Data'!G217</f>
        <v>Credit Card</v>
      </c>
      <c r="H217" s="21" t="str">
        <f>'Raw Data'!H217</f>
        <v>Female</v>
      </c>
      <c r="I217" s="21">
        <f>IF('Raw Data'!I217="",ROUND(AVERAGE('Raw Data'!$I$2:$I$1501),1),'Raw Data'!I217)</f>
        <v>3.1</v>
      </c>
      <c r="J217" s="21">
        <f>'Raw Data'!J217</f>
        <v>3</v>
      </c>
      <c r="K217" s="21" t="str">
        <f>'Raw Data'!K217</f>
        <v>Others</v>
      </c>
      <c r="L217" s="21">
        <f>'Raw Data'!L217</f>
        <v>5</v>
      </c>
      <c r="M217" s="21" t="str">
        <f>'Raw Data'!M217</f>
        <v>Single</v>
      </c>
      <c r="N217" s="21">
        <f>'Raw Data'!N217</f>
        <v>4</v>
      </c>
      <c r="O217" s="21">
        <f>'Raw Data'!O217</f>
        <v>0</v>
      </c>
      <c r="P217" s="21">
        <f>IF('Raw Data'!P217="",ROUND(AVERAGE('Raw Data'!$P$2:$P$1501),1),'Raw Data'!P217)</f>
        <v>21.9</v>
      </c>
      <c r="Q217" s="21">
        <f>IF('Raw Data'!Q217="",ROUND(AVERAGE('Raw Data'!$Q$2:$Q$1501),0),'Raw Data'!Q217)</f>
        <v>1</v>
      </c>
      <c r="R217" s="21">
        <f>'Raw Data'!R217</f>
        <v>5</v>
      </c>
      <c r="S217" s="21">
        <f>IF('Raw Data'!S217="",ROUND(AVERAGE('Raw Data'!$S$2:$S$1501),0),'Raw Data'!S217)</f>
        <v>2</v>
      </c>
      <c r="T217" s="21">
        <f>'Raw Data'!T217</f>
        <v>224.29</v>
      </c>
      <c r="U217" s="21" t="str">
        <f>INDEX('Lookup Tables'!$C$7:$C$9,MATCH(E217,'Lookup Tables'!$B$7:$B$9,0))</f>
        <v>Tier 2 (Urban)</v>
      </c>
      <c r="V217" s="21" t="str">
        <f t="shared" si="9"/>
        <v>0-6 months</v>
      </c>
      <c r="W217" s="21" t="str">
        <f t="shared" si="10"/>
        <v>Low Risk</v>
      </c>
      <c r="X217" s="21" t="str">
        <f t="shared" si="11"/>
        <v>No</v>
      </c>
    </row>
    <row r="218" spans="1:24" x14ac:dyDescent="0.3">
      <c r="A218" s="21">
        <f>'Raw Data'!A218</f>
        <v>50217</v>
      </c>
      <c r="B218" s="21">
        <f>'Raw Data'!B218</f>
        <v>0</v>
      </c>
      <c r="C218" s="21">
        <f>'Raw Data'!C218</f>
        <v>12</v>
      </c>
      <c r="D218" s="21" t="str">
        <f>'Raw Data'!D218</f>
        <v>Mobile Phone</v>
      </c>
      <c r="E218" s="21">
        <f>'Raw Data'!E218</f>
        <v>2</v>
      </c>
      <c r="F218" s="21">
        <f>IF('Raw Data'!F218="",ROUND(AVERAGE('Raw Data'!$F$2:$F$1501),1),'Raw Data'!F218)</f>
        <v>28</v>
      </c>
      <c r="G218" s="21" t="str">
        <f>'Raw Data'!G218</f>
        <v>Credit Card</v>
      </c>
      <c r="H218" s="21" t="str">
        <f>'Raw Data'!H218</f>
        <v>Female</v>
      </c>
      <c r="I218" s="21">
        <f>IF('Raw Data'!I218="",ROUND(AVERAGE('Raw Data'!$I$2:$I$1501),1),'Raw Data'!I218)</f>
        <v>2.5</v>
      </c>
      <c r="J218" s="21">
        <f>'Raw Data'!J218</f>
        <v>2</v>
      </c>
      <c r="K218" s="21" t="str">
        <f>'Raw Data'!K218</f>
        <v>Laptop &amp; Accessory</v>
      </c>
      <c r="L218" s="21">
        <f>'Raw Data'!L218</f>
        <v>1</v>
      </c>
      <c r="M218" s="21" t="str">
        <f>'Raw Data'!M218</f>
        <v>Married</v>
      </c>
      <c r="N218" s="21">
        <f>'Raw Data'!N218</f>
        <v>11</v>
      </c>
      <c r="O218" s="21">
        <f>'Raw Data'!O218</f>
        <v>0</v>
      </c>
      <c r="P218" s="21">
        <f>IF('Raw Data'!P218="",ROUND(AVERAGE('Raw Data'!$P$2:$P$1501),1),'Raw Data'!P218)</f>
        <v>19.5</v>
      </c>
      <c r="Q218" s="21">
        <f>IF('Raw Data'!Q218="",ROUND(AVERAGE('Raw Data'!$Q$2:$Q$1501),0),'Raw Data'!Q218)</f>
        <v>0</v>
      </c>
      <c r="R218" s="21">
        <f>'Raw Data'!R218</f>
        <v>5</v>
      </c>
      <c r="S218" s="21">
        <f>IF('Raw Data'!S218="",ROUND(AVERAGE('Raw Data'!$S$2:$S$1501),0),'Raw Data'!S218)</f>
        <v>1</v>
      </c>
      <c r="T218" s="21">
        <f>'Raw Data'!T218</f>
        <v>101.3</v>
      </c>
      <c r="U218" s="21" t="str">
        <f>INDEX('Lookup Tables'!$C$7:$C$9,MATCH(E218,'Lookup Tables'!$B$7:$B$9,0))</f>
        <v>Tier 2 (Urban)</v>
      </c>
      <c r="V218" s="21" t="str">
        <f t="shared" si="9"/>
        <v>7-12 months</v>
      </c>
      <c r="W218" s="21" t="str">
        <f t="shared" si="10"/>
        <v>Low Risk</v>
      </c>
      <c r="X218" s="21" t="str">
        <f t="shared" si="11"/>
        <v>No</v>
      </c>
    </row>
    <row r="219" spans="1:24" x14ac:dyDescent="0.3">
      <c r="A219" s="21">
        <f>'Raw Data'!A219</f>
        <v>50218</v>
      </c>
      <c r="B219" s="21">
        <f>'Raw Data'!B219</f>
        <v>0</v>
      </c>
      <c r="C219" s="21">
        <f>'Raw Data'!C219</f>
        <v>25</v>
      </c>
      <c r="D219" s="21" t="str">
        <f>'Raw Data'!D219</f>
        <v>Phone</v>
      </c>
      <c r="E219" s="21">
        <f>'Raw Data'!E219</f>
        <v>3</v>
      </c>
      <c r="F219" s="21">
        <f>IF('Raw Data'!F219="",ROUND(AVERAGE('Raw Data'!$F$2:$F$1501),1),'Raw Data'!F219)</f>
        <v>27</v>
      </c>
      <c r="G219" s="21" t="str">
        <f>'Raw Data'!G219</f>
        <v>Credit Card</v>
      </c>
      <c r="H219" s="21" t="str">
        <f>'Raw Data'!H219</f>
        <v>Female</v>
      </c>
      <c r="I219" s="21">
        <f>IF('Raw Data'!I219="",ROUND(AVERAGE('Raw Data'!$I$2:$I$1501),1),'Raw Data'!I219)</f>
        <v>4.0999999999999996</v>
      </c>
      <c r="J219" s="21">
        <f>'Raw Data'!J219</f>
        <v>2</v>
      </c>
      <c r="K219" s="21" t="str">
        <f>'Raw Data'!K219</f>
        <v>Grocery</v>
      </c>
      <c r="L219" s="21">
        <f>'Raw Data'!L219</f>
        <v>5</v>
      </c>
      <c r="M219" s="21" t="str">
        <f>'Raw Data'!M219</f>
        <v>Single</v>
      </c>
      <c r="N219" s="21">
        <f>'Raw Data'!N219</f>
        <v>5</v>
      </c>
      <c r="O219" s="21">
        <f>'Raw Data'!O219</f>
        <v>0</v>
      </c>
      <c r="P219" s="21">
        <f>IF('Raw Data'!P219="",ROUND(AVERAGE('Raw Data'!$P$2:$P$1501),1),'Raw Data'!P219)</f>
        <v>24.2</v>
      </c>
      <c r="Q219" s="21">
        <f>IF('Raw Data'!Q219="",ROUND(AVERAGE('Raw Data'!$Q$2:$Q$1501),0),'Raw Data'!Q219)</f>
        <v>2</v>
      </c>
      <c r="R219" s="21">
        <f>'Raw Data'!R219</f>
        <v>3</v>
      </c>
      <c r="S219" s="21">
        <f>IF('Raw Data'!S219="",ROUND(AVERAGE('Raw Data'!$S$2:$S$1501),0),'Raw Data'!S219)</f>
        <v>6</v>
      </c>
      <c r="T219" s="21">
        <f>'Raw Data'!T219</f>
        <v>264.39</v>
      </c>
      <c r="U219" s="21" t="str">
        <f>INDEX('Lookup Tables'!$C$7:$C$9,MATCH(E219,'Lookup Tables'!$B$7:$B$9,0))</f>
        <v>Tier 3 (Semi-urban/Rural)</v>
      </c>
      <c r="V219" s="21" t="str">
        <f t="shared" si="9"/>
        <v>25+ months</v>
      </c>
      <c r="W219" s="21" t="str">
        <f t="shared" si="10"/>
        <v>Low Risk</v>
      </c>
      <c r="X219" s="21" t="str">
        <f t="shared" si="11"/>
        <v>No</v>
      </c>
    </row>
    <row r="220" spans="1:24" x14ac:dyDescent="0.3">
      <c r="A220" s="21">
        <f>'Raw Data'!A220</f>
        <v>50219</v>
      </c>
      <c r="B220" s="21">
        <f>'Raw Data'!B220</f>
        <v>1</v>
      </c>
      <c r="C220" s="21">
        <f>'Raw Data'!C220</f>
        <v>1</v>
      </c>
      <c r="D220" s="21" t="str">
        <f>'Raw Data'!D220</f>
        <v>Computer</v>
      </c>
      <c r="E220" s="21">
        <f>'Raw Data'!E220</f>
        <v>1</v>
      </c>
      <c r="F220" s="21">
        <f>IF('Raw Data'!F220="",ROUND(AVERAGE('Raw Data'!$F$2:$F$1501),1),'Raw Data'!F220)</f>
        <v>20</v>
      </c>
      <c r="G220" s="21" t="str">
        <f>'Raw Data'!G220</f>
        <v>Debit Card</v>
      </c>
      <c r="H220" s="21" t="str">
        <f>'Raw Data'!H220</f>
        <v>Female</v>
      </c>
      <c r="I220" s="21">
        <f>IF('Raw Data'!I220="",ROUND(AVERAGE('Raw Data'!$I$2:$I$1501),1),'Raw Data'!I220)</f>
        <v>2.8</v>
      </c>
      <c r="J220" s="21">
        <f>'Raw Data'!J220</f>
        <v>3</v>
      </c>
      <c r="K220" s="21" t="str">
        <f>'Raw Data'!K220</f>
        <v>Mobile Phone</v>
      </c>
      <c r="L220" s="21">
        <f>'Raw Data'!L220</f>
        <v>1</v>
      </c>
      <c r="M220" s="21" t="str">
        <f>'Raw Data'!M220</f>
        <v>Married</v>
      </c>
      <c r="N220" s="21">
        <f>'Raw Data'!N220</f>
        <v>1</v>
      </c>
      <c r="O220" s="21">
        <f>'Raw Data'!O220</f>
        <v>1</v>
      </c>
      <c r="P220" s="21">
        <f>IF('Raw Data'!P220="",ROUND(AVERAGE('Raw Data'!$P$2:$P$1501),1),'Raw Data'!P220)</f>
        <v>13.7</v>
      </c>
      <c r="Q220" s="21">
        <f>IF('Raw Data'!Q220="",ROUND(AVERAGE('Raw Data'!$Q$2:$Q$1501),0),'Raw Data'!Q220)</f>
        <v>0</v>
      </c>
      <c r="R220" s="21">
        <f>'Raw Data'!R220</f>
        <v>5</v>
      </c>
      <c r="S220" s="21">
        <f>IF('Raw Data'!S220="",ROUND(AVERAGE('Raw Data'!$S$2:$S$1501),0),'Raw Data'!S220)</f>
        <v>1</v>
      </c>
      <c r="T220" s="21">
        <f>'Raw Data'!T220</f>
        <v>29.22</v>
      </c>
      <c r="U220" s="21" t="str">
        <f>INDEX('Lookup Tables'!$C$7:$C$9,MATCH(E220,'Lookup Tables'!$B$7:$B$9,0))</f>
        <v>Tier 1 (Metro)</v>
      </c>
      <c r="V220" s="21" t="str">
        <f t="shared" si="9"/>
        <v>0-6 months</v>
      </c>
      <c r="W220" s="21" t="str">
        <f t="shared" si="10"/>
        <v>High Risk</v>
      </c>
      <c r="X220" s="21" t="str">
        <f t="shared" si="11"/>
        <v>Yes</v>
      </c>
    </row>
    <row r="221" spans="1:24" x14ac:dyDescent="0.3">
      <c r="A221" s="21">
        <f>'Raw Data'!A221</f>
        <v>50220</v>
      </c>
      <c r="B221" s="21">
        <f>'Raw Data'!B221</f>
        <v>0</v>
      </c>
      <c r="C221" s="21">
        <f>'Raw Data'!C221</f>
        <v>8</v>
      </c>
      <c r="D221" s="21" t="str">
        <f>'Raw Data'!D221</f>
        <v>Mobile Phone</v>
      </c>
      <c r="E221" s="21">
        <f>'Raw Data'!E221</f>
        <v>1</v>
      </c>
      <c r="F221" s="21">
        <f>IF('Raw Data'!F221="",ROUND(AVERAGE('Raw Data'!$F$2:$F$1501),1),'Raw Data'!F221)</f>
        <v>29</v>
      </c>
      <c r="G221" s="21" t="str">
        <f>'Raw Data'!G221</f>
        <v>UPI</v>
      </c>
      <c r="H221" s="21" t="str">
        <f>'Raw Data'!H221</f>
        <v>Male</v>
      </c>
      <c r="I221" s="21">
        <f>IF('Raw Data'!I221="",ROUND(AVERAGE('Raw Data'!$I$2:$I$1501),1),'Raw Data'!I221)</f>
        <v>2.8</v>
      </c>
      <c r="J221" s="21">
        <f>'Raw Data'!J221</f>
        <v>4</v>
      </c>
      <c r="K221" s="21" t="str">
        <f>'Raw Data'!K221</f>
        <v>Laptop &amp; Accessory</v>
      </c>
      <c r="L221" s="21">
        <f>'Raw Data'!L221</f>
        <v>5</v>
      </c>
      <c r="M221" s="21" t="str">
        <f>'Raw Data'!M221</f>
        <v>Single</v>
      </c>
      <c r="N221" s="21">
        <f>'Raw Data'!N221</f>
        <v>4</v>
      </c>
      <c r="O221" s="21">
        <f>'Raw Data'!O221</f>
        <v>0</v>
      </c>
      <c r="P221" s="21">
        <f>IF('Raw Data'!P221="",ROUND(AVERAGE('Raw Data'!$P$2:$P$1501),1),'Raw Data'!P221)</f>
        <v>21.9</v>
      </c>
      <c r="Q221" s="21">
        <f>IF('Raw Data'!Q221="",ROUND(AVERAGE('Raw Data'!$Q$2:$Q$1501),0),'Raw Data'!Q221)</f>
        <v>0</v>
      </c>
      <c r="R221" s="21">
        <f>'Raw Data'!R221</f>
        <v>7</v>
      </c>
      <c r="S221" s="21">
        <f>IF('Raw Data'!S221="",ROUND(AVERAGE('Raw Data'!$S$2:$S$1501),0),'Raw Data'!S221)</f>
        <v>4</v>
      </c>
      <c r="T221" s="21">
        <f>'Raw Data'!T221</f>
        <v>298.31</v>
      </c>
      <c r="U221" s="21" t="str">
        <f>INDEX('Lookup Tables'!$C$7:$C$9,MATCH(E221,'Lookup Tables'!$B$7:$B$9,0))</f>
        <v>Tier 1 (Metro)</v>
      </c>
      <c r="V221" s="21" t="str">
        <f t="shared" si="9"/>
        <v>7-12 months</v>
      </c>
      <c r="W221" s="21" t="str">
        <f t="shared" si="10"/>
        <v>Low Risk</v>
      </c>
      <c r="X221" s="21" t="str">
        <f t="shared" si="11"/>
        <v>No</v>
      </c>
    </row>
    <row r="222" spans="1:24" x14ac:dyDescent="0.3">
      <c r="A222" s="21">
        <f>'Raw Data'!A222</f>
        <v>50221</v>
      </c>
      <c r="B222" s="21">
        <f>'Raw Data'!B222</f>
        <v>0</v>
      </c>
      <c r="C222" s="21">
        <f>'Raw Data'!C222</f>
        <v>24</v>
      </c>
      <c r="D222" s="21" t="str">
        <f>'Raw Data'!D222</f>
        <v>Mobile Phone</v>
      </c>
      <c r="E222" s="21">
        <f>'Raw Data'!E222</f>
        <v>2</v>
      </c>
      <c r="F222" s="21">
        <f>IF('Raw Data'!F222="",ROUND(AVERAGE('Raw Data'!$F$2:$F$1501),1),'Raw Data'!F222)</f>
        <v>5</v>
      </c>
      <c r="G222" s="21" t="str">
        <f>'Raw Data'!G222</f>
        <v>Credit Card</v>
      </c>
      <c r="H222" s="21" t="str">
        <f>'Raw Data'!H222</f>
        <v>Male</v>
      </c>
      <c r="I222" s="21">
        <f>IF('Raw Data'!I222="",ROUND(AVERAGE('Raw Data'!$I$2:$I$1501),1),'Raw Data'!I222)</f>
        <v>1.3</v>
      </c>
      <c r="J222" s="21">
        <f>'Raw Data'!J222</f>
        <v>3</v>
      </c>
      <c r="K222" s="21" t="str">
        <f>'Raw Data'!K222</f>
        <v>Laptop &amp; Accessory</v>
      </c>
      <c r="L222" s="21">
        <f>'Raw Data'!L222</f>
        <v>1</v>
      </c>
      <c r="M222" s="21" t="str">
        <f>'Raw Data'!M222</f>
        <v>Single</v>
      </c>
      <c r="N222" s="21">
        <f>'Raw Data'!N222</f>
        <v>2</v>
      </c>
      <c r="O222" s="21">
        <f>'Raw Data'!O222</f>
        <v>1</v>
      </c>
      <c r="P222" s="21">
        <f>IF('Raw Data'!P222="",ROUND(AVERAGE('Raw Data'!$P$2:$P$1501),1),'Raw Data'!P222)</f>
        <v>13.2</v>
      </c>
      <c r="Q222" s="21">
        <f>IF('Raw Data'!Q222="",ROUND(AVERAGE('Raw Data'!$Q$2:$Q$1501),0),'Raw Data'!Q222)</f>
        <v>2</v>
      </c>
      <c r="R222" s="21">
        <f>'Raw Data'!R222</f>
        <v>7</v>
      </c>
      <c r="S222" s="21">
        <f>IF('Raw Data'!S222="",ROUND(AVERAGE('Raw Data'!$S$2:$S$1501),0),'Raw Data'!S222)</f>
        <v>1</v>
      </c>
      <c r="T222" s="21">
        <f>'Raw Data'!T222</f>
        <v>164.2</v>
      </c>
      <c r="U222" s="21" t="str">
        <f>INDEX('Lookup Tables'!$C$7:$C$9,MATCH(E222,'Lookup Tables'!$B$7:$B$9,0))</f>
        <v>Tier 2 (Urban)</v>
      </c>
      <c r="V222" s="21" t="str">
        <f t="shared" si="9"/>
        <v>13-24 months</v>
      </c>
      <c r="W222" s="21" t="str">
        <f t="shared" si="10"/>
        <v>High Risk</v>
      </c>
      <c r="X222" s="21" t="str">
        <f t="shared" si="11"/>
        <v>No</v>
      </c>
    </row>
    <row r="223" spans="1:24" x14ac:dyDescent="0.3">
      <c r="A223" s="21">
        <f>'Raw Data'!A223</f>
        <v>50222</v>
      </c>
      <c r="B223" s="21">
        <f>'Raw Data'!B223</f>
        <v>0</v>
      </c>
      <c r="C223" s="21">
        <f>'Raw Data'!C223</f>
        <v>0</v>
      </c>
      <c r="D223" s="21" t="str">
        <f>'Raw Data'!D223</f>
        <v>Mobile Phone</v>
      </c>
      <c r="E223" s="21">
        <f>'Raw Data'!E223</f>
        <v>3</v>
      </c>
      <c r="F223" s="21">
        <f>IF('Raw Data'!F223="",ROUND(AVERAGE('Raw Data'!$F$2:$F$1501),1),'Raw Data'!F223)</f>
        <v>10</v>
      </c>
      <c r="G223" s="21" t="str">
        <f>'Raw Data'!G223</f>
        <v>Credit Card</v>
      </c>
      <c r="H223" s="21" t="str">
        <f>'Raw Data'!H223</f>
        <v>Male</v>
      </c>
      <c r="I223" s="21">
        <f>IF('Raw Data'!I223="",ROUND(AVERAGE('Raw Data'!$I$2:$I$1501),1),'Raw Data'!I223)</f>
        <v>2.8</v>
      </c>
      <c r="J223" s="21">
        <f>'Raw Data'!J223</f>
        <v>3</v>
      </c>
      <c r="K223" s="21" t="str">
        <f>'Raw Data'!K223</f>
        <v>Laptop &amp; Accessory</v>
      </c>
      <c r="L223" s="21">
        <f>'Raw Data'!L223</f>
        <v>4</v>
      </c>
      <c r="M223" s="21" t="str">
        <f>'Raw Data'!M223</f>
        <v>Married</v>
      </c>
      <c r="N223" s="21">
        <f>'Raw Data'!N223</f>
        <v>1</v>
      </c>
      <c r="O223" s="21">
        <f>'Raw Data'!O223</f>
        <v>0</v>
      </c>
      <c r="P223" s="21">
        <f>IF('Raw Data'!P223="",ROUND(AVERAGE('Raw Data'!$P$2:$P$1501),1),'Raw Data'!P223)</f>
        <v>17.2</v>
      </c>
      <c r="Q223" s="21">
        <f>IF('Raw Data'!Q223="",ROUND(AVERAGE('Raw Data'!$Q$2:$Q$1501),0),'Raw Data'!Q223)</f>
        <v>1</v>
      </c>
      <c r="R223" s="21">
        <f>'Raw Data'!R223</f>
        <v>3</v>
      </c>
      <c r="S223" s="21">
        <f>IF('Raw Data'!S223="",ROUND(AVERAGE('Raw Data'!$S$2:$S$1501),0),'Raw Data'!S223)</f>
        <v>5</v>
      </c>
      <c r="T223" s="21">
        <f>'Raw Data'!T223</f>
        <v>169.57</v>
      </c>
      <c r="U223" s="21" t="str">
        <f>INDEX('Lookup Tables'!$C$7:$C$9,MATCH(E223,'Lookup Tables'!$B$7:$B$9,0))</f>
        <v>Tier 3 (Semi-urban/Rural)</v>
      </c>
      <c r="V223" s="21" t="str">
        <f t="shared" si="9"/>
        <v>0-6 months</v>
      </c>
      <c r="W223" s="21" t="str">
        <f t="shared" si="10"/>
        <v>Low Risk</v>
      </c>
      <c r="X223" s="21" t="str">
        <f t="shared" si="11"/>
        <v>No</v>
      </c>
    </row>
    <row r="224" spans="1:24" x14ac:dyDescent="0.3">
      <c r="A224" s="21">
        <f>'Raw Data'!A224</f>
        <v>50223</v>
      </c>
      <c r="B224" s="21">
        <f>'Raw Data'!B224</f>
        <v>1</v>
      </c>
      <c r="C224" s="21">
        <f>'Raw Data'!C224</f>
        <v>11</v>
      </c>
      <c r="D224" s="21" t="str">
        <f>'Raw Data'!D224</f>
        <v>Phone</v>
      </c>
      <c r="E224" s="21">
        <f>'Raw Data'!E224</f>
        <v>2</v>
      </c>
      <c r="F224" s="21">
        <f>IF('Raw Data'!F224="",ROUND(AVERAGE('Raw Data'!$F$2:$F$1501),1),'Raw Data'!F224)</f>
        <v>9</v>
      </c>
      <c r="G224" s="21" t="str">
        <f>'Raw Data'!G224</f>
        <v>Debit Card</v>
      </c>
      <c r="H224" s="21" t="str">
        <f>'Raw Data'!H224</f>
        <v>Male</v>
      </c>
      <c r="I224" s="21">
        <f>IF('Raw Data'!I224="",ROUND(AVERAGE('Raw Data'!$I$2:$I$1501),1),'Raw Data'!I224)</f>
        <v>3.5</v>
      </c>
      <c r="J224" s="21">
        <f>'Raw Data'!J224</f>
        <v>4</v>
      </c>
      <c r="K224" s="21" t="str">
        <f>'Raw Data'!K224</f>
        <v>Laptop &amp; Accessory</v>
      </c>
      <c r="L224" s="21">
        <f>'Raw Data'!L224</f>
        <v>3</v>
      </c>
      <c r="M224" s="21" t="str">
        <f>'Raw Data'!M224</f>
        <v>Married</v>
      </c>
      <c r="N224" s="21">
        <f>'Raw Data'!N224</f>
        <v>1</v>
      </c>
      <c r="O224" s="21">
        <f>'Raw Data'!O224</f>
        <v>1</v>
      </c>
      <c r="P224" s="21">
        <f>IF('Raw Data'!P224="",ROUND(AVERAGE('Raw Data'!$P$2:$P$1501),1),'Raw Data'!P224)</f>
        <v>18.600000000000001</v>
      </c>
      <c r="Q224" s="21">
        <f>IF('Raw Data'!Q224="",ROUND(AVERAGE('Raw Data'!$Q$2:$Q$1501),0),'Raw Data'!Q224)</f>
        <v>4</v>
      </c>
      <c r="R224" s="21">
        <f>'Raw Data'!R224</f>
        <v>3</v>
      </c>
      <c r="S224" s="21">
        <f>IF('Raw Data'!S224="",ROUND(AVERAGE('Raw Data'!$S$2:$S$1501),0),'Raw Data'!S224)</f>
        <v>3</v>
      </c>
      <c r="T224" s="21">
        <f>'Raw Data'!T224</f>
        <v>176.7</v>
      </c>
      <c r="U224" s="21" t="str">
        <f>INDEX('Lookup Tables'!$C$7:$C$9,MATCH(E224,'Lookup Tables'!$B$7:$B$9,0))</f>
        <v>Tier 2 (Urban)</v>
      </c>
      <c r="V224" s="21" t="str">
        <f t="shared" si="9"/>
        <v>7-12 months</v>
      </c>
      <c r="W224" s="21" t="str">
        <f t="shared" si="10"/>
        <v>Medium Risk</v>
      </c>
      <c r="X224" s="21" t="str">
        <f t="shared" si="11"/>
        <v>Yes</v>
      </c>
    </row>
    <row r="225" spans="1:24" x14ac:dyDescent="0.3">
      <c r="A225" s="21">
        <f>'Raw Data'!A225</f>
        <v>50224</v>
      </c>
      <c r="B225" s="21">
        <f>'Raw Data'!B225</f>
        <v>0</v>
      </c>
      <c r="C225" s="21">
        <f>'Raw Data'!C225</f>
        <v>3</v>
      </c>
      <c r="D225" s="21" t="str">
        <f>'Raw Data'!D225</f>
        <v>Computer</v>
      </c>
      <c r="E225" s="21">
        <f>'Raw Data'!E225</f>
        <v>1</v>
      </c>
      <c r="F225" s="21">
        <f>IF('Raw Data'!F225="",ROUND(AVERAGE('Raw Data'!$F$2:$F$1501),1),'Raw Data'!F225)</f>
        <v>20</v>
      </c>
      <c r="G225" s="21" t="str">
        <f>'Raw Data'!G225</f>
        <v>Debit Card</v>
      </c>
      <c r="H225" s="21" t="str">
        <f>'Raw Data'!H225</f>
        <v>Female</v>
      </c>
      <c r="I225" s="21">
        <f>IF('Raw Data'!I225="",ROUND(AVERAGE('Raw Data'!$I$2:$I$1501),1),'Raw Data'!I225)</f>
        <v>2.2000000000000002</v>
      </c>
      <c r="J225" s="21">
        <f>'Raw Data'!J225</f>
        <v>3</v>
      </c>
      <c r="K225" s="21" t="str">
        <f>'Raw Data'!K225</f>
        <v>Mobile Phone</v>
      </c>
      <c r="L225" s="21">
        <f>'Raw Data'!L225</f>
        <v>4</v>
      </c>
      <c r="M225" s="21" t="str">
        <f>'Raw Data'!M225</f>
        <v>Single</v>
      </c>
      <c r="N225" s="21">
        <f>'Raw Data'!N225</f>
        <v>8</v>
      </c>
      <c r="O225" s="21">
        <f>'Raw Data'!O225</f>
        <v>1</v>
      </c>
      <c r="P225" s="21">
        <f>IF('Raw Data'!P225="",ROUND(AVERAGE('Raw Data'!$P$2:$P$1501),1),'Raw Data'!P225)</f>
        <v>14.2</v>
      </c>
      <c r="Q225" s="21">
        <f>IF('Raw Data'!Q225="",ROUND(AVERAGE('Raw Data'!$Q$2:$Q$1501),0),'Raw Data'!Q225)</f>
        <v>1</v>
      </c>
      <c r="R225" s="21">
        <f>'Raw Data'!R225</f>
        <v>1</v>
      </c>
      <c r="S225" s="21">
        <f>IF('Raw Data'!S225="",ROUND(AVERAGE('Raw Data'!$S$2:$S$1501),0),'Raw Data'!S225)</f>
        <v>2</v>
      </c>
      <c r="T225" s="21">
        <f>'Raw Data'!T225</f>
        <v>201.19</v>
      </c>
      <c r="U225" s="21" t="str">
        <f>INDEX('Lookup Tables'!$C$7:$C$9,MATCH(E225,'Lookup Tables'!$B$7:$B$9,0))</f>
        <v>Tier 1 (Metro)</v>
      </c>
      <c r="V225" s="21" t="str">
        <f t="shared" si="9"/>
        <v>0-6 months</v>
      </c>
      <c r="W225" s="21" t="str">
        <f t="shared" si="10"/>
        <v>Low Risk</v>
      </c>
      <c r="X225" s="21" t="str">
        <f t="shared" si="11"/>
        <v>No</v>
      </c>
    </row>
    <row r="226" spans="1:24" x14ac:dyDescent="0.3">
      <c r="A226" s="21">
        <f>'Raw Data'!A226</f>
        <v>50225</v>
      </c>
      <c r="B226" s="21">
        <f>'Raw Data'!B226</f>
        <v>0</v>
      </c>
      <c r="C226" s="21">
        <f>'Raw Data'!C226</f>
        <v>25</v>
      </c>
      <c r="D226" s="21" t="str">
        <f>'Raw Data'!D226</f>
        <v>Mobile Phone</v>
      </c>
      <c r="E226" s="21">
        <f>'Raw Data'!E226</f>
        <v>1</v>
      </c>
      <c r="F226" s="21">
        <f>IF('Raw Data'!F226="",ROUND(AVERAGE('Raw Data'!$F$2:$F$1501),1),'Raw Data'!F226)</f>
        <v>6</v>
      </c>
      <c r="G226" s="21" t="str">
        <f>'Raw Data'!G226</f>
        <v>Debit Card</v>
      </c>
      <c r="H226" s="21" t="str">
        <f>'Raw Data'!H226</f>
        <v>Male</v>
      </c>
      <c r="I226" s="21">
        <f>IF('Raw Data'!I226="",ROUND(AVERAGE('Raw Data'!$I$2:$I$1501),1),'Raw Data'!I226)</f>
        <v>2.4</v>
      </c>
      <c r="J226" s="21">
        <f>'Raw Data'!J226</f>
        <v>4</v>
      </c>
      <c r="K226" s="21" t="str">
        <f>'Raw Data'!K226</f>
        <v>Fashion</v>
      </c>
      <c r="L226" s="21">
        <f>'Raw Data'!L226</f>
        <v>3</v>
      </c>
      <c r="M226" s="21" t="str">
        <f>'Raw Data'!M226</f>
        <v>Single</v>
      </c>
      <c r="N226" s="21">
        <f>'Raw Data'!N226</f>
        <v>9</v>
      </c>
      <c r="O226" s="21">
        <f>'Raw Data'!O226</f>
        <v>0</v>
      </c>
      <c r="P226" s="21">
        <f>IF('Raw Data'!P226="",ROUND(AVERAGE('Raw Data'!$P$2:$P$1501),1),'Raw Data'!P226)</f>
        <v>16.3</v>
      </c>
      <c r="Q226" s="21">
        <f>IF('Raw Data'!Q226="",ROUND(AVERAGE('Raw Data'!$Q$2:$Q$1501),0),'Raw Data'!Q226)</f>
        <v>2</v>
      </c>
      <c r="R226" s="21">
        <f>'Raw Data'!R226</f>
        <v>4</v>
      </c>
      <c r="S226" s="21">
        <f>IF('Raw Data'!S226="",ROUND(AVERAGE('Raw Data'!$S$2:$S$1501),0),'Raw Data'!S226)</f>
        <v>5</v>
      </c>
      <c r="T226" s="21">
        <f>'Raw Data'!T226</f>
        <v>179.99</v>
      </c>
      <c r="U226" s="21" t="str">
        <f>INDEX('Lookup Tables'!$C$7:$C$9,MATCH(E226,'Lookup Tables'!$B$7:$B$9,0))</f>
        <v>Tier 1 (Metro)</v>
      </c>
      <c r="V226" s="21" t="str">
        <f t="shared" si="9"/>
        <v>25+ months</v>
      </c>
      <c r="W226" s="21" t="str">
        <f t="shared" si="10"/>
        <v>Medium Risk</v>
      </c>
      <c r="X226" s="21" t="str">
        <f t="shared" si="11"/>
        <v>No</v>
      </c>
    </row>
    <row r="227" spans="1:24" x14ac:dyDescent="0.3">
      <c r="A227" s="21">
        <f>'Raw Data'!A227</f>
        <v>50226</v>
      </c>
      <c r="B227" s="21">
        <f>'Raw Data'!B227</f>
        <v>1</v>
      </c>
      <c r="C227" s="21">
        <f>'Raw Data'!C227</f>
        <v>35</v>
      </c>
      <c r="D227" s="21" t="str">
        <f>'Raw Data'!D227</f>
        <v>Computer</v>
      </c>
      <c r="E227" s="21">
        <f>'Raw Data'!E227</f>
        <v>1</v>
      </c>
      <c r="F227" s="21">
        <f>IF('Raw Data'!F227="",ROUND(AVERAGE('Raw Data'!$F$2:$F$1501),1),'Raw Data'!F227)</f>
        <v>21</v>
      </c>
      <c r="G227" s="21" t="str">
        <f>'Raw Data'!G227</f>
        <v>E wallet</v>
      </c>
      <c r="H227" s="21" t="str">
        <f>'Raw Data'!H227</f>
        <v>Male</v>
      </c>
      <c r="I227" s="21">
        <f>IF('Raw Data'!I227="",ROUND(AVERAGE('Raw Data'!$I$2:$I$1501),1),'Raw Data'!I227)</f>
        <v>3.5</v>
      </c>
      <c r="J227" s="21">
        <f>'Raw Data'!J227</f>
        <v>1</v>
      </c>
      <c r="K227" s="21" t="str">
        <f>'Raw Data'!K227</f>
        <v>Others</v>
      </c>
      <c r="L227" s="21">
        <f>'Raw Data'!L227</f>
        <v>1</v>
      </c>
      <c r="M227" s="21" t="str">
        <f>'Raw Data'!M227</f>
        <v>Married</v>
      </c>
      <c r="N227" s="21">
        <f>'Raw Data'!N227</f>
        <v>5</v>
      </c>
      <c r="O227" s="21">
        <f>'Raw Data'!O227</f>
        <v>1</v>
      </c>
      <c r="P227" s="21">
        <f>IF('Raw Data'!P227="",ROUND(AVERAGE('Raw Data'!$P$2:$P$1501),1),'Raw Data'!P227)</f>
        <v>16.3</v>
      </c>
      <c r="Q227" s="21">
        <f>IF('Raw Data'!Q227="",ROUND(AVERAGE('Raw Data'!$Q$2:$Q$1501),0),'Raw Data'!Q227)</f>
        <v>1</v>
      </c>
      <c r="R227" s="21">
        <f>'Raw Data'!R227</f>
        <v>2</v>
      </c>
      <c r="S227" s="21">
        <f>IF('Raw Data'!S227="",ROUND(AVERAGE('Raw Data'!$S$2:$S$1501),0),'Raw Data'!S227)</f>
        <v>2</v>
      </c>
      <c r="T227" s="21">
        <f>'Raw Data'!T227</f>
        <v>172.66</v>
      </c>
      <c r="U227" s="21" t="str">
        <f>INDEX('Lookup Tables'!$C$7:$C$9,MATCH(E227,'Lookup Tables'!$B$7:$B$9,0))</f>
        <v>Tier 1 (Metro)</v>
      </c>
      <c r="V227" s="21" t="str">
        <f t="shared" si="9"/>
        <v>25+ months</v>
      </c>
      <c r="W227" s="21" t="str">
        <f t="shared" si="10"/>
        <v>High Risk</v>
      </c>
      <c r="X227" s="21" t="str">
        <f t="shared" si="11"/>
        <v>Yes</v>
      </c>
    </row>
    <row r="228" spans="1:24" x14ac:dyDescent="0.3">
      <c r="A228" s="21">
        <f>'Raw Data'!A228</f>
        <v>50227</v>
      </c>
      <c r="B228" s="21">
        <f>'Raw Data'!B228</f>
        <v>0</v>
      </c>
      <c r="C228" s="21">
        <f>'Raw Data'!C228</f>
        <v>28</v>
      </c>
      <c r="D228" s="21" t="str">
        <f>'Raw Data'!D228</f>
        <v>Mobile Phone</v>
      </c>
      <c r="E228" s="21">
        <f>'Raw Data'!E228</f>
        <v>3</v>
      </c>
      <c r="F228" s="21">
        <f>IF('Raw Data'!F228="",ROUND(AVERAGE('Raw Data'!$F$2:$F$1501),1),'Raw Data'!F228)</f>
        <v>25</v>
      </c>
      <c r="G228" s="21" t="str">
        <f>'Raw Data'!G228</f>
        <v>Debit Card</v>
      </c>
      <c r="H228" s="21" t="str">
        <f>'Raw Data'!H228</f>
        <v>Male</v>
      </c>
      <c r="I228" s="21">
        <f>IF('Raw Data'!I228="",ROUND(AVERAGE('Raw Data'!$I$2:$I$1501),1),'Raw Data'!I228)</f>
        <v>1.9</v>
      </c>
      <c r="J228" s="21">
        <f>'Raw Data'!J228</f>
        <v>1</v>
      </c>
      <c r="K228" s="21" t="str">
        <f>'Raw Data'!K228</f>
        <v>Mobile Phone</v>
      </c>
      <c r="L228" s="21">
        <f>'Raw Data'!L228</f>
        <v>4</v>
      </c>
      <c r="M228" s="21" t="str">
        <f>'Raw Data'!M228</f>
        <v>Divorced</v>
      </c>
      <c r="N228" s="21">
        <f>'Raw Data'!N228</f>
        <v>14</v>
      </c>
      <c r="O228" s="21">
        <f>'Raw Data'!O228</f>
        <v>0</v>
      </c>
      <c r="P228" s="21">
        <f>IF('Raw Data'!P228="",ROUND(AVERAGE('Raw Data'!$P$2:$P$1501),1),'Raw Data'!P228)</f>
        <v>13.5</v>
      </c>
      <c r="Q228" s="21">
        <f>IF('Raw Data'!Q228="",ROUND(AVERAGE('Raw Data'!$Q$2:$Q$1501),0),'Raw Data'!Q228)</f>
        <v>1</v>
      </c>
      <c r="R228" s="21">
        <f>'Raw Data'!R228</f>
        <v>6</v>
      </c>
      <c r="S228" s="21">
        <f>IF('Raw Data'!S228="",ROUND(AVERAGE('Raw Data'!$S$2:$S$1501),0),'Raw Data'!S228)</f>
        <v>8</v>
      </c>
      <c r="T228" s="21">
        <f>'Raw Data'!T228</f>
        <v>251.99</v>
      </c>
      <c r="U228" s="21" t="str">
        <f>INDEX('Lookup Tables'!$C$7:$C$9,MATCH(E228,'Lookup Tables'!$B$7:$B$9,0))</f>
        <v>Tier 3 (Semi-urban/Rural)</v>
      </c>
      <c r="V228" s="21" t="str">
        <f t="shared" si="9"/>
        <v>25+ months</v>
      </c>
      <c r="W228" s="21" t="str">
        <f t="shared" si="10"/>
        <v>Low Risk</v>
      </c>
      <c r="X228" s="21" t="str">
        <f t="shared" si="11"/>
        <v>No</v>
      </c>
    </row>
    <row r="229" spans="1:24" x14ac:dyDescent="0.3">
      <c r="A229" s="21">
        <f>'Raw Data'!A229</f>
        <v>50228</v>
      </c>
      <c r="B229" s="21">
        <f>'Raw Data'!B229</f>
        <v>0</v>
      </c>
      <c r="C229" s="21">
        <f>'Raw Data'!C229</f>
        <v>6</v>
      </c>
      <c r="D229" s="21" t="str">
        <f>'Raw Data'!D229</f>
        <v>Phone</v>
      </c>
      <c r="E229" s="21">
        <f>'Raw Data'!E229</f>
        <v>1</v>
      </c>
      <c r="F229" s="21">
        <f>IF('Raw Data'!F229="",ROUND(AVERAGE('Raw Data'!$F$2:$F$1501),1),'Raw Data'!F229)</f>
        <v>20</v>
      </c>
      <c r="G229" s="21" t="str">
        <f>'Raw Data'!G229</f>
        <v>E wallet</v>
      </c>
      <c r="H229" s="21" t="str">
        <f>'Raw Data'!H229</f>
        <v>Male</v>
      </c>
      <c r="I229" s="21">
        <f>IF('Raw Data'!I229="",ROUND(AVERAGE('Raw Data'!$I$2:$I$1501),1),'Raw Data'!I229)</f>
        <v>3.6</v>
      </c>
      <c r="J229" s="21">
        <f>'Raw Data'!J229</f>
        <v>3</v>
      </c>
      <c r="K229" s="21" t="str">
        <f>'Raw Data'!K229</f>
        <v>Mobile Phone</v>
      </c>
      <c r="L229" s="21">
        <f>'Raw Data'!L229</f>
        <v>1</v>
      </c>
      <c r="M229" s="21" t="str">
        <f>'Raw Data'!M229</f>
        <v>Married</v>
      </c>
      <c r="N229" s="21">
        <f>'Raw Data'!N229</f>
        <v>5</v>
      </c>
      <c r="O229" s="21">
        <f>'Raw Data'!O229</f>
        <v>1</v>
      </c>
      <c r="P229" s="21">
        <f>IF('Raw Data'!P229="",ROUND(AVERAGE('Raw Data'!$P$2:$P$1501),1),'Raw Data'!P229)</f>
        <v>21.8</v>
      </c>
      <c r="Q229" s="21">
        <f>IF('Raw Data'!Q229="",ROUND(AVERAGE('Raw Data'!$Q$2:$Q$1501),0),'Raw Data'!Q229)</f>
        <v>1</v>
      </c>
      <c r="R229" s="21">
        <f>'Raw Data'!R229</f>
        <v>6</v>
      </c>
      <c r="S229" s="21">
        <f>IF('Raw Data'!S229="",ROUND(AVERAGE('Raw Data'!$S$2:$S$1501),0),'Raw Data'!S229)</f>
        <v>6</v>
      </c>
      <c r="T229" s="21">
        <f>'Raw Data'!T229</f>
        <v>211.11</v>
      </c>
      <c r="U229" s="21" t="str">
        <f>INDEX('Lookup Tables'!$C$7:$C$9,MATCH(E229,'Lookup Tables'!$B$7:$B$9,0))</f>
        <v>Tier 1 (Metro)</v>
      </c>
      <c r="V229" s="21" t="str">
        <f t="shared" si="9"/>
        <v>0-6 months</v>
      </c>
      <c r="W229" s="21" t="str">
        <f t="shared" si="10"/>
        <v>High Risk</v>
      </c>
      <c r="X229" s="21" t="str">
        <f t="shared" si="11"/>
        <v>No</v>
      </c>
    </row>
    <row r="230" spans="1:24" x14ac:dyDescent="0.3">
      <c r="A230" s="21">
        <f>'Raw Data'!A230</f>
        <v>50229</v>
      </c>
      <c r="B230" s="21">
        <f>'Raw Data'!B230</f>
        <v>0</v>
      </c>
      <c r="C230" s="21">
        <f>'Raw Data'!C230</f>
        <v>19</v>
      </c>
      <c r="D230" s="21" t="str">
        <f>'Raw Data'!D230</f>
        <v>Mobile Phone</v>
      </c>
      <c r="E230" s="21">
        <f>'Raw Data'!E230</f>
        <v>1</v>
      </c>
      <c r="F230" s="21">
        <f>IF('Raw Data'!F230="",ROUND(AVERAGE('Raw Data'!$F$2:$F$1501),1),'Raw Data'!F230)</f>
        <v>17</v>
      </c>
      <c r="G230" s="21" t="str">
        <f>'Raw Data'!G230</f>
        <v>Credit Card</v>
      </c>
      <c r="H230" s="21" t="str">
        <f>'Raw Data'!H230</f>
        <v>Female</v>
      </c>
      <c r="I230" s="21">
        <f>IF('Raw Data'!I230="",ROUND(AVERAGE('Raw Data'!$I$2:$I$1501),1),'Raw Data'!I230)</f>
        <v>2.5</v>
      </c>
      <c r="J230" s="21">
        <f>'Raw Data'!J230</f>
        <v>2</v>
      </c>
      <c r="K230" s="21" t="str">
        <f>'Raw Data'!K230</f>
        <v>Mobile Phone</v>
      </c>
      <c r="L230" s="21">
        <f>'Raw Data'!L230</f>
        <v>5</v>
      </c>
      <c r="M230" s="21" t="str">
        <f>'Raw Data'!M230</f>
        <v>Divorced</v>
      </c>
      <c r="N230" s="21">
        <f>'Raw Data'!N230</f>
        <v>1</v>
      </c>
      <c r="O230" s="21">
        <f>'Raw Data'!O230</f>
        <v>0</v>
      </c>
      <c r="P230" s="21">
        <f>IF('Raw Data'!P230="",ROUND(AVERAGE('Raw Data'!$P$2:$P$1501),1),'Raw Data'!P230)</f>
        <v>11.2</v>
      </c>
      <c r="Q230" s="21">
        <f>IF('Raw Data'!Q230="",ROUND(AVERAGE('Raw Data'!$Q$2:$Q$1501),0),'Raw Data'!Q230)</f>
        <v>1</v>
      </c>
      <c r="R230" s="21">
        <f>'Raw Data'!R230</f>
        <v>4</v>
      </c>
      <c r="S230" s="21">
        <f>IF('Raw Data'!S230="",ROUND(AVERAGE('Raw Data'!$S$2:$S$1501),0),'Raw Data'!S230)</f>
        <v>3</v>
      </c>
      <c r="T230" s="21">
        <f>'Raw Data'!T230</f>
        <v>127.27</v>
      </c>
      <c r="U230" s="21" t="str">
        <f>INDEX('Lookup Tables'!$C$7:$C$9,MATCH(E230,'Lookup Tables'!$B$7:$B$9,0))</f>
        <v>Tier 1 (Metro)</v>
      </c>
      <c r="V230" s="21" t="str">
        <f t="shared" si="9"/>
        <v>13-24 months</v>
      </c>
      <c r="W230" s="21" t="str">
        <f t="shared" si="10"/>
        <v>Low Risk</v>
      </c>
      <c r="X230" s="21" t="str">
        <f t="shared" si="11"/>
        <v>No</v>
      </c>
    </row>
    <row r="231" spans="1:24" x14ac:dyDescent="0.3">
      <c r="A231" s="21">
        <f>'Raw Data'!A231</f>
        <v>50230</v>
      </c>
      <c r="B231" s="21">
        <f>'Raw Data'!B231</f>
        <v>0</v>
      </c>
      <c r="C231" s="21">
        <f>'Raw Data'!C231</f>
        <v>18</v>
      </c>
      <c r="D231" s="21" t="str">
        <f>'Raw Data'!D231</f>
        <v>Computer</v>
      </c>
      <c r="E231" s="21">
        <f>'Raw Data'!E231</f>
        <v>3</v>
      </c>
      <c r="F231" s="21">
        <f>IF('Raw Data'!F231="",ROUND(AVERAGE('Raw Data'!$F$2:$F$1501),1),'Raw Data'!F231)</f>
        <v>7</v>
      </c>
      <c r="G231" s="21" t="str">
        <f>'Raw Data'!G231</f>
        <v>Credit Card</v>
      </c>
      <c r="H231" s="21" t="str">
        <f>'Raw Data'!H231</f>
        <v>Female</v>
      </c>
      <c r="I231" s="21">
        <f>IF('Raw Data'!I231="",ROUND(AVERAGE('Raw Data'!$I$2:$I$1501),1),'Raw Data'!I231)</f>
        <v>2.6</v>
      </c>
      <c r="J231" s="21">
        <f>'Raw Data'!J231</f>
        <v>3</v>
      </c>
      <c r="K231" s="21" t="str">
        <f>'Raw Data'!K231</f>
        <v>Mobile Phone</v>
      </c>
      <c r="L231" s="21">
        <f>'Raw Data'!L231</f>
        <v>1</v>
      </c>
      <c r="M231" s="21" t="str">
        <f>'Raw Data'!M231</f>
        <v>Single</v>
      </c>
      <c r="N231" s="21">
        <f>'Raw Data'!N231</f>
        <v>1</v>
      </c>
      <c r="O231" s="21">
        <f>'Raw Data'!O231</f>
        <v>0</v>
      </c>
      <c r="P231" s="21">
        <f>IF('Raw Data'!P231="",ROUND(AVERAGE('Raw Data'!$P$2:$P$1501),1),'Raw Data'!P231)</f>
        <v>22.8</v>
      </c>
      <c r="Q231" s="21">
        <f>IF('Raw Data'!Q231="",ROUND(AVERAGE('Raw Data'!$Q$2:$Q$1501),0),'Raw Data'!Q231)</f>
        <v>1</v>
      </c>
      <c r="R231" s="21">
        <f>'Raw Data'!R231</f>
        <v>3</v>
      </c>
      <c r="S231" s="21">
        <f>IF('Raw Data'!S231="",ROUND(AVERAGE('Raw Data'!$S$2:$S$1501),0),'Raw Data'!S231)</f>
        <v>10</v>
      </c>
      <c r="T231" s="21">
        <f>'Raw Data'!T231</f>
        <v>220.74</v>
      </c>
      <c r="U231" s="21" t="str">
        <f>INDEX('Lookup Tables'!$C$7:$C$9,MATCH(E231,'Lookup Tables'!$B$7:$B$9,0))</f>
        <v>Tier 3 (Semi-urban/Rural)</v>
      </c>
      <c r="V231" s="21" t="str">
        <f t="shared" si="9"/>
        <v>13-24 months</v>
      </c>
      <c r="W231" s="21" t="str">
        <f t="shared" si="10"/>
        <v>Low Risk</v>
      </c>
      <c r="X231" s="21" t="str">
        <f t="shared" si="11"/>
        <v>No</v>
      </c>
    </row>
    <row r="232" spans="1:24" x14ac:dyDescent="0.3">
      <c r="A232" s="21">
        <f>'Raw Data'!A232</f>
        <v>50231</v>
      </c>
      <c r="B232" s="21">
        <f>'Raw Data'!B232</f>
        <v>0</v>
      </c>
      <c r="C232" s="21">
        <f>'Raw Data'!C232</f>
        <v>3</v>
      </c>
      <c r="D232" s="21" t="str">
        <f>'Raw Data'!D232</f>
        <v>Mobile Phone</v>
      </c>
      <c r="E232" s="21">
        <f>'Raw Data'!E232</f>
        <v>1</v>
      </c>
      <c r="F232" s="21">
        <f>IF('Raw Data'!F232="",ROUND(AVERAGE('Raw Data'!$F$2:$F$1501),1),'Raw Data'!F232)</f>
        <v>8</v>
      </c>
      <c r="G232" s="21" t="str">
        <f>'Raw Data'!G232</f>
        <v>Credit Card</v>
      </c>
      <c r="H232" s="21" t="str">
        <f>'Raw Data'!H232</f>
        <v>Male</v>
      </c>
      <c r="I232" s="21">
        <f>IF('Raw Data'!I232="",ROUND(AVERAGE('Raw Data'!$I$2:$I$1501),1),'Raw Data'!I232)</f>
        <v>2.1</v>
      </c>
      <c r="J232" s="21">
        <f>'Raw Data'!J232</f>
        <v>3</v>
      </c>
      <c r="K232" s="21" t="str">
        <f>'Raw Data'!K232</f>
        <v>Mobile Phone</v>
      </c>
      <c r="L232" s="21">
        <f>'Raw Data'!L232</f>
        <v>3</v>
      </c>
      <c r="M232" s="21" t="str">
        <f>'Raw Data'!M232</f>
        <v>Married</v>
      </c>
      <c r="N232" s="21">
        <f>'Raw Data'!N232</f>
        <v>1</v>
      </c>
      <c r="O232" s="21">
        <f>'Raw Data'!O232</f>
        <v>0</v>
      </c>
      <c r="P232" s="21">
        <f>IF('Raw Data'!P232="",ROUND(AVERAGE('Raw Data'!$P$2:$P$1501),1),'Raw Data'!P232)</f>
        <v>19.5</v>
      </c>
      <c r="Q232" s="21">
        <f>IF('Raw Data'!Q232="",ROUND(AVERAGE('Raw Data'!$Q$2:$Q$1501),0),'Raw Data'!Q232)</f>
        <v>1</v>
      </c>
      <c r="R232" s="21">
        <f>'Raw Data'!R232</f>
        <v>4</v>
      </c>
      <c r="S232" s="21">
        <f>IF('Raw Data'!S232="",ROUND(AVERAGE('Raw Data'!$S$2:$S$1501),0),'Raw Data'!S232)</f>
        <v>8</v>
      </c>
      <c r="T232" s="21">
        <f>'Raw Data'!T232</f>
        <v>208.83</v>
      </c>
      <c r="U232" s="21" t="str">
        <f>INDEX('Lookup Tables'!$C$7:$C$9,MATCH(E232,'Lookup Tables'!$B$7:$B$9,0))</f>
        <v>Tier 1 (Metro)</v>
      </c>
      <c r="V232" s="21" t="str">
        <f t="shared" si="9"/>
        <v>0-6 months</v>
      </c>
      <c r="W232" s="21" t="str">
        <f t="shared" si="10"/>
        <v>Medium Risk</v>
      </c>
      <c r="X232" s="21" t="str">
        <f t="shared" si="11"/>
        <v>No</v>
      </c>
    </row>
    <row r="233" spans="1:24" x14ac:dyDescent="0.3">
      <c r="A233" s="21">
        <f>'Raw Data'!A233</f>
        <v>50232</v>
      </c>
      <c r="B233" s="21">
        <f>'Raw Data'!B233</f>
        <v>0</v>
      </c>
      <c r="C233" s="21">
        <f>'Raw Data'!C233</f>
        <v>17</v>
      </c>
      <c r="D233" s="21" t="str">
        <f>'Raw Data'!D233</f>
        <v>Computer</v>
      </c>
      <c r="E233" s="21">
        <f>'Raw Data'!E233</f>
        <v>3</v>
      </c>
      <c r="F233" s="21">
        <f>IF('Raw Data'!F233="",ROUND(AVERAGE('Raw Data'!$F$2:$F$1501),1),'Raw Data'!F233)</f>
        <v>24</v>
      </c>
      <c r="G233" s="21" t="str">
        <f>'Raw Data'!G233</f>
        <v>Credit Card</v>
      </c>
      <c r="H233" s="21" t="str">
        <f>'Raw Data'!H233</f>
        <v>Male</v>
      </c>
      <c r="I233" s="21">
        <f>IF('Raw Data'!I233="",ROUND(AVERAGE('Raw Data'!$I$2:$I$1501),1),'Raw Data'!I233)</f>
        <v>3.2</v>
      </c>
      <c r="J233" s="21">
        <f>'Raw Data'!J233</f>
        <v>5</v>
      </c>
      <c r="K233" s="21" t="str">
        <f>'Raw Data'!K233</f>
        <v>Laptop &amp; Accessory</v>
      </c>
      <c r="L233" s="21">
        <f>'Raw Data'!L233</f>
        <v>4</v>
      </c>
      <c r="M233" s="21" t="str">
        <f>'Raw Data'!M233</f>
        <v>Married</v>
      </c>
      <c r="N233" s="21">
        <f>'Raw Data'!N233</f>
        <v>1</v>
      </c>
      <c r="O233" s="21">
        <f>'Raw Data'!O233</f>
        <v>0</v>
      </c>
      <c r="P233" s="21">
        <f>IF('Raw Data'!P233="",ROUND(AVERAGE('Raw Data'!$P$2:$P$1501),1),'Raw Data'!P233)</f>
        <v>15.7</v>
      </c>
      <c r="Q233" s="21">
        <f>IF('Raw Data'!Q233="",ROUND(AVERAGE('Raw Data'!$Q$2:$Q$1501),0),'Raw Data'!Q233)</f>
        <v>0</v>
      </c>
      <c r="R233" s="21">
        <f>'Raw Data'!R233</f>
        <v>5</v>
      </c>
      <c r="S233" s="21">
        <f>IF('Raw Data'!S233="",ROUND(AVERAGE('Raw Data'!$S$2:$S$1501),0),'Raw Data'!S233)</f>
        <v>3</v>
      </c>
      <c r="T233" s="21">
        <f>'Raw Data'!T233</f>
        <v>150.01</v>
      </c>
      <c r="U233" s="21" t="str">
        <f>INDEX('Lookup Tables'!$C$7:$C$9,MATCH(E233,'Lookup Tables'!$B$7:$B$9,0))</f>
        <v>Tier 3 (Semi-urban/Rural)</v>
      </c>
      <c r="V233" s="21" t="str">
        <f t="shared" si="9"/>
        <v>13-24 months</v>
      </c>
      <c r="W233" s="21" t="str">
        <f t="shared" si="10"/>
        <v>Low Risk</v>
      </c>
      <c r="X233" s="21" t="str">
        <f t="shared" si="11"/>
        <v>No</v>
      </c>
    </row>
    <row r="234" spans="1:24" x14ac:dyDescent="0.3">
      <c r="A234" s="21">
        <f>'Raw Data'!A234</f>
        <v>50233</v>
      </c>
      <c r="B234" s="21">
        <f>'Raw Data'!B234</f>
        <v>0</v>
      </c>
      <c r="C234" s="21">
        <f>'Raw Data'!C234</f>
        <v>0</v>
      </c>
      <c r="D234" s="21" t="str">
        <f>'Raw Data'!D234</f>
        <v>Computer</v>
      </c>
      <c r="E234" s="21">
        <f>'Raw Data'!E234</f>
        <v>2</v>
      </c>
      <c r="F234" s="21">
        <f>IF('Raw Data'!F234="",ROUND(AVERAGE('Raw Data'!$F$2:$F$1501),1),'Raw Data'!F234)</f>
        <v>21</v>
      </c>
      <c r="G234" s="21" t="str">
        <f>'Raw Data'!G234</f>
        <v>Debit Card</v>
      </c>
      <c r="H234" s="21" t="str">
        <f>'Raw Data'!H234</f>
        <v>Male</v>
      </c>
      <c r="I234" s="21">
        <f>IF('Raw Data'!I234="",ROUND(AVERAGE('Raw Data'!$I$2:$I$1501),1),'Raw Data'!I234)</f>
        <v>4.5999999999999996</v>
      </c>
      <c r="J234" s="21">
        <f>'Raw Data'!J234</f>
        <v>4</v>
      </c>
      <c r="K234" s="21" t="str">
        <f>'Raw Data'!K234</f>
        <v>Laptop &amp; Accessory</v>
      </c>
      <c r="L234" s="21">
        <f>'Raw Data'!L234</f>
        <v>3</v>
      </c>
      <c r="M234" s="21" t="str">
        <f>'Raw Data'!M234</f>
        <v>Married</v>
      </c>
      <c r="N234" s="21">
        <f>'Raw Data'!N234</f>
        <v>1</v>
      </c>
      <c r="O234" s="21">
        <f>'Raw Data'!O234</f>
        <v>0</v>
      </c>
      <c r="P234" s="21">
        <f>IF('Raw Data'!P234="",ROUND(AVERAGE('Raw Data'!$P$2:$P$1501),1),'Raw Data'!P234)</f>
        <v>14.6</v>
      </c>
      <c r="Q234" s="21">
        <f>IF('Raw Data'!Q234="",ROUND(AVERAGE('Raw Data'!$Q$2:$Q$1501),0),'Raw Data'!Q234)</f>
        <v>2</v>
      </c>
      <c r="R234" s="21">
        <f>'Raw Data'!R234</f>
        <v>3</v>
      </c>
      <c r="S234" s="21">
        <f>IF('Raw Data'!S234="",ROUND(AVERAGE('Raw Data'!$S$2:$S$1501),0),'Raw Data'!S234)</f>
        <v>4</v>
      </c>
      <c r="T234" s="21">
        <f>'Raw Data'!T234</f>
        <v>223.57</v>
      </c>
      <c r="U234" s="21" t="str">
        <f>INDEX('Lookup Tables'!$C$7:$C$9,MATCH(E234,'Lookup Tables'!$B$7:$B$9,0))</f>
        <v>Tier 2 (Urban)</v>
      </c>
      <c r="V234" s="21" t="str">
        <f t="shared" si="9"/>
        <v>0-6 months</v>
      </c>
      <c r="W234" s="21" t="str">
        <f t="shared" si="10"/>
        <v>Medium Risk</v>
      </c>
      <c r="X234" s="21" t="str">
        <f t="shared" si="11"/>
        <v>No</v>
      </c>
    </row>
    <row r="235" spans="1:24" x14ac:dyDescent="0.3">
      <c r="A235" s="21">
        <f>'Raw Data'!A235</f>
        <v>50234</v>
      </c>
      <c r="B235" s="21">
        <f>'Raw Data'!B235</f>
        <v>0</v>
      </c>
      <c r="C235" s="21">
        <f>'Raw Data'!C235</f>
        <v>9</v>
      </c>
      <c r="D235" s="21" t="str">
        <f>'Raw Data'!D235</f>
        <v>Computer</v>
      </c>
      <c r="E235" s="21">
        <f>'Raw Data'!E235</f>
        <v>3</v>
      </c>
      <c r="F235" s="21">
        <f>IF('Raw Data'!F235="",ROUND(AVERAGE('Raw Data'!$F$2:$F$1501),1),'Raw Data'!F235)</f>
        <v>14</v>
      </c>
      <c r="G235" s="21" t="str">
        <f>'Raw Data'!G235</f>
        <v>Debit Card</v>
      </c>
      <c r="H235" s="21" t="str">
        <f>'Raw Data'!H235</f>
        <v>Male</v>
      </c>
      <c r="I235" s="21">
        <f>IF('Raw Data'!I235="",ROUND(AVERAGE('Raw Data'!$I$2:$I$1501),1),'Raw Data'!I235)</f>
        <v>3.4</v>
      </c>
      <c r="J235" s="21">
        <f>'Raw Data'!J235</f>
        <v>3</v>
      </c>
      <c r="K235" s="21" t="str">
        <f>'Raw Data'!K235</f>
        <v>Laptop &amp; Accessory</v>
      </c>
      <c r="L235" s="21">
        <f>'Raw Data'!L235</f>
        <v>2</v>
      </c>
      <c r="M235" s="21" t="str">
        <f>'Raw Data'!M235</f>
        <v>Single</v>
      </c>
      <c r="N235" s="21">
        <f>'Raw Data'!N235</f>
        <v>2</v>
      </c>
      <c r="O235" s="21">
        <f>'Raw Data'!O235</f>
        <v>1</v>
      </c>
      <c r="P235" s="21">
        <f>IF('Raw Data'!P235="",ROUND(AVERAGE('Raw Data'!$P$2:$P$1501),1),'Raw Data'!P235)</f>
        <v>14.2</v>
      </c>
      <c r="Q235" s="21">
        <f>IF('Raw Data'!Q235="",ROUND(AVERAGE('Raw Data'!$Q$2:$Q$1501),0),'Raw Data'!Q235)</f>
        <v>0</v>
      </c>
      <c r="R235" s="21">
        <f>'Raw Data'!R235</f>
        <v>4</v>
      </c>
      <c r="S235" s="21">
        <f>IF('Raw Data'!S235="",ROUND(AVERAGE('Raw Data'!$S$2:$S$1501),0),'Raw Data'!S235)</f>
        <v>4</v>
      </c>
      <c r="T235" s="21">
        <f>'Raw Data'!T235</f>
        <v>171.33</v>
      </c>
      <c r="U235" s="21" t="str">
        <f>INDEX('Lookup Tables'!$C$7:$C$9,MATCH(E235,'Lookup Tables'!$B$7:$B$9,0))</f>
        <v>Tier 3 (Semi-urban/Rural)</v>
      </c>
      <c r="V235" s="21" t="str">
        <f t="shared" si="9"/>
        <v>7-12 months</v>
      </c>
      <c r="W235" s="21" t="str">
        <f t="shared" si="10"/>
        <v>High Risk</v>
      </c>
      <c r="X235" s="21" t="str">
        <f t="shared" si="11"/>
        <v>No</v>
      </c>
    </row>
    <row r="236" spans="1:24" x14ac:dyDescent="0.3">
      <c r="A236" s="21">
        <f>'Raw Data'!A236</f>
        <v>50235</v>
      </c>
      <c r="B236" s="21">
        <f>'Raw Data'!B236</f>
        <v>0</v>
      </c>
      <c r="C236" s="21">
        <f>'Raw Data'!C236</f>
        <v>2</v>
      </c>
      <c r="D236" s="21" t="str">
        <f>'Raw Data'!D236</f>
        <v>Computer</v>
      </c>
      <c r="E236" s="21">
        <f>'Raw Data'!E236</f>
        <v>1</v>
      </c>
      <c r="F236" s="21">
        <f>IF('Raw Data'!F236="",ROUND(AVERAGE('Raw Data'!$F$2:$F$1501),1),'Raw Data'!F236)</f>
        <v>11</v>
      </c>
      <c r="G236" s="21" t="str">
        <f>'Raw Data'!G236</f>
        <v>E wallet</v>
      </c>
      <c r="H236" s="21" t="str">
        <f>'Raw Data'!H236</f>
        <v>Male</v>
      </c>
      <c r="I236" s="21">
        <f>IF('Raw Data'!I236="",ROUND(AVERAGE('Raw Data'!$I$2:$I$1501),1),'Raw Data'!I236)</f>
        <v>2.2999999999999998</v>
      </c>
      <c r="J236" s="21">
        <f>'Raw Data'!J236</f>
        <v>4</v>
      </c>
      <c r="K236" s="21" t="str">
        <f>'Raw Data'!K236</f>
        <v>Laptop &amp; Accessory</v>
      </c>
      <c r="L236" s="21">
        <f>'Raw Data'!L236</f>
        <v>4</v>
      </c>
      <c r="M236" s="21" t="str">
        <f>'Raw Data'!M236</f>
        <v>Married</v>
      </c>
      <c r="N236" s="21">
        <f>'Raw Data'!N236</f>
        <v>6</v>
      </c>
      <c r="O236" s="21">
        <f>'Raw Data'!O236</f>
        <v>1</v>
      </c>
      <c r="P236" s="21">
        <f>IF('Raw Data'!P236="",ROUND(AVERAGE('Raw Data'!$P$2:$P$1501),1),'Raw Data'!P236)</f>
        <v>15.5</v>
      </c>
      <c r="Q236" s="21">
        <f>IF('Raw Data'!Q236="",ROUND(AVERAGE('Raw Data'!$Q$2:$Q$1501),0),'Raw Data'!Q236)</f>
        <v>3</v>
      </c>
      <c r="R236" s="21">
        <f>'Raw Data'!R236</f>
        <v>3</v>
      </c>
      <c r="S236" s="21">
        <f>IF('Raw Data'!S236="",ROUND(AVERAGE('Raw Data'!$S$2:$S$1501),0),'Raw Data'!S236)</f>
        <v>4</v>
      </c>
      <c r="T236" s="21">
        <f>'Raw Data'!T236</f>
        <v>167.81</v>
      </c>
      <c r="U236" s="21" t="str">
        <f>INDEX('Lookup Tables'!$C$7:$C$9,MATCH(E236,'Lookup Tables'!$B$7:$B$9,0))</f>
        <v>Tier 1 (Metro)</v>
      </c>
      <c r="V236" s="21" t="str">
        <f t="shared" si="9"/>
        <v>0-6 months</v>
      </c>
      <c r="W236" s="21" t="str">
        <f t="shared" si="10"/>
        <v>Low Risk</v>
      </c>
      <c r="X236" s="21" t="str">
        <f t="shared" si="11"/>
        <v>No</v>
      </c>
    </row>
    <row r="237" spans="1:24" x14ac:dyDescent="0.3">
      <c r="A237" s="21">
        <f>'Raw Data'!A237</f>
        <v>50236</v>
      </c>
      <c r="B237" s="21">
        <f>'Raw Data'!B237</f>
        <v>0</v>
      </c>
      <c r="C237" s="21">
        <f>'Raw Data'!C237</f>
        <v>1</v>
      </c>
      <c r="D237" s="21" t="str">
        <f>'Raw Data'!D237</f>
        <v>Phone</v>
      </c>
      <c r="E237" s="21">
        <f>'Raw Data'!E237</f>
        <v>1</v>
      </c>
      <c r="F237" s="21">
        <f>IF('Raw Data'!F237="",ROUND(AVERAGE('Raw Data'!$F$2:$F$1501),1),'Raw Data'!F237)</f>
        <v>5</v>
      </c>
      <c r="G237" s="21" t="str">
        <f>'Raw Data'!G237</f>
        <v>E wallet</v>
      </c>
      <c r="H237" s="21" t="str">
        <f>'Raw Data'!H237</f>
        <v>Female</v>
      </c>
      <c r="I237" s="21">
        <f>IF('Raw Data'!I237="",ROUND(AVERAGE('Raw Data'!$I$2:$I$1501),1),'Raw Data'!I237)</f>
        <v>3.7</v>
      </c>
      <c r="J237" s="21">
        <f>'Raw Data'!J237</f>
        <v>4</v>
      </c>
      <c r="K237" s="21" t="str">
        <f>'Raw Data'!K237</f>
        <v>Fashion</v>
      </c>
      <c r="L237" s="21">
        <f>'Raw Data'!L237</f>
        <v>4</v>
      </c>
      <c r="M237" s="21" t="str">
        <f>'Raw Data'!M237</f>
        <v>Married</v>
      </c>
      <c r="N237" s="21">
        <f>'Raw Data'!N237</f>
        <v>6</v>
      </c>
      <c r="O237" s="21">
        <f>'Raw Data'!O237</f>
        <v>0</v>
      </c>
      <c r="P237" s="21">
        <f>IF('Raw Data'!P237="",ROUND(AVERAGE('Raw Data'!$P$2:$P$1501),1),'Raw Data'!P237)</f>
        <v>15.8</v>
      </c>
      <c r="Q237" s="21">
        <f>IF('Raw Data'!Q237="",ROUND(AVERAGE('Raw Data'!$Q$2:$Q$1501),0),'Raw Data'!Q237)</f>
        <v>1</v>
      </c>
      <c r="R237" s="21">
        <f>'Raw Data'!R237</f>
        <v>3</v>
      </c>
      <c r="S237" s="21">
        <f>IF('Raw Data'!S237="",ROUND(AVERAGE('Raw Data'!$S$2:$S$1501),0),'Raw Data'!S237)</f>
        <v>3</v>
      </c>
      <c r="T237" s="21">
        <f>'Raw Data'!T237</f>
        <v>166.31</v>
      </c>
      <c r="U237" s="21" t="str">
        <f>INDEX('Lookup Tables'!$C$7:$C$9,MATCH(E237,'Lookup Tables'!$B$7:$B$9,0))</f>
        <v>Tier 1 (Metro)</v>
      </c>
      <c r="V237" s="21" t="str">
        <f t="shared" si="9"/>
        <v>0-6 months</v>
      </c>
      <c r="W237" s="21" t="str">
        <f t="shared" si="10"/>
        <v>Low Risk</v>
      </c>
      <c r="X237" s="21" t="str">
        <f t="shared" si="11"/>
        <v>No</v>
      </c>
    </row>
    <row r="238" spans="1:24" x14ac:dyDescent="0.3">
      <c r="A238" s="21">
        <f>'Raw Data'!A238</f>
        <v>50237</v>
      </c>
      <c r="B238" s="21">
        <f>'Raw Data'!B238</f>
        <v>0</v>
      </c>
      <c r="C238" s="21">
        <f>'Raw Data'!C238</f>
        <v>0</v>
      </c>
      <c r="D238" s="21" t="str">
        <f>'Raw Data'!D238</f>
        <v>Mobile Phone</v>
      </c>
      <c r="E238" s="21">
        <f>'Raw Data'!E238</f>
        <v>3</v>
      </c>
      <c r="F238" s="21">
        <f>IF('Raw Data'!F238="",ROUND(AVERAGE('Raw Data'!$F$2:$F$1501),1),'Raw Data'!F238)</f>
        <v>6</v>
      </c>
      <c r="G238" s="21" t="str">
        <f>'Raw Data'!G238</f>
        <v>Debit Card</v>
      </c>
      <c r="H238" s="21" t="str">
        <f>'Raw Data'!H238</f>
        <v>Male</v>
      </c>
      <c r="I238" s="21">
        <f>IF('Raw Data'!I238="",ROUND(AVERAGE('Raw Data'!$I$2:$I$1501),1),'Raw Data'!I238)</f>
        <v>2.7</v>
      </c>
      <c r="J238" s="21">
        <f>'Raw Data'!J238</f>
        <v>3</v>
      </c>
      <c r="K238" s="21" t="str">
        <f>'Raw Data'!K238</f>
        <v>Laptop &amp; Accessory</v>
      </c>
      <c r="L238" s="21">
        <f>'Raw Data'!L238</f>
        <v>5</v>
      </c>
      <c r="M238" s="21" t="str">
        <f>'Raw Data'!M238</f>
        <v>Married</v>
      </c>
      <c r="N238" s="21">
        <f>'Raw Data'!N238</f>
        <v>3</v>
      </c>
      <c r="O238" s="21">
        <f>'Raw Data'!O238</f>
        <v>1</v>
      </c>
      <c r="P238" s="21">
        <f>IF('Raw Data'!P238="",ROUND(AVERAGE('Raw Data'!$P$2:$P$1501),1),'Raw Data'!P238)</f>
        <v>20.399999999999999</v>
      </c>
      <c r="Q238" s="21">
        <f>IF('Raw Data'!Q238="",ROUND(AVERAGE('Raw Data'!$Q$2:$Q$1501),0),'Raw Data'!Q238)</f>
        <v>3</v>
      </c>
      <c r="R238" s="21">
        <f>'Raw Data'!R238</f>
        <v>2</v>
      </c>
      <c r="S238" s="21">
        <f>IF('Raw Data'!S238="",ROUND(AVERAGE('Raw Data'!$S$2:$S$1501),0),'Raw Data'!S238)</f>
        <v>5</v>
      </c>
      <c r="T238" s="21">
        <f>'Raw Data'!T238</f>
        <v>46.45</v>
      </c>
      <c r="U238" s="21" t="str">
        <f>INDEX('Lookup Tables'!$C$7:$C$9,MATCH(E238,'Lookup Tables'!$B$7:$B$9,0))</f>
        <v>Tier 3 (Semi-urban/Rural)</v>
      </c>
      <c r="V238" s="21" t="str">
        <f t="shared" si="9"/>
        <v>0-6 months</v>
      </c>
      <c r="W238" s="21" t="str">
        <f t="shared" si="10"/>
        <v>Low Risk</v>
      </c>
      <c r="X238" s="21" t="str">
        <f t="shared" si="11"/>
        <v>No</v>
      </c>
    </row>
    <row r="239" spans="1:24" x14ac:dyDescent="0.3">
      <c r="A239" s="21">
        <f>'Raw Data'!A239</f>
        <v>50238</v>
      </c>
      <c r="B239" s="21">
        <f>'Raw Data'!B239</f>
        <v>0</v>
      </c>
      <c r="C239" s="21">
        <f>'Raw Data'!C239</f>
        <v>11</v>
      </c>
      <c r="D239" s="21" t="str">
        <f>'Raw Data'!D239</f>
        <v>Mobile Phone</v>
      </c>
      <c r="E239" s="21">
        <f>'Raw Data'!E239</f>
        <v>3</v>
      </c>
      <c r="F239" s="21">
        <f>IF('Raw Data'!F239="",ROUND(AVERAGE('Raw Data'!$F$2:$F$1501),1),'Raw Data'!F239)</f>
        <v>30</v>
      </c>
      <c r="G239" s="21" t="str">
        <f>'Raw Data'!G239</f>
        <v>Credit Card</v>
      </c>
      <c r="H239" s="21" t="str">
        <f>'Raw Data'!H239</f>
        <v>Male</v>
      </c>
      <c r="I239" s="21">
        <f>IF('Raw Data'!I239="",ROUND(AVERAGE('Raw Data'!$I$2:$I$1501),1),'Raw Data'!I239)</f>
        <v>3.9</v>
      </c>
      <c r="J239" s="21">
        <f>'Raw Data'!J239</f>
        <v>4</v>
      </c>
      <c r="K239" s="21" t="str">
        <f>'Raw Data'!K239</f>
        <v>Grocery</v>
      </c>
      <c r="L239" s="21">
        <f>'Raw Data'!L239</f>
        <v>3</v>
      </c>
      <c r="M239" s="21" t="str">
        <f>'Raw Data'!M239</f>
        <v>Married</v>
      </c>
      <c r="N239" s="21">
        <f>'Raw Data'!N239</f>
        <v>9</v>
      </c>
      <c r="O239" s="21">
        <f>'Raw Data'!O239</f>
        <v>1</v>
      </c>
      <c r="P239" s="21">
        <f>IF('Raw Data'!P239="",ROUND(AVERAGE('Raw Data'!$P$2:$P$1501),1),'Raw Data'!P239)</f>
        <v>22.9</v>
      </c>
      <c r="Q239" s="21">
        <f>IF('Raw Data'!Q239="",ROUND(AVERAGE('Raw Data'!$Q$2:$Q$1501),0),'Raw Data'!Q239)</f>
        <v>2</v>
      </c>
      <c r="R239" s="21">
        <f>'Raw Data'!R239</f>
        <v>2</v>
      </c>
      <c r="S239" s="21">
        <f>IF('Raw Data'!S239="",ROUND(AVERAGE('Raw Data'!$S$2:$S$1501),0),'Raw Data'!S239)</f>
        <v>5</v>
      </c>
      <c r="T239" s="21">
        <f>'Raw Data'!T239</f>
        <v>151.03</v>
      </c>
      <c r="U239" s="21" t="str">
        <f>INDEX('Lookup Tables'!$C$7:$C$9,MATCH(E239,'Lookup Tables'!$B$7:$B$9,0))</f>
        <v>Tier 3 (Semi-urban/Rural)</v>
      </c>
      <c r="V239" s="21" t="str">
        <f t="shared" si="9"/>
        <v>7-12 months</v>
      </c>
      <c r="W239" s="21" t="str">
        <f t="shared" si="10"/>
        <v>Medium Risk</v>
      </c>
      <c r="X239" s="21" t="str">
        <f t="shared" si="11"/>
        <v>No</v>
      </c>
    </row>
    <row r="240" spans="1:24" x14ac:dyDescent="0.3">
      <c r="A240" s="21">
        <f>'Raw Data'!A240</f>
        <v>50239</v>
      </c>
      <c r="B240" s="21">
        <f>'Raw Data'!B240</f>
        <v>0</v>
      </c>
      <c r="C240" s="21">
        <f>'Raw Data'!C240</f>
        <v>4</v>
      </c>
      <c r="D240" s="21" t="str">
        <f>'Raw Data'!D240</f>
        <v>Mobile Phone</v>
      </c>
      <c r="E240" s="21">
        <f>'Raw Data'!E240</f>
        <v>3</v>
      </c>
      <c r="F240" s="21">
        <f>IF('Raw Data'!F240="",ROUND(AVERAGE('Raw Data'!$F$2:$F$1501),1),'Raw Data'!F240)</f>
        <v>5</v>
      </c>
      <c r="G240" s="21" t="str">
        <f>'Raw Data'!G240</f>
        <v>Debit Card</v>
      </c>
      <c r="H240" s="21" t="str">
        <f>'Raw Data'!H240</f>
        <v>Male</v>
      </c>
      <c r="I240" s="21">
        <f>IF('Raw Data'!I240="",ROUND(AVERAGE('Raw Data'!$I$2:$I$1501),1),'Raw Data'!I240)</f>
        <v>3.5</v>
      </c>
      <c r="J240" s="21">
        <f>'Raw Data'!J240</f>
        <v>2</v>
      </c>
      <c r="K240" s="21" t="str">
        <f>'Raw Data'!K240</f>
        <v>Others</v>
      </c>
      <c r="L240" s="21">
        <f>'Raw Data'!L240</f>
        <v>3</v>
      </c>
      <c r="M240" s="21" t="str">
        <f>'Raw Data'!M240</f>
        <v>Married</v>
      </c>
      <c r="N240" s="21">
        <f>'Raw Data'!N240</f>
        <v>2</v>
      </c>
      <c r="O240" s="21">
        <f>'Raw Data'!O240</f>
        <v>0</v>
      </c>
      <c r="P240" s="21">
        <f>IF('Raw Data'!P240="",ROUND(AVERAGE('Raw Data'!$P$2:$P$1501),1),'Raw Data'!P240)</f>
        <v>16.7</v>
      </c>
      <c r="Q240" s="21">
        <f>IF('Raw Data'!Q240="",ROUND(AVERAGE('Raw Data'!$Q$2:$Q$1501),0),'Raw Data'!Q240)</f>
        <v>2</v>
      </c>
      <c r="R240" s="21">
        <f>'Raw Data'!R240</f>
        <v>6</v>
      </c>
      <c r="S240" s="21">
        <f>IF('Raw Data'!S240="",ROUND(AVERAGE('Raw Data'!$S$2:$S$1501),0),'Raw Data'!S240)</f>
        <v>4</v>
      </c>
      <c r="T240" s="21">
        <f>'Raw Data'!T240</f>
        <v>219.22</v>
      </c>
      <c r="U240" s="21" t="str">
        <f>INDEX('Lookup Tables'!$C$7:$C$9,MATCH(E240,'Lookup Tables'!$B$7:$B$9,0))</f>
        <v>Tier 3 (Semi-urban/Rural)</v>
      </c>
      <c r="V240" s="21" t="str">
        <f t="shared" si="9"/>
        <v>0-6 months</v>
      </c>
      <c r="W240" s="21" t="str">
        <f t="shared" si="10"/>
        <v>Medium Risk</v>
      </c>
      <c r="X240" s="21" t="str">
        <f t="shared" si="11"/>
        <v>No</v>
      </c>
    </row>
    <row r="241" spans="1:24" x14ac:dyDescent="0.3">
      <c r="A241" s="21">
        <f>'Raw Data'!A241</f>
        <v>50240</v>
      </c>
      <c r="B241" s="21">
        <f>'Raw Data'!B241</f>
        <v>0</v>
      </c>
      <c r="C241" s="21">
        <f>'Raw Data'!C241</f>
        <v>12</v>
      </c>
      <c r="D241" s="21" t="str">
        <f>'Raw Data'!D241</f>
        <v>Phone</v>
      </c>
      <c r="E241" s="21">
        <f>'Raw Data'!E241</f>
        <v>1</v>
      </c>
      <c r="F241" s="21">
        <f>IF('Raw Data'!F241="",ROUND(AVERAGE('Raw Data'!$F$2:$F$1501),1),'Raw Data'!F241)</f>
        <v>16</v>
      </c>
      <c r="G241" s="21" t="str">
        <f>'Raw Data'!G241</f>
        <v>Debit Card</v>
      </c>
      <c r="H241" s="21" t="str">
        <f>'Raw Data'!H241</f>
        <v>Female</v>
      </c>
      <c r="I241" s="21">
        <f>IF('Raw Data'!I241="",ROUND(AVERAGE('Raw Data'!$I$2:$I$1501),1),'Raw Data'!I241)</f>
        <v>0.8</v>
      </c>
      <c r="J241" s="21">
        <f>'Raw Data'!J241</f>
        <v>4</v>
      </c>
      <c r="K241" s="21" t="str">
        <f>'Raw Data'!K241</f>
        <v>Others</v>
      </c>
      <c r="L241" s="21">
        <f>'Raw Data'!L241</f>
        <v>3</v>
      </c>
      <c r="M241" s="21" t="str">
        <f>'Raw Data'!M241</f>
        <v>Married</v>
      </c>
      <c r="N241" s="21">
        <f>'Raw Data'!N241</f>
        <v>7</v>
      </c>
      <c r="O241" s="21">
        <f>'Raw Data'!O241</f>
        <v>0</v>
      </c>
      <c r="P241" s="21">
        <f>IF('Raw Data'!P241="",ROUND(AVERAGE('Raw Data'!$P$2:$P$1501),1),'Raw Data'!P241)</f>
        <v>13</v>
      </c>
      <c r="Q241" s="21">
        <f>IF('Raw Data'!Q241="",ROUND(AVERAGE('Raw Data'!$Q$2:$Q$1501),0),'Raw Data'!Q241)</f>
        <v>3</v>
      </c>
      <c r="R241" s="21">
        <f>'Raw Data'!R241</f>
        <v>3</v>
      </c>
      <c r="S241" s="21">
        <f>IF('Raw Data'!S241="",ROUND(AVERAGE('Raw Data'!$S$2:$S$1501),0),'Raw Data'!S241)</f>
        <v>5</v>
      </c>
      <c r="T241" s="21">
        <f>'Raw Data'!T241</f>
        <v>178.77</v>
      </c>
      <c r="U241" s="21" t="str">
        <f>INDEX('Lookup Tables'!$C$7:$C$9,MATCH(E241,'Lookup Tables'!$B$7:$B$9,0))</f>
        <v>Tier 1 (Metro)</v>
      </c>
      <c r="V241" s="21" t="str">
        <f t="shared" si="9"/>
        <v>7-12 months</v>
      </c>
      <c r="W241" s="21" t="str">
        <f t="shared" si="10"/>
        <v>Medium Risk</v>
      </c>
      <c r="X241" s="21" t="str">
        <f t="shared" si="11"/>
        <v>No</v>
      </c>
    </row>
    <row r="242" spans="1:24" x14ac:dyDescent="0.3">
      <c r="A242" s="21">
        <f>'Raw Data'!A242</f>
        <v>50241</v>
      </c>
      <c r="B242" s="21">
        <f>'Raw Data'!B242</f>
        <v>0</v>
      </c>
      <c r="C242" s="21">
        <f>'Raw Data'!C242</f>
        <v>0</v>
      </c>
      <c r="D242" s="21" t="str">
        <f>'Raw Data'!D242</f>
        <v>Mobile Phone</v>
      </c>
      <c r="E242" s="21">
        <f>'Raw Data'!E242</f>
        <v>3</v>
      </c>
      <c r="F242" s="21">
        <f>IF('Raw Data'!F242="",ROUND(AVERAGE('Raw Data'!$F$2:$F$1501),1),'Raw Data'!F242)</f>
        <v>23</v>
      </c>
      <c r="G242" s="21" t="str">
        <f>'Raw Data'!G242</f>
        <v>Debit Card</v>
      </c>
      <c r="H242" s="21" t="str">
        <f>'Raw Data'!H242</f>
        <v>Female</v>
      </c>
      <c r="I242" s="21">
        <f>IF('Raw Data'!I242="",ROUND(AVERAGE('Raw Data'!$I$2:$I$1501),1),'Raw Data'!I242)</f>
        <v>2.2000000000000002</v>
      </c>
      <c r="J242" s="21">
        <f>'Raw Data'!J242</f>
        <v>2</v>
      </c>
      <c r="K242" s="21" t="str">
        <f>'Raw Data'!K242</f>
        <v>Others</v>
      </c>
      <c r="L242" s="21">
        <f>'Raw Data'!L242</f>
        <v>3</v>
      </c>
      <c r="M242" s="21" t="str">
        <f>'Raw Data'!M242</f>
        <v>Single</v>
      </c>
      <c r="N242" s="21">
        <f>'Raw Data'!N242</f>
        <v>2</v>
      </c>
      <c r="O242" s="21">
        <f>'Raw Data'!O242</f>
        <v>0</v>
      </c>
      <c r="P242" s="21">
        <f>IF('Raw Data'!P242="",ROUND(AVERAGE('Raw Data'!$P$2:$P$1501),1),'Raw Data'!P242)</f>
        <v>14.1</v>
      </c>
      <c r="Q242" s="21">
        <f>IF('Raw Data'!Q242="",ROUND(AVERAGE('Raw Data'!$Q$2:$Q$1501),0),'Raw Data'!Q242)</f>
        <v>1</v>
      </c>
      <c r="R242" s="21">
        <f>'Raw Data'!R242</f>
        <v>6</v>
      </c>
      <c r="S242" s="21">
        <f>IF('Raw Data'!S242="",ROUND(AVERAGE('Raw Data'!$S$2:$S$1501),0),'Raw Data'!S242)</f>
        <v>0</v>
      </c>
      <c r="T242" s="21">
        <f>'Raw Data'!T242</f>
        <v>109.31</v>
      </c>
      <c r="U242" s="21" t="str">
        <f>INDEX('Lookup Tables'!$C$7:$C$9,MATCH(E242,'Lookup Tables'!$B$7:$B$9,0))</f>
        <v>Tier 3 (Semi-urban/Rural)</v>
      </c>
      <c r="V242" s="21" t="str">
        <f t="shared" si="9"/>
        <v>0-6 months</v>
      </c>
      <c r="W242" s="21" t="str">
        <f t="shared" si="10"/>
        <v>Medium Risk</v>
      </c>
      <c r="X242" s="21" t="str">
        <f t="shared" si="11"/>
        <v>No</v>
      </c>
    </row>
    <row r="243" spans="1:24" x14ac:dyDescent="0.3">
      <c r="A243" s="21">
        <f>'Raw Data'!A243</f>
        <v>50242</v>
      </c>
      <c r="B243" s="21">
        <f>'Raw Data'!B243</f>
        <v>0</v>
      </c>
      <c r="C243" s="21">
        <f>'Raw Data'!C243</f>
        <v>3</v>
      </c>
      <c r="D243" s="21" t="str">
        <f>'Raw Data'!D243</f>
        <v>Computer</v>
      </c>
      <c r="E243" s="21">
        <f>'Raw Data'!E243</f>
        <v>3</v>
      </c>
      <c r="F243" s="21">
        <f>IF('Raw Data'!F243="",ROUND(AVERAGE('Raw Data'!$F$2:$F$1501),1),'Raw Data'!F243)</f>
        <v>5</v>
      </c>
      <c r="G243" s="21" t="str">
        <f>'Raw Data'!G243</f>
        <v>UPI</v>
      </c>
      <c r="H243" s="21" t="str">
        <f>'Raw Data'!H243</f>
        <v>Female</v>
      </c>
      <c r="I243" s="21">
        <f>IF('Raw Data'!I243="",ROUND(AVERAGE('Raw Data'!$I$2:$I$1501),1),'Raw Data'!I243)</f>
        <v>3.6</v>
      </c>
      <c r="J243" s="21">
        <f>'Raw Data'!J243</f>
        <v>3</v>
      </c>
      <c r="K243" s="21" t="str">
        <f>'Raw Data'!K243</f>
        <v>Laptop &amp; Accessory</v>
      </c>
      <c r="L243" s="21">
        <f>'Raw Data'!L243</f>
        <v>4</v>
      </c>
      <c r="M243" s="21" t="str">
        <f>'Raw Data'!M243</f>
        <v>Married</v>
      </c>
      <c r="N243" s="21">
        <f>'Raw Data'!N243</f>
        <v>1</v>
      </c>
      <c r="O243" s="21">
        <f>'Raw Data'!O243</f>
        <v>1</v>
      </c>
      <c r="P243" s="21">
        <f>IF('Raw Data'!P243="",ROUND(AVERAGE('Raw Data'!$P$2:$P$1501),1),'Raw Data'!P243)</f>
        <v>15.4</v>
      </c>
      <c r="Q243" s="21">
        <f>IF('Raw Data'!Q243="",ROUND(AVERAGE('Raw Data'!$Q$2:$Q$1501),0),'Raw Data'!Q243)</f>
        <v>2</v>
      </c>
      <c r="R243" s="21">
        <f>'Raw Data'!R243</f>
        <v>3</v>
      </c>
      <c r="S243" s="21">
        <f>IF('Raw Data'!S243="",ROUND(AVERAGE('Raw Data'!$S$2:$S$1501),0),'Raw Data'!S243)</f>
        <v>1</v>
      </c>
      <c r="T243" s="21">
        <f>'Raw Data'!T243</f>
        <v>233.05</v>
      </c>
      <c r="U243" s="21" t="str">
        <f>INDEX('Lookup Tables'!$C$7:$C$9,MATCH(E243,'Lookup Tables'!$B$7:$B$9,0))</f>
        <v>Tier 3 (Semi-urban/Rural)</v>
      </c>
      <c r="V243" s="21" t="str">
        <f t="shared" si="9"/>
        <v>0-6 months</v>
      </c>
      <c r="W243" s="21" t="str">
        <f t="shared" si="10"/>
        <v>Low Risk</v>
      </c>
      <c r="X243" s="21" t="str">
        <f t="shared" si="11"/>
        <v>No</v>
      </c>
    </row>
    <row r="244" spans="1:24" x14ac:dyDescent="0.3">
      <c r="A244" s="21">
        <f>'Raw Data'!A244</f>
        <v>50243</v>
      </c>
      <c r="B244" s="21">
        <f>'Raw Data'!B244</f>
        <v>0</v>
      </c>
      <c r="C244" s="21">
        <f>'Raw Data'!C244</f>
        <v>7</v>
      </c>
      <c r="D244" s="21" t="str">
        <f>'Raw Data'!D244</f>
        <v>Computer</v>
      </c>
      <c r="E244" s="21">
        <f>'Raw Data'!E244</f>
        <v>2</v>
      </c>
      <c r="F244" s="21">
        <f>IF('Raw Data'!F244="",ROUND(AVERAGE('Raw Data'!$F$2:$F$1501),1),'Raw Data'!F244)</f>
        <v>16</v>
      </c>
      <c r="G244" s="21" t="str">
        <f>'Raw Data'!G244</f>
        <v>Debit Card</v>
      </c>
      <c r="H244" s="21" t="str">
        <f>'Raw Data'!H244</f>
        <v>Male</v>
      </c>
      <c r="I244" s="21">
        <f>IF('Raw Data'!I244="",ROUND(AVERAGE('Raw Data'!$I$2:$I$1501),1),'Raw Data'!I244)</f>
        <v>2.9</v>
      </c>
      <c r="J244" s="21">
        <f>'Raw Data'!J244</f>
        <v>3</v>
      </c>
      <c r="K244" s="21" t="str">
        <f>'Raw Data'!K244</f>
        <v>Mobile Phone</v>
      </c>
      <c r="L244" s="21">
        <f>'Raw Data'!L244</f>
        <v>3</v>
      </c>
      <c r="M244" s="21" t="str">
        <f>'Raw Data'!M244</f>
        <v>Married</v>
      </c>
      <c r="N244" s="21">
        <f>'Raw Data'!N244</f>
        <v>8</v>
      </c>
      <c r="O244" s="21">
        <f>'Raw Data'!O244</f>
        <v>1</v>
      </c>
      <c r="P244" s="21">
        <f>IF('Raw Data'!P244="",ROUND(AVERAGE('Raw Data'!$P$2:$P$1501),1),'Raw Data'!P244)</f>
        <v>12.4</v>
      </c>
      <c r="Q244" s="21">
        <f>IF('Raw Data'!Q244="",ROUND(AVERAGE('Raw Data'!$Q$2:$Q$1501),0),'Raw Data'!Q244)</f>
        <v>2</v>
      </c>
      <c r="R244" s="21">
        <f>'Raw Data'!R244</f>
        <v>2</v>
      </c>
      <c r="S244" s="21">
        <f>IF('Raw Data'!S244="",ROUND(AVERAGE('Raw Data'!$S$2:$S$1501),0),'Raw Data'!S244)</f>
        <v>4</v>
      </c>
      <c r="T244" s="21">
        <f>'Raw Data'!T244</f>
        <v>163.58000000000001</v>
      </c>
      <c r="U244" s="21" t="str">
        <f>INDEX('Lookup Tables'!$C$7:$C$9,MATCH(E244,'Lookup Tables'!$B$7:$B$9,0))</f>
        <v>Tier 2 (Urban)</v>
      </c>
      <c r="V244" s="21" t="str">
        <f t="shared" si="9"/>
        <v>7-12 months</v>
      </c>
      <c r="W244" s="21" t="str">
        <f t="shared" si="10"/>
        <v>Medium Risk</v>
      </c>
      <c r="X244" s="21" t="str">
        <f t="shared" si="11"/>
        <v>No</v>
      </c>
    </row>
    <row r="245" spans="1:24" x14ac:dyDescent="0.3">
      <c r="A245" s="21">
        <f>'Raw Data'!A245</f>
        <v>50244</v>
      </c>
      <c r="B245" s="21">
        <f>'Raw Data'!B245</f>
        <v>1</v>
      </c>
      <c r="C245" s="21">
        <f>'Raw Data'!C245</f>
        <v>15</v>
      </c>
      <c r="D245" s="21" t="str">
        <f>'Raw Data'!D245</f>
        <v>Mobile Phone</v>
      </c>
      <c r="E245" s="21">
        <f>'Raw Data'!E245</f>
        <v>3</v>
      </c>
      <c r="F245" s="21">
        <f>IF('Raw Data'!F245="",ROUND(AVERAGE('Raw Data'!$F$2:$F$1501),1),'Raw Data'!F245)</f>
        <v>22</v>
      </c>
      <c r="G245" s="21" t="str">
        <f>'Raw Data'!G245</f>
        <v>Debit Card</v>
      </c>
      <c r="H245" s="21" t="str">
        <f>'Raw Data'!H245</f>
        <v>Female</v>
      </c>
      <c r="I245" s="21">
        <f>IF('Raw Data'!I245="",ROUND(AVERAGE('Raw Data'!$I$2:$I$1501),1),'Raw Data'!I245)</f>
        <v>2.2000000000000002</v>
      </c>
      <c r="J245" s="21">
        <f>'Raw Data'!J245</f>
        <v>5</v>
      </c>
      <c r="K245" s="21" t="str">
        <f>'Raw Data'!K245</f>
        <v>Laptop &amp; Accessory</v>
      </c>
      <c r="L245" s="21">
        <f>'Raw Data'!L245</f>
        <v>3</v>
      </c>
      <c r="M245" s="21" t="str">
        <f>'Raw Data'!M245</f>
        <v>Divorced</v>
      </c>
      <c r="N245" s="21">
        <f>'Raw Data'!N245</f>
        <v>1</v>
      </c>
      <c r="O245" s="21">
        <f>'Raw Data'!O245</f>
        <v>0</v>
      </c>
      <c r="P245" s="21">
        <f>IF('Raw Data'!P245="",ROUND(AVERAGE('Raw Data'!$P$2:$P$1501),1),'Raw Data'!P245)</f>
        <v>11.9</v>
      </c>
      <c r="Q245" s="21">
        <f>IF('Raw Data'!Q245="",ROUND(AVERAGE('Raw Data'!$Q$2:$Q$1501),0),'Raw Data'!Q245)</f>
        <v>1</v>
      </c>
      <c r="R245" s="21">
        <f>'Raw Data'!R245</f>
        <v>6</v>
      </c>
      <c r="S245" s="21">
        <f>IF('Raw Data'!S245="",ROUND(AVERAGE('Raw Data'!$S$2:$S$1501),0),'Raw Data'!S245)</f>
        <v>2</v>
      </c>
      <c r="T245" s="21">
        <f>'Raw Data'!T245</f>
        <v>112.81</v>
      </c>
      <c r="U245" s="21" t="str">
        <f>INDEX('Lookup Tables'!$C$7:$C$9,MATCH(E245,'Lookup Tables'!$B$7:$B$9,0))</f>
        <v>Tier 3 (Semi-urban/Rural)</v>
      </c>
      <c r="V245" s="21" t="str">
        <f t="shared" si="9"/>
        <v>13-24 months</v>
      </c>
      <c r="W245" s="21" t="str">
        <f t="shared" si="10"/>
        <v>Medium Risk</v>
      </c>
      <c r="X245" s="21" t="str">
        <f t="shared" si="11"/>
        <v>Yes</v>
      </c>
    </row>
    <row r="246" spans="1:24" x14ac:dyDescent="0.3">
      <c r="A246" s="21">
        <f>'Raw Data'!A246</f>
        <v>50245</v>
      </c>
      <c r="B246" s="21">
        <f>'Raw Data'!B246</f>
        <v>0</v>
      </c>
      <c r="C246" s="21">
        <f>'Raw Data'!C246</f>
        <v>3</v>
      </c>
      <c r="D246" s="21" t="str">
        <f>'Raw Data'!D246</f>
        <v>Mobile Phone</v>
      </c>
      <c r="E246" s="21">
        <f>'Raw Data'!E246</f>
        <v>3</v>
      </c>
      <c r="F246" s="21">
        <f>IF('Raw Data'!F246="",ROUND(AVERAGE('Raw Data'!$F$2:$F$1501),1),'Raw Data'!F246)</f>
        <v>15</v>
      </c>
      <c r="G246" s="21" t="str">
        <f>'Raw Data'!G246</f>
        <v>Debit Card</v>
      </c>
      <c r="H246" s="21" t="str">
        <f>'Raw Data'!H246</f>
        <v>Male</v>
      </c>
      <c r="I246" s="21">
        <f>IF('Raw Data'!I246="",ROUND(AVERAGE('Raw Data'!$I$2:$I$1501),1),'Raw Data'!I246)</f>
        <v>2.5</v>
      </c>
      <c r="J246" s="21">
        <f>'Raw Data'!J246</f>
        <v>2</v>
      </c>
      <c r="K246" s="21" t="str">
        <f>'Raw Data'!K246</f>
        <v>Grocery</v>
      </c>
      <c r="L246" s="21">
        <f>'Raw Data'!L246</f>
        <v>3</v>
      </c>
      <c r="M246" s="21" t="str">
        <f>'Raw Data'!M246</f>
        <v>Single</v>
      </c>
      <c r="N246" s="21">
        <f>'Raw Data'!N246</f>
        <v>2</v>
      </c>
      <c r="O246" s="21">
        <f>'Raw Data'!O246</f>
        <v>0</v>
      </c>
      <c r="P246" s="21">
        <f>IF('Raw Data'!P246="",ROUND(AVERAGE('Raw Data'!$P$2:$P$1501),1),'Raw Data'!P246)</f>
        <v>23.3</v>
      </c>
      <c r="Q246" s="21">
        <f>IF('Raw Data'!Q246="",ROUND(AVERAGE('Raw Data'!$Q$2:$Q$1501),0),'Raw Data'!Q246)</f>
        <v>3</v>
      </c>
      <c r="R246" s="21">
        <f>'Raw Data'!R246</f>
        <v>5</v>
      </c>
      <c r="S246" s="21">
        <f>IF('Raw Data'!S246="",ROUND(AVERAGE('Raw Data'!$S$2:$S$1501),0),'Raw Data'!S246)</f>
        <v>7</v>
      </c>
      <c r="T246" s="21">
        <f>'Raw Data'!T246</f>
        <v>301.33</v>
      </c>
      <c r="U246" s="21" t="str">
        <f>INDEX('Lookup Tables'!$C$7:$C$9,MATCH(E246,'Lookup Tables'!$B$7:$B$9,0))</f>
        <v>Tier 3 (Semi-urban/Rural)</v>
      </c>
      <c r="V246" s="21" t="str">
        <f t="shared" si="9"/>
        <v>0-6 months</v>
      </c>
      <c r="W246" s="21" t="str">
        <f t="shared" si="10"/>
        <v>Medium Risk</v>
      </c>
      <c r="X246" s="21" t="str">
        <f t="shared" si="11"/>
        <v>No</v>
      </c>
    </row>
    <row r="247" spans="1:24" x14ac:dyDescent="0.3">
      <c r="A247" s="21">
        <f>'Raw Data'!A247</f>
        <v>50246</v>
      </c>
      <c r="B247" s="21">
        <f>'Raw Data'!B247</f>
        <v>0</v>
      </c>
      <c r="C247" s="21">
        <f>'Raw Data'!C247</f>
        <v>9</v>
      </c>
      <c r="D247" s="21" t="str">
        <f>'Raw Data'!D247</f>
        <v>Mobile Phone</v>
      </c>
      <c r="E247" s="21">
        <f>'Raw Data'!E247</f>
        <v>2</v>
      </c>
      <c r="F247" s="21">
        <f>IF('Raw Data'!F247="",ROUND(AVERAGE('Raw Data'!$F$2:$F$1501),1),'Raw Data'!F247)</f>
        <v>37</v>
      </c>
      <c r="G247" s="21" t="str">
        <f>'Raw Data'!G247</f>
        <v>Debit Card</v>
      </c>
      <c r="H247" s="21" t="str">
        <f>'Raw Data'!H247</f>
        <v>Male</v>
      </c>
      <c r="I247" s="21">
        <f>IF('Raw Data'!I247="",ROUND(AVERAGE('Raw Data'!$I$2:$I$1501),1),'Raw Data'!I247)</f>
        <v>1.6</v>
      </c>
      <c r="J247" s="21">
        <f>'Raw Data'!J247</f>
        <v>3</v>
      </c>
      <c r="K247" s="21" t="str">
        <f>'Raw Data'!K247</f>
        <v>Grocery</v>
      </c>
      <c r="L247" s="21">
        <f>'Raw Data'!L247</f>
        <v>4</v>
      </c>
      <c r="M247" s="21" t="str">
        <f>'Raw Data'!M247</f>
        <v>Married</v>
      </c>
      <c r="N247" s="21">
        <f>'Raw Data'!N247</f>
        <v>1</v>
      </c>
      <c r="O247" s="21">
        <f>'Raw Data'!O247</f>
        <v>1</v>
      </c>
      <c r="P247" s="21">
        <f>IF('Raw Data'!P247="",ROUND(AVERAGE('Raw Data'!$P$2:$P$1501),1),'Raw Data'!P247)</f>
        <v>17.100000000000001</v>
      </c>
      <c r="Q247" s="21">
        <f>IF('Raw Data'!Q247="",ROUND(AVERAGE('Raw Data'!$Q$2:$Q$1501),0),'Raw Data'!Q247)</f>
        <v>3</v>
      </c>
      <c r="R247" s="21">
        <f>'Raw Data'!R247</f>
        <v>4</v>
      </c>
      <c r="S247" s="21">
        <f>IF('Raw Data'!S247="",ROUND(AVERAGE('Raw Data'!$S$2:$S$1501),0),'Raw Data'!S247)</f>
        <v>0</v>
      </c>
      <c r="T247" s="21">
        <f>'Raw Data'!T247</f>
        <v>122.08</v>
      </c>
      <c r="U247" s="21" t="str">
        <f>INDEX('Lookup Tables'!$C$7:$C$9,MATCH(E247,'Lookup Tables'!$B$7:$B$9,0))</f>
        <v>Tier 2 (Urban)</v>
      </c>
      <c r="V247" s="21" t="str">
        <f t="shared" si="9"/>
        <v>7-12 months</v>
      </c>
      <c r="W247" s="21" t="str">
        <f t="shared" si="10"/>
        <v>Low Risk</v>
      </c>
      <c r="X247" s="21" t="str">
        <f t="shared" si="11"/>
        <v>No</v>
      </c>
    </row>
    <row r="248" spans="1:24" x14ac:dyDescent="0.3">
      <c r="A248" s="21">
        <f>'Raw Data'!A248</f>
        <v>50247</v>
      </c>
      <c r="B248" s="21">
        <f>'Raw Data'!B248</f>
        <v>0</v>
      </c>
      <c r="C248" s="21">
        <f>'Raw Data'!C248</f>
        <v>21</v>
      </c>
      <c r="D248" s="21" t="str">
        <f>'Raw Data'!D248</f>
        <v>Mobile Phone</v>
      </c>
      <c r="E248" s="21">
        <f>'Raw Data'!E248</f>
        <v>1</v>
      </c>
      <c r="F248" s="21">
        <f>IF('Raw Data'!F248="",ROUND(AVERAGE('Raw Data'!$F$2:$F$1501),1),'Raw Data'!F248)</f>
        <v>5</v>
      </c>
      <c r="G248" s="21" t="str">
        <f>'Raw Data'!G248</f>
        <v>E wallet</v>
      </c>
      <c r="H248" s="21" t="str">
        <f>'Raw Data'!H248</f>
        <v>Male</v>
      </c>
      <c r="I248" s="21">
        <f>IF('Raw Data'!I248="",ROUND(AVERAGE('Raw Data'!$I$2:$I$1501),1),'Raw Data'!I248)</f>
        <v>2.8</v>
      </c>
      <c r="J248" s="21">
        <f>'Raw Data'!J248</f>
        <v>4</v>
      </c>
      <c r="K248" s="21" t="str">
        <f>'Raw Data'!K248</f>
        <v>Grocery</v>
      </c>
      <c r="L248" s="21">
        <f>'Raw Data'!L248</f>
        <v>5</v>
      </c>
      <c r="M248" s="21" t="str">
        <f>'Raw Data'!M248</f>
        <v>Single</v>
      </c>
      <c r="N248" s="21">
        <f>'Raw Data'!N248</f>
        <v>3</v>
      </c>
      <c r="O248" s="21">
        <f>'Raw Data'!O248</f>
        <v>1</v>
      </c>
      <c r="P248" s="21">
        <f>IF('Raw Data'!P248="",ROUND(AVERAGE('Raw Data'!$P$2:$P$1501),1),'Raw Data'!P248)</f>
        <v>13.1</v>
      </c>
      <c r="Q248" s="21">
        <f>IF('Raw Data'!Q248="",ROUND(AVERAGE('Raw Data'!$Q$2:$Q$1501),0),'Raw Data'!Q248)</f>
        <v>2</v>
      </c>
      <c r="R248" s="21">
        <f>'Raw Data'!R248</f>
        <v>2</v>
      </c>
      <c r="S248" s="21">
        <f>IF('Raw Data'!S248="",ROUND(AVERAGE('Raw Data'!$S$2:$S$1501),0),'Raw Data'!S248)</f>
        <v>1</v>
      </c>
      <c r="T248" s="21">
        <f>'Raw Data'!T248</f>
        <v>228.37</v>
      </c>
      <c r="U248" s="21" t="str">
        <f>INDEX('Lookup Tables'!$C$7:$C$9,MATCH(E248,'Lookup Tables'!$B$7:$B$9,0))</f>
        <v>Tier 1 (Metro)</v>
      </c>
      <c r="V248" s="21" t="str">
        <f t="shared" si="9"/>
        <v>13-24 months</v>
      </c>
      <c r="W248" s="21" t="str">
        <f t="shared" si="10"/>
        <v>Low Risk</v>
      </c>
      <c r="X248" s="21" t="str">
        <f t="shared" si="11"/>
        <v>No</v>
      </c>
    </row>
    <row r="249" spans="1:24" x14ac:dyDescent="0.3">
      <c r="A249" s="21">
        <f>'Raw Data'!A249</f>
        <v>50248</v>
      </c>
      <c r="B249" s="21">
        <f>'Raw Data'!B249</f>
        <v>1</v>
      </c>
      <c r="C249" s="21">
        <f>'Raw Data'!C249</f>
        <v>9</v>
      </c>
      <c r="D249" s="21" t="str">
        <f>'Raw Data'!D249</f>
        <v>Mobile Phone</v>
      </c>
      <c r="E249" s="21">
        <f>'Raw Data'!E249</f>
        <v>1</v>
      </c>
      <c r="F249" s="21">
        <f>IF('Raw Data'!F249="",ROUND(AVERAGE('Raw Data'!$F$2:$F$1501),1),'Raw Data'!F249)</f>
        <v>23</v>
      </c>
      <c r="G249" s="21" t="str">
        <f>'Raw Data'!G249</f>
        <v>Debit Card</v>
      </c>
      <c r="H249" s="21" t="str">
        <f>'Raw Data'!H249</f>
        <v>Male</v>
      </c>
      <c r="I249" s="21">
        <f>IF('Raw Data'!I249="",ROUND(AVERAGE('Raw Data'!$I$2:$I$1501),1),'Raw Data'!I249)</f>
        <v>2.9</v>
      </c>
      <c r="J249" s="21">
        <f>'Raw Data'!J249</f>
        <v>4</v>
      </c>
      <c r="K249" s="21" t="str">
        <f>'Raw Data'!K249</f>
        <v>Mobile Phone</v>
      </c>
      <c r="L249" s="21">
        <f>'Raw Data'!L249</f>
        <v>4</v>
      </c>
      <c r="M249" s="21" t="str">
        <f>'Raw Data'!M249</f>
        <v>Single</v>
      </c>
      <c r="N249" s="21">
        <f>'Raw Data'!N249</f>
        <v>18</v>
      </c>
      <c r="O249" s="21">
        <f>'Raw Data'!O249</f>
        <v>1</v>
      </c>
      <c r="P249" s="21">
        <f>IF('Raw Data'!P249="",ROUND(AVERAGE('Raw Data'!$P$2:$P$1501),1),'Raw Data'!P249)</f>
        <v>18.899999999999999</v>
      </c>
      <c r="Q249" s="21">
        <f>IF('Raw Data'!Q249="",ROUND(AVERAGE('Raw Data'!$Q$2:$Q$1501),0),'Raw Data'!Q249)</f>
        <v>4</v>
      </c>
      <c r="R249" s="21">
        <f>'Raw Data'!R249</f>
        <v>7</v>
      </c>
      <c r="S249" s="21">
        <f>IF('Raw Data'!S249="",ROUND(AVERAGE('Raw Data'!$S$2:$S$1501),0),'Raw Data'!S249)</f>
        <v>4</v>
      </c>
      <c r="T249" s="21">
        <f>'Raw Data'!T249</f>
        <v>137.69</v>
      </c>
      <c r="U249" s="21" t="str">
        <f>INDEX('Lookup Tables'!$C$7:$C$9,MATCH(E249,'Lookup Tables'!$B$7:$B$9,0))</f>
        <v>Tier 1 (Metro)</v>
      </c>
      <c r="V249" s="21" t="str">
        <f t="shared" si="9"/>
        <v>7-12 months</v>
      </c>
      <c r="W249" s="21" t="str">
        <f t="shared" si="10"/>
        <v>Low Risk</v>
      </c>
      <c r="X249" s="21" t="str">
        <f t="shared" si="11"/>
        <v>Yes</v>
      </c>
    </row>
    <row r="250" spans="1:24" x14ac:dyDescent="0.3">
      <c r="A250" s="21">
        <f>'Raw Data'!A250</f>
        <v>50249</v>
      </c>
      <c r="B250" s="21">
        <f>'Raw Data'!B250</f>
        <v>0</v>
      </c>
      <c r="C250" s="21">
        <f>'Raw Data'!C250</f>
        <v>2</v>
      </c>
      <c r="D250" s="21" t="str">
        <f>'Raw Data'!D250</f>
        <v>Mobile Phone</v>
      </c>
      <c r="E250" s="21">
        <f>'Raw Data'!E250</f>
        <v>1</v>
      </c>
      <c r="F250" s="21">
        <f>IF('Raw Data'!F250="",ROUND(AVERAGE('Raw Data'!$F$2:$F$1501),1),'Raw Data'!F250)</f>
        <v>13</v>
      </c>
      <c r="G250" s="21" t="str">
        <f>'Raw Data'!G250</f>
        <v>Debit Card</v>
      </c>
      <c r="H250" s="21" t="str">
        <f>'Raw Data'!H250</f>
        <v>Female</v>
      </c>
      <c r="I250" s="21">
        <f>IF('Raw Data'!I250="",ROUND(AVERAGE('Raw Data'!$I$2:$I$1501),1),'Raw Data'!I250)</f>
        <v>3.5</v>
      </c>
      <c r="J250" s="21">
        <f>'Raw Data'!J250</f>
        <v>3</v>
      </c>
      <c r="K250" s="21" t="str">
        <f>'Raw Data'!K250</f>
        <v>Fashion</v>
      </c>
      <c r="L250" s="21">
        <f>'Raw Data'!L250</f>
        <v>3</v>
      </c>
      <c r="M250" s="21" t="str">
        <f>'Raw Data'!M250</f>
        <v>Married</v>
      </c>
      <c r="N250" s="21">
        <f>'Raw Data'!N250</f>
        <v>1</v>
      </c>
      <c r="O250" s="21">
        <f>'Raw Data'!O250</f>
        <v>0</v>
      </c>
      <c r="P250" s="21">
        <f>IF('Raw Data'!P250="",ROUND(AVERAGE('Raw Data'!$P$2:$P$1501),1),'Raw Data'!P250)</f>
        <v>11.9</v>
      </c>
      <c r="Q250" s="21">
        <f>IF('Raw Data'!Q250="",ROUND(AVERAGE('Raw Data'!$Q$2:$Q$1501),0),'Raw Data'!Q250)</f>
        <v>1</v>
      </c>
      <c r="R250" s="21">
        <f>'Raw Data'!R250</f>
        <v>3</v>
      </c>
      <c r="S250" s="21">
        <f>IF('Raw Data'!S250="",ROUND(AVERAGE('Raw Data'!$S$2:$S$1501),0),'Raw Data'!S250)</f>
        <v>3</v>
      </c>
      <c r="T250" s="21">
        <f>'Raw Data'!T250</f>
        <v>187.47</v>
      </c>
      <c r="U250" s="21" t="str">
        <f>INDEX('Lookup Tables'!$C$7:$C$9,MATCH(E250,'Lookup Tables'!$B$7:$B$9,0))</f>
        <v>Tier 1 (Metro)</v>
      </c>
      <c r="V250" s="21" t="str">
        <f t="shared" si="9"/>
        <v>0-6 months</v>
      </c>
      <c r="W250" s="21" t="str">
        <f t="shared" si="10"/>
        <v>Medium Risk</v>
      </c>
      <c r="X250" s="21" t="str">
        <f t="shared" si="11"/>
        <v>No</v>
      </c>
    </row>
    <row r="251" spans="1:24" x14ac:dyDescent="0.3">
      <c r="A251" s="21">
        <f>'Raw Data'!A251</f>
        <v>50250</v>
      </c>
      <c r="B251" s="21">
        <f>'Raw Data'!B251</f>
        <v>0</v>
      </c>
      <c r="C251" s="21">
        <f>'Raw Data'!C251</f>
        <v>0</v>
      </c>
      <c r="D251" s="21" t="str">
        <f>'Raw Data'!D251</f>
        <v>Phone</v>
      </c>
      <c r="E251" s="21">
        <f>'Raw Data'!E251</f>
        <v>1</v>
      </c>
      <c r="F251" s="21">
        <f>IF('Raw Data'!F251="",ROUND(AVERAGE('Raw Data'!$F$2:$F$1501),1),'Raw Data'!F251)</f>
        <v>21</v>
      </c>
      <c r="G251" s="21" t="str">
        <f>'Raw Data'!G251</f>
        <v>E wallet</v>
      </c>
      <c r="H251" s="21" t="str">
        <f>'Raw Data'!H251</f>
        <v>Female</v>
      </c>
      <c r="I251" s="21">
        <f>IF('Raw Data'!I251="",ROUND(AVERAGE('Raw Data'!$I$2:$I$1501),1),'Raw Data'!I251)</f>
        <v>4.4000000000000004</v>
      </c>
      <c r="J251" s="21">
        <f>'Raw Data'!J251</f>
        <v>2</v>
      </c>
      <c r="K251" s="21" t="str">
        <f>'Raw Data'!K251</f>
        <v>Laptop &amp; Accessory</v>
      </c>
      <c r="L251" s="21">
        <f>'Raw Data'!L251</f>
        <v>4</v>
      </c>
      <c r="M251" s="21" t="str">
        <f>'Raw Data'!M251</f>
        <v>Married</v>
      </c>
      <c r="N251" s="21">
        <f>'Raw Data'!N251</f>
        <v>8</v>
      </c>
      <c r="O251" s="21">
        <f>'Raw Data'!O251</f>
        <v>0</v>
      </c>
      <c r="P251" s="21">
        <f>IF('Raw Data'!P251="",ROUND(AVERAGE('Raw Data'!$P$2:$P$1501),1),'Raw Data'!P251)</f>
        <v>12.2</v>
      </c>
      <c r="Q251" s="21">
        <f>IF('Raw Data'!Q251="",ROUND(AVERAGE('Raw Data'!$Q$2:$Q$1501),0),'Raw Data'!Q251)</f>
        <v>1</v>
      </c>
      <c r="R251" s="21">
        <f>'Raw Data'!R251</f>
        <v>4</v>
      </c>
      <c r="S251" s="21">
        <f>IF('Raw Data'!S251="",ROUND(AVERAGE('Raw Data'!$S$2:$S$1501),0),'Raw Data'!S251)</f>
        <v>1</v>
      </c>
      <c r="T251" s="21">
        <f>'Raw Data'!T251</f>
        <v>130.38</v>
      </c>
      <c r="U251" s="21" t="str">
        <f>INDEX('Lookup Tables'!$C$7:$C$9,MATCH(E251,'Lookup Tables'!$B$7:$B$9,0))</f>
        <v>Tier 1 (Metro)</v>
      </c>
      <c r="V251" s="21" t="str">
        <f t="shared" si="9"/>
        <v>0-6 months</v>
      </c>
      <c r="W251" s="21" t="str">
        <f t="shared" si="10"/>
        <v>Low Risk</v>
      </c>
      <c r="X251" s="21" t="str">
        <f t="shared" si="11"/>
        <v>No</v>
      </c>
    </row>
    <row r="252" spans="1:24" x14ac:dyDescent="0.3">
      <c r="A252" s="21">
        <f>'Raw Data'!A252</f>
        <v>50251</v>
      </c>
      <c r="B252" s="21">
        <f>'Raw Data'!B252</f>
        <v>0</v>
      </c>
      <c r="C252" s="21">
        <f>'Raw Data'!C252</f>
        <v>20</v>
      </c>
      <c r="D252" s="21" t="str">
        <f>'Raw Data'!D252</f>
        <v>Phone</v>
      </c>
      <c r="E252" s="21">
        <f>'Raw Data'!E252</f>
        <v>1</v>
      </c>
      <c r="F252" s="21">
        <f>IF('Raw Data'!F252="",ROUND(AVERAGE('Raw Data'!$F$2:$F$1501),1),'Raw Data'!F252)</f>
        <v>18</v>
      </c>
      <c r="G252" s="21" t="str">
        <f>'Raw Data'!G252</f>
        <v>Debit Card</v>
      </c>
      <c r="H252" s="21" t="str">
        <f>'Raw Data'!H252</f>
        <v>Male</v>
      </c>
      <c r="I252" s="21">
        <f>IF('Raw Data'!I252="",ROUND(AVERAGE('Raw Data'!$I$2:$I$1501),1),'Raw Data'!I252)</f>
        <v>3.5</v>
      </c>
      <c r="J252" s="21">
        <f>'Raw Data'!J252</f>
        <v>3</v>
      </c>
      <c r="K252" s="21" t="str">
        <f>'Raw Data'!K252</f>
        <v>Laptop &amp; Accessory</v>
      </c>
      <c r="L252" s="21">
        <f>'Raw Data'!L252</f>
        <v>4</v>
      </c>
      <c r="M252" s="21" t="str">
        <f>'Raw Data'!M252</f>
        <v>Single</v>
      </c>
      <c r="N252" s="21">
        <f>'Raw Data'!N252</f>
        <v>1</v>
      </c>
      <c r="O252" s="21">
        <f>'Raw Data'!O252</f>
        <v>0</v>
      </c>
      <c r="P252" s="21">
        <f>IF('Raw Data'!P252="",ROUND(AVERAGE('Raw Data'!$P$2:$P$1501),1),'Raw Data'!P252)</f>
        <v>13.2</v>
      </c>
      <c r="Q252" s="21">
        <f>IF('Raw Data'!Q252="",ROUND(AVERAGE('Raw Data'!$Q$2:$Q$1501),0),'Raw Data'!Q252)</f>
        <v>4</v>
      </c>
      <c r="R252" s="21">
        <f>'Raw Data'!R252</f>
        <v>1</v>
      </c>
      <c r="S252" s="21">
        <f>IF('Raw Data'!S252="",ROUND(AVERAGE('Raw Data'!$S$2:$S$1501),0),'Raw Data'!S252)</f>
        <v>2</v>
      </c>
      <c r="T252" s="21">
        <f>'Raw Data'!T252</f>
        <v>111.84</v>
      </c>
      <c r="U252" s="21" t="str">
        <f>INDEX('Lookup Tables'!$C$7:$C$9,MATCH(E252,'Lookup Tables'!$B$7:$B$9,0))</f>
        <v>Tier 1 (Metro)</v>
      </c>
      <c r="V252" s="21" t="str">
        <f t="shared" si="9"/>
        <v>13-24 months</v>
      </c>
      <c r="W252" s="21" t="str">
        <f t="shared" si="10"/>
        <v>Low Risk</v>
      </c>
      <c r="X252" s="21" t="str">
        <f t="shared" si="11"/>
        <v>No</v>
      </c>
    </row>
    <row r="253" spans="1:24" x14ac:dyDescent="0.3">
      <c r="A253" s="21">
        <f>'Raw Data'!A253</f>
        <v>50252</v>
      </c>
      <c r="B253" s="21">
        <f>'Raw Data'!B253</f>
        <v>0</v>
      </c>
      <c r="C253" s="21">
        <f>'Raw Data'!C253</f>
        <v>0</v>
      </c>
      <c r="D253" s="21" t="str">
        <f>'Raw Data'!D253</f>
        <v>Mobile Phone</v>
      </c>
      <c r="E253" s="21">
        <f>'Raw Data'!E253</f>
        <v>1</v>
      </c>
      <c r="F253" s="21">
        <f>IF('Raw Data'!F253="",ROUND(AVERAGE('Raw Data'!$F$2:$F$1501),1),'Raw Data'!F253)</f>
        <v>9</v>
      </c>
      <c r="G253" s="21" t="str">
        <f>'Raw Data'!G253</f>
        <v>E wallet</v>
      </c>
      <c r="H253" s="21" t="str">
        <f>'Raw Data'!H253</f>
        <v>Female</v>
      </c>
      <c r="I253" s="21">
        <f>IF('Raw Data'!I253="",ROUND(AVERAGE('Raw Data'!$I$2:$I$1501),1),'Raw Data'!I253)</f>
        <v>3.6</v>
      </c>
      <c r="J253" s="21">
        <f>'Raw Data'!J253</f>
        <v>4</v>
      </c>
      <c r="K253" s="21" t="str">
        <f>'Raw Data'!K253</f>
        <v>Fashion</v>
      </c>
      <c r="L253" s="21">
        <f>'Raw Data'!L253</f>
        <v>1</v>
      </c>
      <c r="M253" s="21" t="str">
        <f>'Raw Data'!M253</f>
        <v>Married</v>
      </c>
      <c r="N253" s="21">
        <f>'Raw Data'!N253</f>
        <v>1</v>
      </c>
      <c r="O253" s="21">
        <f>'Raw Data'!O253</f>
        <v>0</v>
      </c>
      <c r="P253" s="21">
        <f>IF('Raw Data'!P253="",ROUND(AVERAGE('Raw Data'!$P$2:$P$1501),1),'Raw Data'!P253)</f>
        <v>21.8</v>
      </c>
      <c r="Q253" s="21">
        <f>IF('Raw Data'!Q253="",ROUND(AVERAGE('Raw Data'!$Q$2:$Q$1501),0),'Raw Data'!Q253)</f>
        <v>1</v>
      </c>
      <c r="R253" s="21">
        <f>'Raw Data'!R253</f>
        <v>4</v>
      </c>
      <c r="S253" s="21">
        <f>IF('Raw Data'!S253="",ROUND(AVERAGE('Raw Data'!$S$2:$S$1501),0),'Raw Data'!S253)</f>
        <v>0</v>
      </c>
      <c r="T253" s="21">
        <f>'Raw Data'!T253</f>
        <v>208.72</v>
      </c>
      <c r="U253" s="21" t="str">
        <f>INDEX('Lookup Tables'!$C$7:$C$9,MATCH(E253,'Lookup Tables'!$B$7:$B$9,0))</f>
        <v>Tier 1 (Metro)</v>
      </c>
      <c r="V253" s="21" t="str">
        <f t="shared" si="9"/>
        <v>0-6 months</v>
      </c>
      <c r="W253" s="21" t="str">
        <f t="shared" si="10"/>
        <v>Low Risk</v>
      </c>
      <c r="X253" s="21" t="str">
        <f t="shared" si="11"/>
        <v>No</v>
      </c>
    </row>
    <row r="254" spans="1:24" x14ac:dyDescent="0.3">
      <c r="A254" s="21">
        <f>'Raw Data'!A254</f>
        <v>50253</v>
      </c>
      <c r="B254" s="21">
        <f>'Raw Data'!B254</f>
        <v>0</v>
      </c>
      <c r="C254" s="21">
        <f>'Raw Data'!C254</f>
        <v>20</v>
      </c>
      <c r="D254" s="21" t="str">
        <f>'Raw Data'!D254</f>
        <v>Mobile Phone</v>
      </c>
      <c r="E254" s="21">
        <f>'Raw Data'!E254</f>
        <v>1</v>
      </c>
      <c r="F254" s="21">
        <f>IF('Raw Data'!F254="",ROUND(AVERAGE('Raw Data'!$F$2:$F$1501),1),'Raw Data'!F254)</f>
        <v>16</v>
      </c>
      <c r="G254" s="21" t="str">
        <f>'Raw Data'!G254</f>
        <v>Credit Card</v>
      </c>
      <c r="H254" s="21" t="str">
        <f>'Raw Data'!H254</f>
        <v>Female</v>
      </c>
      <c r="I254" s="21">
        <f>IF('Raw Data'!I254="",ROUND(AVERAGE('Raw Data'!$I$2:$I$1501),1),'Raw Data'!I254)</f>
        <v>4.3</v>
      </c>
      <c r="J254" s="21">
        <f>'Raw Data'!J254</f>
        <v>3</v>
      </c>
      <c r="K254" s="21" t="str">
        <f>'Raw Data'!K254</f>
        <v>Mobile Phone</v>
      </c>
      <c r="L254" s="21">
        <f>'Raw Data'!L254</f>
        <v>1</v>
      </c>
      <c r="M254" s="21" t="str">
        <f>'Raw Data'!M254</f>
        <v>Married</v>
      </c>
      <c r="N254" s="21">
        <f>'Raw Data'!N254</f>
        <v>1</v>
      </c>
      <c r="O254" s="21">
        <f>'Raw Data'!O254</f>
        <v>1</v>
      </c>
      <c r="P254" s="21">
        <f>IF('Raw Data'!P254="",ROUND(AVERAGE('Raw Data'!$P$2:$P$1501),1),'Raw Data'!P254)</f>
        <v>15.1</v>
      </c>
      <c r="Q254" s="21">
        <f>IF('Raw Data'!Q254="",ROUND(AVERAGE('Raw Data'!$Q$2:$Q$1501),0),'Raw Data'!Q254)</f>
        <v>0</v>
      </c>
      <c r="R254" s="21">
        <f>'Raw Data'!R254</f>
        <v>5</v>
      </c>
      <c r="S254" s="21">
        <f>IF('Raw Data'!S254="",ROUND(AVERAGE('Raw Data'!$S$2:$S$1501),0),'Raw Data'!S254)</f>
        <v>4</v>
      </c>
      <c r="T254" s="21">
        <f>'Raw Data'!T254</f>
        <v>202.29</v>
      </c>
      <c r="U254" s="21" t="str">
        <f>INDEX('Lookup Tables'!$C$7:$C$9,MATCH(E254,'Lookup Tables'!$B$7:$B$9,0))</f>
        <v>Tier 1 (Metro)</v>
      </c>
      <c r="V254" s="21" t="str">
        <f t="shared" si="9"/>
        <v>13-24 months</v>
      </c>
      <c r="W254" s="21" t="str">
        <f t="shared" si="10"/>
        <v>High Risk</v>
      </c>
      <c r="X254" s="21" t="str">
        <f t="shared" si="11"/>
        <v>No</v>
      </c>
    </row>
    <row r="255" spans="1:24" x14ac:dyDescent="0.3">
      <c r="A255" s="21">
        <f>'Raw Data'!A255</f>
        <v>50254</v>
      </c>
      <c r="B255" s="21">
        <f>'Raw Data'!B255</f>
        <v>0</v>
      </c>
      <c r="C255" s="21">
        <f>'Raw Data'!C255</f>
        <v>7</v>
      </c>
      <c r="D255" s="21" t="str">
        <f>'Raw Data'!D255</f>
        <v>Mobile Phone</v>
      </c>
      <c r="E255" s="21">
        <f>'Raw Data'!E255</f>
        <v>1</v>
      </c>
      <c r="F255" s="21">
        <f>IF('Raw Data'!F255="",ROUND(AVERAGE('Raw Data'!$F$2:$F$1501),1),'Raw Data'!F255)</f>
        <v>5</v>
      </c>
      <c r="G255" s="21" t="str">
        <f>'Raw Data'!G255</f>
        <v>Debit Card</v>
      </c>
      <c r="H255" s="21" t="str">
        <f>'Raw Data'!H255</f>
        <v>Female</v>
      </c>
      <c r="I255" s="21">
        <f>IF('Raw Data'!I255="",ROUND(AVERAGE('Raw Data'!$I$2:$I$1501),1),'Raw Data'!I255)</f>
        <v>3.2</v>
      </c>
      <c r="J255" s="21">
        <f>'Raw Data'!J255</f>
        <v>4</v>
      </c>
      <c r="K255" s="21" t="str">
        <f>'Raw Data'!K255</f>
        <v>Others</v>
      </c>
      <c r="L255" s="21">
        <f>'Raw Data'!L255</f>
        <v>1</v>
      </c>
      <c r="M255" s="21" t="str">
        <f>'Raw Data'!M255</f>
        <v>Divorced</v>
      </c>
      <c r="N255" s="21">
        <f>'Raw Data'!N255</f>
        <v>4</v>
      </c>
      <c r="O255" s="21">
        <f>'Raw Data'!O255</f>
        <v>0</v>
      </c>
      <c r="P255" s="21">
        <f>IF('Raw Data'!P255="",ROUND(AVERAGE('Raw Data'!$P$2:$P$1501),1),'Raw Data'!P255)</f>
        <v>11</v>
      </c>
      <c r="Q255" s="21">
        <f>IF('Raw Data'!Q255="",ROUND(AVERAGE('Raw Data'!$Q$2:$Q$1501),0),'Raw Data'!Q255)</f>
        <v>2</v>
      </c>
      <c r="R255" s="21">
        <f>'Raw Data'!R255</f>
        <v>5</v>
      </c>
      <c r="S255" s="21">
        <f>IF('Raw Data'!S255="",ROUND(AVERAGE('Raw Data'!$S$2:$S$1501),0),'Raw Data'!S255)</f>
        <v>0</v>
      </c>
      <c r="T255" s="21">
        <f>'Raw Data'!T255</f>
        <v>242.96</v>
      </c>
      <c r="U255" s="21" t="str">
        <f>INDEX('Lookup Tables'!$C$7:$C$9,MATCH(E255,'Lookup Tables'!$B$7:$B$9,0))</f>
        <v>Tier 1 (Metro)</v>
      </c>
      <c r="V255" s="21" t="str">
        <f t="shared" si="9"/>
        <v>7-12 months</v>
      </c>
      <c r="W255" s="21" t="str">
        <f t="shared" si="10"/>
        <v>Low Risk</v>
      </c>
      <c r="X255" s="21" t="str">
        <f t="shared" si="11"/>
        <v>No</v>
      </c>
    </row>
    <row r="256" spans="1:24" x14ac:dyDescent="0.3">
      <c r="A256" s="21">
        <f>'Raw Data'!A256</f>
        <v>50255</v>
      </c>
      <c r="B256" s="21">
        <f>'Raw Data'!B256</f>
        <v>0</v>
      </c>
      <c r="C256" s="21">
        <f>'Raw Data'!C256</f>
        <v>27</v>
      </c>
      <c r="D256" s="21" t="str">
        <f>'Raw Data'!D256</f>
        <v>Computer</v>
      </c>
      <c r="E256" s="21">
        <f>'Raw Data'!E256</f>
        <v>3</v>
      </c>
      <c r="F256" s="21">
        <f>IF('Raw Data'!F256="",ROUND(AVERAGE('Raw Data'!$F$2:$F$1501),1),'Raw Data'!F256)</f>
        <v>19</v>
      </c>
      <c r="G256" s="21" t="str">
        <f>'Raw Data'!G256</f>
        <v>E wallet</v>
      </c>
      <c r="H256" s="21" t="str">
        <f>'Raw Data'!H256</f>
        <v>Male</v>
      </c>
      <c r="I256" s="21">
        <f>IF('Raw Data'!I256="",ROUND(AVERAGE('Raw Data'!$I$2:$I$1501),1),'Raw Data'!I256)</f>
        <v>2.9</v>
      </c>
      <c r="J256" s="21">
        <f>'Raw Data'!J256</f>
        <v>3</v>
      </c>
      <c r="K256" s="21" t="str">
        <f>'Raw Data'!K256</f>
        <v>Laptop &amp; Accessory</v>
      </c>
      <c r="L256" s="21">
        <f>'Raw Data'!L256</f>
        <v>3</v>
      </c>
      <c r="M256" s="21" t="str">
        <f>'Raw Data'!M256</f>
        <v>Single</v>
      </c>
      <c r="N256" s="21">
        <f>'Raw Data'!N256</f>
        <v>1</v>
      </c>
      <c r="O256" s="21">
        <f>'Raw Data'!O256</f>
        <v>1</v>
      </c>
      <c r="P256" s="21">
        <f>IF('Raw Data'!P256="",ROUND(AVERAGE('Raw Data'!$P$2:$P$1501),1),'Raw Data'!P256)</f>
        <v>20.2</v>
      </c>
      <c r="Q256" s="21">
        <f>IF('Raw Data'!Q256="",ROUND(AVERAGE('Raw Data'!$Q$2:$Q$1501),0),'Raw Data'!Q256)</f>
        <v>0</v>
      </c>
      <c r="R256" s="21">
        <f>'Raw Data'!R256</f>
        <v>5</v>
      </c>
      <c r="S256" s="21">
        <f>IF('Raw Data'!S256="",ROUND(AVERAGE('Raw Data'!$S$2:$S$1501),0),'Raw Data'!S256)</f>
        <v>4</v>
      </c>
      <c r="T256" s="21">
        <f>'Raw Data'!T256</f>
        <v>178.11</v>
      </c>
      <c r="U256" s="21" t="str">
        <f>INDEX('Lookup Tables'!$C$7:$C$9,MATCH(E256,'Lookup Tables'!$B$7:$B$9,0))</f>
        <v>Tier 3 (Semi-urban/Rural)</v>
      </c>
      <c r="V256" s="21" t="str">
        <f t="shared" si="9"/>
        <v>25+ months</v>
      </c>
      <c r="W256" s="21" t="str">
        <f t="shared" si="10"/>
        <v>Medium Risk</v>
      </c>
      <c r="X256" s="21" t="str">
        <f t="shared" si="11"/>
        <v>No</v>
      </c>
    </row>
    <row r="257" spans="1:24" x14ac:dyDescent="0.3">
      <c r="A257" s="21">
        <f>'Raw Data'!A257</f>
        <v>50256</v>
      </c>
      <c r="B257" s="21">
        <f>'Raw Data'!B257</f>
        <v>0</v>
      </c>
      <c r="C257" s="21">
        <f>'Raw Data'!C257</f>
        <v>16</v>
      </c>
      <c r="D257" s="21" t="str">
        <f>'Raw Data'!D257</f>
        <v>Phone</v>
      </c>
      <c r="E257" s="21">
        <f>'Raw Data'!E257</f>
        <v>3</v>
      </c>
      <c r="F257" s="21">
        <f>IF('Raw Data'!F257="",ROUND(AVERAGE('Raw Data'!$F$2:$F$1501),1),'Raw Data'!F257)</f>
        <v>17</v>
      </c>
      <c r="G257" s="21" t="str">
        <f>'Raw Data'!G257</f>
        <v>Debit Card</v>
      </c>
      <c r="H257" s="21" t="str">
        <f>'Raw Data'!H257</f>
        <v>Male</v>
      </c>
      <c r="I257" s="21">
        <f>IF('Raw Data'!I257="",ROUND(AVERAGE('Raw Data'!$I$2:$I$1501),1),'Raw Data'!I257)</f>
        <v>3.6</v>
      </c>
      <c r="J257" s="21">
        <f>'Raw Data'!J257</f>
        <v>2</v>
      </c>
      <c r="K257" s="21" t="str">
        <f>'Raw Data'!K257</f>
        <v>Grocery</v>
      </c>
      <c r="L257" s="21">
        <f>'Raw Data'!L257</f>
        <v>4</v>
      </c>
      <c r="M257" s="21" t="str">
        <f>'Raw Data'!M257</f>
        <v>Married</v>
      </c>
      <c r="N257" s="21">
        <f>'Raw Data'!N257</f>
        <v>2</v>
      </c>
      <c r="O257" s="21">
        <f>'Raw Data'!O257</f>
        <v>0</v>
      </c>
      <c r="P257" s="21">
        <f>IF('Raw Data'!P257="",ROUND(AVERAGE('Raw Data'!$P$2:$P$1501),1),'Raw Data'!P257)</f>
        <v>14.9</v>
      </c>
      <c r="Q257" s="21">
        <f>IF('Raw Data'!Q257="",ROUND(AVERAGE('Raw Data'!$Q$2:$Q$1501),0),'Raw Data'!Q257)</f>
        <v>0</v>
      </c>
      <c r="R257" s="21">
        <f>'Raw Data'!R257</f>
        <v>1</v>
      </c>
      <c r="S257" s="21">
        <f>IF('Raw Data'!S257="",ROUND(AVERAGE('Raw Data'!$S$2:$S$1501),0),'Raw Data'!S257)</f>
        <v>9</v>
      </c>
      <c r="T257" s="21">
        <f>'Raw Data'!T257</f>
        <v>302.12</v>
      </c>
      <c r="U257" s="21" t="str">
        <f>INDEX('Lookup Tables'!$C$7:$C$9,MATCH(E257,'Lookup Tables'!$B$7:$B$9,0))</f>
        <v>Tier 3 (Semi-urban/Rural)</v>
      </c>
      <c r="V257" s="21" t="str">
        <f t="shared" si="9"/>
        <v>13-24 months</v>
      </c>
      <c r="W257" s="21" t="str">
        <f t="shared" si="10"/>
        <v>Low Risk</v>
      </c>
      <c r="X257" s="21" t="str">
        <f t="shared" si="11"/>
        <v>No</v>
      </c>
    </row>
    <row r="258" spans="1:24" x14ac:dyDescent="0.3">
      <c r="A258" s="21">
        <f>'Raw Data'!A258</f>
        <v>50257</v>
      </c>
      <c r="B258" s="21">
        <f>'Raw Data'!B258</f>
        <v>0</v>
      </c>
      <c r="C258" s="21">
        <f>'Raw Data'!C258</f>
        <v>60</v>
      </c>
      <c r="D258" s="21" t="str">
        <f>'Raw Data'!D258</f>
        <v>Mobile Phone</v>
      </c>
      <c r="E258" s="21">
        <f>'Raw Data'!E258</f>
        <v>1</v>
      </c>
      <c r="F258" s="21">
        <f>IF('Raw Data'!F258="",ROUND(AVERAGE('Raw Data'!$F$2:$F$1501),1),'Raw Data'!F258)</f>
        <v>20</v>
      </c>
      <c r="G258" s="21" t="str">
        <f>'Raw Data'!G258</f>
        <v>Credit Card</v>
      </c>
      <c r="H258" s="21" t="str">
        <f>'Raw Data'!H258</f>
        <v>Male</v>
      </c>
      <c r="I258" s="21">
        <f>IF('Raw Data'!I258="",ROUND(AVERAGE('Raw Data'!$I$2:$I$1501),1),'Raw Data'!I258)</f>
        <v>3.9</v>
      </c>
      <c r="J258" s="21">
        <f>'Raw Data'!J258</f>
        <v>4</v>
      </c>
      <c r="K258" s="21" t="str">
        <f>'Raw Data'!K258</f>
        <v>Mobile Phone</v>
      </c>
      <c r="L258" s="21">
        <f>'Raw Data'!L258</f>
        <v>3</v>
      </c>
      <c r="M258" s="21" t="str">
        <f>'Raw Data'!M258</f>
        <v>Married</v>
      </c>
      <c r="N258" s="21">
        <f>'Raw Data'!N258</f>
        <v>1</v>
      </c>
      <c r="O258" s="21">
        <f>'Raw Data'!O258</f>
        <v>1</v>
      </c>
      <c r="P258" s="21">
        <f>IF('Raw Data'!P258="",ROUND(AVERAGE('Raw Data'!$P$2:$P$1501),1),'Raw Data'!P258)</f>
        <v>11</v>
      </c>
      <c r="Q258" s="21">
        <f>IF('Raw Data'!Q258="",ROUND(AVERAGE('Raw Data'!$Q$2:$Q$1501),0),'Raw Data'!Q258)</f>
        <v>1</v>
      </c>
      <c r="R258" s="21">
        <f>'Raw Data'!R258</f>
        <v>5</v>
      </c>
      <c r="S258" s="21">
        <f>IF('Raw Data'!S258="",ROUND(AVERAGE('Raw Data'!$S$2:$S$1501),0),'Raw Data'!S258)</f>
        <v>1</v>
      </c>
      <c r="T258" s="21">
        <f>'Raw Data'!T258</f>
        <v>194.76</v>
      </c>
      <c r="U258" s="21" t="str">
        <f>INDEX('Lookup Tables'!$C$7:$C$9,MATCH(E258,'Lookup Tables'!$B$7:$B$9,0))</f>
        <v>Tier 1 (Metro)</v>
      </c>
      <c r="V258" s="21" t="str">
        <f t="shared" ref="V258:V321" si="12">IF(C258&lt;=6,"0-6 months",IF(C258&lt;=12,"7-12 months",IF(C258&lt;=24,"13-24 months","25+ months")))</f>
        <v>25+ months</v>
      </c>
      <c r="W258" s="21" t="str">
        <f t="shared" ref="W258:W321" si="13">IF(AND(O258=1,L258&lt;=2),"High Risk",IF(OR(L258=3,S258&gt;15),"Medium Risk","Low Risk"))</f>
        <v>Medium Risk</v>
      </c>
      <c r="X258" s="21" t="str">
        <f t="shared" ref="X258:X321" si="14">IF(B258=1,"Yes","No")</f>
        <v>No</v>
      </c>
    </row>
    <row r="259" spans="1:24" x14ac:dyDescent="0.3">
      <c r="A259" s="21">
        <f>'Raw Data'!A259</f>
        <v>50258</v>
      </c>
      <c r="B259" s="21">
        <f>'Raw Data'!B259</f>
        <v>0</v>
      </c>
      <c r="C259" s="21">
        <f>'Raw Data'!C259</f>
        <v>4</v>
      </c>
      <c r="D259" s="21" t="str">
        <f>'Raw Data'!D259</f>
        <v>Mobile Phone</v>
      </c>
      <c r="E259" s="21">
        <f>'Raw Data'!E259</f>
        <v>3</v>
      </c>
      <c r="F259" s="21">
        <f>IF('Raw Data'!F259="",ROUND(AVERAGE('Raw Data'!$F$2:$F$1501),1),'Raw Data'!F259)</f>
        <v>23</v>
      </c>
      <c r="G259" s="21" t="str">
        <f>'Raw Data'!G259</f>
        <v>Credit Card</v>
      </c>
      <c r="H259" s="21" t="str">
        <f>'Raw Data'!H259</f>
        <v>Female</v>
      </c>
      <c r="I259" s="21">
        <f>IF('Raw Data'!I259="",ROUND(AVERAGE('Raw Data'!$I$2:$I$1501),1),'Raw Data'!I259)</f>
        <v>2.6</v>
      </c>
      <c r="J259" s="21">
        <f>'Raw Data'!J259</f>
        <v>4</v>
      </c>
      <c r="K259" s="21" t="str">
        <f>'Raw Data'!K259</f>
        <v>Grocery</v>
      </c>
      <c r="L259" s="21">
        <f>'Raw Data'!L259</f>
        <v>3</v>
      </c>
      <c r="M259" s="21" t="str">
        <f>'Raw Data'!M259</f>
        <v>Single</v>
      </c>
      <c r="N259" s="21">
        <f>'Raw Data'!N259</f>
        <v>1</v>
      </c>
      <c r="O259" s="21">
        <f>'Raw Data'!O259</f>
        <v>0</v>
      </c>
      <c r="P259" s="21">
        <f>IF('Raw Data'!P259="",ROUND(AVERAGE('Raw Data'!$P$2:$P$1501),1),'Raw Data'!P259)</f>
        <v>14.9</v>
      </c>
      <c r="Q259" s="21">
        <f>IF('Raw Data'!Q259="",ROUND(AVERAGE('Raw Data'!$Q$2:$Q$1501),0),'Raw Data'!Q259)</f>
        <v>1</v>
      </c>
      <c r="R259" s="21">
        <f>'Raw Data'!R259</f>
        <v>6</v>
      </c>
      <c r="S259" s="21">
        <f>IF('Raw Data'!S259="",ROUND(AVERAGE('Raw Data'!$S$2:$S$1501),0),'Raw Data'!S259)</f>
        <v>0</v>
      </c>
      <c r="T259" s="21">
        <f>'Raw Data'!T259</f>
        <v>211.17</v>
      </c>
      <c r="U259" s="21" t="str">
        <f>INDEX('Lookup Tables'!$C$7:$C$9,MATCH(E259,'Lookup Tables'!$B$7:$B$9,0))</f>
        <v>Tier 3 (Semi-urban/Rural)</v>
      </c>
      <c r="V259" s="21" t="str">
        <f t="shared" si="12"/>
        <v>0-6 months</v>
      </c>
      <c r="W259" s="21" t="str">
        <f t="shared" si="13"/>
        <v>Medium Risk</v>
      </c>
      <c r="X259" s="21" t="str">
        <f t="shared" si="14"/>
        <v>No</v>
      </c>
    </row>
    <row r="260" spans="1:24" x14ac:dyDescent="0.3">
      <c r="A260" s="21">
        <f>'Raw Data'!A260</f>
        <v>50259</v>
      </c>
      <c r="B260" s="21">
        <f>'Raw Data'!B260</f>
        <v>0</v>
      </c>
      <c r="C260" s="21">
        <f>'Raw Data'!C260</f>
        <v>14</v>
      </c>
      <c r="D260" s="21" t="str">
        <f>'Raw Data'!D260</f>
        <v>Computer</v>
      </c>
      <c r="E260" s="21">
        <f>'Raw Data'!E260</f>
        <v>2</v>
      </c>
      <c r="F260" s="21">
        <f>IF('Raw Data'!F260="",ROUND(AVERAGE('Raw Data'!$F$2:$F$1501),1),'Raw Data'!F260)</f>
        <v>17</v>
      </c>
      <c r="G260" s="21" t="str">
        <f>'Raw Data'!G260</f>
        <v>Debit Card</v>
      </c>
      <c r="H260" s="21" t="str">
        <f>'Raw Data'!H260</f>
        <v>Male</v>
      </c>
      <c r="I260" s="21">
        <f>IF('Raw Data'!I260="",ROUND(AVERAGE('Raw Data'!$I$2:$I$1501),1),'Raw Data'!I260)</f>
        <v>2.4</v>
      </c>
      <c r="J260" s="21">
        <f>'Raw Data'!J260</f>
        <v>6</v>
      </c>
      <c r="K260" s="21" t="str">
        <f>'Raw Data'!K260</f>
        <v>Grocery</v>
      </c>
      <c r="L260" s="21">
        <f>'Raw Data'!L260</f>
        <v>5</v>
      </c>
      <c r="M260" s="21" t="str">
        <f>'Raw Data'!M260</f>
        <v>Married</v>
      </c>
      <c r="N260" s="21">
        <f>'Raw Data'!N260</f>
        <v>5</v>
      </c>
      <c r="O260" s="21">
        <f>'Raw Data'!O260</f>
        <v>0</v>
      </c>
      <c r="P260" s="21">
        <f>IF('Raw Data'!P260="",ROUND(AVERAGE('Raw Data'!$P$2:$P$1501),1),'Raw Data'!P260)</f>
        <v>17.8</v>
      </c>
      <c r="Q260" s="21">
        <f>IF('Raw Data'!Q260="",ROUND(AVERAGE('Raw Data'!$Q$2:$Q$1501),0),'Raw Data'!Q260)</f>
        <v>2</v>
      </c>
      <c r="R260" s="21">
        <f>'Raw Data'!R260</f>
        <v>4</v>
      </c>
      <c r="S260" s="21">
        <f>IF('Raw Data'!S260="",ROUND(AVERAGE('Raw Data'!$S$2:$S$1501),0),'Raw Data'!S260)</f>
        <v>6</v>
      </c>
      <c r="T260" s="21">
        <f>'Raw Data'!T260</f>
        <v>105.29</v>
      </c>
      <c r="U260" s="21" t="str">
        <f>INDEX('Lookup Tables'!$C$7:$C$9,MATCH(E260,'Lookup Tables'!$B$7:$B$9,0))</f>
        <v>Tier 2 (Urban)</v>
      </c>
      <c r="V260" s="21" t="str">
        <f t="shared" si="12"/>
        <v>13-24 months</v>
      </c>
      <c r="W260" s="21" t="str">
        <f t="shared" si="13"/>
        <v>Low Risk</v>
      </c>
      <c r="X260" s="21" t="str">
        <f t="shared" si="14"/>
        <v>No</v>
      </c>
    </row>
    <row r="261" spans="1:24" x14ac:dyDescent="0.3">
      <c r="A261" s="21">
        <f>'Raw Data'!A261</f>
        <v>50260</v>
      </c>
      <c r="B261" s="21">
        <f>'Raw Data'!B261</f>
        <v>1</v>
      </c>
      <c r="C261" s="21">
        <f>'Raw Data'!C261</f>
        <v>5</v>
      </c>
      <c r="D261" s="21" t="str">
        <f>'Raw Data'!D261</f>
        <v>Computer</v>
      </c>
      <c r="E261" s="21">
        <f>'Raw Data'!E261</f>
        <v>1</v>
      </c>
      <c r="F261" s="21">
        <f>IF('Raw Data'!F261="",ROUND(AVERAGE('Raw Data'!$F$2:$F$1501),1),'Raw Data'!F261)</f>
        <v>16</v>
      </c>
      <c r="G261" s="21" t="str">
        <f>'Raw Data'!G261</f>
        <v>E wallet</v>
      </c>
      <c r="H261" s="21" t="str">
        <f>'Raw Data'!H261</f>
        <v>Male</v>
      </c>
      <c r="I261" s="21">
        <f>IF('Raw Data'!I261="",ROUND(AVERAGE('Raw Data'!$I$2:$I$1501),1),'Raw Data'!I261)</f>
        <v>3</v>
      </c>
      <c r="J261" s="21">
        <f>'Raw Data'!J261</f>
        <v>2</v>
      </c>
      <c r="K261" s="21" t="str">
        <f>'Raw Data'!K261</f>
        <v>Others</v>
      </c>
      <c r="L261" s="21">
        <f>'Raw Data'!L261</f>
        <v>5</v>
      </c>
      <c r="M261" s="21" t="str">
        <f>'Raw Data'!M261</f>
        <v>Married</v>
      </c>
      <c r="N261" s="21">
        <f>'Raw Data'!N261</f>
        <v>1</v>
      </c>
      <c r="O261" s="21">
        <f>'Raw Data'!O261</f>
        <v>0</v>
      </c>
      <c r="P261" s="21">
        <f>IF('Raw Data'!P261="",ROUND(AVERAGE('Raw Data'!$P$2:$P$1501),1),'Raw Data'!P261)</f>
        <v>17.399999999999999</v>
      </c>
      <c r="Q261" s="21">
        <f>IF('Raw Data'!Q261="",ROUND(AVERAGE('Raw Data'!$Q$2:$Q$1501),0),'Raw Data'!Q261)</f>
        <v>0</v>
      </c>
      <c r="R261" s="21">
        <f>'Raw Data'!R261</f>
        <v>3</v>
      </c>
      <c r="S261" s="21">
        <f>IF('Raw Data'!S261="",ROUND(AVERAGE('Raw Data'!$S$2:$S$1501),0),'Raw Data'!S261)</f>
        <v>9</v>
      </c>
      <c r="T261" s="21">
        <f>'Raw Data'!T261</f>
        <v>146.22999999999999</v>
      </c>
      <c r="U261" s="21" t="str">
        <f>INDEX('Lookup Tables'!$C$7:$C$9,MATCH(E261,'Lookup Tables'!$B$7:$B$9,0))</f>
        <v>Tier 1 (Metro)</v>
      </c>
      <c r="V261" s="21" t="str">
        <f t="shared" si="12"/>
        <v>0-6 months</v>
      </c>
      <c r="W261" s="21" t="str">
        <f t="shared" si="13"/>
        <v>Low Risk</v>
      </c>
      <c r="X261" s="21" t="str">
        <f t="shared" si="14"/>
        <v>Yes</v>
      </c>
    </row>
    <row r="262" spans="1:24" x14ac:dyDescent="0.3">
      <c r="A262" s="21">
        <f>'Raw Data'!A262</f>
        <v>50261</v>
      </c>
      <c r="B262" s="21">
        <f>'Raw Data'!B262</f>
        <v>0</v>
      </c>
      <c r="C262" s="21">
        <f>'Raw Data'!C262</f>
        <v>6</v>
      </c>
      <c r="D262" s="21" t="str">
        <f>'Raw Data'!D262</f>
        <v>Mobile Phone</v>
      </c>
      <c r="E262" s="21">
        <f>'Raw Data'!E262</f>
        <v>1</v>
      </c>
      <c r="F262" s="21">
        <f>IF('Raw Data'!F262="",ROUND(AVERAGE('Raw Data'!$F$2:$F$1501),1),'Raw Data'!F262)</f>
        <v>7</v>
      </c>
      <c r="G262" s="21" t="str">
        <f>'Raw Data'!G262</f>
        <v>UPI</v>
      </c>
      <c r="H262" s="21" t="str">
        <f>'Raw Data'!H262</f>
        <v>Male</v>
      </c>
      <c r="I262" s="21">
        <f>IF('Raw Data'!I262="",ROUND(AVERAGE('Raw Data'!$I$2:$I$1501),1),'Raw Data'!I262)</f>
        <v>3.5</v>
      </c>
      <c r="J262" s="21">
        <f>'Raw Data'!J262</f>
        <v>4</v>
      </c>
      <c r="K262" s="21" t="str">
        <f>'Raw Data'!K262</f>
        <v>Laptop &amp; Accessory</v>
      </c>
      <c r="L262" s="21">
        <f>'Raw Data'!L262</f>
        <v>4</v>
      </c>
      <c r="M262" s="21" t="str">
        <f>'Raw Data'!M262</f>
        <v>Single</v>
      </c>
      <c r="N262" s="21">
        <f>'Raw Data'!N262</f>
        <v>1</v>
      </c>
      <c r="O262" s="21">
        <f>'Raw Data'!O262</f>
        <v>0</v>
      </c>
      <c r="P262" s="21">
        <f>IF('Raw Data'!P262="",ROUND(AVERAGE('Raw Data'!$P$2:$P$1501),1),'Raw Data'!P262)</f>
        <v>22.3</v>
      </c>
      <c r="Q262" s="21">
        <f>IF('Raw Data'!Q262="",ROUND(AVERAGE('Raw Data'!$Q$2:$Q$1501),0),'Raw Data'!Q262)</f>
        <v>5</v>
      </c>
      <c r="R262" s="21">
        <f>'Raw Data'!R262</f>
        <v>4</v>
      </c>
      <c r="S262" s="21">
        <f>IF('Raw Data'!S262="",ROUND(AVERAGE('Raw Data'!$S$2:$S$1501),0),'Raw Data'!S262)</f>
        <v>0</v>
      </c>
      <c r="T262" s="21">
        <f>'Raw Data'!T262</f>
        <v>208.58</v>
      </c>
      <c r="U262" s="21" t="str">
        <f>INDEX('Lookup Tables'!$C$7:$C$9,MATCH(E262,'Lookup Tables'!$B$7:$B$9,0))</f>
        <v>Tier 1 (Metro)</v>
      </c>
      <c r="V262" s="21" t="str">
        <f t="shared" si="12"/>
        <v>0-6 months</v>
      </c>
      <c r="W262" s="21" t="str">
        <f t="shared" si="13"/>
        <v>Low Risk</v>
      </c>
      <c r="X262" s="21" t="str">
        <f t="shared" si="14"/>
        <v>No</v>
      </c>
    </row>
    <row r="263" spans="1:24" x14ac:dyDescent="0.3">
      <c r="A263" s="21">
        <f>'Raw Data'!A263</f>
        <v>50262</v>
      </c>
      <c r="B263" s="21">
        <f>'Raw Data'!B263</f>
        <v>0</v>
      </c>
      <c r="C263" s="21">
        <f>'Raw Data'!C263</f>
        <v>9</v>
      </c>
      <c r="D263" s="21" t="str">
        <f>'Raw Data'!D263</f>
        <v>Computer</v>
      </c>
      <c r="E263" s="21">
        <f>'Raw Data'!E263</f>
        <v>2</v>
      </c>
      <c r="F263" s="21">
        <f>IF('Raw Data'!F263="",ROUND(AVERAGE('Raw Data'!$F$2:$F$1501),1),'Raw Data'!F263)</f>
        <v>9</v>
      </c>
      <c r="G263" s="21" t="str">
        <f>'Raw Data'!G263</f>
        <v>Cash on Delivery</v>
      </c>
      <c r="H263" s="21" t="str">
        <f>'Raw Data'!H263</f>
        <v>Male</v>
      </c>
      <c r="I263" s="21">
        <f>IF('Raw Data'!I263="",ROUND(AVERAGE('Raw Data'!$I$2:$I$1501),1),'Raw Data'!I263)</f>
        <v>3.5</v>
      </c>
      <c r="J263" s="21">
        <f>'Raw Data'!J263</f>
        <v>2</v>
      </c>
      <c r="K263" s="21" t="str">
        <f>'Raw Data'!K263</f>
        <v>Others</v>
      </c>
      <c r="L263" s="21">
        <f>'Raw Data'!L263</f>
        <v>3</v>
      </c>
      <c r="M263" s="21" t="str">
        <f>'Raw Data'!M263</f>
        <v>Divorced</v>
      </c>
      <c r="N263" s="21">
        <f>'Raw Data'!N263</f>
        <v>1</v>
      </c>
      <c r="O263" s="21">
        <f>'Raw Data'!O263</f>
        <v>1</v>
      </c>
      <c r="P263" s="21">
        <f>IF('Raw Data'!P263="",ROUND(AVERAGE('Raw Data'!$P$2:$P$1501),1),'Raw Data'!P263)</f>
        <v>13</v>
      </c>
      <c r="Q263" s="21">
        <f>IF('Raw Data'!Q263="",ROUND(AVERAGE('Raw Data'!$Q$2:$Q$1501),0),'Raw Data'!Q263)</f>
        <v>1</v>
      </c>
      <c r="R263" s="21">
        <f>'Raw Data'!R263</f>
        <v>6</v>
      </c>
      <c r="S263" s="21">
        <f>IF('Raw Data'!S263="",ROUND(AVERAGE('Raw Data'!$S$2:$S$1501),0),'Raw Data'!S263)</f>
        <v>2</v>
      </c>
      <c r="T263" s="21">
        <f>'Raw Data'!T263</f>
        <v>175.37</v>
      </c>
      <c r="U263" s="21" t="str">
        <f>INDEX('Lookup Tables'!$C$7:$C$9,MATCH(E263,'Lookup Tables'!$B$7:$B$9,0))</f>
        <v>Tier 2 (Urban)</v>
      </c>
      <c r="V263" s="21" t="str">
        <f t="shared" si="12"/>
        <v>7-12 months</v>
      </c>
      <c r="W263" s="21" t="str">
        <f t="shared" si="13"/>
        <v>Medium Risk</v>
      </c>
      <c r="X263" s="21" t="str">
        <f t="shared" si="14"/>
        <v>No</v>
      </c>
    </row>
    <row r="264" spans="1:24" x14ac:dyDescent="0.3">
      <c r="A264" s="21">
        <f>'Raw Data'!A264</f>
        <v>50263</v>
      </c>
      <c r="B264" s="21">
        <f>'Raw Data'!B264</f>
        <v>0</v>
      </c>
      <c r="C264" s="21">
        <f>'Raw Data'!C264</f>
        <v>20</v>
      </c>
      <c r="D264" s="21" t="str">
        <f>'Raw Data'!D264</f>
        <v>Mobile Phone</v>
      </c>
      <c r="E264" s="21">
        <f>'Raw Data'!E264</f>
        <v>3</v>
      </c>
      <c r="F264" s="21">
        <f>IF('Raw Data'!F264="",ROUND(AVERAGE('Raw Data'!$F$2:$F$1501),1),'Raw Data'!F264)</f>
        <v>24</v>
      </c>
      <c r="G264" s="21" t="str">
        <f>'Raw Data'!G264</f>
        <v>E wallet</v>
      </c>
      <c r="H264" s="21" t="str">
        <f>'Raw Data'!H264</f>
        <v>Female</v>
      </c>
      <c r="I264" s="21">
        <f>IF('Raw Data'!I264="",ROUND(AVERAGE('Raw Data'!$I$2:$I$1501),1),'Raw Data'!I264)</f>
        <v>2.9</v>
      </c>
      <c r="J264" s="21">
        <f>'Raw Data'!J264</f>
        <v>3</v>
      </c>
      <c r="K264" s="21" t="str">
        <f>'Raw Data'!K264</f>
        <v>Laptop &amp; Accessory</v>
      </c>
      <c r="L264" s="21">
        <f>'Raw Data'!L264</f>
        <v>2</v>
      </c>
      <c r="M264" s="21" t="str">
        <f>'Raw Data'!M264</f>
        <v>Married</v>
      </c>
      <c r="N264" s="21">
        <f>'Raw Data'!N264</f>
        <v>3</v>
      </c>
      <c r="O264" s="21">
        <f>'Raw Data'!O264</f>
        <v>0</v>
      </c>
      <c r="P264" s="21">
        <f>IF('Raw Data'!P264="",ROUND(AVERAGE('Raw Data'!$P$2:$P$1501),1),'Raw Data'!P264)</f>
        <v>16.2</v>
      </c>
      <c r="Q264" s="21">
        <f>IF('Raw Data'!Q264="",ROUND(AVERAGE('Raw Data'!$Q$2:$Q$1501),0),'Raw Data'!Q264)</f>
        <v>5</v>
      </c>
      <c r="R264" s="21">
        <f>'Raw Data'!R264</f>
        <v>1</v>
      </c>
      <c r="S264" s="21">
        <f>IF('Raw Data'!S264="",ROUND(AVERAGE('Raw Data'!$S$2:$S$1501),0),'Raw Data'!S264)</f>
        <v>0</v>
      </c>
      <c r="T264" s="21">
        <f>'Raw Data'!T264</f>
        <v>190.32</v>
      </c>
      <c r="U264" s="21" t="str">
        <f>INDEX('Lookup Tables'!$C$7:$C$9,MATCH(E264,'Lookup Tables'!$B$7:$B$9,0))</f>
        <v>Tier 3 (Semi-urban/Rural)</v>
      </c>
      <c r="V264" s="21" t="str">
        <f t="shared" si="12"/>
        <v>13-24 months</v>
      </c>
      <c r="W264" s="21" t="str">
        <f t="shared" si="13"/>
        <v>Low Risk</v>
      </c>
      <c r="X264" s="21" t="str">
        <f t="shared" si="14"/>
        <v>No</v>
      </c>
    </row>
    <row r="265" spans="1:24" x14ac:dyDescent="0.3">
      <c r="A265" s="21">
        <f>'Raw Data'!A265</f>
        <v>50264</v>
      </c>
      <c r="B265" s="21">
        <f>'Raw Data'!B265</f>
        <v>0</v>
      </c>
      <c r="C265" s="21">
        <f>'Raw Data'!C265</f>
        <v>41</v>
      </c>
      <c r="D265" s="21" t="str">
        <f>'Raw Data'!D265</f>
        <v>Mobile Phone</v>
      </c>
      <c r="E265" s="21">
        <f>'Raw Data'!E265</f>
        <v>3</v>
      </c>
      <c r="F265" s="21">
        <f>IF('Raw Data'!F265="",ROUND(AVERAGE('Raw Data'!$F$2:$F$1501),1),'Raw Data'!F265)</f>
        <v>26</v>
      </c>
      <c r="G265" s="21" t="str">
        <f>'Raw Data'!G265</f>
        <v>Credit Card</v>
      </c>
      <c r="H265" s="21" t="str">
        <f>'Raw Data'!H265</f>
        <v>Female</v>
      </c>
      <c r="I265" s="21">
        <f>IF('Raw Data'!I265="",ROUND(AVERAGE('Raw Data'!$I$2:$I$1501),1),'Raw Data'!I265)</f>
        <v>4.2</v>
      </c>
      <c r="J265" s="21">
        <f>'Raw Data'!J265</f>
        <v>4</v>
      </c>
      <c r="K265" s="21" t="str">
        <f>'Raw Data'!K265</f>
        <v>Laptop &amp; Accessory</v>
      </c>
      <c r="L265" s="21">
        <f>'Raw Data'!L265</f>
        <v>1</v>
      </c>
      <c r="M265" s="21" t="str">
        <f>'Raw Data'!M265</f>
        <v>Married</v>
      </c>
      <c r="N265" s="21">
        <f>'Raw Data'!N265</f>
        <v>3</v>
      </c>
      <c r="O265" s="21">
        <f>'Raw Data'!O265</f>
        <v>0</v>
      </c>
      <c r="P265" s="21">
        <f>IF('Raw Data'!P265="",ROUND(AVERAGE('Raw Data'!$P$2:$P$1501),1),'Raw Data'!P265)</f>
        <v>13.6</v>
      </c>
      <c r="Q265" s="21">
        <f>IF('Raw Data'!Q265="",ROUND(AVERAGE('Raw Data'!$Q$2:$Q$1501),0),'Raw Data'!Q265)</f>
        <v>2</v>
      </c>
      <c r="R265" s="21">
        <f>'Raw Data'!R265</f>
        <v>5</v>
      </c>
      <c r="S265" s="21">
        <f>IF('Raw Data'!S265="",ROUND(AVERAGE('Raw Data'!$S$2:$S$1501),0),'Raw Data'!S265)</f>
        <v>0</v>
      </c>
      <c r="T265" s="21">
        <f>'Raw Data'!T265</f>
        <v>135.09</v>
      </c>
      <c r="U265" s="21" t="str">
        <f>INDEX('Lookup Tables'!$C$7:$C$9,MATCH(E265,'Lookup Tables'!$B$7:$B$9,0))</f>
        <v>Tier 3 (Semi-urban/Rural)</v>
      </c>
      <c r="V265" s="21" t="str">
        <f t="shared" si="12"/>
        <v>25+ months</v>
      </c>
      <c r="W265" s="21" t="str">
        <f t="shared" si="13"/>
        <v>Low Risk</v>
      </c>
      <c r="X265" s="21" t="str">
        <f t="shared" si="14"/>
        <v>No</v>
      </c>
    </row>
    <row r="266" spans="1:24" x14ac:dyDescent="0.3">
      <c r="A266" s="21">
        <f>'Raw Data'!A266</f>
        <v>50265</v>
      </c>
      <c r="B266" s="21">
        <f>'Raw Data'!B266</f>
        <v>0</v>
      </c>
      <c r="C266" s="21">
        <f>'Raw Data'!C266</f>
        <v>14</v>
      </c>
      <c r="D266" s="21" t="str">
        <f>'Raw Data'!D266</f>
        <v>Computer</v>
      </c>
      <c r="E266" s="21">
        <f>'Raw Data'!E266</f>
        <v>1</v>
      </c>
      <c r="F266" s="21">
        <f>IF('Raw Data'!F266="",ROUND(AVERAGE('Raw Data'!$F$2:$F$1501),1),'Raw Data'!F266)</f>
        <v>13</v>
      </c>
      <c r="G266" s="21" t="str">
        <f>'Raw Data'!G266</f>
        <v>Debit Card</v>
      </c>
      <c r="H266" s="21" t="str">
        <f>'Raw Data'!H266</f>
        <v>Female</v>
      </c>
      <c r="I266" s="21">
        <f>IF('Raw Data'!I266="",ROUND(AVERAGE('Raw Data'!$I$2:$I$1501),1),'Raw Data'!I266)</f>
        <v>2.5</v>
      </c>
      <c r="J266" s="21">
        <f>'Raw Data'!J266</f>
        <v>1</v>
      </c>
      <c r="K266" s="21" t="str">
        <f>'Raw Data'!K266</f>
        <v>Mobile Phone</v>
      </c>
      <c r="L266" s="21">
        <f>'Raw Data'!L266</f>
        <v>2</v>
      </c>
      <c r="M266" s="21" t="str">
        <f>'Raw Data'!M266</f>
        <v>Married</v>
      </c>
      <c r="N266" s="21">
        <f>'Raw Data'!N266</f>
        <v>1</v>
      </c>
      <c r="O266" s="21">
        <f>'Raw Data'!O266</f>
        <v>1</v>
      </c>
      <c r="P266" s="21">
        <f>IF('Raw Data'!P266="",ROUND(AVERAGE('Raw Data'!$P$2:$P$1501),1),'Raw Data'!P266)</f>
        <v>11</v>
      </c>
      <c r="Q266" s="21">
        <f>IF('Raw Data'!Q266="",ROUND(AVERAGE('Raw Data'!$Q$2:$Q$1501),0),'Raw Data'!Q266)</f>
        <v>5</v>
      </c>
      <c r="R266" s="21">
        <f>'Raw Data'!R266</f>
        <v>2</v>
      </c>
      <c r="S266" s="21">
        <f>IF('Raw Data'!S266="",ROUND(AVERAGE('Raw Data'!$S$2:$S$1501),0),'Raw Data'!S266)</f>
        <v>5</v>
      </c>
      <c r="T266" s="21">
        <f>'Raw Data'!T266</f>
        <v>186.71</v>
      </c>
      <c r="U266" s="21" t="str">
        <f>INDEX('Lookup Tables'!$C$7:$C$9,MATCH(E266,'Lookup Tables'!$B$7:$B$9,0))</f>
        <v>Tier 1 (Metro)</v>
      </c>
      <c r="V266" s="21" t="str">
        <f t="shared" si="12"/>
        <v>13-24 months</v>
      </c>
      <c r="W266" s="21" t="str">
        <f t="shared" si="13"/>
        <v>High Risk</v>
      </c>
      <c r="X266" s="21" t="str">
        <f t="shared" si="14"/>
        <v>No</v>
      </c>
    </row>
    <row r="267" spans="1:24" x14ac:dyDescent="0.3">
      <c r="A267" s="21">
        <f>'Raw Data'!A267</f>
        <v>50266</v>
      </c>
      <c r="B267" s="21">
        <f>'Raw Data'!B267</f>
        <v>0</v>
      </c>
      <c r="C267" s="21">
        <f>'Raw Data'!C267</f>
        <v>5</v>
      </c>
      <c r="D267" s="21" t="str">
        <f>'Raw Data'!D267</f>
        <v>Phone</v>
      </c>
      <c r="E267" s="21">
        <f>'Raw Data'!E267</f>
        <v>1</v>
      </c>
      <c r="F267" s="21">
        <f>IF('Raw Data'!F267="",ROUND(AVERAGE('Raw Data'!$F$2:$F$1501),1),'Raw Data'!F267)</f>
        <v>15</v>
      </c>
      <c r="G267" s="21" t="str">
        <f>'Raw Data'!G267</f>
        <v>Debit Card</v>
      </c>
      <c r="H267" s="21" t="str">
        <f>'Raw Data'!H267</f>
        <v>Female</v>
      </c>
      <c r="I267" s="21">
        <f>IF('Raw Data'!I267="",ROUND(AVERAGE('Raw Data'!$I$2:$I$1501),1),'Raw Data'!I267)</f>
        <v>2.7</v>
      </c>
      <c r="J267" s="21">
        <f>'Raw Data'!J267</f>
        <v>3</v>
      </c>
      <c r="K267" s="21" t="str">
        <f>'Raw Data'!K267</f>
        <v>Grocery</v>
      </c>
      <c r="L267" s="21">
        <f>'Raw Data'!L267</f>
        <v>3</v>
      </c>
      <c r="M267" s="21" t="str">
        <f>'Raw Data'!M267</f>
        <v>Single</v>
      </c>
      <c r="N267" s="21">
        <f>'Raw Data'!N267</f>
        <v>1</v>
      </c>
      <c r="O267" s="21">
        <f>'Raw Data'!O267</f>
        <v>1</v>
      </c>
      <c r="P267" s="21">
        <f>IF('Raw Data'!P267="",ROUND(AVERAGE('Raw Data'!$P$2:$P$1501),1),'Raw Data'!P267)</f>
        <v>19.100000000000001</v>
      </c>
      <c r="Q267" s="21">
        <f>IF('Raw Data'!Q267="",ROUND(AVERAGE('Raw Data'!$Q$2:$Q$1501),0),'Raw Data'!Q267)</f>
        <v>2</v>
      </c>
      <c r="R267" s="21">
        <f>'Raw Data'!R267</f>
        <v>7</v>
      </c>
      <c r="S267" s="21">
        <f>IF('Raw Data'!S267="",ROUND(AVERAGE('Raw Data'!$S$2:$S$1501),0),'Raw Data'!S267)</f>
        <v>17</v>
      </c>
      <c r="T267" s="21">
        <f>'Raw Data'!T267</f>
        <v>186.52</v>
      </c>
      <c r="U267" s="21" t="str">
        <f>INDEX('Lookup Tables'!$C$7:$C$9,MATCH(E267,'Lookup Tables'!$B$7:$B$9,0))</f>
        <v>Tier 1 (Metro)</v>
      </c>
      <c r="V267" s="21" t="str">
        <f t="shared" si="12"/>
        <v>0-6 months</v>
      </c>
      <c r="W267" s="21" t="str">
        <f t="shared" si="13"/>
        <v>Medium Risk</v>
      </c>
      <c r="X267" s="21" t="str">
        <f t="shared" si="14"/>
        <v>No</v>
      </c>
    </row>
    <row r="268" spans="1:24" x14ac:dyDescent="0.3">
      <c r="A268" s="21">
        <f>'Raw Data'!A268</f>
        <v>50267</v>
      </c>
      <c r="B268" s="21">
        <f>'Raw Data'!B268</f>
        <v>0</v>
      </c>
      <c r="C268" s="21">
        <f>'Raw Data'!C268</f>
        <v>5</v>
      </c>
      <c r="D268" s="21" t="str">
        <f>'Raw Data'!D268</f>
        <v>Mobile Phone</v>
      </c>
      <c r="E268" s="21">
        <f>'Raw Data'!E268</f>
        <v>1</v>
      </c>
      <c r="F268" s="21">
        <f>IF('Raw Data'!F268="",ROUND(AVERAGE('Raw Data'!$F$2:$F$1501),1),'Raw Data'!F268)</f>
        <v>7</v>
      </c>
      <c r="G268" s="21" t="str">
        <f>'Raw Data'!G268</f>
        <v>Credit Card</v>
      </c>
      <c r="H268" s="21" t="str">
        <f>'Raw Data'!H268</f>
        <v>Male</v>
      </c>
      <c r="I268" s="21">
        <f>IF('Raw Data'!I268="",ROUND(AVERAGE('Raw Data'!$I$2:$I$1501),1),'Raw Data'!I268)</f>
        <v>2.2999999999999998</v>
      </c>
      <c r="J268" s="21">
        <f>'Raw Data'!J268</f>
        <v>3</v>
      </c>
      <c r="K268" s="21" t="str">
        <f>'Raw Data'!K268</f>
        <v>Mobile Phone</v>
      </c>
      <c r="L268" s="21">
        <f>'Raw Data'!L268</f>
        <v>4</v>
      </c>
      <c r="M268" s="21" t="str">
        <f>'Raw Data'!M268</f>
        <v>Married</v>
      </c>
      <c r="N268" s="21">
        <f>'Raw Data'!N268</f>
        <v>1</v>
      </c>
      <c r="O268" s="21">
        <f>'Raw Data'!O268</f>
        <v>0</v>
      </c>
      <c r="P268" s="21">
        <f>IF('Raw Data'!P268="",ROUND(AVERAGE('Raw Data'!$P$2:$P$1501),1),'Raw Data'!P268)</f>
        <v>17.600000000000001</v>
      </c>
      <c r="Q268" s="21">
        <f>IF('Raw Data'!Q268="",ROUND(AVERAGE('Raw Data'!$Q$2:$Q$1501),0),'Raw Data'!Q268)</f>
        <v>2</v>
      </c>
      <c r="R268" s="21">
        <f>'Raw Data'!R268</f>
        <v>4</v>
      </c>
      <c r="S268" s="21">
        <f>IF('Raw Data'!S268="",ROUND(AVERAGE('Raw Data'!$S$2:$S$1501),0),'Raw Data'!S268)</f>
        <v>5</v>
      </c>
      <c r="T268" s="21">
        <f>'Raw Data'!T268</f>
        <v>115.08</v>
      </c>
      <c r="U268" s="21" t="str">
        <f>INDEX('Lookup Tables'!$C$7:$C$9,MATCH(E268,'Lookup Tables'!$B$7:$B$9,0))</f>
        <v>Tier 1 (Metro)</v>
      </c>
      <c r="V268" s="21" t="str">
        <f t="shared" si="12"/>
        <v>0-6 months</v>
      </c>
      <c r="W268" s="21" t="str">
        <f t="shared" si="13"/>
        <v>Low Risk</v>
      </c>
      <c r="X268" s="21" t="str">
        <f t="shared" si="14"/>
        <v>No</v>
      </c>
    </row>
    <row r="269" spans="1:24" x14ac:dyDescent="0.3">
      <c r="A269" s="21">
        <f>'Raw Data'!A269</f>
        <v>50268</v>
      </c>
      <c r="B269" s="21">
        <f>'Raw Data'!B269</f>
        <v>0</v>
      </c>
      <c r="C269" s="21">
        <f>'Raw Data'!C269</f>
        <v>13</v>
      </c>
      <c r="D269" s="21" t="str">
        <f>'Raw Data'!D269</f>
        <v>Phone</v>
      </c>
      <c r="E269" s="21">
        <f>'Raw Data'!E269</f>
        <v>1</v>
      </c>
      <c r="F269" s="21">
        <f>IF('Raw Data'!F269="",ROUND(AVERAGE('Raw Data'!$F$2:$F$1501),1),'Raw Data'!F269)</f>
        <v>24</v>
      </c>
      <c r="G269" s="21" t="str">
        <f>'Raw Data'!G269</f>
        <v>Credit Card</v>
      </c>
      <c r="H269" s="21" t="str">
        <f>'Raw Data'!H269</f>
        <v>Male</v>
      </c>
      <c r="I269" s="21">
        <f>IF('Raw Data'!I269="",ROUND(AVERAGE('Raw Data'!$I$2:$I$1501),1),'Raw Data'!I269)</f>
        <v>4.8</v>
      </c>
      <c r="J269" s="21">
        <f>'Raw Data'!J269</f>
        <v>2</v>
      </c>
      <c r="K269" s="21" t="str">
        <f>'Raw Data'!K269</f>
        <v>Grocery</v>
      </c>
      <c r="L269" s="21">
        <f>'Raw Data'!L269</f>
        <v>1</v>
      </c>
      <c r="M269" s="21" t="str">
        <f>'Raw Data'!M269</f>
        <v>Single</v>
      </c>
      <c r="N269" s="21">
        <f>'Raw Data'!N269</f>
        <v>1</v>
      </c>
      <c r="O269" s="21">
        <f>'Raw Data'!O269</f>
        <v>1</v>
      </c>
      <c r="P269" s="21">
        <f>IF('Raw Data'!P269="",ROUND(AVERAGE('Raw Data'!$P$2:$P$1501),1),'Raw Data'!P269)</f>
        <v>17</v>
      </c>
      <c r="Q269" s="21">
        <f>IF('Raw Data'!Q269="",ROUND(AVERAGE('Raw Data'!$Q$2:$Q$1501),0),'Raw Data'!Q269)</f>
        <v>4</v>
      </c>
      <c r="R269" s="21">
        <f>'Raw Data'!R269</f>
        <v>5</v>
      </c>
      <c r="S269" s="21">
        <f>IF('Raw Data'!S269="",ROUND(AVERAGE('Raw Data'!$S$2:$S$1501),0),'Raw Data'!S269)</f>
        <v>20</v>
      </c>
      <c r="T269" s="21">
        <f>'Raw Data'!T269</f>
        <v>215.34</v>
      </c>
      <c r="U269" s="21" t="str">
        <f>INDEX('Lookup Tables'!$C$7:$C$9,MATCH(E269,'Lookup Tables'!$B$7:$B$9,0))</f>
        <v>Tier 1 (Metro)</v>
      </c>
      <c r="V269" s="21" t="str">
        <f t="shared" si="12"/>
        <v>13-24 months</v>
      </c>
      <c r="W269" s="21" t="str">
        <f t="shared" si="13"/>
        <v>High Risk</v>
      </c>
      <c r="X269" s="21" t="str">
        <f t="shared" si="14"/>
        <v>No</v>
      </c>
    </row>
    <row r="270" spans="1:24" x14ac:dyDescent="0.3">
      <c r="A270" s="21">
        <f>'Raw Data'!A270</f>
        <v>50269</v>
      </c>
      <c r="B270" s="21">
        <f>'Raw Data'!B270</f>
        <v>1</v>
      </c>
      <c r="C270" s="21">
        <f>'Raw Data'!C270</f>
        <v>2</v>
      </c>
      <c r="D270" s="21" t="str">
        <f>'Raw Data'!D270</f>
        <v>Mobile Phone</v>
      </c>
      <c r="E270" s="21">
        <f>'Raw Data'!E270</f>
        <v>1</v>
      </c>
      <c r="F270" s="21">
        <f>IF('Raw Data'!F270="",ROUND(AVERAGE('Raw Data'!$F$2:$F$1501),1),'Raw Data'!F270)</f>
        <v>20</v>
      </c>
      <c r="G270" s="21" t="str">
        <f>'Raw Data'!G270</f>
        <v>Cash on Delivery</v>
      </c>
      <c r="H270" s="21" t="str">
        <f>'Raw Data'!H270</f>
        <v>Male</v>
      </c>
      <c r="I270" s="21">
        <f>IF('Raw Data'!I270="",ROUND(AVERAGE('Raw Data'!$I$2:$I$1501),1),'Raw Data'!I270)</f>
        <v>3.1</v>
      </c>
      <c r="J270" s="21">
        <f>'Raw Data'!J270</f>
        <v>4</v>
      </c>
      <c r="K270" s="21" t="str">
        <f>'Raw Data'!K270</f>
        <v>Fashion</v>
      </c>
      <c r="L270" s="21">
        <f>'Raw Data'!L270</f>
        <v>2</v>
      </c>
      <c r="M270" s="21" t="str">
        <f>'Raw Data'!M270</f>
        <v>Divorced</v>
      </c>
      <c r="N270" s="21">
        <f>'Raw Data'!N270</f>
        <v>7</v>
      </c>
      <c r="O270" s="21">
        <f>'Raw Data'!O270</f>
        <v>0</v>
      </c>
      <c r="P270" s="21">
        <f>IF('Raw Data'!P270="",ROUND(AVERAGE('Raw Data'!$P$2:$P$1501),1),'Raw Data'!P270)</f>
        <v>17.5</v>
      </c>
      <c r="Q270" s="21">
        <f>IF('Raw Data'!Q270="",ROUND(AVERAGE('Raw Data'!$Q$2:$Q$1501),0),'Raw Data'!Q270)</f>
        <v>1</v>
      </c>
      <c r="R270" s="21">
        <f>'Raw Data'!R270</f>
        <v>2</v>
      </c>
      <c r="S270" s="21">
        <f>IF('Raw Data'!S270="",ROUND(AVERAGE('Raw Data'!$S$2:$S$1501),0),'Raw Data'!S270)</f>
        <v>2</v>
      </c>
      <c r="T270" s="21">
        <f>'Raw Data'!T270</f>
        <v>86.5</v>
      </c>
      <c r="U270" s="21" t="str">
        <f>INDEX('Lookup Tables'!$C$7:$C$9,MATCH(E270,'Lookup Tables'!$B$7:$B$9,0))</f>
        <v>Tier 1 (Metro)</v>
      </c>
      <c r="V270" s="21" t="str">
        <f t="shared" si="12"/>
        <v>0-6 months</v>
      </c>
      <c r="W270" s="21" t="str">
        <f t="shared" si="13"/>
        <v>Low Risk</v>
      </c>
      <c r="X270" s="21" t="str">
        <f t="shared" si="14"/>
        <v>Yes</v>
      </c>
    </row>
    <row r="271" spans="1:24" x14ac:dyDescent="0.3">
      <c r="A271" s="21">
        <f>'Raw Data'!A271</f>
        <v>50270</v>
      </c>
      <c r="B271" s="21">
        <f>'Raw Data'!B271</f>
        <v>0</v>
      </c>
      <c r="C271" s="21">
        <f>'Raw Data'!C271</f>
        <v>1</v>
      </c>
      <c r="D271" s="21" t="str">
        <f>'Raw Data'!D271</f>
        <v>Computer</v>
      </c>
      <c r="E271" s="21">
        <f>'Raw Data'!E271</f>
        <v>1</v>
      </c>
      <c r="F271" s="21">
        <f>IF('Raw Data'!F271="",ROUND(AVERAGE('Raw Data'!$F$2:$F$1501),1),'Raw Data'!F271)</f>
        <v>30</v>
      </c>
      <c r="G271" s="21" t="str">
        <f>'Raw Data'!G271</f>
        <v>Credit Card</v>
      </c>
      <c r="H271" s="21" t="str">
        <f>'Raw Data'!H271</f>
        <v>Male</v>
      </c>
      <c r="I271" s="21">
        <f>IF('Raw Data'!I271="",ROUND(AVERAGE('Raw Data'!$I$2:$I$1501),1),'Raw Data'!I271)</f>
        <v>2.2999999999999998</v>
      </c>
      <c r="J271" s="21">
        <f>'Raw Data'!J271</f>
        <v>4</v>
      </c>
      <c r="K271" s="21" t="str">
        <f>'Raw Data'!K271</f>
        <v>Laptop &amp; Accessory</v>
      </c>
      <c r="L271" s="21">
        <f>'Raw Data'!L271</f>
        <v>2</v>
      </c>
      <c r="M271" s="21" t="str">
        <f>'Raw Data'!M271</f>
        <v>Single</v>
      </c>
      <c r="N271" s="21">
        <f>'Raw Data'!N271</f>
        <v>5</v>
      </c>
      <c r="O271" s="21">
        <f>'Raw Data'!O271</f>
        <v>0</v>
      </c>
      <c r="P271" s="21">
        <f>IF('Raw Data'!P271="",ROUND(AVERAGE('Raw Data'!$P$2:$P$1501),1),'Raw Data'!P271)</f>
        <v>13.6</v>
      </c>
      <c r="Q271" s="21">
        <f>IF('Raw Data'!Q271="",ROUND(AVERAGE('Raw Data'!$Q$2:$Q$1501),0),'Raw Data'!Q271)</f>
        <v>3</v>
      </c>
      <c r="R271" s="21">
        <f>'Raw Data'!R271</f>
        <v>5</v>
      </c>
      <c r="S271" s="21">
        <f>IF('Raw Data'!S271="",ROUND(AVERAGE('Raw Data'!$S$2:$S$1501),0),'Raw Data'!S271)</f>
        <v>11</v>
      </c>
      <c r="T271" s="21">
        <f>'Raw Data'!T271</f>
        <v>190.13</v>
      </c>
      <c r="U271" s="21" t="str">
        <f>INDEX('Lookup Tables'!$C$7:$C$9,MATCH(E271,'Lookup Tables'!$B$7:$B$9,0))</f>
        <v>Tier 1 (Metro)</v>
      </c>
      <c r="V271" s="21" t="str">
        <f t="shared" si="12"/>
        <v>0-6 months</v>
      </c>
      <c r="W271" s="21" t="str">
        <f t="shared" si="13"/>
        <v>Low Risk</v>
      </c>
      <c r="X271" s="21" t="str">
        <f t="shared" si="14"/>
        <v>No</v>
      </c>
    </row>
    <row r="272" spans="1:24" x14ac:dyDescent="0.3">
      <c r="A272" s="21">
        <f>'Raw Data'!A272</f>
        <v>50271</v>
      </c>
      <c r="B272" s="21">
        <f>'Raw Data'!B272</f>
        <v>1</v>
      </c>
      <c r="C272" s="21">
        <f>'Raw Data'!C272</f>
        <v>4</v>
      </c>
      <c r="D272" s="21" t="str">
        <f>'Raw Data'!D272</f>
        <v>Mobile Phone</v>
      </c>
      <c r="E272" s="21">
        <f>'Raw Data'!E272</f>
        <v>3</v>
      </c>
      <c r="F272" s="21">
        <f>IF('Raw Data'!F272="",ROUND(AVERAGE('Raw Data'!$F$2:$F$1501),1),'Raw Data'!F272)</f>
        <v>7</v>
      </c>
      <c r="G272" s="21" t="str">
        <f>'Raw Data'!G272</f>
        <v>Credit Card</v>
      </c>
      <c r="H272" s="21" t="str">
        <f>'Raw Data'!H272</f>
        <v>Male</v>
      </c>
      <c r="I272" s="21">
        <f>IF('Raw Data'!I272="",ROUND(AVERAGE('Raw Data'!$I$2:$I$1501),1),'Raw Data'!I272)</f>
        <v>3.5</v>
      </c>
      <c r="J272" s="21">
        <f>'Raw Data'!J272</f>
        <v>3</v>
      </c>
      <c r="K272" s="21" t="str">
        <f>'Raw Data'!K272</f>
        <v>Others</v>
      </c>
      <c r="L272" s="21">
        <f>'Raw Data'!L272</f>
        <v>4</v>
      </c>
      <c r="M272" s="21" t="str">
        <f>'Raw Data'!M272</f>
        <v>Single</v>
      </c>
      <c r="N272" s="21">
        <f>'Raw Data'!N272</f>
        <v>3</v>
      </c>
      <c r="O272" s="21">
        <f>'Raw Data'!O272</f>
        <v>0</v>
      </c>
      <c r="P272" s="21">
        <f>IF('Raw Data'!P272="",ROUND(AVERAGE('Raw Data'!$P$2:$P$1501),1),'Raw Data'!P272)</f>
        <v>12.5</v>
      </c>
      <c r="Q272" s="21">
        <f>IF('Raw Data'!Q272="",ROUND(AVERAGE('Raw Data'!$Q$2:$Q$1501),0),'Raw Data'!Q272)</f>
        <v>0</v>
      </c>
      <c r="R272" s="21">
        <f>'Raw Data'!R272</f>
        <v>7</v>
      </c>
      <c r="S272" s="21">
        <f>IF('Raw Data'!S272="",ROUND(AVERAGE('Raw Data'!$S$2:$S$1501),0),'Raw Data'!S272)</f>
        <v>1</v>
      </c>
      <c r="T272" s="21">
        <f>'Raw Data'!T272</f>
        <v>277.11</v>
      </c>
      <c r="U272" s="21" t="str">
        <f>INDEX('Lookup Tables'!$C$7:$C$9,MATCH(E272,'Lookup Tables'!$B$7:$B$9,0))</f>
        <v>Tier 3 (Semi-urban/Rural)</v>
      </c>
      <c r="V272" s="21" t="str">
        <f t="shared" si="12"/>
        <v>0-6 months</v>
      </c>
      <c r="W272" s="21" t="str">
        <f t="shared" si="13"/>
        <v>Low Risk</v>
      </c>
      <c r="X272" s="21" t="str">
        <f t="shared" si="14"/>
        <v>Yes</v>
      </c>
    </row>
    <row r="273" spans="1:24" x14ac:dyDescent="0.3">
      <c r="A273" s="21">
        <f>'Raw Data'!A273</f>
        <v>50272</v>
      </c>
      <c r="B273" s="21">
        <f>'Raw Data'!B273</f>
        <v>0</v>
      </c>
      <c r="C273" s="21">
        <f>'Raw Data'!C273</f>
        <v>3</v>
      </c>
      <c r="D273" s="21" t="str">
        <f>'Raw Data'!D273</f>
        <v>Phone</v>
      </c>
      <c r="E273" s="21">
        <f>'Raw Data'!E273</f>
        <v>3</v>
      </c>
      <c r="F273" s="21">
        <f>IF('Raw Data'!F273="",ROUND(AVERAGE('Raw Data'!$F$2:$F$1501),1),'Raw Data'!F273)</f>
        <v>11</v>
      </c>
      <c r="G273" s="21" t="str">
        <f>'Raw Data'!G273</f>
        <v>Credit Card</v>
      </c>
      <c r="H273" s="21" t="str">
        <f>'Raw Data'!H273</f>
        <v>Female</v>
      </c>
      <c r="I273" s="21">
        <f>IF('Raw Data'!I273="",ROUND(AVERAGE('Raw Data'!$I$2:$I$1501),1),'Raw Data'!I273)</f>
        <v>3.4</v>
      </c>
      <c r="J273" s="21">
        <f>'Raw Data'!J273</f>
        <v>3</v>
      </c>
      <c r="K273" s="21" t="str">
        <f>'Raw Data'!K273</f>
        <v>Laptop &amp; Accessory</v>
      </c>
      <c r="L273" s="21">
        <f>'Raw Data'!L273</f>
        <v>4</v>
      </c>
      <c r="M273" s="21" t="str">
        <f>'Raw Data'!M273</f>
        <v>Married</v>
      </c>
      <c r="N273" s="21">
        <f>'Raw Data'!N273</f>
        <v>1</v>
      </c>
      <c r="O273" s="21">
        <f>'Raw Data'!O273</f>
        <v>0</v>
      </c>
      <c r="P273" s="21">
        <f>IF('Raw Data'!P273="",ROUND(AVERAGE('Raw Data'!$P$2:$P$1501),1),'Raw Data'!P273)</f>
        <v>16.100000000000001</v>
      </c>
      <c r="Q273" s="21">
        <f>IF('Raw Data'!Q273="",ROUND(AVERAGE('Raw Data'!$Q$2:$Q$1501),0),'Raw Data'!Q273)</f>
        <v>2</v>
      </c>
      <c r="R273" s="21">
        <f>'Raw Data'!R273</f>
        <v>3</v>
      </c>
      <c r="S273" s="21">
        <f>IF('Raw Data'!S273="",ROUND(AVERAGE('Raw Data'!$S$2:$S$1501),0),'Raw Data'!S273)</f>
        <v>0</v>
      </c>
      <c r="T273" s="21">
        <f>'Raw Data'!T273</f>
        <v>217.43</v>
      </c>
      <c r="U273" s="21" t="str">
        <f>INDEX('Lookup Tables'!$C$7:$C$9,MATCH(E273,'Lookup Tables'!$B$7:$B$9,0))</f>
        <v>Tier 3 (Semi-urban/Rural)</v>
      </c>
      <c r="V273" s="21" t="str">
        <f t="shared" si="12"/>
        <v>0-6 months</v>
      </c>
      <c r="W273" s="21" t="str">
        <f t="shared" si="13"/>
        <v>Low Risk</v>
      </c>
      <c r="X273" s="21" t="str">
        <f t="shared" si="14"/>
        <v>No</v>
      </c>
    </row>
    <row r="274" spans="1:24" x14ac:dyDescent="0.3">
      <c r="A274" s="21">
        <f>'Raw Data'!A274</f>
        <v>50273</v>
      </c>
      <c r="B274" s="21">
        <f>'Raw Data'!B274</f>
        <v>0</v>
      </c>
      <c r="C274" s="21">
        <f>'Raw Data'!C274</f>
        <v>3</v>
      </c>
      <c r="D274" s="21" t="str">
        <f>'Raw Data'!D274</f>
        <v>Phone</v>
      </c>
      <c r="E274" s="21">
        <f>'Raw Data'!E274</f>
        <v>1</v>
      </c>
      <c r="F274" s="21">
        <f>IF('Raw Data'!F274="",ROUND(AVERAGE('Raw Data'!$F$2:$F$1501),1),'Raw Data'!F274)</f>
        <v>14.8</v>
      </c>
      <c r="G274" s="21" t="str">
        <f>'Raw Data'!G274</f>
        <v>UPI</v>
      </c>
      <c r="H274" s="21" t="str">
        <f>'Raw Data'!H274</f>
        <v>Male</v>
      </c>
      <c r="I274" s="21">
        <f>IF('Raw Data'!I274="",ROUND(AVERAGE('Raw Data'!$I$2:$I$1501),1),'Raw Data'!I274)</f>
        <v>2.8</v>
      </c>
      <c r="J274" s="21">
        <f>'Raw Data'!J274</f>
        <v>3</v>
      </c>
      <c r="K274" s="21" t="str">
        <f>'Raw Data'!K274</f>
        <v>Grocery</v>
      </c>
      <c r="L274" s="21">
        <f>'Raw Data'!L274</f>
        <v>4</v>
      </c>
      <c r="M274" s="21" t="str">
        <f>'Raw Data'!M274</f>
        <v>Single</v>
      </c>
      <c r="N274" s="21">
        <f>'Raw Data'!N274</f>
        <v>4</v>
      </c>
      <c r="O274" s="21">
        <f>'Raw Data'!O274</f>
        <v>0</v>
      </c>
      <c r="P274" s="21">
        <f>IF('Raw Data'!P274="",ROUND(AVERAGE('Raw Data'!$P$2:$P$1501),1),'Raw Data'!P274)</f>
        <v>20.100000000000001</v>
      </c>
      <c r="Q274" s="21">
        <f>IF('Raw Data'!Q274="",ROUND(AVERAGE('Raw Data'!$Q$2:$Q$1501),0),'Raw Data'!Q274)</f>
        <v>4</v>
      </c>
      <c r="R274" s="21">
        <f>'Raw Data'!R274</f>
        <v>7</v>
      </c>
      <c r="S274" s="21">
        <f>IF('Raw Data'!S274="",ROUND(AVERAGE('Raw Data'!$S$2:$S$1501),0),'Raw Data'!S274)</f>
        <v>6</v>
      </c>
      <c r="T274" s="21">
        <f>'Raw Data'!T274</f>
        <v>217.09</v>
      </c>
      <c r="U274" s="21" t="str">
        <f>INDEX('Lookup Tables'!$C$7:$C$9,MATCH(E274,'Lookup Tables'!$B$7:$B$9,0))</f>
        <v>Tier 1 (Metro)</v>
      </c>
      <c r="V274" s="21" t="str">
        <f t="shared" si="12"/>
        <v>0-6 months</v>
      </c>
      <c r="W274" s="21" t="str">
        <f t="shared" si="13"/>
        <v>Low Risk</v>
      </c>
      <c r="X274" s="21" t="str">
        <f t="shared" si="14"/>
        <v>No</v>
      </c>
    </row>
    <row r="275" spans="1:24" x14ac:dyDescent="0.3">
      <c r="A275" s="21">
        <f>'Raw Data'!A275</f>
        <v>50274</v>
      </c>
      <c r="B275" s="21">
        <f>'Raw Data'!B275</f>
        <v>0</v>
      </c>
      <c r="C275" s="21">
        <f>'Raw Data'!C275</f>
        <v>2</v>
      </c>
      <c r="D275" s="21" t="str">
        <f>'Raw Data'!D275</f>
        <v>Mobile Phone</v>
      </c>
      <c r="E275" s="21">
        <f>'Raw Data'!E275</f>
        <v>3</v>
      </c>
      <c r="F275" s="21">
        <f>IF('Raw Data'!F275="",ROUND(AVERAGE('Raw Data'!$F$2:$F$1501),1),'Raw Data'!F275)</f>
        <v>20</v>
      </c>
      <c r="G275" s="21" t="str">
        <f>'Raw Data'!G275</f>
        <v>E wallet</v>
      </c>
      <c r="H275" s="21" t="str">
        <f>'Raw Data'!H275</f>
        <v>Female</v>
      </c>
      <c r="I275" s="21">
        <f>IF('Raw Data'!I275="",ROUND(AVERAGE('Raw Data'!$I$2:$I$1501),1),'Raw Data'!I275)</f>
        <v>3.5</v>
      </c>
      <c r="J275" s="21">
        <f>'Raw Data'!J275</f>
        <v>3</v>
      </c>
      <c r="K275" s="21" t="str">
        <f>'Raw Data'!K275</f>
        <v>Laptop &amp; Accessory</v>
      </c>
      <c r="L275" s="21">
        <f>'Raw Data'!L275</f>
        <v>3</v>
      </c>
      <c r="M275" s="21" t="str">
        <f>'Raw Data'!M275</f>
        <v>Married</v>
      </c>
      <c r="N275" s="21">
        <f>'Raw Data'!N275</f>
        <v>6</v>
      </c>
      <c r="O275" s="21">
        <f>'Raw Data'!O275</f>
        <v>0</v>
      </c>
      <c r="P275" s="21">
        <f>IF('Raw Data'!P275="",ROUND(AVERAGE('Raw Data'!$P$2:$P$1501),1),'Raw Data'!P275)</f>
        <v>21.6</v>
      </c>
      <c r="Q275" s="21">
        <f>IF('Raw Data'!Q275="",ROUND(AVERAGE('Raw Data'!$Q$2:$Q$1501),0),'Raw Data'!Q275)</f>
        <v>1</v>
      </c>
      <c r="R275" s="21">
        <f>'Raw Data'!R275</f>
        <v>5</v>
      </c>
      <c r="S275" s="21">
        <f>IF('Raw Data'!S275="",ROUND(AVERAGE('Raw Data'!$S$2:$S$1501),0),'Raw Data'!S275)</f>
        <v>2</v>
      </c>
      <c r="T275" s="21">
        <f>'Raw Data'!T275</f>
        <v>130.63999999999999</v>
      </c>
      <c r="U275" s="21" t="str">
        <f>INDEX('Lookup Tables'!$C$7:$C$9,MATCH(E275,'Lookup Tables'!$B$7:$B$9,0))</f>
        <v>Tier 3 (Semi-urban/Rural)</v>
      </c>
      <c r="V275" s="21" t="str">
        <f t="shared" si="12"/>
        <v>0-6 months</v>
      </c>
      <c r="W275" s="21" t="str">
        <f t="shared" si="13"/>
        <v>Medium Risk</v>
      </c>
      <c r="X275" s="21" t="str">
        <f t="shared" si="14"/>
        <v>No</v>
      </c>
    </row>
    <row r="276" spans="1:24" x14ac:dyDescent="0.3">
      <c r="A276" s="21">
        <f>'Raw Data'!A276</f>
        <v>50275</v>
      </c>
      <c r="B276" s="21">
        <f>'Raw Data'!B276</f>
        <v>0</v>
      </c>
      <c r="C276" s="21">
        <f>'Raw Data'!C276</f>
        <v>0</v>
      </c>
      <c r="D276" s="21" t="str">
        <f>'Raw Data'!D276</f>
        <v>Phone</v>
      </c>
      <c r="E276" s="21">
        <f>'Raw Data'!E276</f>
        <v>1</v>
      </c>
      <c r="F276" s="21">
        <f>IF('Raw Data'!F276="",ROUND(AVERAGE('Raw Data'!$F$2:$F$1501),1),'Raw Data'!F276)</f>
        <v>13</v>
      </c>
      <c r="G276" s="21" t="str">
        <f>'Raw Data'!G276</f>
        <v>E wallet</v>
      </c>
      <c r="H276" s="21" t="str">
        <f>'Raw Data'!H276</f>
        <v>Male</v>
      </c>
      <c r="I276" s="21">
        <f>IF('Raw Data'!I276="",ROUND(AVERAGE('Raw Data'!$I$2:$I$1501),1),'Raw Data'!I276)</f>
        <v>2.2999999999999998</v>
      </c>
      <c r="J276" s="21">
        <f>'Raw Data'!J276</f>
        <v>2</v>
      </c>
      <c r="K276" s="21" t="str">
        <f>'Raw Data'!K276</f>
        <v>Mobile Phone</v>
      </c>
      <c r="L276" s="21">
        <f>'Raw Data'!L276</f>
        <v>3</v>
      </c>
      <c r="M276" s="21" t="str">
        <f>'Raw Data'!M276</f>
        <v>Married</v>
      </c>
      <c r="N276" s="21">
        <f>'Raw Data'!N276</f>
        <v>3</v>
      </c>
      <c r="O276" s="21">
        <f>'Raw Data'!O276</f>
        <v>0</v>
      </c>
      <c r="P276" s="21">
        <f>IF('Raw Data'!P276="",ROUND(AVERAGE('Raw Data'!$P$2:$P$1501),1),'Raw Data'!P276)</f>
        <v>18.8</v>
      </c>
      <c r="Q276" s="21">
        <f>IF('Raw Data'!Q276="",ROUND(AVERAGE('Raw Data'!$Q$2:$Q$1501),0),'Raw Data'!Q276)</f>
        <v>4</v>
      </c>
      <c r="R276" s="21">
        <f>'Raw Data'!R276</f>
        <v>5</v>
      </c>
      <c r="S276" s="21">
        <f>IF('Raw Data'!S276="",ROUND(AVERAGE('Raw Data'!$S$2:$S$1501),0),'Raw Data'!S276)</f>
        <v>1</v>
      </c>
      <c r="T276" s="21">
        <f>'Raw Data'!T276</f>
        <v>277.3</v>
      </c>
      <c r="U276" s="21" t="str">
        <f>INDEX('Lookup Tables'!$C$7:$C$9,MATCH(E276,'Lookup Tables'!$B$7:$B$9,0))</f>
        <v>Tier 1 (Metro)</v>
      </c>
      <c r="V276" s="21" t="str">
        <f t="shared" si="12"/>
        <v>0-6 months</v>
      </c>
      <c r="W276" s="21" t="str">
        <f t="shared" si="13"/>
        <v>Medium Risk</v>
      </c>
      <c r="X276" s="21" t="str">
        <f t="shared" si="14"/>
        <v>No</v>
      </c>
    </row>
    <row r="277" spans="1:24" x14ac:dyDescent="0.3">
      <c r="A277" s="21">
        <f>'Raw Data'!A277</f>
        <v>50276</v>
      </c>
      <c r="B277" s="21">
        <f>'Raw Data'!B277</f>
        <v>1</v>
      </c>
      <c r="C277" s="21">
        <f>'Raw Data'!C277</f>
        <v>0</v>
      </c>
      <c r="D277" s="21" t="str">
        <f>'Raw Data'!D277</f>
        <v>Phone</v>
      </c>
      <c r="E277" s="21">
        <f>'Raw Data'!E277</f>
        <v>1</v>
      </c>
      <c r="F277" s="21">
        <f>IF('Raw Data'!F277="",ROUND(AVERAGE('Raw Data'!$F$2:$F$1501),1),'Raw Data'!F277)</f>
        <v>8</v>
      </c>
      <c r="G277" s="21" t="str">
        <f>'Raw Data'!G277</f>
        <v>Debit Card</v>
      </c>
      <c r="H277" s="21" t="str">
        <f>'Raw Data'!H277</f>
        <v>Male</v>
      </c>
      <c r="I277" s="21">
        <f>IF('Raw Data'!I277="",ROUND(AVERAGE('Raw Data'!$I$2:$I$1501),1),'Raw Data'!I277)</f>
        <v>2.6</v>
      </c>
      <c r="J277" s="21">
        <f>'Raw Data'!J277</f>
        <v>4</v>
      </c>
      <c r="K277" s="21" t="str">
        <f>'Raw Data'!K277</f>
        <v>Mobile Phone</v>
      </c>
      <c r="L277" s="21">
        <f>'Raw Data'!L277</f>
        <v>1</v>
      </c>
      <c r="M277" s="21" t="str">
        <f>'Raw Data'!M277</f>
        <v>Married</v>
      </c>
      <c r="N277" s="21">
        <f>'Raw Data'!N277</f>
        <v>5</v>
      </c>
      <c r="O277" s="21">
        <f>'Raw Data'!O277</f>
        <v>1</v>
      </c>
      <c r="P277" s="21">
        <f>IF('Raw Data'!P277="",ROUND(AVERAGE('Raw Data'!$P$2:$P$1501),1),'Raw Data'!P277)</f>
        <v>16.100000000000001</v>
      </c>
      <c r="Q277" s="21">
        <f>IF('Raw Data'!Q277="",ROUND(AVERAGE('Raw Data'!$Q$2:$Q$1501),0),'Raw Data'!Q277)</f>
        <v>3</v>
      </c>
      <c r="R277" s="21">
        <f>'Raw Data'!R277</f>
        <v>4</v>
      </c>
      <c r="S277" s="21">
        <f>IF('Raw Data'!S277="",ROUND(AVERAGE('Raw Data'!$S$2:$S$1501),0),'Raw Data'!S277)</f>
        <v>5</v>
      </c>
      <c r="T277" s="21">
        <f>'Raw Data'!T277</f>
        <v>255.72</v>
      </c>
      <c r="U277" s="21" t="str">
        <f>INDEX('Lookup Tables'!$C$7:$C$9,MATCH(E277,'Lookup Tables'!$B$7:$B$9,0))</f>
        <v>Tier 1 (Metro)</v>
      </c>
      <c r="V277" s="21" t="str">
        <f t="shared" si="12"/>
        <v>0-6 months</v>
      </c>
      <c r="W277" s="21" t="str">
        <f t="shared" si="13"/>
        <v>High Risk</v>
      </c>
      <c r="X277" s="21" t="str">
        <f t="shared" si="14"/>
        <v>Yes</v>
      </c>
    </row>
    <row r="278" spans="1:24" x14ac:dyDescent="0.3">
      <c r="A278" s="21">
        <f>'Raw Data'!A278</f>
        <v>50277</v>
      </c>
      <c r="B278" s="21">
        <f>'Raw Data'!B278</f>
        <v>0</v>
      </c>
      <c r="C278" s="21">
        <f>'Raw Data'!C278</f>
        <v>43</v>
      </c>
      <c r="D278" s="21" t="str">
        <f>'Raw Data'!D278</f>
        <v>Computer</v>
      </c>
      <c r="E278" s="21">
        <f>'Raw Data'!E278</f>
        <v>1</v>
      </c>
      <c r="F278" s="21">
        <f>IF('Raw Data'!F278="",ROUND(AVERAGE('Raw Data'!$F$2:$F$1501),1),'Raw Data'!F278)</f>
        <v>22</v>
      </c>
      <c r="G278" s="21" t="str">
        <f>'Raw Data'!G278</f>
        <v>UPI</v>
      </c>
      <c r="H278" s="21" t="str">
        <f>'Raw Data'!H278</f>
        <v>Male</v>
      </c>
      <c r="I278" s="21">
        <f>IF('Raw Data'!I278="",ROUND(AVERAGE('Raw Data'!$I$2:$I$1501),1),'Raw Data'!I278)</f>
        <v>1.5</v>
      </c>
      <c r="J278" s="21">
        <f>'Raw Data'!J278</f>
        <v>3</v>
      </c>
      <c r="K278" s="21" t="str">
        <f>'Raw Data'!K278</f>
        <v>Laptop &amp; Accessory</v>
      </c>
      <c r="L278" s="21">
        <f>'Raw Data'!L278</f>
        <v>2</v>
      </c>
      <c r="M278" s="21" t="str">
        <f>'Raw Data'!M278</f>
        <v>Married</v>
      </c>
      <c r="N278" s="21">
        <f>'Raw Data'!N278</f>
        <v>4</v>
      </c>
      <c r="O278" s="21">
        <f>'Raw Data'!O278</f>
        <v>0</v>
      </c>
      <c r="P278" s="21">
        <f>IF('Raw Data'!P278="",ROUND(AVERAGE('Raw Data'!$P$2:$P$1501),1),'Raw Data'!P278)</f>
        <v>16.899999999999999</v>
      </c>
      <c r="Q278" s="21">
        <f>IF('Raw Data'!Q278="",ROUND(AVERAGE('Raw Data'!$Q$2:$Q$1501),0),'Raw Data'!Q278)</f>
        <v>5</v>
      </c>
      <c r="R278" s="21">
        <f>'Raw Data'!R278</f>
        <v>4</v>
      </c>
      <c r="S278" s="21">
        <f>IF('Raw Data'!S278="",ROUND(AVERAGE('Raw Data'!$S$2:$S$1501),0),'Raw Data'!S278)</f>
        <v>2</v>
      </c>
      <c r="T278" s="21">
        <f>'Raw Data'!T278</f>
        <v>133.6</v>
      </c>
      <c r="U278" s="21" t="str">
        <f>INDEX('Lookup Tables'!$C$7:$C$9,MATCH(E278,'Lookup Tables'!$B$7:$B$9,0))</f>
        <v>Tier 1 (Metro)</v>
      </c>
      <c r="V278" s="21" t="str">
        <f t="shared" si="12"/>
        <v>25+ months</v>
      </c>
      <c r="W278" s="21" t="str">
        <f t="shared" si="13"/>
        <v>Low Risk</v>
      </c>
      <c r="X278" s="21" t="str">
        <f t="shared" si="14"/>
        <v>No</v>
      </c>
    </row>
    <row r="279" spans="1:24" x14ac:dyDescent="0.3">
      <c r="A279" s="21">
        <f>'Raw Data'!A279</f>
        <v>50278</v>
      </c>
      <c r="B279" s="21">
        <f>'Raw Data'!B279</f>
        <v>0</v>
      </c>
      <c r="C279" s="21">
        <f>'Raw Data'!C279</f>
        <v>5</v>
      </c>
      <c r="D279" s="21" t="str">
        <f>'Raw Data'!D279</f>
        <v>Mobile Phone</v>
      </c>
      <c r="E279" s="21">
        <f>'Raw Data'!E279</f>
        <v>2</v>
      </c>
      <c r="F279" s="21">
        <f>IF('Raw Data'!F279="",ROUND(AVERAGE('Raw Data'!$F$2:$F$1501),1),'Raw Data'!F279)</f>
        <v>20</v>
      </c>
      <c r="G279" s="21" t="str">
        <f>'Raw Data'!G279</f>
        <v>Debit Card</v>
      </c>
      <c r="H279" s="21" t="str">
        <f>'Raw Data'!H279</f>
        <v>Male</v>
      </c>
      <c r="I279" s="21">
        <f>IF('Raw Data'!I279="",ROUND(AVERAGE('Raw Data'!$I$2:$I$1501),1),'Raw Data'!I279)</f>
        <v>2</v>
      </c>
      <c r="J279" s="21">
        <f>'Raw Data'!J279</f>
        <v>4</v>
      </c>
      <c r="K279" s="21" t="str">
        <f>'Raw Data'!K279</f>
        <v>Mobile Phone</v>
      </c>
      <c r="L279" s="21">
        <f>'Raw Data'!L279</f>
        <v>5</v>
      </c>
      <c r="M279" s="21" t="str">
        <f>'Raw Data'!M279</f>
        <v>Single</v>
      </c>
      <c r="N279" s="21">
        <f>'Raw Data'!N279</f>
        <v>2</v>
      </c>
      <c r="O279" s="21">
        <f>'Raw Data'!O279</f>
        <v>1</v>
      </c>
      <c r="P279" s="21">
        <f>IF('Raw Data'!P279="",ROUND(AVERAGE('Raw Data'!$P$2:$P$1501),1),'Raw Data'!P279)</f>
        <v>16</v>
      </c>
      <c r="Q279" s="21">
        <f>IF('Raw Data'!Q279="",ROUND(AVERAGE('Raw Data'!$Q$2:$Q$1501),0),'Raw Data'!Q279)</f>
        <v>1</v>
      </c>
      <c r="R279" s="21">
        <f>'Raw Data'!R279</f>
        <v>3</v>
      </c>
      <c r="S279" s="21">
        <f>IF('Raw Data'!S279="",ROUND(AVERAGE('Raw Data'!$S$2:$S$1501),0),'Raw Data'!S279)</f>
        <v>4</v>
      </c>
      <c r="T279" s="21">
        <f>'Raw Data'!T279</f>
        <v>153.88999999999999</v>
      </c>
      <c r="U279" s="21" t="str">
        <f>INDEX('Lookup Tables'!$C$7:$C$9,MATCH(E279,'Lookup Tables'!$B$7:$B$9,0))</f>
        <v>Tier 2 (Urban)</v>
      </c>
      <c r="V279" s="21" t="str">
        <f t="shared" si="12"/>
        <v>0-6 months</v>
      </c>
      <c r="W279" s="21" t="str">
        <f t="shared" si="13"/>
        <v>Low Risk</v>
      </c>
      <c r="X279" s="21" t="str">
        <f t="shared" si="14"/>
        <v>No</v>
      </c>
    </row>
    <row r="280" spans="1:24" x14ac:dyDescent="0.3">
      <c r="A280" s="21">
        <f>'Raw Data'!A280</f>
        <v>50279</v>
      </c>
      <c r="B280" s="21">
        <f>'Raw Data'!B280</f>
        <v>0</v>
      </c>
      <c r="C280" s="21">
        <f>'Raw Data'!C280</f>
        <v>4</v>
      </c>
      <c r="D280" s="21" t="str">
        <f>'Raw Data'!D280</f>
        <v>Phone</v>
      </c>
      <c r="E280" s="21">
        <f>'Raw Data'!E280</f>
        <v>3</v>
      </c>
      <c r="F280" s="21">
        <f>IF('Raw Data'!F280="",ROUND(AVERAGE('Raw Data'!$F$2:$F$1501),1),'Raw Data'!F280)</f>
        <v>7</v>
      </c>
      <c r="G280" s="21" t="str">
        <f>'Raw Data'!G280</f>
        <v>UPI</v>
      </c>
      <c r="H280" s="21" t="str">
        <f>'Raw Data'!H280</f>
        <v>Male</v>
      </c>
      <c r="I280" s="21">
        <f>IF('Raw Data'!I280="",ROUND(AVERAGE('Raw Data'!$I$2:$I$1501),1),'Raw Data'!I280)</f>
        <v>4.2</v>
      </c>
      <c r="J280" s="21">
        <f>'Raw Data'!J280</f>
        <v>2</v>
      </c>
      <c r="K280" s="21" t="str">
        <f>'Raw Data'!K280</f>
        <v>Laptop &amp; Accessory</v>
      </c>
      <c r="L280" s="21">
        <f>'Raw Data'!L280</f>
        <v>5</v>
      </c>
      <c r="M280" s="21" t="str">
        <f>'Raw Data'!M280</f>
        <v>Single</v>
      </c>
      <c r="N280" s="21">
        <f>'Raw Data'!N280</f>
        <v>1</v>
      </c>
      <c r="O280" s="21">
        <f>'Raw Data'!O280</f>
        <v>1</v>
      </c>
      <c r="P280" s="21">
        <f>IF('Raw Data'!P280="",ROUND(AVERAGE('Raw Data'!$P$2:$P$1501),1),'Raw Data'!P280)</f>
        <v>12.4</v>
      </c>
      <c r="Q280" s="21">
        <f>IF('Raw Data'!Q280="",ROUND(AVERAGE('Raw Data'!$Q$2:$Q$1501),0),'Raw Data'!Q280)</f>
        <v>2</v>
      </c>
      <c r="R280" s="21">
        <f>'Raw Data'!R280</f>
        <v>4</v>
      </c>
      <c r="S280" s="21">
        <f>IF('Raw Data'!S280="",ROUND(AVERAGE('Raw Data'!$S$2:$S$1501),0),'Raw Data'!S280)</f>
        <v>1</v>
      </c>
      <c r="T280" s="21">
        <f>'Raw Data'!T280</f>
        <v>249.01</v>
      </c>
      <c r="U280" s="21" t="str">
        <f>INDEX('Lookup Tables'!$C$7:$C$9,MATCH(E280,'Lookup Tables'!$B$7:$B$9,0))</f>
        <v>Tier 3 (Semi-urban/Rural)</v>
      </c>
      <c r="V280" s="21" t="str">
        <f t="shared" si="12"/>
        <v>0-6 months</v>
      </c>
      <c r="W280" s="21" t="str">
        <f t="shared" si="13"/>
        <v>Low Risk</v>
      </c>
      <c r="X280" s="21" t="str">
        <f t="shared" si="14"/>
        <v>No</v>
      </c>
    </row>
    <row r="281" spans="1:24" x14ac:dyDescent="0.3">
      <c r="A281" s="21">
        <f>'Raw Data'!A281</f>
        <v>50280</v>
      </c>
      <c r="B281" s="21">
        <f>'Raw Data'!B281</f>
        <v>0</v>
      </c>
      <c r="C281" s="21">
        <f>'Raw Data'!C281</f>
        <v>11</v>
      </c>
      <c r="D281" s="21" t="str">
        <f>'Raw Data'!D281</f>
        <v>Phone</v>
      </c>
      <c r="E281" s="21">
        <f>'Raw Data'!E281</f>
        <v>2</v>
      </c>
      <c r="F281" s="21">
        <f>IF('Raw Data'!F281="",ROUND(AVERAGE('Raw Data'!$F$2:$F$1501),1),'Raw Data'!F281)</f>
        <v>25</v>
      </c>
      <c r="G281" s="21" t="str">
        <f>'Raw Data'!G281</f>
        <v>Credit Card</v>
      </c>
      <c r="H281" s="21" t="str">
        <f>'Raw Data'!H281</f>
        <v>Male</v>
      </c>
      <c r="I281" s="21">
        <f>IF('Raw Data'!I281="",ROUND(AVERAGE('Raw Data'!$I$2:$I$1501),1),'Raw Data'!I281)</f>
        <v>4</v>
      </c>
      <c r="J281" s="21">
        <f>'Raw Data'!J281</f>
        <v>3</v>
      </c>
      <c r="K281" s="21" t="str">
        <f>'Raw Data'!K281</f>
        <v>Laptop &amp; Accessory</v>
      </c>
      <c r="L281" s="21">
        <f>'Raw Data'!L281</f>
        <v>4</v>
      </c>
      <c r="M281" s="21" t="str">
        <f>'Raw Data'!M281</f>
        <v>Married</v>
      </c>
      <c r="N281" s="21">
        <f>'Raw Data'!N281</f>
        <v>4</v>
      </c>
      <c r="O281" s="21">
        <f>'Raw Data'!O281</f>
        <v>0</v>
      </c>
      <c r="P281" s="21">
        <f>IF('Raw Data'!P281="",ROUND(AVERAGE('Raw Data'!$P$2:$P$1501),1),'Raw Data'!P281)</f>
        <v>16.100000000000001</v>
      </c>
      <c r="Q281" s="21">
        <f>IF('Raw Data'!Q281="",ROUND(AVERAGE('Raw Data'!$Q$2:$Q$1501),0),'Raw Data'!Q281)</f>
        <v>0</v>
      </c>
      <c r="R281" s="21">
        <f>'Raw Data'!R281</f>
        <v>4</v>
      </c>
      <c r="S281" s="21">
        <f>IF('Raw Data'!S281="",ROUND(AVERAGE('Raw Data'!$S$2:$S$1501),0),'Raw Data'!S281)</f>
        <v>7</v>
      </c>
      <c r="T281" s="21">
        <f>'Raw Data'!T281</f>
        <v>278.79000000000002</v>
      </c>
      <c r="U281" s="21" t="str">
        <f>INDEX('Lookup Tables'!$C$7:$C$9,MATCH(E281,'Lookup Tables'!$B$7:$B$9,0))</f>
        <v>Tier 2 (Urban)</v>
      </c>
      <c r="V281" s="21" t="str">
        <f t="shared" si="12"/>
        <v>7-12 months</v>
      </c>
      <c r="W281" s="21" t="str">
        <f t="shared" si="13"/>
        <v>Low Risk</v>
      </c>
      <c r="X281" s="21" t="str">
        <f t="shared" si="14"/>
        <v>No</v>
      </c>
    </row>
    <row r="282" spans="1:24" x14ac:dyDescent="0.3">
      <c r="A282" s="21">
        <f>'Raw Data'!A282</f>
        <v>50281</v>
      </c>
      <c r="B282" s="21">
        <f>'Raw Data'!B282</f>
        <v>0</v>
      </c>
      <c r="C282" s="21">
        <f>'Raw Data'!C282</f>
        <v>2</v>
      </c>
      <c r="D282" s="21" t="str">
        <f>'Raw Data'!D282</f>
        <v>Mobile Phone</v>
      </c>
      <c r="E282" s="21">
        <f>'Raw Data'!E282</f>
        <v>1</v>
      </c>
      <c r="F282" s="21">
        <f>IF('Raw Data'!F282="",ROUND(AVERAGE('Raw Data'!$F$2:$F$1501),1),'Raw Data'!F282)</f>
        <v>24</v>
      </c>
      <c r="G282" s="21" t="str">
        <f>'Raw Data'!G282</f>
        <v>Credit Card</v>
      </c>
      <c r="H282" s="21" t="str">
        <f>'Raw Data'!H282</f>
        <v>Male</v>
      </c>
      <c r="I282" s="21">
        <f>IF('Raw Data'!I282="",ROUND(AVERAGE('Raw Data'!$I$2:$I$1501),1),'Raw Data'!I282)</f>
        <v>2.9</v>
      </c>
      <c r="J282" s="21">
        <f>'Raw Data'!J282</f>
        <v>3</v>
      </c>
      <c r="K282" s="21" t="str">
        <f>'Raw Data'!K282</f>
        <v>Laptop &amp; Accessory</v>
      </c>
      <c r="L282" s="21">
        <f>'Raw Data'!L282</f>
        <v>5</v>
      </c>
      <c r="M282" s="21" t="str">
        <f>'Raw Data'!M282</f>
        <v>Married</v>
      </c>
      <c r="N282" s="21">
        <f>'Raw Data'!N282</f>
        <v>1</v>
      </c>
      <c r="O282" s="21">
        <f>'Raw Data'!O282</f>
        <v>0</v>
      </c>
      <c r="P282" s="21">
        <f>IF('Raw Data'!P282="",ROUND(AVERAGE('Raw Data'!$P$2:$P$1501),1),'Raw Data'!P282)</f>
        <v>11.3</v>
      </c>
      <c r="Q282" s="21">
        <f>IF('Raw Data'!Q282="",ROUND(AVERAGE('Raw Data'!$Q$2:$Q$1501),0),'Raw Data'!Q282)</f>
        <v>2</v>
      </c>
      <c r="R282" s="21">
        <f>'Raw Data'!R282</f>
        <v>4</v>
      </c>
      <c r="S282" s="21">
        <f>IF('Raw Data'!S282="",ROUND(AVERAGE('Raw Data'!$S$2:$S$1501),0),'Raw Data'!S282)</f>
        <v>1</v>
      </c>
      <c r="T282" s="21">
        <f>'Raw Data'!T282</f>
        <v>110.44</v>
      </c>
      <c r="U282" s="21" t="str">
        <f>INDEX('Lookup Tables'!$C$7:$C$9,MATCH(E282,'Lookup Tables'!$B$7:$B$9,0))</f>
        <v>Tier 1 (Metro)</v>
      </c>
      <c r="V282" s="21" t="str">
        <f t="shared" si="12"/>
        <v>0-6 months</v>
      </c>
      <c r="W282" s="21" t="str">
        <f t="shared" si="13"/>
        <v>Low Risk</v>
      </c>
      <c r="X282" s="21" t="str">
        <f t="shared" si="14"/>
        <v>No</v>
      </c>
    </row>
    <row r="283" spans="1:24" x14ac:dyDescent="0.3">
      <c r="A283" s="21">
        <f>'Raw Data'!A283</f>
        <v>50282</v>
      </c>
      <c r="B283" s="21">
        <f>'Raw Data'!B283</f>
        <v>0</v>
      </c>
      <c r="C283" s="21">
        <f>'Raw Data'!C283</f>
        <v>29</v>
      </c>
      <c r="D283" s="21" t="str">
        <f>'Raw Data'!D283</f>
        <v>Phone</v>
      </c>
      <c r="E283" s="21">
        <f>'Raw Data'!E283</f>
        <v>2</v>
      </c>
      <c r="F283" s="21">
        <f>IF('Raw Data'!F283="",ROUND(AVERAGE('Raw Data'!$F$2:$F$1501),1),'Raw Data'!F283)</f>
        <v>16</v>
      </c>
      <c r="G283" s="21" t="str">
        <f>'Raw Data'!G283</f>
        <v>Credit Card</v>
      </c>
      <c r="H283" s="21" t="str">
        <f>'Raw Data'!H283</f>
        <v>Male</v>
      </c>
      <c r="I283" s="21">
        <f>IF('Raw Data'!I283="",ROUND(AVERAGE('Raw Data'!$I$2:$I$1501),1),'Raw Data'!I283)</f>
        <v>4.0999999999999996</v>
      </c>
      <c r="J283" s="21">
        <f>'Raw Data'!J283</f>
        <v>2</v>
      </c>
      <c r="K283" s="21" t="str">
        <f>'Raw Data'!K283</f>
        <v>Mobile Phone</v>
      </c>
      <c r="L283" s="21">
        <f>'Raw Data'!L283</f>
        <v>4</v>
      </c>
      <c r="M283" s="21" t="str">
        <f>'Raw Data'!M283</f>
        <v>Married</v>
      </c>
      <c r="N283" s="21">
        <f>'Raw Data'!N283</f>
        <v>5</v>
      </c>
      <c r="O283" s="21">
        <f>'Raw Data'!O283</f>
        <v>0</v>
      </c>
      <c r="P283" s="21">
        <f>IF('Raw Data'!P283="",ROUND(AVERAGE('Raw Data'!$P$2:$P$1501),1),'Raw Data'!P283)</f>
        <v>15.6</v>
      </c>
      <c r="Q283" s="21">
        <f>IF('Raw Data'!Q283="",ROUND(AVERAGE('Raw Data'!$Q$2:$Q$1501),0),'Raw Data'!Q283)</f>
        <v>1</v>
      </c>
      <c r="R283" s="21">
        <f>'Raw Data'!R283</f>
        <v>3</v>
      </c>
      <c r="S283" s="21">
        <f>IF('Raw Data'!S283="",ROUND(AVERAGE('Raw Data'!$S$2:$S$1501),0),'Raw Data'!S283)</f>
        <v>3</v>
      </c>
      <c r="T283" s="21">
        <f>'Raw Data'!T283</f>
        <v>124.8</v>
      </c>
      <c r="U283" s="21" t="str">
        <f>INDEX('Lookup Tables'!$C$7:$C$9,MATCH(E283,'Lookup Tables'!$B$7:$B$9,0))</f>
        <v>Tier 2 (Urban)</v>
      </c>
      <c r="V283" s="21" t="str">
        <f t="shared" si="12"/>
        <v>25+ months</v>
      </c>
      <c r="W283" s="21" t="str">
        <f t="shared" si="13"/>
        <v>Low Risk</v>
      </c>
      <c r="X283" s="21" t="str">
        <f t="shared" si="14"/>
        <v>No</v>
      </c>
    </row>
    <row r="284" spans="1:24" x14ac:dyDescent="0.3">
      <c r="A284" s="21">
        <f>'Raw Data'!A284</f>
        <v>50283</v>
      </c>
      <c r="B284" s="21">
        <f>'Raw Data'!B284</f>
        <v>0</v>
      </c>
      <c r="C284" s="21">
        <f>'Raw Data'!C284</f>
        <v>15</v>
      </c>
      <c r="D284" s="21" t="str">
        <f>'Raw Data'!D284</f>
        <v>Mobile Phone</v>
      </c>
      <c r="E284" s="21">
        <f>'Raw Data'!E284</f>
        <v>1</v>
      </c>
      <c r="F284" s="21">
        <f>IF('Raw Data'!F284="",ROUND(AVERAGE('Raw Data'!$F$2:$F$1501),1),'Raw Data'!F284)</f>
        <v>15</v>
      </c>
      <c r="G284" s="21" t="str">
        <f>'Raw Data'!G284</f>
        <v>E wallet</v>
      </c>
      <c r="H284" s="21" t="str">
        <f>'Raw Data'!H284</f>
        <v>Male</v>
      </c>
      <c r="I284" s="21">
        <f>IF('Raw Data'!I284="",ROUND(AVERAGE('Raw Data'!$I$2:$I$1501),1),'Raw Data'!I284)</f>
        <v>2.8</v>
      </c>
      <c r="J284" s="21">
        <f>'Raw Data'!J284</f>
        <v>2</v>
      </c>
      <c r="K284" s="21" t="str">
        <f>'Raw Data'!K284</f>
        <v>Grocery</v>
      </c>
      <c r="L284" s="21">
        <f>'Raw Data'!L284</f>
        <v>1</v>
      </c>
      <c r="M284" s="21" t="str">
        <f>'Raw Data'!M284</f>
        <v>Single</v>
      </c>
      <c r="N284" s="21">
        <f>'Raw Data'!N284</f>
        <v>5</v>
      </c>
      <c r="O284" s="21">
        <f>'Raw Data'!O284</f>
        <v>1</v>
      </c>
      <c r="P284" s="21">
        <f>IF('Raw Data'!P284="",ROUND(AVERAGE('Raw Data'!$P$2:$P$1501),1),'Raw Data'!P284)</f>
        <v>21.7</v>
      </c>
      <c r="Q284" s="21">
        <f>IF('Raw Data'!Q284="",ROUND(AVERAGE('Raw Data'!$Q$2:$Q$1501),0),'Raw Data'!Q284)</f>
        <v>3</v>
      </c>
      <c r="R284" s="21">
        <f>'Raw Data'!R284</f>
        <v>3</v>
      </c>
      <c r="S284" s="21">
        <f>IF('Raw Data'!S284="",ROUND(AVERAGE('Raw Data'!$S$2:$S$1501),0),'Raw Data'!S284)</f>
        <v>0</v>
      </c>
      <c r="T284" s="21">
        <f>'Raw Data'!T284</f>
        <v>172.09</v>
      </c>
      <c r="U284" s="21" t="str">
        <f>INDEX('Lookup Tables'!$C$7:$C$9,MATCH(E284,'Lookup Tables'!$B$7:$B$9,0))</f>
        <v>Tier 1 (Metro)</v>
      </c>
      <c r="V284" s="21" t="str">
        <f t="shared" si="12"/>
        <v>13-24 months</v>
      </c>
      <c r="W284" s="21" t="str">
        <f t="shared" si="13"/>
        <v>High Risk</v>
      </c>
      <c r="X284" s="21" t="str">
        <f t="shared" si="14"/>
        <v>No</v>
      </c>
    </row>
    <row r="285" spans="1:24" x14ac:dyDescent="0.3">
      <c r="A285" s="21">
        <f>'Raw Data'!A285</f>
        <v>50284</v>
      </c>
      <c r="B285" s="21">
        <f>'Raw Data'!B285</f>
        <v>0</v>
      </c>
      <c r="C285" s="21">
        <f>'Raw Data'!C285</f>
        <v>0</v>
      </c>
      <c r="D285" s="21" t="str">
        <f>'Raw Data'!D285</f>
        <v>Mobile Phone</v>
      </c>
      <c r="E285" s="21">
        <f>'Raw Data'!E285</f>
        <v>3</v>
      </c>
      <c r="F285" s="21">
        <f>IF('Raw Data'!F285="",ROUND(AVERAGE('Raw Data'!$F$2:$F$1501),1),'Raw Data'!F285)</f>
        <v>19</v>
      </c>
      <c r="G285" s="21" t="str">
        <f>'Raw Data'!G285</f>
        <v>Debit Card</v>
      </c>
      <c r="H285" s="21" t="str">
        <f>'Raw Data'!H285</f>
        <v>Female</v>
      </c>
      <c r="I285" s="21">
        <f>IF('Raw Data'!I285="",ROUND(AVERAGE('Raw Data'!$I$2:$I$1501),1),'Raw Data'!I285)</f>
        <v>2.7</v>
      </c>
      <c r="J285" s="21">
        <f>'Raw Data'!J285</f>
        <v>3</v>
      </c>
      <c r="K285" s="21" t="str">
        <f>'Raw Data'!K285</f>
        <v>Mobile Phone</v>
      </c>
      <c r="L285" s="21">
        <f>'Raw Data'!L285</f>
        <v>5</v>
      </c>
      <c r="M285" s="21" t="str">
        <f>'Raw Data'!M285</f>
        <v>Single</v>
      </c>
      <c r="N285" s="21">
        <f>'Raw Data'!N285</f>
        <v>6</v>
      </c>
      <c r="O285" s="21">
        <f>'Raw Data'!O285</f>
        <v>0</v>
      </c>
      <c r="P285" s="21">
        <f>IF('Raw Data'!P285="",ROUND(AVERAGE('Raw Data'!$P$2:$P$1501),1),'Raw Data'!P285)</f>
        <v>18.899999999999999</v>
      </c>
      <c r="Q285" s="21">
        <f>IF('Raw Data'!Q285="",ROUND(AVERAGE('Raw Data'!$Q$2:$Q$1501),0),'Raw Data'!Q285)</f>
        <v>3</v>
      </c>
      <c r="R285" s="21">
        <f>'Raw Data'!R285</f>
        <v>6</v>
      </c>
      <c r="S285" s="21">
        <f>IF('Raw Data'!S285="",ROUND(AVERAGE('Raw Data'!$S$2:$S$1501),0),'Raw Data'!S285)</f>
        <v>7</v>
      </c>
      <c r="T285" s="21">
        <f>'Raw Data'!T285</f>
        <v>60.59</v>
      </c>
      <c r="U285" s="21" t="str">
        <f>INDEX('Lookup Tables'!$C$7:$C$9,MATCH(E285,'Lookup Tables'!$B$7:$B$9,0))</f>
        <v>Tier 3 (Semi-urban/Rural)</v>
      </c>
      <c r="V285" s="21" t="str">
        <f t="shared" si="12"/>
        <v>0-6 months</v>
      </c>
      <c r="W285" s="21" t="str">
        <f t="shared" si="13"/>
        <v>Low Risk</v>
      </c>
      <c r="X285" s="21" t="str">
        <f t="shared" si="14"/>
        <v>No</v>
      </c>
    </row>
    <row r="286" spans="1:24" x14ac:dyDescent="0.3">
      <c r="A286" s="21">
        <f>'Raw Data'!A286</f>
        <v>50285</v>
      </c>
      <c r="B286" s="21">
        <f>'Raw Data'!B286</f>
        <v>0</v>
      </c>
      <c r="C286" s="21">
        <f>'Raw Data'!C286</f>
        <v>5</v>
      </c>
      <c r="D286" s="21" t="str">
        <f>'Raw Data'!D286</f>
        <v>Mobile Phone</v>
      </c>
      <c r="E286" s="21">
        <f>'Raw Data'!E286</f>
        <v>2</v>
      </c>
      <c r="F286" s="21">
        <f>IF('Raw Data'!F286="",ROUND(AVERAGE('Raw Data'!$F$2:$F$1501),1),'Raw Data'!F286)</f>
        <v>8</v>
      </c>
      <c r="G286" s="21" t="str">
        <f>'Raw Data'!G286</f>
        <v>UPI</v>
      </c>
      <c r="H286" s="21" t="str">
        <f>'Raw Data'!H286</f>
        <v>Female</v>
      </c>
      <c r="I286" s="21">
        <f>IF('Raw Data'!I286="",ROUND(AVERAGE('Raw Data'!$I$2:$I$1501),1),'Raw Data'!I286)</f>
        <v>2.9</v>
      </c>
      <c r="J286" s="21">
        <f>'Raw Data'!J286</f>
        <v>4</v>
      </c>
      <c r="K286" s="21" t="str">
        <f>'Raw Data'!K286</f>
        <v>Grocery</v>
      </c>
      <c r="L286" s="21">
        <f>'Raw Data'!L286</f>
        <v>1</v>
      </c>
      <c r="M286" s="21" t="str">
        <f>'Raw Data'!M286</f>
        <v>Single</v>
      </c>
      <c r="N286" s="21">
        <f>'Raw Data'!N286</f>
        <v>2</v>
      </c>
      <c r="O286" s="21">
        <f>'Raw Data'!O286</f>
        <v>0</v>
      </c>
      <c r="P286" s="21">
        <f>IF('Raw Data'!P286="",ROUND(AVERAGE('Raw Data'!$P$2:$P$1501),1),'Raw Data'!P286)</f>
        <v>12.8</v>
      </c>
      <c r="Q286" s="21">
        <f>IF('Raw Data'!Q286="",ROUND(AVERAGE('Raw Data'!$Q$2:$Q$1501),0),'Raw Data'!Q286)</f>
        <v>1</v>
      </c>
      <c r="R286" s="21">
        <f>'Raw Data'!R286</f>
        <v>2</v>
      </c>
      <c r="S286" s="21">
        <f>IF('Raw Data'!S286="",ROUND(AVERAGE('Raw Data'!$S$2:$S$1501),0),'Raw Data'!S286)</f>
        <v>4</v>
      </c>
      <c r="T286" s="21">
        <f>'Raw Data'!T286</f>
        <v>181.05</v>
      </c>
      <c r="U286" s="21" t="str">
        <f>INDEX('Lookup Tables'!$C$7:$C$9,MATCH(E286,'Lookup Tables'!$B$7:$B$9,0))</f>
        <v>Tier 2 (Urban)</v>
      </c>
      <c r="V286" s="21" t="str">
        <f t="shared" si="12"/>
        <v>0-6 months</v>
      </c>
      <c r="W286" s="21" t="str">
        <f t="shared" si="13"/>
        <v>Low Risk</v>
      </c>
      <c r="X286" s="21" t="str">
        <f t="shared" si="14"/>
        <v>No</v>
      </c>
    </row>
    <row r="287" spans="1:24" x14ac:dyDescent="0.3">
      <c r="A287" s="21">
        <f>'Raw Data'!A287</f>
        <v>50286</v>
      </c>
      <c r="B287" s="21">
        <f>'Raw Data'!B287</f>
        <v>0</v>
      </c>
      <c r="C287" s="21">
        <f>'Raw Data'!C287</f>
        <v>21</v>
      </c>
      <c r="D287" s="21" t="str">
        <f>'Raw Data'!D287</f>
        <v>Computer</v>
      </c>
      <c r="E287" s="21">
        <f>'Raw Data'!E287</f>
        <v>1</v>
      </c>
      <c r="F287" s="21">
        <f>IF('Raw Data'!F287="",ROUND(AVERAGE('Raw Data'!$F$2:$F$1501),1),'Raw Data'!F287)</f>
        <v>15</v>
      </c>
      <c r="G287" s="21" t="str">
        <f>'Raw Data'!G287</f>
        <v>Credit Card</v>
      </c>
      <c r="H287" s="21" t="str">
        <f>'Raw Data'!H287</f>
        <v>Male</v>
      </c>
      <c r="I287" s="21">
        <f>IF('Raw Data'!I287="",ROUND(AVERAGE('Raw Data'!$I$2:$I$1501),1),'Raw Data'!I287)</f>
        <v>2.8</v>
      </c>
      <c r="J287" s="21">
        <f>'Raw Data'!J287</f>
        <v>3</v>
      </c>
      <c r="K287" s="21" t="str">
        <f>'Raw Data'!K287</f>
        <v>Fashion</v>
      </c>
      <c r="L287" s="21">
        <f>'Raw Data'!L287</f>
        <v>4</v>
      </c>
      <c r="M287" s="21" t="str">
        <f>'Raw Data'!M287</f>
        <v>Single</v>
      </c>
      <c r="N287" s="21">
        <f>'Raw Data'!N287</f>
        <v>1</v>
      </c>
      <c r="O287" s="21">
        <f>'Raw Data'!O287</f>
        <v>1</v>
      </c>
      <c r="P287" s="21">
        <f>IF('Raw Data'!P287="",ROUND(AVERAGE('Raw Data'!$P$2:$P$1501),1),'Raw Data'!P287)</f>
        <v>15.7</v>
      </c>
      <c r="Q287" s="21">
        <f>IF('Raw Data'!Q287="",ROUND(AVERAGE('Raw Data'!$Q$2:$Q$1501),0),'Raw Data'!Q287)</f>
        <v>2</v>
      </c>
      <c r="R287" s="21">
        <f>'Raw Data'!R287</f>
        <v>3</v>
      </c>
      <c r="S287" s="21">
        <f>IF('Raw Data'!S287="",ROUND(AVERAGE('Raw Data'!$S$2:$S$1501),0),'Raw Data'!S287)</f>
        <v>1</v>
      </c>
      <c r="T287" s="21">
        <f>'Raw Data'!T287</f>
        <v>245.22</v>
      </c>
      <c r="U287" s="21" t="str">
        <f>INDEX('Lookup Tables'!$C$7:$C$9,MATCH(E287,'Lookup Tables'!$B$7:$B$9,0))</f>
        <v>Tier 1 (Metro)</v>
      </c>
      <c r="V287" s="21" t="str">
        <f t="shared" si="12"/>
        <v>13-24 months</v>
      </c>
      <c r="W287" s="21" t="str">
        <f t="shared" si="13"/>
        <v>Low Risk</v>
      </c>
      <c r="X287" s="21" t="str">
        <f t="shared" si="14"/>
        <v>No</v>
      </c>
    </row>
    <row r="288" spans="1:24" x14ac:dyDescent="0.3">
      <c r="A288" s="21">
        <f>'Raw Data'!A288</f>
        <v>50287</v>
      </c>
      <c r="B288" s="21">
        <f>'Raw Data'!B288</f>
        <v>0</v>
      </c>
      <c r="C288" s="21">
        <f>'Raw Data'!C288</f>
        <v>28</v>
      </c>
      <c r="D288" s="21" t="str">
        <f>'Raw Data'!D288</f>
        <v>Computer</v>
      </c>
      <c r="E288" s="21">
        <f>'Raw Data'!E288</f>
        <v>2</v>
      </c>
      <c r="F288" s="21">
        <f>IF('Raw Data'!F288="",ROUND(AVERAGE('Raw Data'!$F$2:$F$1501),1),'Raw Data'!F288)</f>
        <v>5</v>
      </c>
      <c r="G288" s="21" t="str">
        <f>'Raw Data'!G288</f>
        <v>Debit Card</v>
      </c>
      <c r="H288" s="21" t="str">
        <f>'Raw Data'!H288</f>
        <v>Female</v>
      </c>
      <c r="I288" s="21">
        <f>IF('Raw Data'!I288="",ROUND(AVERAGE('Raw Data'!$I$2:$I$1501),1),'Raw Data'!I288)</f>
        <v>2.7</v>
      </c>
      <c r="J288" s="21">
        <f>'Raw Data'!J288</f>
        <v>2</v>
      </c>
      <c r="K288" s="21" t="str">
        <f>'Raw Data'!K288</f>
        <v>Fashion</v>
      </c>
      <c r="L288" s="21">
        <f>'Raw Data'!L288</f>
        <v>3</v>
      </c>
      <c r="M288" s="21" t="str">
        <f>'Raw Data'!M288</f>
        <v>Single</v>
      </c>
      <c r="N288" s="21">
        <f>'Raw Data'!N288</f>
        <v>1</v>
      </c>
      <c r="O288" s="21">
        <f>'Raw Data'!O288</f>
        <v>0</v>
      </c>
      <c r="P288" s="21">
        <f>IF('Raw Data'!P288="",ROUND(AVERAGE('Raw Data'!$P$2:$P$1501),1),'Raw Data'!P288)</f>
        <v>13.1</v>
      </c>
      <c r="Q288" s="21">
        <f>IF('Raw Data'!Q288="",ROUND(AVERAGE('Raw Data'!$Q$2:$Q$1501),0),'Raw Data'!Q288)</f>
        <v>3</v>
      </c>
      <c r="R288" s="21">
        <f>'Raw Data'!R288</f>
        <v>7</v>
      </c>
      <c r="S288" s="21">
        <f>IF('Raw Data'!S288="",ROUND(AVERAGE('Raw Data'!$S$2:$S$1501),0),'Raw Data'!S288)</f>
        <v>1</v>
      </c>
      <c r="T288" s="21">
        <f>'Raw Data'!T288</f>
        <v>100.87</v>
      </c>
      <c r="U288" s="21" t="str">
        <f>INDEX('Lookup Tables'!$C$7:$C$9,MATCH(E288,'Lookup Tables'!$B$7:$B$9,0))</f>
        <v>Tier 2 (Urban)</v>
      </c>
      <c r="V288" s="21" t="str">
        <f t="shared" si="12"/>
        <v>25+ months</v>
      </c>
      <c r="W288" s="21" t="str">
        <f t="shared" si="13"/>
        <v>Medium Risk</v>
      </c>
      <c r="X288" s="21" t="str">
        <f t="shared" si="14"/>
        <v>No</v>
      </c>
    </row>
    <row r="289" spans="1:24" x14ac:dyDescent="0.3">
      <c r="A289" s="21">
        <f>'Raw Data'!A289</f>
        <v>50288</v>
      </c>
      <c r="B289" s="21">
        <f>'Raw Data'!B289</f>
        <v>0</v>
      </c>
      <c r="C289" s="21">
        <f>'Raw Data'!C289</f>
        <v>6</v>
      </c>
      <c r="D289" s="21" t="str">
        <f>'Raw Data'!D289</f>
        <v>Mobile Phone</v>
      </c>
      <c r="E289" s="21">
        <f>'Raw Data'!E289</f>
        <v>2</v>
      </c>
      <c r="F289" s="21">
        <f>IF('Raw Data'!F289="",ROUND(AVERAGE('Raw Data'!$F$2:$F$1501),1),'Raw Data'!F289)</f>
        <v>22</v>
      </c>
      <c r="G289" s="21" t="str">
        <f>'Raw Data'!G289</f>
        <v>Debit Card</v>
      </c>
      <c r="H289" s="21" t="str">
        <f>'Raw Data'!H289</f>
        <v>Female</v>
      </c>
      <c r="I289" s="21">
        <f>IF('Raw Data'!I289="",ROUND(AVERAGE('Raw Data'!$I$2:$I$1501),1),'Raw Data'!I289)</f>
        <v>3.7</v>
      </c>
      <c r="J289" s="21">
        <f>'Raw Data'!J289</f>
        <v>2</v>
      </c>
      <c r="K289" s="21" t="str">
        <f>'Raw Data'!K289</f>
        <v>Fashion</v>
      </c>
      <c r="L289" s="21">
        <f>'Raw Data'!L289</f>
        <v>3</v>
      </c>
      <c r="M289" s="21" t="str">
        <f>'Raw Data'!M289</f>
        <v>Married</v>
      </c>
      <c r="N289" s="21">
        <f>'Raw Data'!N289</f>
        <v>4</v>
      </c>
      <c r="O289" s="21">
        <f>'Raw Data'!O289</f>
        <v>0</v>
      </c>
      <c r="P289" s="21">
        <f>IF('Raw Data'!P289="",ROUND(AVERAGE('Raw Data'!$P$2:$P$1501),1),'Raw Data'!P289)</f>
        <v>15.8</v>
      </c>
      <c r="Q289" s="21">
        <f>IF('Raw Data'!Q289="",ROUND(AVERAGE('Raw Data'!$Q$2:$Q$1501),0),'Raw Data'!Q289)</f>
        <v>5</v>
      </c>
      <c r="R289" s="21">
        <f>'Raw Data'!R289</f>
        <v>5</v>
      </c>
      <c r="S289" s="21">
        <f>IF('Raw Data'!S289="",ROUND(AVERAGE('Raw Data'!$S$2:$S$1501),0),'Raw Data'!S289)</f>
        <v>1</v>
      </c>
      <c r="T289" s="21">
        <f>'Raw Data'!T289</f>
        <v>186.99</v>
      </c>
      <c r="U289" s="21" t="str">
        <f>INDEX('Lookup Tables'!$C$7:$C$9,MATCH(E289,'Lookup Tables'!$B$7:$B$9,0))</f>
        <v>Tier 2 (Urban)</v>
      </c>
      <c r="V289" s="21" t="str">
        <f t="shared" si="12"/>
        <v>0-6 months</v>
      </c>
      <c r="W289" s="21" t="str">
        <f t="shared" si="13"/>
        <v>Medium Risk</v>
      </c>
      <c r="X289" s="21" t="str">
        <f t="shared" si="14"/>
        <v>No</v>
      </c>
    </row>
    <row r="290" spans="1:24" x14ac:dyDescent="0.3">
      <c r="A290" s="21">
        <f>'Raw Data'!A290</f>
        <v>50289</v>
      </c>
      <c r="B290" s="21">
        <f>'Raw Data'!B290</f>
        <v>1</v>
      </c>
      <c r="C290" s="21">
        <f>'Raw Data'!C290</f>
        <v>9</v>
      </c>
      <c r="D290" s="21" t="str">
        <f>'Raw Data'!D290</f>
        <v>Phone</v>
      </c>
      <c r="E290" s="21">
        <f>'Raw Data'!E290</f>
        <v>1</v>
      </c>
      <c r="F290" s="21">
        <f>IF('Raw Data'!F290="",ROUND(AVERAGE('Raw Data'!$F$2:$F$1501),1),'Raw Data'!F290)</f>
        <v>5</v>
      </c>
      <c r="G290" s="21" t="str">
        <f>'Raw Data'!G290</f>
        <v>Credit Card</v>
      </c>
      <c r="H290" s="21" t="str">
        <f>'Raw Data'!H290</f>
        <v>Female</v>
      </c>
      <c r="I290" s="21">
        <f>IF('Raw Data'!I290="",ROUND(AVERAGE('Raw Data'!$I$2:$I$1501),1),'Raw Data'!I290)</f>
        <v>3</v>
      </c>
      <c r="J290" s="21">
        <f>'Raw Data'!J290</f>
        <v>3</v>
      </c>
      <c r="K290" s="21" t="str">
        <f>'Raw Data'!K290</f>
        <v>Mobile Phone</v>
      </c>
      <c r="L290" s="21">
        <f>'Raw Data'!L290</f>
        <v>4</v>
      </c>
      <c r="M290" s="21" t="str">
        <f>'Raw Data'!M290</f>
        <v>Single</v>
      </c>
      <c r="N290" s="21">
        <f>'Raw Data'!N290</f>
        <v>7</v>
      </c>
      <c r="O290" s="21">
        <f>'Raw Data'!O290</f>
        <v>0</v>
      </c>
      <c r="P290" s="21">
        <f>IF('Raw Data'!P290="",ROUND(AVERAGE('Raw Data'!$P$2:$P$1501),1),'Raw Data'!P290)</f>
        <v>19.600000000000001</v>
      </c>
      <c r="Q290" s="21">
        <f>IF('Raw Data'!Q290="",ROUND(AVERAGE('Raw Data'!$Q$2:$Q$1501),0),'Raw Data'!Q290)</f>
        <v>0</v>
      </c>
      <c r="R290" s="21">
        <f>'Raw Data'!R290</f>
        <v>2</v>
      </c>
      <c r="S290" s="21">
        <f>IF('Raw Data'!S290="",ROUND(AVERAGE('Raw Data'!$S$2:$S$1501),0),'Raw Data'!S290)</f>
        <v>4</v>
      </c>
      <c r="T290" s="21">
        <f>'Raw Data'!T290</f>
        <v>148</v>
      </c>
      <c r="U290" s="21" t="str">
        <f>INDEX('Lookup Tables'!$C$7:$C$9,MATCH(E290,'Lookup Tables'!$B$7:$B$9,0))</f>
        <v>Tier 1 (Metro)</v>
      </c>
      <c r="V290" s="21" t="str">
        <f t="shared" si="12"/>
        <v>7-12 months</v>
      </c>
      <c r="W290" s="21" t="str">
        <f t="shared" si="13"/>
        <v>Low Risk</v>
      </c>
      <c r="X290" s="21" t="str">
        <f t="shared" si="14"/>
        <v>Yes</v>
      </c>
    </row>
    <row r="291" spans="1:24" x14ac:dyDescent="0.3">
      <c r="A291" s="21">
        <f>'Raw Data'!A291</f>
        <v>50290</v>
      </c>
      <c r="B291" s="21">
        <f>'Raw Data'!B291</f>
        <v>0</v>
      </c>
      <c r="C291" s="21">
        <f>'Raw Data'!C291</f>
        <v>1</v>
      </c>
      <c r="D291" s="21" t="str">
        <f>'Raw Data'!D291</f>
        <v>Mobile Phone</v>
      </c>
      <c r="E291" s="21">
        <f>'Raw Data'!E291</f>
        <v>2</v>
      </c>
      <c r="F291" s="21">
        <f>IF('Raw Data'!F291="",ROUND(AVERAGE('Raw Data'!$F$2:$F$1501),1),'Raw Data'!F291)</f>
        <v>27</v>
      </c>
      <c r="G291" s="21" t="str">
        <f>'Raw Data'!G291</f>
        <v>Credit Card</v>
      </c>
      <c r="H291" s="21" t="str">
        <f>'Raw Data'!H291</f>
        <v>Male</v>
      </c>
      <c r="I291" s="21">
        <f>IF('Raw Data'!I291="",ROUND(AVERAGE('Raw Data'!$I$2:$I$1501),1),'Raw Data'!I291)</f>
        <v>3.4</v>
      </c>
      <c r="J291" s="21">
        <f>'Raw Data'!J291</f>
        <v>3</v>
      </c>
      <c r="K291" s="21" t="str">
        <f>'Raw Data'!K291</f>
        <v>Fashion</v>
      </c>
      <c r="L291" s="21">
        <f>'Raw Data'!L291</f>
        <v>3</v>
      </c>
      <c r="M291" s="21" t="str">
        <f>'Raw Data'!M291</f>
        <v>Married</v>
      </c>
      <c r="N291" s="21">
        <f>'Raw Data'!N291</f>
        <v>3</v>
      </c>
      <c r="O291" s="21">
        <f>'Raw Data'!O291</f>
        <v>1</v>
      </c>
      <c r="P291" s="21">
        <f>IF('Raw Data'!P291="",ROUND(AVERAGE('Raw Data'!$P$2:$P$1501),1),'Raw Data'!P291)</f>
        <v>18.3</v>
      </c>
      <c r="Q291" s="21">
        <f>IF('Raw Data'!Q291="",ROUND(AVERAGE('Raw Data'!$Q$2:$Q$1501),0),'Raw Data'!Q291)</f>
        <v>1</v>
      </c>
      <c r="R291" s="21">
        <f>'Raw Data'!R291</f>
        <v>4</v>
      </c>
      <c r="S291" s="21">
        <f>IF('Raw Data'!S291="",ROUND(AVERAGE('Raw Data'!$S$2:$S$1501),0),'Raw Data'!S291)</f>
        <v>3</v>
      </c>
      <c r="T291" s="21">
        <f>'Raw Data'!T291</f>
        <v>270.2</v>
      </c>
      <c r="U291" s="21" t="str">
        <f>INDEX('Lookup Tables'!$C$7:$C$9,MATCH(E291,'Lookup Tables'!$B$7:$B$9,0))</f>
        <v>Tier 2 (Urban)</v>
      </c>
      <c r="V291" s="21" t="str">
        <f t="shared" si="12"/>
        <v>0-6 months</v>
      </c>
      <c r="W291" s="21" t="str">
        <f t="shared" si="13"/>
        <v>Medium Risk</v>
      </c>
      <c r="X291" s="21" t="str">
        <f t="shared" si="14"/>
        <v>No</v>
      </c>
    </row>
    <row r="292" spans="1:24" x14ac:dyDescent="0.3">
      <c r="A292" s="21">
        <f>'Raw Data'!A292</f>
        <v>50291</v>
      </c>
      <c r="B292" s="21">
        <f>'Raw Data'!B292</f>
        <v>0</v>
      </c>
      <c r="C292" s="21">
        <f>'Raw Data'!C292</f>
        <v>47</v>
      </c>
      <c r="D292" s="21" t="str">
        <f>'Raw Data'!D292</f>
        <v>Mobile Phone</v>
      </c>
      <c r="E292" s="21">
        <f>'Raw Data'!E292</f>
        <v>1</v>
      </c>
      <c r="F292" s="21">
        <f>IF('Raw Data'!F292="",ROUND(AVERAGE('Raw Data'!$F$2:$F$1501),1),'Raw Data'!F292)</f>
        <v>12</v>
      </c>
      <c r="G292" s="21" t="str">
        <f>'Raw Data'!G292</f>
        <v>Credit Card</v>
      </c>
      <c r="H292" s="21" t="str">
        <f>'Raw Data'!H292</f>
        <v>Male</v>
      </c>
      <c r="I292" s="21">
        <f>IF('Raw Data'!I292="",ROUND(AVERAGE('Raw Data'!$I$2:$I$1501),1),'Raw Data'!I292)</f>
        <v>3.6</v>
      </c>
      <c r="J292" s="21">
        <f>'Raw Data'!J292</f>
        <v>5</v>
      </c>
      <c r="K292" s="21" t="str">
        <f>'Raw Data'!K292</f>
        <v>Laptop &amp; Accessory</v>
      </c>
      <c r="L292" s="21">
        <f>'Raw Data'!L292</f>
        <v>3</v>
      </c>
      <c r="M292" s="21" t="str">
        <f>'Raw Data'!M292</f>
        <v>Married</v>
      </c>
      <c r="N292" s="21">
        <f>'Raw Data'!N292</f>
        <v>1</v>
      </c>
      <c r="O292" s="21">
        <f>'Raw Data'!O292</f>
        <v>1</v>
      </c>
      <c r="P292" s="21">
        <f>IF('Raw Data'!P292="",ROUND(AVERAGE('Raw Data'!$P$2:$P$1501),1),'Raw Data'!P292)</f>
        <v>24.7</v>
      </c>
      <c r="Q292" s="21">
        <f>IF('Raw Data'!Q292="",ROUND(AVERAGE('Raw Data'!$Q$2:$Q$1501),0),'Raw Data'!Q292)</f>
        <v>2</v>
      </c>
      <c r="R292" s="21">
        <f>'Raw Data'!R292</f>
        <v>4</v>
      </c>
      <c r="S292" s="21">
        <f>IF('Raw Data'!S292="",ROUND(AVERAGE('Raw Data'!$S$2:$S$1501),0),'Raw Data'!S292)</f>
        <v>1</v>
      </c>
      <c r="T292" s="21">
        <f>'Raw Data'!T292</f>
        <v>148.66</v>
      </c>
      <c r="U292" s="21" t="str">
        <f>INDEX('Lookup Tables'!$C$7:$C$9,MATCH(E292,'Lookup Tables'!$B$7:$B$9,0))</f>
        <v>Tier 1 (Metro)</v>
      </c>
      <c r="V292" s="21" t="str">
        <f t="shared" si="12"/>
        <v>25+ months</v>
      </c>
      <c r="W292" s="21" t="str">
        <f t="shared" si="13"/>
        <v>Medium Risk</v>
      </c>
      <c r="X292" s="21" t="str">
        <f t="shared" si="14"/>
        <v>No</v>
      </c>
    </row>
    <row r="293" spans="1:24" x14ac:dyDescent="0.3">
      <c r="A293" s="21">
        <f>'Raw Data'!A293</f>
        <v>50292</v>
      </c>
      <c r="B293" s="21">
        <f>'Raw Data'!B293</f>
        <v>0</v>
      </c>
      <c r="C293" s="21">
        <f>'Raw Data'!C293</f>
        <v>2</v>
      </c>
      <c r="D293" s="21" t="str">
        <f>'Raw Data'!D293</f>
        <v>Mobile Phone</v>
      </c>
      <c r="E293" s="21">
        <f>'Raw Data'!E293</f>
        <v>3</v>
      </c>
      <c r="F293" s="21">
        <f>IF('Raw Data'!F293="",ROUND(AVERAGE('Raw Data'!$F$2:$F$1501),1),'Raw Data'!F293)</f>
        <v>13</v>
      </c>
      <c r="G293" s="21" t="str">
        <f>'Raw Data'!G293</f>
        <v>E wallet</v>
      </c>
      <c r="H293" s="21" t="str">
        <f>'Raw Data'!H293</f>
        <v>Female</v>
      </c>
      <c r="I293" s="21">
        <f>IF('Raw Data'!I293="",ROUND(AVERAGE('Raw Data'!$I$2:$I$1501),1),'Raw Data'!I293)</f>
        <v>3.2</v>
      </c>
      <c r="J293" s="21">
        <f>'Raw Data'!J293</f>
        <v>4</v>
      </c>
      <c r="K293" s="21" t="str">
        <f>'Raw Data'!K293</f>
        <v>Grocery</v>
      </c>
      <c r="L293" s="21">
        <f>'Raw Data'!L293</f>
        <v>3</v>
      </c>
      <c r="M293" s="21" t="str">
        <f>'Raw Data'!M293</f>
        <v>Single</v>
      </c>
      <c r="N293" s="21">
        <f>'Raw Data'!N293</f>
        <v>9</v>
      </c>
      <c r="O293" s="21">
        <f>'Raw Data'!O293</f>
        <v>0</v>
      </c>
      <c r="P293" s="21">
        <f>IF('Raw Data'!P293="",ROUND(AVERAGE('Raw Data'!$P$2:$P$1501),1),'Raw Data'!P293)</f>
        <v>20.2</v>
      </c>
      <c r="Q293" s="21">
        <f>IF('Raw Data'!Q293="",ROUND(AVERAGE('Raw Data'!$Q$2:$Q$1501),0),'Raw Data'!Q293)</f>
        <v>4</v>
      </c>
      <c r="R293" s="21">
        <f>'Raw Data'!R293</f>
        <v>3</v>
      </c>
      <c r="S293" s="21">
        <f>IF('Raw Data'!S293="",ROUND(AVERAGE('Raw Data'!$S$2:$S$1501),0),'Raw Data'!S293)</f>
        <v>5</v>
      </c>
      <c r="T293" s="21">
        <f>'Raw Data'!T293</f>
        <v>263.54000000000002</v>
      </c>
      <c r="U293" s="21" t="str">
        <f>INDEX('Lookup Tables'!$C$7:$C$9,MATCH(E293,'Lookup Tables'!$B$7:$B$9,0))</f>
        <v>Tier 3 (Semi-urban/Rural)</v>
      </c>
      <c r="V293" s="21" t="str">
        <f t="shared" si="12"/>
        <v>0-6 months</v>
      </c>
      <c r="W293" s="21" t="str">
        <f t="shared" si="13"/>
        <v>Medium Risk</v>
      </c>
      <c r="X293" s="21" t="str">
        <f t="shared" si="14"/>
        <v>No</v>
      </c>
    </row>
    <row r="294" spans="1:24" x14ac:dyDescent="0.3">
      <c r="A294" s="21">
        <f>'Raw Data'!A294</f>
        <v>50293</v>
      </c>
      <c r="B294" s="21">
        <f>'Raw Data'!B294</f>
        <v>0</v>
      </c>
      <c r="C294" s="21">
        <f>'Raw Data'!C294</f>
        <v>28</v>
      </c>
      <c r="D294" s="21" t="str">
        <f>'Raw Data'!D294</f>
        <v>Computer</v>
      </c>
      <c r="E294" s="21">
        <f>'Raw Data'!E294</f>
        <v>3</v>
      </c>
      <c r="F294" s="21">
        <f>IF('Raw Data'!F294="",ROUND(AVERAGE('Raw Data'!$F$2:$F$1501),1),'Raw Data'!F294)</f>
        <v>9</v>
      </c>
      <c r="G294" s="21" t="str">
        <f>'Raw Data'!G294</f>
        <v>Credit Card</v>
      </c>
      <c r="H294" s="21" t="str">
        <f>'Raw Data'!H294</f>
        <v>Male</v>
      </c>
      <c r="I294" s="21">
        <f>IF('Raw Data'!I294="",ROUND(AVERAGE('Raw Data'!$I$2:$I$1501),1),'Raw Data'!I294)</f>
        <v>2.2000000000000002</v>
      </c>
      <c r="J294" s="21">
        <f>'Raw Data'!J294</f>
        <v>4</v>
      </c>
      <c r="K294" s="21" t="str">
        <f>'Raw Data'!K294</f>
        <v>Fashion</v>
      </c>
      <c r="L294" s="21">
        <f>'Raw Data'!L294</f>
        <v>3</v>
      </c>
      <c r="M294" s="21" t="str">
        <f>'Raw Data'!M294</f>
        <v>Married</v>
      </c>
      <c r="N294" s="21">
        <f>'Raw Data'!N294</f>
        <v>15</v>
      </c>
      <c r="O294" s="21">
        <f>'Raw Data'!O294</f>
        <v>0</v>
      </c>
      <c r="P294" s="21">
        <f>IF('Raw Data'!P294="",ROUND(AVERAGE('Raw Data'!$P$2:$P$1501),1),'Raw Data'!P294)</f>
        <v>16.7</v>
      </c>
      <c r="Q294" s="21">
        <f>IF('Raw Data'!Q294="",ROUND(AVERAGE('Raw Data'!$Q$2:$Q$1501),0),'Raw Data'!Q294)</f>
        <v>0</v>
      </c>
      <c r="R294" s="21">
        <f>'Raw Data'!R294</f>
        <v>2</v>
      </c>
      <c r="S294" s="21">
        <f>IF('Raw Data'!S294="",ROUND(AVERAGE('Raw Data'!$S$2:$S$1501),0),'Raw Data'!S294)</f>
        <v>10</v>
      </c>
      <c r="T294" s="21">
        <f>'Raw Data'!T294</f>
        <v>147.13999999999999</v>
      </c>
      <c r="U294" s="21" t="str">
        <f>INDEX('Lookup Tables'!$C$7:$C$9,MATCH(E294,'Lookup Tables'!$B$7:$B$9,0))</f>
        <v>Tier 3 (Semi-urban/Rural)</v>
      </c>
      <c r="V294" s="21" t="str">
        <f t="shared" si="12"/>
        <v>25+ months</v>
      </c>
      <c r="W294" s="21" t="str">
        <f t="shared" si="13"/>
        <v>Medium Risk</v>
      </c>
      <c r="X294" s="21" t="str">
        <f t="shared" si="14"/>
        <v>No</v>
      </c>
    </row>
    <row r="295" spans="1:24" x14ac:dyDescent="0.3">
      <c r="A295" s="21">
        <f>'Raw Data'!A295</f>
        <v>50294</v>
      </c>
      <c r="B295" s="21">
        <f>'Raw Data'!B295</f>
        <v>0</v>
      </c>
      <c r="C295" s="21">
        <f>'Raw Data'!C295</f>
        <v>10</v>
      </c>
      <c r="D295" s="21" t="str">
        <f>'Raw Data'!D295</f>
        <v>Phone</v>
      </c>
      <c r="E295" s="21">
        <f>'Raw Data'!E295</f>
        <v>3</v>
      </c>
      <c r="F295" s="21">
        <f>IF('Raw Data'!F295="",ROUND(AVERAGE('Raw Data'!$F$2:$F$1501),1),'Raw Data'!F295)</f>
        <v>12</v>
      </c>
      <c r="G295" s="21" t="str">
        <f>'Raw Data'!G295</f>
        <v>Cash on Delivery</v>
      </c>
      <c r="H295" s="21" t="str">
        <f>'Raw Data'!H295</f>
        <v>Female</v>
      </c>
      <c r="I295" s="21">
        <f>IF('Raw Data'!I295="",ROUND(AVERAGE('Raw Data'!$I$2:$I$1501),1),'Raw Data'!I295)</f>
        <v>2</v>
      </c>
      <c r="J295" s="21">
        <f>'Raw Data'!J295</f>
        <v>4</v>
      </c>
      <c r="K295" s="21" t="str">
        <f>'Raw Data'!K295</f>
        <v>Laptop &amp; Accessory</v>
      </c>
      <c r="L295" s="21">
        <f>'Raw Data'!L295</f>
        <v>5</v>
      </c>
      <c r="M295" s="21" t="str">
        <f>'Raw Data'!M295</f>
        <v>Married</v>
      </c>
      <c r="N295" s="21">
        <f>'Raw Data'!N295</f>
        <v>1</v>
      </c>
      <c r="O295" s="21">
        <f>'Raw Data'!O295</f>
        <v>1</v>
      </c>
      <c r="P295" s="21">
        <f>IF('Raw Data'!P295="",ROUND(AVERAGE('Raw Data'!$P$2:$P$1501),1),'Raw Data'!P295)</f>
        <v>18.399999999999999</v>
      </c>
      <c r="Q295" s="21">
        <f>IF('Raw Data'!Q295="",ROUND(AVERAGE('Raw Data'!$Q$2:$Q$1501),0),'Raw Data'!Q295)</f>
        <v>1</v>
      </c>
      <c r="R295" s="21">
        <f>'Raw Data'!R295</f>
        <v>5</v>
      </c>
      <c r="S295" s="21">
        <f>IF('Raw Data'!S295="",ROUND(AVERAGE('Raw Data'!$S$2:$S$1501),0),'Raw Data'!S295)</f>
        <v>0</v>
      </c>
      <c r="T295" s="21">
        <f>'Raw Data'!T295</f>
        <v>222.41</v>
      </c>
      <c r="U295" s="21" t="str">
        <f>INDEX('Lookup Tables'!$C$7:$C$9,MATCH(E295,'Lookup Tables'!$B$7:$B$9,0))</f>
        <v>Tier 3 (Semi-urban/Rural)</v>
      </c>
      <c r="V295" s="21" t="str">
        <f t="shared" si="12"/>
        <v>7-12 months</v>
      </c>
      <c r="W295" s="21" t="str">
        <f t="shared" si="13"/>
        <v>Low Risk</v>
      </c>
      <c r="X295" s="21" t="str">
        <f t="shared" si="14"/>
        <v>No</v>
      </c>
    </row>
    <row r="296" spans="1:24" x14ac:dyDescent="0.3">
      <c r="A296" s="21">
        <f>'Raw Data'!A296</f>
        <v>50295</v>
      </c>
      <c r="B296" s="21">
        <f>'Raw Data'!B296</f>
        <v>0</v>
      </c>
      <c r="C296" s="21">
        <f>'Raw Data'!C296</f>
        <v>9</v>
      </c>
      <c r="D296" s="21" t="str">
        <f>'Raw Data'!D296</f>
        <v>Computer</v>
      </c>
      <c r="E296" s="21">
        <f>'Raw Data'!E296</f>
        <v>2</v>
      </c>
      <c r="F296" s="21">
        <f>IF('Raw Data'!F296="",ROUND(AVERAGE('Raw Data'!$F$2:$F$1501),1),'Raw Data'!F296)</f>
        <v>26</v>
      </c>
      <c r="G296" s="21" t="str">
        <f>'Raw Data'!G296</f>
        <v>Credit Card</v>
      </c>
      <c r="H296" s="21" t="str">
        <f>'Raw Data'!H296</f>
        <v>Female</v>
      </c>
      <c r="I296" s="21">
        <f>IF('Raw Data'!I296="",ROUND(AVERAGE('Raw Data'!$I$2:$I$1501),1),'Raw Data'!I296)</f>
        <v>3</v>
      </c>
      <c r="J296" s="21">
        <f>'Raw Data'!J296</f>
        <v>2</v>
      </c>
      <c r="K296" s="21" t="str">
        <f>'Raw Data'!K296</f>
        <v>Fashion</v>
      </c>
      <c r="L296" s="21">
        <f>'Raw Data'!L296</f>
        <v>4</v>
      </c>
      <c r="M296" s="21" t="str">
        <f>'Raw Data'!M296</f>
        <v>Married</v>
      </c>
      <c r="N296" s="21">
        <f>'Raw Data'!N296</f>
        <v>3</v>
      </c>
      <c r="O296" s="21">
        <f>'Raw Data'!O296</f>
        <v>1</v>
      </c>
      <c r="P296" s="21">
        <f>IF('Raw Data'!P296="",ROUND(AVERAGE('Raw Data'!$P$2:$P$1501),1),'Raw Data'!P296)</f>
        <v>15.3</v>
      </c>
      <c r="Q296" s="21">
        <f>IF('Raw Data'!Q296="",ROUND(AVERAGE('Raw Data'!$Q$2:$Q$1501),0),'Raw Data'!Q296)</f>
        <v>0</v>
      </c>
      <c r="R296" s="21">
        <f>'Raw Data'!R296</f>
        <v>6</v>
      </c>
      <c r="S296" s="21">
        <f>IF('Raw Data'!S296="",ROUND(AVERAGE('Raw Data'!$S$2:$S$1501),0),'Raw Data'!S296)</f>
        <v>2</v>
      </c>
      <c r="T296" s="21">
        <f>'Raw Data'!T296</f>
        <v>193.86</v>
      </c>
      <c r="U296" s="21" t="str">
        <f>INDEX('Lookup Tables'!$C$7:$C$9,MATCH(E296,'Lookup Tables'!$B$7:$B$9,0))</f>
        <v>Tier 2 (Urban)</v>
      </c>
      <c r="V296" s="21" t="str">
        <f t="shared" si="12"/>
        <v>7-12 months</v>
      </c>
      <c r="W296" s="21" t="str">
        <f t="shared" si="13"/>
        <v>Low Risk</v>
      </c>
      <c r="X296" s="21" t="str">
        <f t="shared" si="14"/>
        <v>No</v>
      </c>
    </row>
    <row r="297" spans="1:24" x14ac:dyDescent="0.3">
      <c r="A297" s="21">
        <f>'Raw Data'!A297</f>
        <v>50296</v>
      </c>
      <c r="B297" s="21">
        <f>'Raw Data'!B297</f>
        <v>1</v>
      </c>
      <c r="C297" s="21">
        <f>'Raw Data'!C297</f>
        <v>7</v>
      </c>
      <c r="D297" s="21" t="str">
        <f>'Raw Data'!D297</f>
        <v>Phone</v>
      </c>
      <c r="E297" s="21">
        <f>'Raw Data'!E297</f>
        <v>2</v>
      </c>
      <c r="F297" s="21">
        <f>IF('Raw Data'!F297="",ROUND(AVERAGE('Raw Data'!$F$2:$F$1501),1),'Raw Data'!F297)</f>
        <v>5</v>
      </c>
      <c r="G297" s="21" t="str">
        <f>'Raw Data'!G297</f>
        <v>UPI</v>
      </c>
      <c r="H297" s="21" t="str">
        <f>'Raw Data'!H297</f>
        <v>Male</v>
      </c>
      <c r="I297" s="21">
        <f>IF('Raw Data'!I297="",ROUND(AVERAGE('Raw Data'!$I$2:$I$1501),1),'Raw Data'!I297)</f>
        <v>2.8</v>
      </c>
      <c r="J297" s="21">
        <f>'Raw Data'!J297</f>
        <v>2</v>
      </c>
      <c r="K297" s="21" t="str">
        <f>'Raw Data'!K297</f>
        <v>Laptop &amp; Accessory</v>
      </c>
      <c r="L297" s="21">
        <f>'Raw Data'!L297</f>
        <v>3</v>
      </c>
      <c r="M297" s="21" t="str">
        <f>'Raw Data'!M297</f>
        <v>Married</v>
      </c>
      <c r="N297" s="21">
        <f>'Raw Data'!N297</f>
        <v>5</v>
      </c>
      <c r="O297" s="21">
        <f>'Raw Data'!O297</f>
        <v>1</v>
      </c>
      <c r="P297" s="21">
        <f>IF('Raw Data'!P297="",ROUND(AVERAGE('Raw Data'!$P$2:$P$1501),1),'Raw Data'!P297)</f>
        <v>12.1</v>
      </c>
      <c r="Q297" s="21">
        <f>IF('Raw Data'!Q297="",ROUND(AVERAGE('Raw Data'!$Q$2:$Q$1501),0),'Raw Data'!Q297)</f>
        <v>1</v>
      </c>
      <c r="R297" s="21">
        <f>'Raw Data'!R297</f>
        <v>3</v>
      </c>
      <c r="S297" s="21">
        <f>IF('Raw Data'!S297="",ROUND(AVERAGE('Raw Data'!$S$2:$S$1501),0),'Raw Data'!S297)</f>
        <v>4</v>
      </c>
      <c r="T297" s="21">
        <f>'Raw Data'!T297</f>
        <v>172.4</v>
      </c>
      <c r="U297" s="21" t="str">
        <f>INDEX('Lookup Tables'!$C$7:$C$9,MATCH(E297,'Lookup Tables'!$B$7:$B$9,0))</f>
        <v>Tier 2 (Urban)</v>
      </c>
      <c r="V297" s="21" t="str">
        <f t="shared" si="12"/>
        <v>7-12 months</v>
      </c>
      <c r="W297" s="21" t="str">
        <f t="shared" si="13"/>
        <v>Medium Risk</v>
      </c>
      <c r="X297" s="21" t="str">
        <f t="shared" si="14"/>
        <v>Yes</v>
      </c>
    </row>
    <row r="298" spans="1:24" x14ac:dyDescent="0.3">
      <c r="A298" s="21">
        <f>'Raw Data'!A298</f>
        <v>50297</v>
      </c>
      <c r="B298" s="21">
        <f>'Raw Data'!B298</f>
        <v>0</v>
      </c>
      <c r="C298" s="21">
        <f>'Raw Data'!C298</f>
        <v>2</v>
      </c>
      <c r="D298" s="21" t="str">
        <f>'Raw Data'!D298</f>
        <v>Mobile Phone</v>
      </c>
      <c r="E298" s="21">
        <f>'Raw Data'!E298</f>
        <v>1</v>
      </c>
      <c r="F298" s="21">
        <f>IF('Raw Data'!F298="",ROUND(AVERAGE('Raw Data'!$F$2:$F$1501),1),'Raw Data'!F298)</f>
        <v>25</v>
      </c>
      <c r="G298" s="21" t="str">
        <f>'Raw Data'!G298</f>
        <v>Debit Card</v>
      </c>
      <c r="H298" s="21" t="str">
        <f>'Raw Data'!H298</f>
        <v>Male</v>
      </c>
      <c r="I298" s="21">
        <f>IF('Raw Data'!I298="",ROUND(AVERAGE('Raw Data'!$I$2:$I$1501),1),'Raw Data'!I298)</f>
        <v>3</v>
      </c>
      <c r="J298" s="21">
        <f>'Raw Data'!J298</f>
        <v>2</v>
      </c>
      <c r="K298" s="21" t="str">
        <f>'Raw Data'!K298</f>
        <v>Laptop &amp; Accessory</v>
      </c>
      <c r="L298" s="21">
        <f>'Raw Data'!L298</f>
        <v>2</v>
      </c>
      <c r="M298" s="21" t="str">
        <f>'Raw Data'!M298</f>
        <v>Single</v>
      </c>
      <c r="N298" s="21">
        <f>'Raw Data'!N298</f>
        <v>4</v>
      </c>
      <c r="O298" s="21">
        <f>'Raw Data'!O298</f>
        <v>0</v>
      </c>
      <c r="P298" s="21">
        <f>IF('Raw Data'!P298="",ROUND(AVERAGE('Raw Data'!$P$2:$P$1501),1),'Raw Data'!P298)</f>
        <v>20.6</v>
      </c>
      <c r="Q298" s="21">
        <f>IF('Raw Data'!Q298="",ROUND(AVERAGE('Raw Data'!$Q$2:$Q$1501),0),'Raw Data'!Q298)</f>
        <v>2</v>
      </c>
      <c r="R298" s="21">
        <f>'Raw Data'!R298</f>
        <v>2</v>
      </c>
      <c r="S298" s="21">
        <f>IF('Raw Data'!S298="",ROUND(AVERAGE('Raw Data'!$S$2:$S$1501),0),'Raw Data'!S298)</f>
        <v>4</v>
      </c>
      <c r="T298" s="21">
        <f>'Raw Data'!T298</f>
        <v>136.52000000000001</v>
      </c>
      <c r="U298" s="21" t="str">
        <f>INDEX('Lookup Tables'!$C$7:$C$9,MATCH(E298,'Lookup Tables'!$B$7:$B$9,0))</f>
        <v>Tier 1 (Metro)</v>
      </c>
      <c r="V298" s="21" t="str">
        <f t="shared" si="12"/>
        <v>0-6 months</v>
      </c>
      <c r="W298" s="21" t="str">
        <f t="shared" si="13"/>
        <v>Low Risk</v>
      </c>
      <c r="X298" s="21" t="str">
        <f t="shared" si="14"/>
        <v>No</v>
      </c>
    </row>
    <row r="299" spans="1:24" x14ac:dyDescent="0.3">
      <c r="A299" s="21">
        <f>'Raw Data'!A299</f>
        <v>50298</v>
      </c>
      <c r="B299" s="21">
        <f>'Raw Data'!B299</f>
        <v>0</v>
      </c>
      <c r="C299" s="21">
        <f>'Raw Data'!C299</f>
        <v>1</v>
      </c>
      <c r="D299" s="21" t="str">
        <f>'Raw Data'!D299</f>
        <v>Mobile Phone</v>
      </c>
      <c r="E299" s="21">
        <f>'Raw Data'!E299</f>
        <v>3</v>
      </c>
      <c r="F299" s="21">
        <f>IF('Raw Data'!F299="",ROUND(AVERAGE('Raw Data'!$F$2:$F$1501),1),'Raw Data'!F299)</f>
        <v>17</v>
      </c>
      <c r="G299" s="21" t="str">
        <f>'Raw Data'!G299</f>
        <v>Credit Card</v>
      </c>
      <c r="H299" s="21" t="str">
        <f>'Raw Data'!H299</f>
        <v>Male</v>
      </c>
      <c r="I299" s="21">
        <f>IF('Raw Data'!I299="",ROUND(AVERAGE('Raw Data'!$I$2:$I$1501),1),'Raw Data'!I299)</f>
        <v>2.9</v>
      </c>
      <c r="J299" s="21">
        <f>'Raw Data'!J299</f>
        <v>5</v>
      </c>
      <c r="K299" s="21" t="str">
        <f>'Raw Data'!K299</f>
        <v>Laptop &amp; Accessory</v>
      </c>
      <c r="L299" s="21">
        <f>'Raw Data'!L299</f>
        <v>4</v>
      </c>
      <c r="M299" s="21" t="str">
        <f>'Raw Data'!M299</f>
        <v>Divorced</v>
      </c>
      <c r="N299" s="21">
        <f>'Raw Data'!N299</f>
        <v>12</v>
      </c>
      <c r="O299" s="21">
        <f>'Raw Data'!O299</f>
        <v>1</v>
      </c>
      <c r="P299" s="21">
        <f>IF('Raw Data'!P299="",ROUND(AVERAGE('Raw Data'!$P$2:$P$1501),1),'Raw Data'!P299)</f>
        <v>19.5</v>
      </c>
      <c r="Q299" s="21">
        <f>IF('Raw Data'!Q299="",ROUND(AVERAGE('Raw Data'!$Q$2:$Q$1501),0),'Raw Data'!Q299)</f>
        <v>0</v>
      </c>
      <c r="R299" s="21">
        <f>'Raw Data'!R299</f>
        <v>5</v>
      </c>
      <c r="S299" s="21">
        <f>IF('Raw Data'!S299="",ROUND(AVERAGE('Raw Data'!$S$2:$S$1501),0),'Raw Data'!S299)</f>
        <v>0</v>
      </c>
      <c r="T299" s="21">
        <f>'Raw Data'!T299</f>
        <v>197.77</v>
      </c>
      <c r="U299" s="21" t="str">
        <f>INDEX('Lookup Tables'!$C$7:$C$9,MATCH(E299,'Lookup Tables'!$B$7:$B$9,0))</f>
        <v>Tier 3 (Semi-urban/Rural)</v>
      </c>
      <c r="V299" s="21" t="str">
        <f t="shared" si="12"/>
        <v>0-6 months</v>
      </c>
      <c r="W299" s="21" t="str">
        <f t="shared" si="13"/>
        <v>Low Risk</v>
      </c>
      <c r="X299" s="21" t="str">
        <f t="shared" si="14"/>
        <v>No</v>
      </c>
    </row>
    <row r="300" spans="1:24" x14ac:dyDescent="0.3">
      <c r="A300" s="21">
        <f>'Raw Data'!A300</f>
        <v>50299</v>
      </c>
      <c r="B300" s="21">
        <f>'Raw Data'!B300</f>
        <v>0</v>
      </c>
      <c r="C300" s="21">
        <f>'Raw Data'!C300</f>
        <v>2</v>
      </c>
      <c r="D300" s="21" t="str">
        <f>'Raw Data'!D300</f>
        <v>Mobile Phone</v>
      </c>
      <c r="E300" s="21">
        <f>'Raw Data'!E300</f>
        <v>1</v>
      </c>
      <c r="F300" s="21">
        <f>IF('Raw Data'!F300="",ROUND(AVERAGE('Raw Data'!$F$2:$F$1501),1),'Raw Data'!F300)</f>
        <v>5</v>
      </c>
      <c r="G300" s="21" t="str">
        <f>'Raw Data'!G300</f>
        <v>Debit Card</v>
      </c>
      <c r="H300" s="21" t="str">
        <f>'Raw Data'!H300</f>
        <v>Male</v>
      </c>
      <c r="I300" s="21">
        <f>IF('Raw Data'!I300="",ROUND(AVERAGE('Raw Data'!$I$2:$I$1501),1),'Raw Data'!I300)</f>
        <v>4.7</v>
      </c>
      <c r="J300" s="21">
        <f>'Raw Data'!J300</f>
        <v>3</v>
      </c>
      <c r="K300" s="21" t="str">
        <f>'Raw Data'!K300</f>
        <v>Grocery</v>
      </c>
      <c r="L300" s="21">
        <f>'Raw Data'!L300</f>
        <v>2</v>
      </c>
      <c r="M300" s="21" t="str">
        <f>'Raw Data'!M300</f>
        <v>Married</v>
      </c>
      <c r="N300" s="21">
        <f>'Raw Data'!N300</f>
        <v>1</v>
      </c>
      <c r="O300" s="21">
        <f>'Raw Data'!O300</f>
        <v>0</v>
      </c>
      <c r="P300" s="21">
        <f>IF('Raw Data'!P300="",ROUND(AVERAGE('Raw Data'!$P$2:$P$1501),1),'Raw Data'!P300)</f>
        <v>15.2</v>
      </c>
      <c r="Q300" s="21">
        <f>IF('Raw Data'!Q300="",ROUND(AVERAGE('Raw Data'!$Q$2:$Q$1501),0),'Raw Data'!Q300)</f>
        <v>1</v>
      </c>
      <c r="R300" s="21">
        <f>'Raw Data'!R300</f>
        <v>4</v>
      </c>
      <c r="S300" s="21">
        <f>IF('Raw Data'!S300="",ROUND(AVERAGE('Raw Data'!$S$2:$S$1501),0),'Raw Data'!S300)</f>
        <v>1</v>
      </c>
      <c r="T300" s="21">
        <f>'Raw Data'!T300</f>
        <v>155.77000000000001</v>
      </c>
      <c r="U300" s="21" t="str">
        <f>INDEX('Lookup Tables'!$C$7:$C$9,MATCH(E300,'Lookup Tables'!$B$7:$B$9,0))</f>
        <v>Tier 1 (Metro)</v>
      </c>
      <c r="V300" s="21" t="str">
        <f t="shared" si="12"/>
        <v>0-6 months</v>
      </c>
      <c r="W300" s="21" t="str">
        <f t="shared" si="13"/>
        <v>Low Risk</v>
      </c>
      <c r="X300" s="21" t="str">
        <f t="shared" si="14"/>
        <v>No</v>
      </c>
    </row>
    <row r="301" spans="1:24" x14ac:dyDescent="0.3">
      <c r="A301" s="21">
        <f>'Raw Data'!A301</f>
        <v>50300</v>
      </c>
      <c r="B301" s="21">
        <f>'Raw Data'!B301</f>
        <v>0</v>
      </c>
      <c r="C301" s="21">
        <f>'Raw Data'!C301</f>
        <v>2</v>
      </c>
      <c r="D301" s="21" t="str">
        <f>'Raw Data'!D301</f>
        <v>Mobile Phone</v>
      </c>
      <c r="E301" s="21">
        <f>'Raw Data'!E301</f>
        <v>1</v>
      </c>
      <c r="F301" s="21">
        <f>IF('Raw Data'!F301="",ROUND(AVERAGE('Raw Data'!$F$2:$F$1501),1),'Raw Data'!F301)</f>
        <v>6</v>
      </c>
      <c r="G301" s="21" t="str">
        <f>'Raw Data'!G301</f>
        <v>Credit Card</v>
      </c>
      <c r="H301" s="21" t="str">
        <f>'Raw Data'!H301</f>
        <v>Male</v>
      </c>
      <c r="I301" s="21">
        <f>IF('Raw Data'!I301="",ROUND(AVERAGE('Raw Data'!$I$2:$I$1501),1),'Raw Data'!I301)</f>
        <v>2</v>
      </c>
      <c r="J301" s="21">
        <f>'Raw Data'!J301</f>
        <v>2</v>
      </c>
      <c r="K301" s="21" t="str">
        <f>'Raw Data'!K301</f>
        <v>Fashion</v>
      </c>
      <c r="L301" s="21">
        <f>'Raw Data'!L301</f>
        <v>2</v>
      </c>
      <c r="M301" s="21" t="str">
        <f>'Raw Data'!M301</f>
        <v>Married</v>
      </c>
      <c r="N301" s="21">
        <f>'Raw Data'!N301</f>
        <v>3</v>
      </c>
      <c r="O301" s="21">
        <f>'Raw Data'!O301</f>
        <v>0</v>
      </c>
      <c r="P301" s="21">
        <f>IF('Raw Data'!P301="",ROUND(AVERAGE('Raw Data'!$P$2:$P$1501),1),'Raw Data'!P301)</f>
        <v>17</v>
      </c>
      <c r="Q301" s="21">
        <f>IF('Raw Data'!Q301="",ROUND(AVERAGE('Raw Data'!$Q$2:$Q$1501),0),'Raw Data'!Q301)</f>
        <v>0</v>
      </c>
      <c r="R301" s="21">
        <f>'Raw Data'!R301</f>
        <v>6</v>
      </c>
      <c r="S301" s="21">
        <f>IF('Raw Data'!S301="",ROUND(AVERAGE('Raw Data'!$S$2:$S$1501),0),'Raw Data'!S301)</f>
        <v>0</v>
      </c>
      <c r="T301" s="21">
        <f>'Raw Data'!T301</f>
        <v>142.06</v>
      </c>
      <c r="U301" s="21" t="str">
        <f>INDEX('Lookup Tables'!$C$7:$C$9,MATCH(E301,'Lookup Tables'!$B$7:$B$9,0))</f>
        <v>Tier 1 (Metro)</v>
      </c>
      <c r="V301" s="21" t="str">
        <f t="shared" si="12"/>
        <v>0-6 months</v>
      </c>
      <c r="W301" s="21" t="str">
        <f t="shared" si="13"/>
        <v>Low Risk</v>
      </c>
      <c r="X301" s="21" t="str">
        <f t="shared" si="14"/>
        <v>No</v>
      </c>
    </row>
    <row r="302" spans="1:24" x14ac:dyDescent="0.3">
      <c r="A302" s="21">
        <f>'Raw Data'!A302</f>
        <v>50301</v>
      </c>
      <c r="B302" s="21">
        <f>'Raw Data'!B302</f>
        <v>0</v>
      </c>
      <c r="C302" s="21">
        <f>'Raw Data'!C302</f>
        <v>15</v>
      </c>
      <c r="D302" s="21" t="str">
        <f>'Raw Data'!D302</f>
        <v>Mobile Phone</v>
      </c>
      <c r="E302" s="21">
        <f>'Raw Data'!E302</f>
        <v>1</v>
      </c>
      <c r="F302" s="21">
        <f>IF('Raw Data'!F302="",ROUND(AVERAGE('Raw Data'!$F$2:$F$1501),1),'Raw Data'!F302)</f>
        <v>28</v>
      </c>
      <c r="G302" s="21" t="str">
        <f>'Raw Data'!G302</f>
        <v>UPI</v>
      </c>
      <c r="H302" s="21" t="str">
        <f>'Raw Data'!H302</f>
        <v>Male</v>
      </c>
      <c r="I302" s="21">
        <f>IF('Raw Data'!I302="",ROUND(AVERAGE('Raw Data'!$I$2:$I$1501),1),'Raw Data'!I302)</f>
        <v>1.5</v>
      </c>
      <c r="J302" s="21">
        <f>'Raw Data'!J302</f>
        <v>3</v>
      </c>
      <c r="K302" s="21" t="str">
        <f>'Raw Data'!K302</f>
        <v>Grocery</v>
      </c>
      <c r="L302" s="21">
        <f>'Raw Data'!L302</f>
        <v>3</v>
      </c>
      <c r="M302" s="21" t="str">
        <f>'Raw Data'!M302</f>
        <v>Married</v>
      </c>
      <c r="N302" s="21">
        <f>'Raw Data'!N302</f>
        <v>4</v>
      </c>
      <c r="O302" s="21">
        <f>'Raw Data'!O302</f>
        <v>0</v>
      </c>
      <c r="P302" s="21">
        <f>IF('Raw Data'!P302="",ROUND(AVERAGE('Raw Data'!$P$2:$P$1501),1),'Raw Data'!P302)</f>
        <v>20.3</v>
      </c>
      <c r="Q302" s="21">
        <f>IF('Raw Data'!Q302="",ROUND(AVERAGE('Raw Data'!$Q$2:$Q$1501),0),'Raw Data'!Q302)</f>
        <v>2</v>
      </c>
      <c r="R302" s="21">
        <f>'Raw Data'!R302</f>
        <v>3</v>
      </c>
      <c r="S302" s="21">
        <f>IF('Raw Data'!S302="",ROUND(AVERAGE('Raw Data'!$S$2:$S$1501),0),'Raw Data'!S302)</f>
        <v>4</v>
      </c>
      <c r="T302" s="21">
        <f>'Raw Data'!T302</f>
        <v>261</v>
      </c>
      <c r="U302" s="21" t="str">
        <f>INDEX('Lookup Tables'!$C$7:$C$9,MATCH(E302,'Lookup Tables'!$B$7:$B$9,0))</f>
        <v>Tier 1 (Metro)</v>
      </c>
      <c r="V302" s="21" t="str">
        <f t="shared" si="12"/>
        <v>13-24 months</v>
      </c>
      <c r="W302" s="21" t="str">
        <f t="shared" si="13"/>
        <v>Medium Risk</v>
      </c>
      <c r="X302" s="21" t="str">
        <f t="shared" si="14"/>
        <v>No</v>
      </c>
    </row>
    <row r="303" spans="1:24" x14ac:dyDescent="0.3">
      <c r="A303" s="21">
        <f>'Raw Data'!A303</f>
        <v>50302</v>
      </c>
      <c r="B303" s="21">
        <f>'Raw Data'!B303</f>
        <v>0</v>
      </c>
      <c r="C303" s="21">
        <f>'Raw Data'!C303</f>
        <v>4</v>
      </c>
      <c r="D303" s="21" t="str">
        <f>'Raw Data'!D303</f>
        <v>Computer</v>
      </c>
      <c r="E303" s="21">
        <f>'Raw Data'!E303</f>
        <v>1</v>
      </c>
      <c r="F303" s="21">
        <f>IF('Raw Data'!F303="",ROUND(AVERAGE('Raw Data'!$F$2:$F$1501),1),'Raw Data'!F303)</f>
        <v>7</v>
      </c>
      <c r="G303" s="21" t="str">
        <f>'Raw Data'!G303</f>
        <v>Debit Card</v>
      </c>
      <c r="H303" s="21" t="str">
        <f>'Raw Data'!H303</f>
        <v>Male</v>
      </c>
      <c r="I303" s="21">
        <f>IF('Raw Data'!I303="",ROUND(AVERAGE('Raw Data'!$I$2:$I$1501),1),'Raw Data'!I303)</f>
        <v>3.1</v>
      </c>
      <c r="J303" s="21">
        <f>'Raw Data'!J303</f>
        <v>3</v>
      </c>
      <c r="K303" s="21" t="str">
        <f>'Raw Data'!K303</f>
        <v>Laptop &amp; Accessory</v>
      </c>
      <c r="L303" s="21">
        <f>'Raw Data'!L303</f>
        <v>5</v>
      </c>
      <c r="M303" s="21" t="str">
        <f>'Raw Data'!M303</f>
        <v>Married</v>
      </c>
      <c r="N303" s="21">
        <f>'Raw Data'!N303</f>
        <v>7</v>
      </c>
      <c r="O303" s="21">
        <f>'Raw Data'!O303</f>
        <v>0</v>
      </c>
      <c r="P303" s="21">
        <f>IF('Raw Data'!P303="",ROUND(AVERAGE('Raw Data'!$P$2:$P$1501),1),'Raw Data'!P303)</f>
        <v>19</v>
      </c>
      <c r="Q303" s="21">
        <f>IF('Raw Data'!Q303="",ROUND(AVERAGE('Raw Data'!$Q$2:$Q$1501),0),'Raw Data'!Q303)</f>
        <v>2</v>
      </c>
      <c r="R303" s="21">
        <f>'Raw Data'!R303</f>
        <v>2</v>
      </c>
      <c r="S303" s="21">
        <f>IF('Raw Data'!S303="",ROUND(AVERAGE('Raw Data'!$S$2:$S$1501),0),'Raw Data'!S303)</f>
        <v>5</v>
      </c>
      <c r="T303" s="21">
        <f>'Raw Data'!T303</f>
        <v>210.11</v>
      </c>
      <c r="U303" s="21" t="str">
        <f>INDEX('Lookup Tables'!$C$7:$C$9,MATCH(E303,'Lookup Tables'!$B$7:$B$9,0))</f>
        <v>Tier 1 (Metro)</v>
      </c>
      <c r="V303" s="21" t="str">
        <f t="shared" si="12"/>
        <v>0-6 months</v>
      </c>
      <c r="W303" s="21" t="str">
        <f t="shared" si="13"/>
        <v>Low Risk</v>
      </c>
      <c r="X303" s="21" t="str">
        <f t="shared" si="14"/>
        <v>No</v>
      </c>
    </row>
    <row r="304" spans="1:24" x14ac:dyDescent="0.3">
      <c r="A304" s="21">
        <f>'Raw Data'!A304</f>
        <v>50303</v>
      </c>
      <c r="B304" s="21">
        <f>'Raw Data'!B304</f>
        <v>1</v>
      </c>
      <c r="C304" s="21">
        <f>'Raw Data'!C304</f>
        <v>0</v>
      </c>
      <c r="D304" s="21" t="str">
        <f>'Raw Data'!D304</f>
        <v>Mobile Phone</v>
      </c>
      <c r="E304" s="21">
        <f>'Raw Data'!E304</f>
        <v>2</v>
      </c>
      <c r="F304" s="21">
        <f>IF('Raw Data'!F304="",ROUND(AVERAGE('Raw Data'!$F$2:$F$1501),1),'Raw Data'!F304)</f>
        <v>5</v>
      </c>
      <c r="G304" s="21" t="str">
        <f>'Raw Data'!G304</f>
        <v>Debit Card</v>
      </c>
      <c r="H304" s="21" t="str">
        <f>'Raw Data'!H304</f>
        <v>Male</v>
      </c>
      <c r="I304" s="21">
        <f>IF('Raw Data'!I304="",ROUND(AVERAGE('Raw Data'!$I$2:$I$1501),1),'Raw Data'!I304)</f>
        <v>2.6</v>
      </c>
      <c r="J304" s="21">
        <f>'Raw Data'!J304</f>
        <v>3</v>
      </c>
      <c r="K304" s="21" t="str">
        <f>'Raw Data'!K304</f>
        <v>Mobile Phone</v>
      </c>
      <c r="L304" s="21">
        <f>'Raw Data'!L304</f>
        <v>2</v>
      </c>
      <c r="M304" s="21" t="str">
        <f>'Raw Data'!M304</f>
        <v>Married</v>
      </c>
      <c r="N304" s="21">
        <f>'Raw Data'!N304</f>
        <v>7</v>
      </c>
      <c r="O304" s="21">
        <f>'Raw Data'!O304</f>
        <v>1</v>
      </c>
      <c r="P304" s="21">
        <f>IF('Raw Data'!P304="",ROUND(AVERAGE('Raw Data'!$P$2:$P$1501),1),'Raw Data'!P304)</f>
        <v>11</v>
      </c>
      <c r="Q304" s="21">
        <f>IF('Raw Data'!Q304="",ROUND(AVERAGE('Raw Data'!$Q$2:$Q$1501),0),'Raw Data'!Q304)</f>
        <v>2</v>
      </c>
      <c r="R304" s="21">
        <f>'Raw Data'!R304</f>
        <v>3</v>
      </c>
      <c r="S304" s="21">
        <f>IF('Raw Data'!S304="",ROUND(AVERAGE('Raw Data'!$S$2:$S$1501),0),'Raw Data'!S304)</f>
        <v>0</v>
      </c>
      <c r="T304" s="21">
        <f>'Raw Data'!T304</f>
        <v>215.4</v>
      </c>
      <c r="U304" s="21" t="str">
        <f>INDEX('Lookup Tables'!$C$7:$C$9,MATCH(E304,'Lookup Tables'!$B$7:$B$9,0))</f>
        <v>Tier 2 (Urban)</v>
      </c>
      <c r="V304" s="21" t="str">
        <f t="shared" si="12"/>
        <v>0-6 months</v>
      </c>
      <c r="W304" s="21" t="str">
        <f t="shared" si="13"/>
        <v>High Risk</v>
      </c>
      <c r="X304" s="21" t="str">
        <f t="shared" si="14"/>
        <v>Yes</v>
      </c>
    </row>
    <row r="305" spans="1:24" x14ac:dyDescent="0.3">
      <c r="A305" s="21">
        <f>'Raw Data'!A305</f>
        <v>50304</v>
      </c>
      <c r="B305" s="21">
        <f>'Raw Data'!B305</f>
        <v>0</v>
      </c>
      <c r="C305" s="21">
        <f>'Raw Data'!C305</f>
        <v>34</v>
      </c>
      <c r="D305" s="21" t="str">
        <f>'Raw Data'!D305</f>
        <v>Computer</v>
      </c>
      <c r="E305" s="21">
        <f>'Raw Data'!E305</f>
        <v>1</v>
      </c>
      <c r="F305" s="21">
        <f>IF('Raw Data'!F305="",ROUND(AVERAGE('Raw Data'!$F$2:$F$1501),1),'Raw Data'!F305)</f>
        <v>24</v>
      </c>
      <c r="G305" s="21" t="str">
        <f>'Raw Data'!G305</f>
        <v>UPI</v>
      </c>
      <c r="H305" s="21" t="str">
        <f>'Raw Data'!H305</f>
        <v>Female</v>
      </c>
      <c r="I305" s="21">
        <f>IF('Raw Data'!I305="",ROUND(AVERAGE('Raw Data'!$I$2:$I$1501),1),'Raw Data'!I305)</f>
        <v>3.1</v>
      </c>
      <c r="J305" s="21">
        <f>'Raw Data'!J305</f>
        <v>3</v>
      </c>
      <c r="K305" s="21" t="str">
        <f>'Raw Data'!K305</f>
        <v>Fashion</v>
      </c>
      <c r="L305" s="21">
        <f>'Raw Data'!L305</f>
        <v>2</v>
      </c>
      <c r="M305" s="21" t="str">
        <f>'Raw Data'!M305</f>
        <v>Married</v>
      </c>
      <c r="N305" s="21">
        <f>'Raw Data'!N305</f>
        <v>13</v>
      </c>
      <c r="O305" s="21">
        <f>'Raw Data'!O305</f>
        <v>0</v>
      </c>
      <c r="P305" s="21">
        <f>IF('Raw Data'!P305="",ROUND(AVERAGE('Raw Data'!$P$2:$P$1501),1),'Raw Data'!P305)</f>
        <v>16.899999999999999</v>
      </c>
      <c r="Q305" s="21">
        <f>IF('Raw Data'!Q305="",ROUND(AVERAGE('Raw Data'!$Q$2:$Q$1501),0),'Raw Data'!Q305)</f>
        <v>1</v>
      </c>
      <c r="R305" s="21">
        <f>'Raw Data'!R305</f>
        <v>2</v>
      </c>
      <c r="S305" s="21">
        <f>IF('Raw Data'!S305="",ROUND(AVERAGE('Raw Data'!$S$2:$S$1501),0),'Raw Data'!S305)</f>
        <v>2</v>
      </c>
      <c r="T305" s="21">
        <f>'Raw Data'!T305</f>
        <v>158.46</v>
      </c>
      <c r="U305" s="21" t="str">
        <f>INDEX('Lookup Tables'!$C$7:$C$9,MATCH(E305,'Lookup Tables'!$B$7:$B$9,0))</f>
        <v>Tier 1 (Metro)</v>
      </c>
      <c r="V305" s="21" t="str">
        <f t="shared" si="12"/>
        <v>25+ months</v>
      </c>
      <c r="W305" s="21" t="str">
        <f t="shared" si="13"/>
        <v>Low Risk</v>
      </c>
      <c r="X305" s="21" t="str">
        <f t="shared" si="14"/>
        <v>No</v>
      </c>
    </row>
    <row r="306" spans="1:24" x14ac:dyDescent="0.3">
      <c r="A306" s="21">
        <f>'Raw Data'!A306</f>
        <v>50305</v>
      </c>
      <c r="B306" s="21">
        <f>'Raw Data'!B306</f>
        <v>0</v>
      </c>
      <c r="C306" s="21">
        <f>'Raw Data'!C306</f>
        <v>21</v>
      </c>
      <c r="D306" s="21" t="str">
        <f>'Raw Data'!D306</f>
        <v>Mobile Phone</v>
      </c>
      <c r="E306" s="21">
        <f>'Raw Data'!E306</f>
        <v>3</v>
      </c>
      <c r="F306" s="21">
        <f>IF('Raw Data'!F306="",ROUND(AVERAGE('Raw Data'!$F$2:$F$1501),1),'Raw Data'!F306)</f>
        <v>14.8</v>
      </c>
      <c r="G306" s="21" t="str">
        <f>'Raw Data'!G306</f>
        <v>Debit Card</v>
      </c>
      <c r="H306" s="21" t="str">
        <f>'Raw Data'!H306</f>
        <v>Male</v>
      </c>
      <c r="I306" s="21">
        <f>IF('Raw Data'!I306="",ROUND(AVERAGE('Raw Data'!$I$2:$I$1501),1),'Raw Data'!I306)</f>
        <v>3.3</v>
      </c>
      <c r="J306" s="21">
        <f>'Raw Data'!J306</f>
        <v>2</v>
      </c>
      <c r="K306" s="21" t="str">
        <f>'Raw Data'!K306</f>
        <v>Laptop &amp; Accessory</v>
      </c>
      <c r="L306" s="21">
        <f>'Raw Data'!L306</f>
        <v>3</v>
      </c>
      <c r="M306" s="21" t="str">
        <f>'Raw Data'!M306</f>
        <v>Married</v>
      </c>
      <c r="N306" s="21">
        <f>'Raw Data'!N306</f>
        <v>2</v>
      </c>
      <c r="O306" s="21">
        <f>'Raw Data'!O306</f>
        <v>1</v>
      </c>
      <c r="P306" s="21">
        <f>IF('Raw Data'!P306="",ROUND(AVERAGE('Raw Data'!$P$2:$P$1501),1),'Raw Data'!P306)</f>
        <v>15.4</v>
      </c>
      <c r="Q306" s="21">
        <f>IF('Raw Data'!Q306="",ROUND(AVERAGE('Raw Data'!$Q$2:$Q$1501),0),'Raw Data'!Q306)</f>
        <v>2</v>
      </c>
      <c r="R306" s="21">
        <f>'Raw Data'!R306</f>
        <v>8</v>
      </c>
      <c r="S306" s="21">
        <f>IF('Raw Data'!S306="",ROUND(AVERAGE('Raw Data'!$S$2:$S$1501),0),'Raw Data'!S306)</f>
        <v>2</v>
      </c>
      <c r="T306" s="21">
        <f>'Raw Data'!T306</f>
        <v>169.77</v>
      </c>
      <c r="U306" s="21" t="str">
        <f>INDEX('Lookup Tables'!$C$7:$C$9,MATCH(E306,'Lookup Tables'!$B$7:$B$9,0))</f>
        <v>Tier 3 (Semi-urban/Rural)</v>
      </c>
      <c r="V306" s="21" t="str">
        <f t="shared" si="12"/>
        <v>13-24 months</v>
      </c>
      <c r="W306" s="21" t="str">
        <f t="shared" si="13"/>
        <v>Medium Risk</v>
      </c>
      <c r="X306" s="21" t="str">
        <f t="shared" si="14"/>
        <v>No</v>
      </c>
    </row>
    <row r="307" spans="1:24" x14ac:dyDescent="0.3">
      <c r="A307" s="21">
        <f>'Raw Data'!A307</f>
        <v>50306</v>
      </c>
      <c r="B307" s="21">
        <f>'Raw Data'!B307</f>
        <v>0</v>
      </c>
      <c r="C307" s="21">
        <f>'Raw Data'!C307</f>
        <v>26</v>
      </c>
      <c r="D307" s="21" t="str">
        <f>'Raw Data'!D307</f>
        <v>Mobile Phone</v>
      </c>
      <c r="E307" s="21">
        <f>'Raw Data'!E307</f>
        <v>1</v>
      </c>
      <c r="F307" s="21">
        <f>IF('Raw Data'!F307="",ROUND(AVERAGE('Raw Data'!$F$2:$F$1501),1),'Raw Data'!F307)</f>
        <v>7</v>
      </c>
      <c r="G307" s="21" t="str">
        <f>'Raw Data'!G307</f>
        <v>E wallet</v>
      </c>
      <c r="H307" s="21" t="str">
        <f>'Raw Data'!H307</f>
        <v>Female</v>
      </c>
      <c r="I307" s="21">
        <f>IF('Raw Data'!I307="",ROUND(AVERAGE('Raw Data'!$I$2:$I$1501),1),'Raw Data'!I307)</f>
        <v>3.8</v>
      </c>
      <c r="J307" s="21">
        <f>'Raw Data'!J307</f>
        <v>4</v>
      </c>
      <c r="K307" s="21" t="str">
        <f>'Raw Data'!K307</f>
        <v>Fashion</v>
      </c>
      <c r="L307" s="21">
        <f>'Raw Data'!L307</f>
        <v>3</v>
      </c>
      <c r="M307" s="21" t="str">
        <f>'Raw Data'!M307</f>
        <v>Married</v>
      </c>
      <c r="N307" s="21">
        <f>'Raw Data'!N307</f>
        <v>6</v>
      </c>
      <c r="O307" s="21">
        <f>'Raw Data'!O307</f>
        <v>0</v>
      </c>
      <c r="P307" s="21">
        <f>IF('Raw Data'!P307="",ROUND(AVERAGE('Raw Data'!$P$2:$P$1501),1),'Raw Data'!P307)</f>
        <v>19.899999999999999</v>
      </c>
      <c r="Q307" s="21">
        <f>IF('Raw Data'!Q307="",ROUND(AVERAGE('Raw Data'!$Q$2:$Q$1501),0),'Raw Data'!Q307)</f>
        <v>3</v>
      </c>
      <c r="R307" s="21">
        <f>'Raw Data'!R307</f>
        <v>3</v>
      </c>
      <c r="S307" s="21">
        <f>IF('Raw Data'!S307="",ROUND(AVERAGE('Raw Data'!$S$2:$S$1501),0),'Raw Data'!S307)</f>
        <v>8</v>
      </c>
      <c r="T307" s="21">
        <f>'Raw Data'!T307</f>
        <v>166.33</v>
      </c>
      <c r="U307" s="21" t="str">
        <f>INDEX('Lookup Tables'!$C$7:$C$9,MATCH(E307,'Lookup Tables'!$B$7:$B$9,0))</f>
        <v>Tier 1 (Metro)</v>
      </c>
      <c r="V307" s="21" t="str">
        <f t="shared" si="12"/>
        <v>25+ months</v>
      </c>
      <c r="W307" s="21" t="str">
        <f t="shared" si="13"/>
        <v>Medium Risk</v>
      </c>
      <c r="X307" s="21" t="str">
        <f t="shared" si="14"/>
        <v>No</v>
      </c>
    </row>
    <row r="308" spans="1:24" x14ac:dyDescent="0.3">
      <c r="A308" s="21">
        <f>'Raw Data'!A308</f>
        <v>50307</v>
      </c>
      <c r="B308" s="21">
        <f>'Raw Data'!B308</f>
        <v>0</v>
      </c>
      <c r="C308" s="21">
        <f>'Raw Data'!C308</f>
        <v>52</v>
      </c>
      <c r="D308" s="21" t="str">
        <f>'Raw Data'!D308</f>
        <v>Computer</v>
      </c>
      <c r="E308" s="21">
        <f>'Raw Data'!E308</f>
        <v>1</v>
      </c>
      <c r="F308" s="21">
        <f>IF('Raw Data'!F308="",ROUND(AVERAGE('Raw Data'!$F$2:$F$1501),1),'Raw Data'!F308)</f>
        <v>16</v>
      </c>
      <c r="G308" s="21" t="str">
        <f>'Raw Data'!G308</f>
        <v>Credit Card</v>
      </c>
      <c r="H308" s="21" t="str">
        <f>'Raw Data'!H308</f>
        <v>Female</v>
      </c>
      <c r="I308" s="21">
        <f>IF('Raw Data'!I308="",ROUND(AVERAGE('Raw Data'!$I$2:$I$1501),1),'Raw Data'!I308)</f>
        <v>1.8</v>
      </c>
      <c r="J308" s="21">
        <f>'Raw Data'!J308</f>
        <v>3</v>
      </c>
      <c r="K308" s="21" t="str">
        <f>'Raw Data'!K308</f>
        <v>Laptop &amp; Accessory</v>
      </c>
      <c r="L308" s="21">
        <f>'Raw Data'!L308</f>
        <v>4</v>
      </c>
      <c r="M308" s="21" t="str">
        <f>'Raw Data'!M308</f>
        <v>Single</v>
      </c>
      <c r="N308" s="21">
        <f>'Raw Data'!N308</f>
        <v>1</v>
      </c>
      <c r="O308" s="21">
        <f>'Raw Data'!O308</f>
        <v>0</v>
      </c>
      <c r="P308" s="21">
        <f>IF('Raw Data'!P308="",ROUND(AVERAGE('Raw Data'!$P$2:$P$1501),1),'Raw Data'!P308)</f>
        <v>19.600000000000001</v>
      </c>
      <c r="Q308" s="21">
        <f>IF('Raw Data'!Q308="",ROUND(AVERAGE('Raw Data'!$Q$2:$Q$1501),0),'Raw Data'!Q308)</f>
        <v>4</v>
      </c>
      <c r="R308" s="21">
        <f>'Raw Data'!R308</f>
        <v>7</v>
      </c>
      <c r="S308" s="21">
        <f>IF('Raw Data'!S308="",ROUND(AVERAGE('Raw Data'!$S$2:$S$1501),0),'Raw Data'!S308)</f>
        <v>1</v>
      </c>
      <c r="T308" s="21">
        <f>'Raw Data'!T308</f>
        <v>198.55</v>
      </c>
      <c r="U308" s="21" t="str">
        <f>INDEX('Lookup Tables'!$C$7:$C$9,MATCH(E308,'Lookup Tables'!$B$7:$B$9,0))</f>
        <v>Tier 1 (Metro)</v>
      </c>
      <c r="V308" s="21" t="str">
        <f t="shared" si="12"/>
        <v>25+ months</v>
      </c>
      <c r="W308" s="21" t="str">
        <f t="shared" si="13"/>
        <v>Low Risk</v>
      </c>
      <c r="X308" s="21" t="str">
        <f t="shared" si="14"/>
        <v>No</v>
      </c>
    </row>
    <row r="309" spans="1:24" x14ac:dyDescent="0.3">
      <c r="A309" s="21">
        <f>'Raw Data'!A309</f>
        <v>50308</v>
      </c>
      <c r="B309" s="21">
        <f>'Raw Data'!B309</f>
        <v>0</v>
      </c>
      <c r="C309" s="21">
        <f>'Raw Data'!C309</f>
        <v>1</v>
      </c>
      <c r="D309" s="21" t="str">
        <f>'Raw Data'!D309</f>
        <v>Mobile Phone</v>
      </c>
      <c r="E309" s="21">
        <f>'Raw Data'!E309</f>
        <v>2</v>
      </c>
      <c r="F309" s="21">
        <f>IF('Raw Data'!F309="",ROUND(AVERAGE('Raw Data'!$F$2:$F$1501),1),'Raw Data'!F309)</f>
        <v>6</v>
      </c>
      <c r="G309" s="21" t="str">
        <f>'Raw Data'!G309</f>
        <v>UPI</v>
      </c>
      <c r="H309" s="21" t="str">
        <f>'Raw Data'!H309</f>
        <v>Male</v>
      </c>
      <c r="I309" s="21">
        <f>IF('Raw Data'!I309="",ROUND(AVERAGE('Raw Data'!$I$2:$I$1501),1),'Raw Data'!I309)</f>
        <v>2.5</v>
      </c>
      <c r="J309" s="21">
        <f>'Raw Data'!J309</f>
        <v>3</v>
      </c>
      <c r="K309" s="21" t="str">
        <f>'Raw Data'!K309</f>
        <v>Laptop &amp; Accessory</v>
      </c>
      <c r="L309" s="21">
        <f>'Raw Data'!L309</f>
        <v>3</v>
      </c>
      <c r="M309" s="21" t="str">
        <f>'Raw Data'!M309</f>
        <v>Single</v>
      </c>
      <c r="N309" s="21">
        <f>'Raw Data'!N309</f>
        <v>1</v>
      </c>
      <c r="O309" s="21">
        <f>'Raw Data'!O309</f>
        <v>0</v>
      </c>
      <c r="P309" s="21">
        <f>IF('Raw Data'!P309="",ROUND(AVERAGE('Raw Data'!$P$2:$P$1501),1),'Raw Data'!P309)</f>
        <v>20.6</v>
      </c>
      <c r="Q309" s="21">
        <f>IF('Raw Data'!Q309="",ROUND(AVERAGE('Raw Data'!$Q$2:$Q$1501),0),'Raw Data'!Q309)</f>
        <v>1</v>
      </c>
      <c r="R309" s="21">
        <f>'Raw Data'!R309</f>
        <v>4</v>
      </c>
      <c r="S309" s="21">
        <f>IF('Raw Data'!S309="",ROUND(AVERAGE('Raw Data'!$S$2:$S$1501),0),'Raw Data'!S309)</f>
        <v>3</v>
      </c>
      <c r="T309" s="21">
        <f>'Raw Data'!T309</f>
        <v>215.3</v>
      </c>
      <c r="U309" s="21" t="str">
        <f>INDEX('Lookup Tables'!$C$7:$C$9,MATCH(E309,'Lookup Tables'!$B$7:$B$9,0))</f>
        <v>Tier 2 (Urban)</v>
      </c>
      <c r="V309" s="21" t="str">
        <f t="shared" si="12"/>
        <v>0-6 months</v>
      </c>
      <c r="W309" s="21" t="str">
        <f t="shared" si="13"/>
        <v>Medium Risk</v>
      </c>
      <c r="X309" s="21" t="str">
        <f t="shared" si="14"/>
        <v>No</v>
      </c>
    </row>
    <row r="310" spans="1:24" x14ac:dyDescent="0.3">
      <c r="A310" s="21">
        <f>'Raw Data'!A310</f>
        <v>50309</v>
      </c>
      <c r="B310" s="21">
        <f>'Raw Data'!B310</f>
        <v>0</v>
      </c>
      <c r="C310" s="21">
        <f>'Raw Data'!C310</f>
        <v>5</v>
      </c>
      <c r="D310" s="21" t="str">
        <f>'Raw Data'!D310</f>
        <v>Phone</v>
      </c>
      <c r="E310" s="21">
        <f>'Raw Data'!E310</f>
        <v>1</v>
      </c>
      <c r="F310" s="21">
        <f>IF('Raw Data'!F310="",ROUND(AVERAGE('Raw Data'!$F$2:$F$1501),1),'Raw Data'!F310)</f>
        <v>23</v>
      </c>
      <c r="G310" s="21" t="str">
        <f>'Raw Data'!G310</f>
        <v>Debit Card</v>
      </c>
      <c r="H310" s="21" t="str">
        <f>'Raw Data'!H310</f>
        <v>Female</v>
      </c>
      <c r="I310" s="21">
        <f>IF('Raw Data'!I310="",ROUND(AVERAGE('Raw Data'!$I$2:$I$1501),1),'Raw Data'!I310)</f>
        <v>3.2</v>
      </c>
      <c r="J310" s="21">
        <f>'Raw Data'!J310</f>
        <v>4</v>
      </c>
      <c r="K310" s="21" t="str">
        <f>'Raw Data'!K310</f>
        <v>Mobile Phone</v>
      </c>
      <c r="L310" s="21">
        <f>'Raw Data'!L310</f>
        <v>3</v>
      </c>
      <c r="M310" s="21" t="str">
        <f>'Raw Data'!M310</f>
        <v>Married</v>
      </c>
      <c r="N310" s="21">
        <f>'Raw Data'!N310</f>
        <v>1</v>
      </c>
      <c r="O310" s="21">
        <f>'Raw Data'!O310</f>
        <v>0</v>
      </c>
      <c r="P310" s="21">
        <f>IF('Raw Data'!P310="",ROUND(AVERAGE('Raw Data'!$P$2:$P$1501),1),'Raw Data'!P310)</f>
        <v>12.1</v>
      </c>
      <c r="Q310" s="21">
        <f>IF('Raw Data'!Q310="",ROUND(AVERAGE('Raw Data'!$Q$2:$Q$1501),0),'Raw Data'!Q310)</f>
        <v>0</v>
      </c>
      <c r="R310" s="21">
        <f>'Raw Data'!R310</f>
        <v>2</v>
      </c>
      <c r="S310" s="21">
        <f>IF('Raw Data'!S310="",ROUND(AVERAGE('Raw Data'!$S$2:$S$1501),0),'Raw Data'!S310)</f>
        <v>7</v>
      </c>
      <c r="T310" s="21">
        <f>'Raw Data'!T310</f>
        <v>178.34</v>
      </c>
      <c r="U310" s="21" t="str">
        <f>INDEX('Lookup Tables'!$C$7:$C$9,MATCH(E310,'Lookup Tables'!$B$7:$B$9,0))</f>
        <v>Tier 1 (Metro)</v>
      </c>
      <c r="V310" s="21" t="str">
        <f t="shared" si="12"/>
        <v>0-6 months</v>
      </c>
      <c r="W310" s="21" t="str">
        <f t="shared" si="13"/>
        <v>Medium Risk</v>
      </c>
      <c r="X310" s="21" t="str">
        <f t="shared" si="14"/>
        <v>No</v>
      </c>
    </row>
    <row r="311" spans="1:24" x14ac:dyDescent="0.3">
      <c r="A311" s="21">
        <f>'Raw Data'!A311</f>
        <v>50310</v>
      </c>
      <c r="B311" s="21">
        <f>'Raw Data'!B311</f>
        <v>0</v>
      </c>
      <c r="C311" s="21">
        <f>'Raw Data'!C311</f>
        <v>14</v>
      </c>
      <c r="D311" s="21" t="str">
        <f>'Raw Data'!D311</f>
        <v>Computer</v>
      </c>
      <c r="E311" s="21">
        <f>'Raw Data'!E311</f>
        <v>1</v>
      </c>
      <c r="F311" s="21">
        <f>IF('Raw Data'!F311="",ROUND(AVERAGE('Raw Data'!$F$2:$F$1501),1),'Raw Data'!F311)</f>
        <v>23</v>
      </c>
      <c r="G311" s="21" t="str">
        <f>'Raw Data'!G311</f>
        <v>Debit Card</v>
      </c>
      <c r="H311" s="21" t="str">
        <f>'Raw Data'!H311</f>
        <v>Male</v>
      </c>
      <c r="I311" s="21">
        <f>IF('Raw Data'!I311="",ROUND(AVERAGE('Raw Data'!$I$2:$I$1501),1),'Raw Data'!I311)</f>
        <v>3.4</v>
      </c>
      <c r="J311" s="21">
        <f>'Raw Data'!J311</f>
        <v>3</v>
      </c>
      <c r="K311" s="21" t="str">
        <f>'Raw Data'!K311</f>
        <v>Fashion</v>
      </c>
      <c r="L311" s="21">
        <f>'Raw Data'!L311</f>
        <v>2</v>
      </c>
      <c r="M311" s="21" t="str">
        <f>'Raw Data'!M311</f>
        <v>Single</v>
      </c>
      <c r="N311" s="21">
        <f>'Raw Data'!N311</f>
        <v>5</v>
      </c>
      <c r="O311" s="21">
        <f>'Raw Data'!O311</f>
        <v>0</v>
      </c>
      <c r="P311" s="21">
        <f>IF('Raw Data'!P311="",ROUND(AVERAGE('Raw Data'!$P$2:$P$1501),1),'Raw Data'!P311)</f>
        <v>13.3</v>
      </c>
      <c r="Q311" s="21">
        <f>IF('Raw Data'!Q311="",ROUND(AVERAGE('Raw Data'!$Q$2:$Q$1501),0),'Raw Data'!Q311)</f>
        <v>2</v>
      </c>
      <c r="R311" s="21">
        <f>'Raw Data'!R311</f>
        <v>5</v>
      </c>
      <c r="S311" s="21">
        <f>IF('Raw Data'!S311="",ROUND(AVERAGE('Raw Data'!$S$2:$S$1501),0),'Raw Data'!S311)</f>
        <v>8</v>
      </c>
      <c r="T311" s="21">
        <f>'Raw Data'!T311</f>
        <v>136.4</v>
      </c>
      <c r="U311" s="21" t="str">
        <f>INDEX('Lookup Tables'!$C$7:$C$9,MATCH(E311,'Lookup Tables'!$B$7:$B$9,0))</f>
        <v>Tier 1 (Metro)</v>
      </c>
      <c r="V311" s="21" t="str">
        <f t="shared" si="12"/>
        <v>13-24 months</v>
      </c>
      <c r="W311" s="21" t="str">
        <f t="shared" si="13"/>
        <v>Low Risk</v>
      </c>
      <c r="X311" s="21" t="str">
        <f t="shared" si="14"/>
        <v>No</v>
      </c>
    </row>
    <row r="312" spans="1:24" x14ac:dyDescent="0.3">
      <c r="A312" s="21">
        <f>'Raw Data'!A312</f>
        <v>50311</v>
      </c>
      <c r="B312" s="21">
        <f>'Raw Data'!B312</f>
        <v>0</v>
      </c>
      <c r="C312" s="21">
        <f>'Raw Data'!C312</f>
        <v>11</v>
      </c>
      <c r="D312" s="21" t="str">
        <f>'Raw Data'!D312</f>
        <v>Mobile Phone</v>
      </c>
      <c r="E312" s="21">
        <f>'Raw Data'!E312</f>
        <v>3</v>
      </c>
      <c r="F312" s="21">
        <f>IF('Raw Data'!F312="",ROUND(AVERAGE('Raw Data'!$F$2:$F$1501),1),'Raw Data'!F312)</f>
        <v>19</v>
      </c>
      <c r="G312" s="21" t="str">
        <f>'Raw Data'!G312</f>
        <v>Credit Card</v>
      </c>
      <c r="H312" s="21" t="str">
        <f>'Raw Data'!H312</f>
        <v>Female</v>
      </c>
      <c r="I312" s="21">
        <f>IF('Raw Data'!I312="",ROUND(AVERAGE('Raw Data'!$I$2:$I$1501),1),'Raw Data'!I312)</f>
        <v>4.4000000000000004</v>
      </c>
      <c r="J312" s="21">
        <f>'Raw Data'!J312</f>
        <v>3</v>
      </c>
      <c r="K312" s="21" t="str">
        <f>'Raw Data'!K312</f>
        <v>Laptop &amp; Accessory</v>
      </c>
      <c r="L312" s="21">
        <f>'Raw Data'!L312</f>
        <v>2</v>
      </c>
      <c r="M312" s="21" t="str">
        <f>'Raw Data'!M312</f>
        <v>Single</v>
      </c>
      <c r="N312" s="21">
        <f>'Raw Data'!N312</f>
        <v>14</v>
      </c>
      <c r="O312" s="21">
        <f>'Raw Data'!O312</f>
        <v>0</v>
      </c>
      <c r="P312" s="21">
        <f>IF('Raw Data'!P312="",ROUND(AVERAGE('Raw Data'!$P$2:$P$1501),1),'Raw Data'!P312)</f>
        <v>19.899999999999999</v>
      </c>
      <c r="Q312" s="21">
        <f>IF('Raw Data'!Q312="",ROUND(AVERAGE('Raw Data'!$Q$2:$Q$1501),0),'Raw Data'!Q312)</f>
        <v>2</v>
      </c>
      <c r="R312" s="21">
        <f>'Raw Data'!R312</f>
        <v>8</v>
      </c>
      <c r="S312" s="21">
        <f>IF('Raw Data'!S312="",ROUND(AVERAGE('Raw Data'!$S$2:$S$1501),0),'Raw Data'!S312)</f>
        <v>5</v>
      </c>
      <c r="T312" s="21">
        <f>'Raw Data'!T312</f>
        <v>221.83</v>
      </c>
      <c r="U312" s="21" t="str">
        <f>INDEX('Lookup Tables'!$C$7:$C$9,MATCH(E312,'Lookup Tables'!$B$7:$B$9,0))</f>
        <v>Tier 3 (Semi-urban/Rural)</v>
      </c>
      <c r="V312" s="21" t="str">
        <f t="shared" si="12"/>
        <v>7-12 months</v>
      </c>
      <c r="W312" s="21" t="str">
        <f t="shared" si="13"/>
        <v>Low Risk</v>
      </c>
      <c r="X312" s="21" t="str">
        <f t="shared" si="14"/>
        <v>No</v>
      </c>
    </row>
    <row r="313" spans="1:24" x14ac:dyDescent="0.3">
      <c r="A313" s="21">
        <f>'Raw Data'!A313</f>
        <v>50312</v>
      </c>
      <c r="B313" s="21">
        <f>'Raw Data'!B313</f>
        <v>0</v>
      </c>
      <c r="C313" s="21">
        <f>'Raw Data'!C313</f>
        <v>1</v>
      </c>
      <c r="D313" s="21" t="str">
        <f>'Raw Data'!D313</f>
        <v>Phone</v>
      </c>
      <c r="E313" s="21">
        <f>'Raw Data'!E313</f>
        <v>1</v>
      </c>
      <c r="F313" s="21">
        <f>IF('Raw Data'!F313="",ROUND(AVERAGE('Raw Data'!$F$2:$F$1501),1),'Raw Data'!F313)</f>
        <v>17</v>
      </c>
      <c r="G313" s="21" t="str">
        <f>'Raw Data'!G313</f>
        <v>Cash on Delivery</v>
      </c>
      <c r="H313" s="21" t="str">
        <f>'Raw Data'!H313</f>
        <v>Male</v>
      </c>
      <c r="I313" s="21">
        <f>IF('Raw Data'!I313="",ROUND(AVERAGE('Raw Data'!$I$2:$I$1501),1),'Raw Data'!I313)</f>
        <v>3.6</v>
      </c>
      <c r="J313" s="21">
        <f>'Raw Data'!J313</f>
        <v>4</v>
      </c>
      <c r="K313" s="21" t="str">
        <f>'Raw Data'!K313</f>
        <v>Laptop &amp; Accessory</v>
      </c>
      <c r="L313" s="21">
        <f>'Raw Data'!L313</f>
        <v>4</v>
      </c>
      <c r="M313" s="21" t="str">
        <f>'Raw Data'!M313</f>
        <v>Married</v>
      </c>
      <c r="N313" s="21">
        <f>'Raw Data'!N313</f>
        <v>1</v>
      </c>
      <c r="O313" s="21">
        <f>'Raw Data'!O313</f>
        <v>0</v>
      </c>
      <c r="P313" s="21">
        <f>IF('Raw Data'!P313="",ROUND(AVERAGE('Raw Data'!$P$2:$P$1501),1),'Raw Data'!P313)</f>
        <v>13.9</v>
      </c>
      <c r="Q313" s="21">
        <f>IF('Raw Data'!Q313="",ROUND(AVERAGE('Raw Data'!$Q$2:$Q$1501),0),'Raw Data'!Q313)</f>
        <v>1</v>
      </c>
      <c r="R313" s="21">
        <f>'Raw Data'!R313</f>
        <v>1</v>
      </c>
      <c r="S313" s="21">
        <f>IF('Raw Data'!S313="",ROUND(AVERAGE('Raw Data'!$S$2:$S$1501),0),'Raw Data'!S313)</f>
        <v>1</v>
      </c>
      <c r="T313" s="21">
        <f>'Raw Data'!T313</f>
        <v>181.84</v>
      </c>
      <c r="U313" s="21" t="str">
        <f>INDEX('Lookup Tables'!$C$7:$C$9,MATCH(E313,'Lookup Tables'!$B$7:$B$9,0))</f>
        <v>Tier 1 (Metro)</v>
      </c>
      <c r="V313" s="21" t="str">
        <f t="shared" si="12"/>
        <v>0-6 months</v>
      </c>
      <c r="W313" s="21" t="str">
        <f t="shared" si="13"/>
        <v>Low Risk</v>
      </c>
      <c r="X313" s="21" t="str">
        <f t="shared" si="14"/>
        <v>No</v>
      </c>
    </row>
    <row r="314" spans="1:24" x14ac:dyDescent="0.3">
      <c r="A314" s="21">
        <f>'Raw Data'!A314</f>
        <v>50313</v>
      </c>
      <c r="B314" s="21">
        <f>'Raw Data'!B314</f>
        <v>0</v>
      </c>
      <c r="C314" s="21">
        <f>'Raw Data'!C314</f>
        <v>16</v>
      </c>
      <c r="D314" s="21" t="str">
        <f>'Raw Data'!D314</f>
        <v>Mobile Phone</v>
      </c>
      <c r="E314" s="21">
        <f>'Raw Data'!E314</f>
        <v>3</v>
      </c>
      <c r="F314" s="21">
        <f>IF('Raw Data'!F314="",ROUND(AVERAGE('Raw Data'!$F$2:$F$1501),1),'Raw Data'!F314)</f>
        <v>29</v>
      </c>
      <c r="G314" s="21" t="str">
        <f>'Raw Data'!G314</f>
        <v>Credit Card</v>
      </c>
      <c r="H314" s="21" t="str">
        <f>'Raw Data'!H314</f>
        <v>Male</v>
      </c>
      <c r="I314" s="21">
        <f>IF('Raw Data'!I314="",ROUND(AVERAGE('Raw Data'!$I$2:$I$1501),1),'Raw Data'!I314)</f>
        <v>2.9</v>
      </c>
      <c r="J314" s="21">
        <f>'Raw Data'!J314</f>
        <v>2</v>
      </c>
      <c r="K314" s="21" t="str">
        <f>'Raw Data'!K314</f>
        <v>Laptop &amp; Accessory</v>
      </c>
      <c r="L314" s="21">
        <f>'Raw Data'!L314</f>
        <v>5</v>
      </c>
      <c r="M314" s="21" t="str">
        <f>'Raw Data'!M314</f>
        <v>Single</v>
      </c>
      <c r="N314" s="21">
        <f>'Raw Data'!N314</f>
        <v>1</v>
      </c>
      <c r="O314" s="21">
        <f>'Raw Data'!O314</f>
        <v>0</v>
      </c>
      <c r="P314" s="21">
        <f>IF('Raw Data'!P314="",ROUND(AVERAGE('Raw Data'!$P$2:$P$1501),1),'Raw Data'!P314)</f>
        <v>11</v>
      </c>
      <c r="Q314" s="21">
        <f>IF('Raw Data'!Q314="",ROUND(AVERAGE('Raw Data'!$Q$2:$Q$1501),0),'Raw Data'!Q314)</f>
        <v>2</v>
      </c>
      <c r="R314" s="21">
        <f>'Raw Data'!R314</f>
        <v>6</v>
      </c>
      <c r="S314" s="21">
        <f>IF('Raw Data'!S314="",ROUND(AVERAGE('Raw Data'!$S$2:$S$1501),0),'Raw Data'!S314)</f>
        <v>8</v>
      </c>
      <c r="T314" s="21">
        <f>'Raw Data'!T314</f>
        <v>100.75</v>
      </c>
      <c r="U314" s="21" t="str">
        <f>INDEX('Lookup Tables'!$C$7:$C$9,MATCH(E314,'Lookup Tables'!$B$7:$B$9,0))</f>
        <v>Tier 3 (Semi-urban/Rural)</v>
      </c>
      <c r="V314" s="21" t="str">
        <f t="shared" si="12"/>
        <v>13-24 months</v>
      </c>
      <c r="W314" s="21" t="str">
        <f t="shared" si="13"/>
        <v>Low Risk</v>
      </c>
      <c r="X314" s="21" t="str">
        <f t="shared" si="14"/>
        <v>No</v>
      </c>
    </row>
    <row r="315" spans="1:24" x14ac:dyDescent="0.3">
      <c r="A315" s="21">
        <f>'Raw Data'!A315</f>
        <v>50314</v>
      </c>
      <c r="B315" s="21">
        <f>'Raw Data'!B315</f>
        <v>0</v>
      </c>
      <c r="C315" s="21">
        <f>'Raw Data'!C315</f>
        <v>2</v>
      </c>
      <c r="D315" s="21" t="str">
        <f>'Raw Data'!D315</f>
        <v>Mobile Phone</v>
      </c>
      <c r="E315" s="21">
        <f>'Raw Data'!E315</f>
        <v>1</v>
      </c>
      <c r="F315" s="21">
        <f>IF('Raw Data'!F315="",ROUND(AVERAGE('Raw Data'!$F$2:$F$1501),1),'Raw Data'!F315)</f>
        <v>14</v>
      </c>
      <c r="G315" s="21" t="str">
        <f>'Raw Data'!G315</f>
        <v>Debit Card</v>
      </c>
      <c r="H315" s="21" t="str">
        <f>'Raw Data'!H315</f>
        <v>Male</v>
      </c>
      <c r="I315" s="21">
        <f>IF('Raw Data'!I315="",ROUND(AVERAGE('Raw Data'!$I$2:$I$1501),1),'Raw Data'!I315)</f>
        <v>2.2999999999999998</v>
      </c>
      <c r="J315" s="21">
        <f>'Raw Data'!J315</f>
        <v>3</v>
      </c>
      <c r="K315" s="21" t="str">
        <f>'Raw Data'!K315</f>
        <v>Laptop &amp; Accessory</v>
      </c>
      <c r="L315" s="21">
        <f>'Raw Data'!L315</f>
        <v>2</v>
      </c>
      <c r="M315" s="21" t="str">
        <f>'Raw Data'!M315</f>
        <v>Single</v>
      </c>
      <c r="N315" s="21">
        <f>'Raw Data'!N315</f>
        <v>5</v>
      </c>
      <c r="O315" s="21">
        <f>'Raw Data'!O315</f>
        <v>1</v>
      </c>
      <c r="P315" s="21">
        <f>IF('Raw Data'!P315="",ROUND(AVERAGE('Raw Data'!$P$2:$P$1501),1),'Raw Data'!P315)</f>
        <v>17.899999999999999</v>
      </c>
      <c r="Q315" s="21">
        <f>IF('Raw Data'!Q315="",ROUND(AVERAGE('Raw Data'!$Q$2:$Q$1501),0),'Raw Data'!Q315)</f>
        <v>0</v>
      </c>
      <c r="R315" s="21">
        <f>'Raw Data'!R315</f>
        <v>4</v>
      </c>
      <c r="S315" s="21">
        <f>IF('Raw Data'!S315="",ROUND(AVERAGE('Raw Data'!$S$2:$S$1501),0),'Raw Data'!S315)</f>
        <v>6</v>
      </c>
      <c r="T315" s="21">
        <f>'Raw Data'!T315</f>
        <v>62.56</v>
      </c>
      <c r="U315" s="21" t="str">
        <f>INDEX('Lookup Tables'!$C$7:$C$9,MATCH(E315,'Lookup Tables'!$B$7:$B$9,0))</f>
        <v>Tier 1 (Metro)</v>
      </c>
      <c r="V315" s="21" t="str">
        <f t="shared" si="12"/>
        <v>0-6 months</v>
      </c>
      <c r="W315" s="21" t="str">
        <f t="shared" si="13"/>
        <v>High Risk</v>
      </c>
      <c r="X315" s="21" t="str">
        <f t="shared" si="14"/>
        <v>No</v>
      </c>
    </row>
    <row r="316" spans="1:24" x14ac:dyDescent="0.3">
      <c r="A316" s="21">
        <f>'Raw Data'!A316</f>
        <v>50315</v>
      </c>
      <c r="B316" s="21">
        <f>'Raw Data'!B316</f>
        <v>1</v>
      </c>
      <c r="C316" s="21">
        <f>'Raw Data'!C316</f>
        <v>2</v>
      </c>
      <c r="D316" s="21" t="str">
        <f>'Raw Data'!D316</f>
        <v>Computer</v>
      </c>
      <c r="E316" s="21">
        <f>'Raw Data'!E316</f>
        <v>1</v>
      </c>
      <c r="F316" s="21">
        <f>IF('Raw Data'!F316="",ROUND(AVERAGE('Raw Data'!$F$2:$F$1501),1),'Raw Data'!F316)</f>
        <v>5</v>
      </c>
      <c r="G316" s="21" t="str">
        <f>'Raw Data'!G316</f>
        <v>E wallet</v>
      </c>
      <c r="H316" s="21" t="str">
        <f>'Raw Data'!H316</f>
        <v>Male</v>
      </c>
      <c r="I316" s="21">
        <f>IF('Raw Data'!I316="",ROUND(AVERAGE('Raw Data'!$I$2:$I$1501),1),'Raw Data'!I316)</f>
        <v>2.5</v>
      </c>
      <c r="J316" s="21">
        <f>'Raw Data'!J316</f>
        <v>4</v>
      </c>
      <c r="K316" s="21" t="str">
        <f>'Raw Data'!K316</f>
        <v>Laptop &amp; Accessory</v>
      </c>
      <c r="L316" s="21">
        <f>'Raw Data'!L316</f>
        <v>2</v>
      </c>
      <c r="M316" s="21" t="str">
        <f>'Raw Data'!M316</f>
        <v>Married</v>
      </c>
      <c r="N316" s="21">
        <f>'Raw Data'!N316</f>
        <v>3</v>
      </c>
      <c r="O316" s="21">
        <f>'Raw Data'!O316</f>
        <v>0</v>
      </c>
      <c r="P316" s="21">
        <f>IF('Raw Data'!P316="",ROUND(AVERAGE('Raw Data'!$P$2:$P$1501),1),'Raw Data'!P316)</f>
        <v>14.1</v>
      </c>
      <c r="Q316" s="21">
        <f>IF('Raw Data'!Q316="",ROUND(AVERAGE('Raw Data'!$Q$2:$Q$1501),0),'Raw Data'!Q316)</f>
        <v>2</v>
      </c>
      <c r="R316" s="21">
        <f>'Raw Data'!R316</f>
        <v>6</v>
      </c>
      <c r="S316" s="21">
        <f>IF('Raw Data'!S316="",ROUND(AVERAGE('Raw Data'!$S$2:$S$1501),0),'Raw Data'!S316)</f>
        <v>6</v>
      </c>
      <c r="T316" s="21">
        <f>'Raw Data'!T316</f>
        <v>196.38</v>
      </c>
      <c r="U316" s="21" t="str">
        <f>INDEX('Lookup Tables'!$C$7:$C$9,MATCH(E316,'Lookup Tables'!$B$7:$B$9,0))</f>
        <v>Tier 1 (Metro)</v>
      </c>
      <c r="V316" s="21" t="str">
        <f t="shared" si="12"/>
        <v>0-6 months</v>
      </c>
      <c r="W316" s="21" t="str">
        <f t="shared" si="13"/>
        <v>Low Risk</v>
      </c>
      <c r="X316" s="21" t="str">
        <f t="shared" si="14"/>
        <v>Yes</v>
      </c>
    </row>
    <row r="317" spans="1:24" x14ac:dyDescent="0.3">
      <c r="A317" s="21">
        <f>'Raw Data'!A317</f>
        <v>50316</v>
      </c>
      <c r="B317" s="21">
        <f>'Raw Data'!B317</f>
        <v>0</v>
      </c>
      <c r="C317" s="21">
        <f>'Raw Data'!C317</f>
        <v>7</v>
      </c>
      <c r="D317" s="21" t="str">
        <f>'Raw Data'!D317</f>
        <v>Mobile Phone</v>
      </c>
      <c r="E317" s="21">
        <f>'Raw Data'!E317</f>
        <v>3</v>
      </c>
      <c r="F317" s="21">
        <f>IF('Raw Data'!F317="",ROUND(AVERAGE('Raw Data'!$F$2:$F$1501),1),'Raw Data'!F317)</f>
        <v>18</v>
      </c>
      <c r="G317" s="21" t="str">
        <f>'Raw Data'!G317</f>
        <v>Cash on Delivery</v>
      </c>
      <c r="H317" s="21" t="str">
        <f>'Raw Data'!H317</f>
        <v>Male</v>
      </c>
      <c r="I317" s="21">
        <f>IF('Raw Data'!I317="",ROUND(AVERAGE('Raw Data'!$I$2:$I$1501),1),'Raw Data'!I317)</f>
        <v>2.5</v>
      </c>
      <c r="J317" s="21">
        <f>'Raw Data'!J317</f>
        <v>5</v>
      </c>
      <c r="K317" s="21" t="str">
        <f>'Raw Data'!K317</f>
        <v>Mobile Phone</v>
      </c>
      <c r="L317" s="21">
        <f>'Raw Data'!L317</f>
        <v>1</v>
      </c>
      <c r="M317" s="21" t="str">
        <f>'Raw Data'!M317</f>
        <v>Married</v>
      </c>
      <c r="N317" s="21">
        <f>'Raw Data'!N317</f>
        <v>11</v>
      </c>
      <c r="O317" s="21">
        <f>'Raw Data'!O317</f>
        <v>0</v>
      </c>
      <c r="P317" s="21">
        <f>IF('Raw Data'!P317="",ROUND(AVERAGE('Raw Data'!$P$2:$P$1501),1),'Raw Data'!P317)</f>
        <v>22.3</v>
      </c>
      <c r="Q317" s="21">
        <f>IF('Raw Data'!Q317="",ROUND(AVERAGE('Raw Data'!$Q$2:$Q$1501),0),'Raw Data'!Q317)</f>
        <v>0</v>
      </c>
      <c r="R317" s="21">
        <f>'Raw Data'!R317</f>
        <v>4</v>
      </c>
      <c r="S317" s="21">
        <f>IF('Raw Data'!S317="",ROUND(AVERAGE('Raw Data'!$S$2:$S$1501),0),'Raw Data'!S317)</f>
        <v>0</v>
      </c>
      <c r="T317" s="21">
        <f>'Raw Data'!T317</f>
        <v>134.38</v>
      </c>
      <c r="U317" s="21" t="str">
        <f>INDEX('Lookup Tables'!$C$7:$C$9,MATCH(E317,'Lookup Tables'!$B$7:$B$9,0))</f>
        <v>Tier 3 (Semi-urban/Rural)</v>
      </c>
      <c r="V317" s="21" t="str">
        <f t="shared" si="12"/>
        <v>7-12 months</v>
      </c>
      <c r="W317" s="21" t="str">
        <f t="shared" si="13"/>
        <v>Low Risk</v>
      </c>
      <c r="X317" s="21" t="str">
        <f t="shared" si="14"/>
        <v>No</v>
      </c>
    </row>
    <row r="318" spans="1:24" x14ac:dyDescent="0.3">
      <c r="A318" s="21">
        <f>'Raw Data'!A318</f>
        <v>50317</v>
      </c>
      <c r="B318" s="21">
        <f>'Raw Data'!B318</f>
        <v>0</v>
      </c>
      <c r="C318" s="21">
        <f>'Raw Data'!C318</f>
        <v>8</v>
      </c>
      <c r="D318" s="21" t="str">
        <f>'Raw Data'!D318</f>
        <v>Phone</v>
      </c>
      <c r="E318" s="21">
        <f>'Raw Data'!E318</f>
        <v>1</v>
      </c>
      <c r="F318" s="21">
        <f>IF('Raw Data'!F318="",ROUND(AVERAGE('Raw Data'!$F$2:$F$1501),1),'Raw Data'!F318)</f>
        <v>31</v>
      </c>
      <c r="G318" s="21" t="str">
        <f>'Raw Data'!G318</f>
        <v>UPI</v>
      </c>
      <c r="H318" s="21" t="str">
        <f>'Raw Data'!H318</f>
        <v>Male</v>
      </c>
      <c r="I318" s="21">
        <f>IF('Raw Data'!I318="",ROUND(AVERAGE('Raw Data'!$I$2:$I$1501),1),'Raw Data'!I318)</f>
        <v>3.4</v>
      </c>
      <c r="J318" s="21">
        <f>'Raw Data'!J318</f>
        <v>4</v>
      </c>
      <c r="K318" s="21" t="str">
        <f>'Raw Data'!K318</f>
        <v>Fashion</v>
      </c>
      <c r="L318" s="21">
        <f>'Raw Data'!L318</f>
        <v>4</v>
      </c>
      <c r="M318" s="21" t="str">
        <f>'Raw Data'!M318</f>
        <v>Married</v>
      </c>
      <c r="N318" s="21">
        <f>'Raw Data'!N318</f>
        <v>1</v>
      </c>
      <c r="O318" s="21">
        <f>'Raw Data'!O318</f>
        <v>0</v>
      </c>
      <c r="P318" s="21">
        <f>IF('Raw Data'!P318="",ROUND(AVERAGE('Raw Data'!$P$2:$P$1501),1),'Raw Data'!P318)</f>
        <v>17</v>
      </c>
      <c r="Q318" s="21">
        <f>IF('Raw Data'!Q318="",ROUND(AVERAGE('Raw Data'!$Q$2:$Q$1501),0),'Raw Data'!Q318)</f>
        <v>4</v>
      </c>
      <c r="R318" s="21">
        <f>'Raw Data'!R318</f>
        <v>3</v>
      </c>
      <c r="S318" s="21">
        <f>IF('Raw Data'!S318="",ROUND(AVERAGE('Raw Data'!$S$2:$S$1501),0),'Raw Data'!S318)</f>
        <v>0</v>
      </c>
      <c r="T318" s="21">
        <f>'Raw Data'!T318</f>
        <v>203.71</v>
      </c>
      <c r="U318" s="21" t="str">
        <f>INDEX('Lookup Tables'!$C$7:$C$9,MATCH(E318,'Lookup Tables'!$B$7:$B$9,0))</f>
        <v>Tier 1 (Metro)</v>
      </c>
      <c r="V318" s="21" t="str">
        <f t="shared" si="12"/>
        <v>7-12 months</v>
      </c>
      <c r="W318" s="21" t="str">
        <f t="shared" si="13"/>
        <v>Low Risk</v>
      </c>
      <c r="X318" s="21" t="str">
        <f t="shared" si="14"/>
        <v>No</v>
      </c>
    </row>
    <row r="319" spans="1:24" x14ac:dyDescent="0.3">
      <c r="A319" s="21">
        <f>'Raw Data'!A319</f>
        <v>50318</v>
      </c>
      <c r="B319" s="21">
        <f>'Raw Data'!B319</f>
        <v>1</v>
      </c>
      <c r="C319" s="21">
        <f>'Raw Data'!C319</f>
        <v>8</v>
      </c>
      <c r="D319" s="21" t="str">
        <f>'Raw Data'!D319</f>
        <v>Phone</v>
      </c>
      <c r="E319" s="21">
        <f>'Raw Data'!E319</f>
        <v>1</v>
      </c>
      <c r="F319" s="21">
        <f>IF('Raw Data'!F319="",ROUND(AVERAGE('Raw Data'!$F$2:$F$1501),1),'Raw Data'!F319)</f>
        <v>6</v>
      </c>
      <c r="G319" s="21" t="str">
        <f>'Raw Data'!G319</f>
        <v>Cash on Delivery</v>
      </c>
      <c r="H319" s="21" t="str">
        <f>'Raw Data'!H319</f>
        <v>Male</v>
      </c>
      <c r="I319" s="21">
        <f>IF('Raw Data'!I319="",ROUND(AVERAGE('Raw Data'!$I$2:$I$1501),1),'Raw Data'!I319)</f>
        <v>3.1</v>
      </c>
      <c r="J319" s="21">
        <f>'Raw Data'!J319</f>
        <v>4</v>
      </c>
      <c r="K319" s="21" t="str">
        <f>'Raw Data'!K319</f>
        <v>Mobile Phone</v>
      </c>
      <c r="L319" s="21">
        <f>'Raw Data'!L319</f>
        <v>4</v>
      </c>
      <c r="M319" s="21" t="str">
        <f>'Raw Data'!M319</f>
        <v>Married</v>
      </c>
      <c r="N319" s="21">
        <f>'Raw Data'!N319</f>
        <v>1</v>
      </c>
      <c r="O319" s="21">
        <f>'Raw Data'!O319</f>
        <v>1</v>
      </c>
      <c r="P319" s="21">
        <f>IF('Raw Data'!P319="",ROUND(AVERAGE('Raw Data'!$P$2:$P$1501),1),'Raw Data'!P319)</f>
        <v>16.600000000000001</v>
      </c>
      <c r="Q319" s="21">
        <f>IF('Raw Data'!Q319="",ROUND(AVERAGE('Raw Data'!$Q$2:$Q$1501),0),'Raw Data'!Q319)</f>
        <v>1</v>
      </c>
      <c r="R319" s="21">
        <f>'Raw Data'!R319</f>
        <v>4</v>
      </c>
      <c r="S319" s="21">
        <f>IF('Raw Data'!S319="",ROUND(AVERAGE('Raw Data'!$S$2:$S$1501),0),'Raw Data'!S319)</f>
        <v>5</v>
      </c>
      <c r="T319" s="21">
        <f>'Raw Data'!T319</f>
        <v>137.34</v>
      </c>
      <c r="U319" s="21" t="str">
        <f>INDEX('Lookup Tables'!$C$7:$C$9,MATCH(E319,'Lookup Tables'!$B$7:$B$9,0))</f>
        <v>Tier 1 (Metro)</v>
      </c>
      <c r="V319" s="21" t="str">
        <f t="shared" si="12"/>
        <v>7-12 months</v>
      </c>
      <c r="W319" s="21" t="str">
        <f t="shared" si="13"/>
        <v>Low Risk</v>
      </c>
      <c r="X319" s="21" t="str">
        <f t="shared" si="14"/>
        <v>Yes</v>
      </c>
    </row>
    <row r="320" spans="1:24" x14ac:dyDescent="0.3">
      <c r="A320" s="21">
        <f>'Raw Data'!A320</f>
        <v>50319</v>
      </c>
      <c r="B320" s="21">
        <f>'Raw Data'!B320</f>
        <v>0</v>
      </c>
      <c r="C320" s="21">
        <f>'Raw Data'!C320</f>
        <v>0</v>
      </c>
      <c r="D320" s="21" t="str">
        <f>'Raw Data'!D320</f>
        <v>Phone</v>
      </c>
      <c r="E320" s="21">
        <f>'Raw Data'!E320</f>
        <v>1</v>
      </c>
      <c r="F320" s="21">
        <f>IF('Raw Data'!F320="",ROUND(AVERAGE('Raw Data'!$F$2:$F$1501),1),'Raw Data'!F320)</f>
        <v>12</v>
      </c>
      <c r="G320" s="21" t="str">
        <f>'Raw Data'!G320</f>
        <v>Debit Card</v>
      </c>
      <c r="H320" s="21" t="str">
        <f>'Raw Data'!H320</f>
        <v>Male</v>
      </c>
      <c r="I320" s="21">
        <f>IF('Raw Data'!I320="",ROUND(AVERAGE('Raw Data'!$I$2:$I$1501),1),'Raw Data'!I320)</f>
        <v>2</v>
      </c>
      <c r="J320" s="21">
        <f>'Raw Data'!J320</f>
        <v>4</v>
      </c>
      <c r="K320" s="21" t="str">
        <f>'Raw Data'!K320</f>
        <v>Fashion</v>
      </c>
      <c r="L320" s="21">
        <f>'Raw Data'!L320</f>
        <v>3</v>
      </c>
      <c r="M320" s="21" t="str">
        <f>'Raw Data'!M320</f>
        <v>Married</v>
      </c>
      <c r="N320" s="21">
        <f>'Raw Data'!N320</f>
        <v>2</v>
      </c>
      <c r="O320" s="21">
        <f>'Raw Data'!O320</f>
        <v>0</v>
      </c>
      <c r="P320" s="21">
        <f>IF('Raw Data'!P320="",ROUND(AVERAGE('Raw Data'!$P$2:$P$1501),1),'Raw Data'!P320)</f>
        <v>14.7</v>
      </c>
      <c r="Q320" s="21">
        <f>IF('Raw Data'!Q320="",ROUND(AVERAGE('Raw Data'!$Q$2:$Q$1501),0),'Raw Data'!Q320)</f>
        <v>1</v>
      </c>
      <c r="R320" s="21">
        <f>'Raw Data'!R320</f>
        <v>3</v>
      </c>
      <c r="S320" s="21">
        <f>IF('Raw Data'!S320="",ROUND(AVERAGE('Raw Data'!$S$2:$S$1501),0),'Raw Data'!S320)</f>
        <v>14</v>
      </c>
      <c r="T320" s="21">
        <f>'Raw Data'!T320</f>
        <v>187.33</v>
      </c>
      <c r="U320" s="21" t="str">
        <f>INDEX('Lookup Tables'!$C$7:$C$9,MATCH(E320,'Lookup Tables'!$B$7:$B$9,0))</f>
        <v>Tier 1 (Metro)</v>
      </c>
      <c r="V320" s="21" t="str">
        <f t="shared" si="12"/>
        <v>0-6 months</v>
      </c>
      <c r="W320" s="21" t="str">
        <f t="shared" si="13"/>
        <v>Medium Risk</v>
      </c>
      <c r="X320" s="21" t="str">
        <f t="shared" si="14"/>
        <v>No</v>
      </c>
    </row>
    <row r="321" spans="1:24" x14ac:dyDescent="0.3">
      <c r="A321" s="21">
        <f>'Raw Data'!A321</f>
        <v>50320</v>
      </c>
      <c r="B321" s="21">
        <f>'Raw Data'!B321</f>
        <v>1</v>
      </c>
      <c r="C321" s="21">
        <f>'Raw Data'!C321</f>
        <v>20</v>
      </c>
      <c r="D321" s="21" t="str">
        <f>'Raw Data'!D321</f>
        <v>Mobile Phone</v>
      </c>
      <c r="E321" s="21">
        <f>'Raw Data'!E321</f>
        <v>1</v>
      </c>
      <c r="F321" s="21">
        <f>IF('Raw Data'!F321="",ROUND(AVERAGE('Raw Data'!$F$2:$F$1501),1),'Raw Data'!F321)</f>
        <v>18</v>
      </c>
      <c r="G321" s="21" t="str">
        <f>'Raw Data'!G321</f>
        <v>Debit Card</v>
      </c>
      <c r="H321" s="21" t="str">
        <f>'Raw Data'!H321</f>
        <v>Male</v>
      </c>
      <c r="I321" s="21">
        <f>IF('Raw Data'!I321="",ROUND(AVERAGE('Raw Data'!$I$2:$I$1501),1),'Raw Data'!I321)</f>
        <v>2.6</v>
      </c>
      <c r="J321" s="21">
        <f>'Raw Data'!J321</f>
        <v>2</v>
      </c>
      <c r="K321" s="21" t="str">
        <f>'Raw Data'!K321</f>
        <v>Fashion</v>
      </c>
      <c r="L321" s="21">
        <f>'Raw Data'!L321</f>
        <v>4</v>
      </c>
      <c r="M321" s="21" t="str">
        <f>'Raw Data'!M321</f>
        <v>Married</v>
      </c>
      <c r="N321" s="21">
        <f>'Raw Data'!N321</f>
        <v>1</v>
      </c>
      <c r="O321" s="21">
        <f>'Raw Data'!O321</f>
        <v>0</v>
      </c>
      <c r="P321" s="21">
        <f>IF('Raw Data'!P321="",ROUND(AVERAGE('Raw Data'!$P$2:$P$1501),1),'Raw Data'!P321)</f>
        <v>21.6</v>
      </c>
      <c r="Q321" s="21">
        <f>IF('Raw Data'!Q321="",ROUND(AVERAGE('Raw Data'!$Q$2:$Q$1501),0),'Raw Data'!Q321)</f>
        <v>4</v>
      </c>
      <c r="R321" s="21">
        <f>'Raw Data'!R321</f>
        <v>6</v>
      </c>
      <c r="S321" s="21">
        <f>IF('Raw Data'!S321="",ROUND(AVERAGE('Raw Data'!$S$2:$S$1501),0),'Raw Data'!S321)</f>
        <v>7</v>
      </c>
      <c r="T321" s="21">
        <f>'Raw Data'!T321</f>
        <v>159.19</v>
      </c>
      <c r="U321" s="21" t="str">
        <f>INDEX('Lookup Tables'!$C$7:$C$9,MATCH(E321,'Lookup Tables'!$B$7:$B$9,0))</f>
        <v>Tier 1 (Metro)</v>
      </c>
      <c r="V321" s="21" t="str">
        <f t="shared" si="12"/>
        <v>13-24 months</v>
      </c>
      <c r="W321" s="21" t="str">
        <f t="shared" si="13"/>
        <v>Low Risk</v>
      </c>
      <c r="X321" s="21" t="str">
        <f t="shared" si="14"/>
        <v>Yes</v>
      </c>
    </row>
    <row r="322" spans="1:24" x14ac:dyDescent="0.3">
      <c r="A322" s="21">
        <f>'Raw Data'!A322</f>
        <v>50321</v>
      </c>
      <c r="B322" s="21">
        <f>'Raw Data'!B322</f>
        <v>0</v>
      </c>
      <c r="C322" s="21">
        <f>'Raw Data'!C322</f>
        <v>3</v>
      </c>
      <c r="D322" s="21" t="str">
        <f>'Raw Data'!D322</f>
        <v>Mobile Phone</v>
      </c>
      <c r="E322" s="21">
        <f>'Raw Data'!E322</f>
        <v>3</v>
      </c>
      <c r="F322" s="21">
        <f>IF('Raw Data'!F322="",ROUND(AVERAGE('Raw Data'!$F$2:$F$1501),1),'Raw Data'!F322)</f>
        <v>14</v>
      </c>
      <c r="G322" s="21" t="str">
        <f>'Raw Data'!G322</f>
        <v>E wallet</v>
      </c>
      <c r="H322" s="21" t="str">
        <f>'Raw Data'!H322</f>
        <v>Male</v>
      </c>
      <c r="I322" s="21">
        <f>IF('Raw Data'!I322="",ROUND(AVERAGE('Raw Data'!$I$2:$I$1501),1),'Raw Data'!I322)</f>
        <v>3.5</v>
      </c>
      <c r="J322" s="21">
        <f>'Raw Data'!J322</f>
        <v>3</v>
      </c>
      <c r="K322" s="21" t="str">
        <f>'Raw Data'!K322</f>
        <v>Laptop &amp; Accessory</v>
      </c>
      <c r="L322" s="21">
        <f>'Raw Data'!L322</f>
        <v>4</v>
      </c>
      <c r="M322" s="21" t="str">
        <f>'Raw Data'!M322</f>
        <v>Married</v>
      </c>
      <c r="N322" s="21">
        <f>'Raw Data'!N322</f>
        <v>1</v>
      </c>
      <c r="O322" s="21">
        <f>'Raw Data'!O322</f>
        <v>1</v>
      </c>
      <c r="P322" s="21">
        <f>IF('Raw Data'!P322="",ROUND(AVERAGE('Raw Data'!$P$2:$P$1501),1),'Raw Data'!P322)</f>
        <v>17.3</v>
      </c>
      <c r="Q322" s="21">
        <f>IF('Raw Data'!Q322="",ROUND(AVERAGE('Raw Data'!$Q$2:$Q$1501),0),'Raw Data'!Q322)</f>
        <v>3</v>
      </c>
      <c r="R322" s="21">
        <f>'Raw Data'!R322</f>
        <v>4</v>
      </c>
      <c r="S322" s="21">
        <f>IF('Raw Data'!S322="",ROUND(AVERAGE('Raw Data'!$S$2:$S$1501),0),'Raw Data'!S322)</f>
        <v>8</v>
      </c>
      <c r="T322" s="21">
        <f>'Raw Data'!T322</f>
        <v>276.36</v>
      </c>
      <c r="U322" s="21" t="str">
        <f>INDEX('Lookup Tables'!$C$7:$C$9,MATCH(E322,'Lookup Tables'!$B$7:$B$9,0))</f>
        <v>Tier 3 (Semi-urban/Rural)</v>
      </c>
      <c r="V322" s="21" t="str">
        <f t="shared" ref="V322:V385" si="15">IF(C322&lt;=6,"0-6 months",IF(C322&lt;=12,"7-12 months",IF(C322&lt;=24,"13-24 months","25+ months")))</f>
        <v>0-6 months</v>
      </c>
      <c r="W322" s="21" t="str">
        <f t="shared" ref="W322:W385" si="16">IF(AND(O322=1,L322&lt;=2),"High Risk",IF(OR(L322=3,S322&gt;15),"Medium Risk","Low Risk"))</f>
        <v>Low Risk</v>
      </c>
      <c r="X322" s="21" t="str">
        <f t="shared" ref="X322:X385" si="17">IF(B322=1,"Yes","No")</f>
        <v>No</v>
      </c>
    </row>
    <row r="323" spans="1:24" x14ac:dyDescent="0.3">
      <c r="A323" s="21">
        <f>'Raw Data'!A323</f>
        <v>50322</v>
      </c>
      <c r="B323" s="21">
        <f>'Raw Data'!B323</f>
        <v>0</v>
      </c>
      <c r="C323" s="21">
        <f>'Raw Data'!C323</f>
        <v>1</v>
      </c>
      <c r="D323" s="21" t="str">
        <f>'Raw Data'!D323</f>
        <v>Computer</v>
      </c>
      <c r="E323" s="21">
        <f>'Raw Data'!E323</f>
        <v>1</v>
      </c>
      <c r="F323" s="21">
        <f>IF('Raw Data'!F323="",ROUND(AVERAGE('Raw Data'!$F$2:$F$1501),1),'Raw Data'!F323)</f>
        <v>7</v>
      </c>
      <c r="G323" s="21" t="str">
        <f>'Raw Data'!G323</f>
        <v>UPI</v>
      </c>
      <c r="H323" s="21" t="str">
        <f>'Raw Data'!H323</f>
        <v>Male</v>
      </c>
      <c r="I323" s="21">
        <f>IF('Raw Data'!I323="",ROUND(AVERAGE('Raw Data'!$I$2:$I$1501),1),'Raw Data'!I323)</f>
        <v>3.1</v>
      </c>
      <c r="J323" s="21">
        <f>'Raw Data'!J323</f>
        <v>3</v>
      </c>
      <c r="K323" s="21" t="str">
        <f>'Raw Data'!K323</f>
        <v>Laptop &amp; Accessory</v>
      </c>
      <c r="L323" s="21">
        <f>'Raw Data'!L323</f>
        <v>5</v>
      </c>
      <c r="M323" s="21" t="str">
        <f>'Raw Data'!M323</f>
        <v>Married</v>
      </c>
      <c r="N323" s="21">
        <f>'Raw Data'!N323</f>
        <v>1</v>
      </c>
      <c r="O323" s="21">
        <f>'Raw Data'!O323</f>
        <v>0</v>
      </c>
      <c r="P323" s="21">
        <f>IF('Raw Data'!P323="",ROUND(AVERAGE('Raw Data'!$P$2:$P$1501),1),'Raw Data'!P323)</f>
        <v>14.6</v>
      </c>
      <c r="Q323" s="21">
        <f>IF('Raw Data'!Q323="",ROUND(AVERAGE('Raw Data'!$Q$2:$Q$1501),0),'Raw Data'!Q323)</f>
        <v>2</v>
      </c>
      <c r="R323" s="21">
        <f>'Raw Data'!R323</f>
        <v>5</v>
      </c>
      <c r="S323" s="21">
        <f>IF('Raw Data'!S323="",ROUND(AVERAGE('Raw Data'!$S$2:$S$1501),0),'Raw Data'!S323)</f>
        <v>3</v>
      </c>
      <c r="T323" s="21">
        <f>'Raw Data'!T323</f>
        <v>232.27</v>
      </c>
      <c r="U323" s="21" t="str">
        <f>INDEX('Lookup Tables'!$C$7:$C$9,MATCH(E323,'Lookup Tables'!$B$7:$B$9,0))</f>
        <v>Tier 1 (Metro)</v>
      </c>
      <c r="V323" s="21" t="str">
        <f t="shared" si="15"/>
        <v>0-6 months</v>
      </c>
      <c r="W323" s="21" t="str">
        <f t="shared" si="16"/>
        <v>Low Risk</v>
      </c>
      <c r="X323" s="21" t="str">
        <f t="shared" si="17"/>
        <v>No</v>
      </c>
    </row>
    <row r="324" spans="1:24" x14ac:dyDescent="0.3">
      <c r="A324" s="21">
        <f>'Raw Data'!A324</f>
        <v>50323</v>
      </c>
      <c r="B324" s="21">
        <f>'Raw Data'!B324</f>
        <v>0</v>
      </c>
      <c r="C324" s="21">
        <f>'Raw Data'!C324</f>
        <v>21</v>
      </c>
      <c r="D324" s="21" t="str">
        <f>'Raw Data'!D324</f>
        <v>Mobile Phone</v>
      </c>
      <c r="E324" s="21">
        <f>'Raw Data'!E324</f>
        <v>3</v>
      </c>
      <c r="F324" s="21">
        <f>IF('Raw Data'!F324="",ROUND(AVERAGE('Raw Data'!$F$2:$F$1501),1),'Raw Data'!F324)</f>
        <v>23</v>
      </c>
      <c r="G324" s="21" t="str">
        <f>'Raw Data'!G324</f>
        <v>Debit Card</v>
      </c>
      <c r="H324" s="21" t="str">
        <f>'Raw Data'!H324</f>
        <v>Male</v>
      </c>
      <c r="I324" s="21">
        <f>IF('Raw Data'!I324="",ROUND(AVERAGE('Raw Data'!$I$2:$I$1501),1),'Raw Data'!I324)</f>
        <v>3.3</v>
      </c>
      <c r="J324" s="21">
        <f>'Raw Data'!J324</f>
        <v>4</v>
      </c>
      <c r="K324" s="21" t="str">
        <f>'Raw Data'!K324</f>
        <v>Grocery</v>
      </c>
      <c r="L324" s="21">
        <f>'Raw Data'!L324</f>
        <v>1</v>
      </c>
      <c r="M324" s="21" t="str">
        <f>'Raw Data'!M324</f>
        <v>Divorced</v>
      </c>
      <c r="N324" s="21">
        <f>'Raw Data'!N324</f>
        <v>1</v>
      </c>
      <c r="O324" s="21">
        <f>'Raw Data'!O324</f>
        <v>0</v>
      </c>
      <c r="P324" s="21">
        <f>IF('Raw Data'!P324="",ROUND(AVERAGE('Raw Data'!$P$2:$P$1501),1),'Raw Data'!P324)</f>
        <v>13.2</v>
      </c>
      <c r="Q324" s="21">
        <f>IF('Raw Data'!Q324="",ROUND(AVERAGE('Raw Data'!$Q$2:$Q$1501),0),'Raw Data'!Q324)</f>
        <v>3</v>
      </c>
      <c r="R324" s="21">
        <f>'Raw Data'!R324</f>
        <v>3</v>
      </c>
      <c r="S324" s="21">
        <f>IF('Raw Data'!S324="",ROUND(AVERAGE('Raw Data'!$S$2:$S$1501),0),'Raw Data'!S324)</f>
        <v>1</v>
      </c>
      <c r="T324" s="21">
        <f>'Raw Data'!T324</f>
        <v>254.1</v>
      </c>
      <c r="U324" s="21" t="str">
        <f>INDEX('Lookup Tables'!$C$7:$C$9,MATCH(E324,'Lookup Tables'!$B$7:$B$9,0))</f>
        <v>Tier 3 (Semi-urban/Rural)</v>
      </c>
      <c r="V324" s="21" t="str">
        <f t="shared" si="15"/>
        <v>13-24 months</v>
      </c>
      <c r="W324" s="21" t="str">
        <f t="shared" si="16"/>
        <v>Low Risk</v>
      </c>
      <c r="X324" s="21" t="str">
        <f t="shared" si="17"/>
        <v>No</v>
      </c>
    </row>
    <row r="325" spans="1:24" x14ac:dyDescent="0.3">
      <c r="A325" s="21">
        <f>'Raw Data'!A325</f>
        <v>50324</v>
      </c>
      <c r="B325" s="21">
        <f>'Raw Data'!B325</f>
        <v>0</v>
      </c>
      <c r="C325" s="21">
        <f>'Raw Data'!C325</f>
        <v>31</v>
      </c>
      <c r="D325" s="21" t="str">
        <f>'Raw Data'!D325</f>
        <v>Mobile Phone</v>
      </c>
      <c r="E325" s="21">
        <f>'Raw Data'!E325</f>
        <v>3</v>
      </c>
      <c r="F325" s="21">
        <f>IF('Raw Data'!F325="",ROUND(AVERAGE('Raw Data'!$F$2:$F$1501),1),'Raw Data'!F325)</f>
        <v>33</v>
      </c>
      <c r="G325" s="21" t="str">
        <f>'Raw Data'!G325</f>
        <v>Debit Card</v>
      </c>
      <c r="H325" s="21" t="str">
        <f>'Raw Data'!H325</f>
        <v>Female</v>
      </c>
      <c r="I325" s="21">
        <f>IF('Raw Data'!I325="",ROUND(AVERAGE('Raw Data'!$I$2:$I$1501),1),'Raw Data'!I325)</f>
        <v>3.2</v>
      </c>
      <c r="J325" s="21">
        <f>'Raw Data'!J325</f>
        <v>3</v>
      </c>
      <c r="K325" s="21" t="str">
        <f>'Raw Data'!K325</f>
        <v>Laptop &amp; Accessory</v>
      </c>
      <c r="L325" s="21">
        <f>'Raw Data'!L325</f>
        <v>2</v>
      </c>
      <c r="M325" s="21" t="str">
        <f>'Raw Data'!M325</f>
        <v>Married</v>
      </c>
      <c r="N325" s="21">
        <f>'Raw Data'!N325</f>
        <v>1</v>
      </c>
      <c r="O325" s="21">
        <f>'Raw Data'!O325</f>
        <v>1</v>
      </c>
      <c r="P325" s="21">
        <f>IF('Raw Data'!P325="",ROUND(AVERAGE('Raw Data'!$P$2:$P$1501),1),'Raw Data'!P325)</f>
        <v>15.7</v>
      </c>
      <c r="Q325" s="21">
        <f>IF('Raw Data'!Q325="",ROUND(AVERAGE('Raw Data'!$Q$2:$Q$1501),0),'Raw Data'!Q325)</f>
        <v>2</v>
      </c>
      <c r="R325" s="21">
        <f>'Raw Data'!R325</f>
        <v>2</v>
      </c>
      <c r="S325" s="21">
        <f>IF('Raw Data'!S325="",ROUND(AVERAGE('Raw Data'!$S$2:$S$1501),0),'Raw Data'!S325)</f>
        <v>5</v>
      </c>
      <c r="T325" s="21">
        <f>'Raw Data'!T325</f>
        <v>181.32</v>
      </c>
      <c r="U325" s="21" t="str">
        <f>INDEX('Lookup Tables'!$C$7:$C$9,MATCH(E325,'Lookup Tables'!$B$7:$B$9,0))</f>
        <v>Tier 3 (Semi-urban/Rural)</v>
      </c>
      <c r="V325" s="21" t="str">
        <f t="shared" si="15"/>
        <v>25+ months</v>
      </c>
      <c r="W325" s="21" t="str">
        <f t="shared" si="16"/>
        <v>High Risk</v>
      </c>
      <c r="X325" s="21" t="str">
        <f t="shared" si="17"/>
        <v>No</v>
      </c>
    </row>
    <row r="326" spans="1:24" x14ac:dyDescent="0.3">
      <c r="A326" s="21">
        <f>'Raw Data'!A326</f>
        <v>50325</v>
      </c>
      <c r="B326" s="21">
        <f>'Raw Data'!B326</f>
        <v>0</v>
      </c>
      <c r="C326" s="21">
        <f>'Raw Data'!C326</f>
        <v>19</v>
      </c>
      <c r="D326" s="21" t="str">
        <f>'Raw Data'!D326</f>
        <v>Mobile Phone</v>
      </c>
      <c r="E326" s="21">
        <f>'Raw Data'!E326</f>
        <v>1</v>
      </c>
      <c r="F326" s="21">
        <f>IF('Raw Data'!F326="",ROUND(AVERAGE('Raw Data'!$F$2:$F$1501),1),'Raw Data'!F326)</f>
        <v>16</v>
      </c>
      <c r="G326" s="21" t="str">
        <f>'Raw Data'!G326</f>
        <v>UPI</v>
      </c>
      <c r="H326" s="21" t="str">
        <f>'Raw Data'!H326</f>
        <v>Male</v>
      </c>
      <c r="I326" s="21">
        <f>IF('Raw Data'!I326="",ROUND(AVERAGE('Raw Data'!$I$2:$I$1501),1),'Raw Data'!I326)</f>
        <v>4</v>
      </c>
      <c r="J326" s="21">
        <f>'Raw Data'!J326</f>
        <v>4</v>
      </c>
      <c r="K326" s="21" t="str">
        <f>'Raw Data'!K326</f>
        <v>Laptop &amp; Accessory</v>
      </c>
      <c r="L326" s="21">
        <f>'Raw Data'!L326</f>
        <v>1</v>
      </c>
      <c r="M326" s="21" t="str">
        <f>'Raw Data'!M326</f>
        <v>Single</v>
      </c>
      <c r="N326" s="21">
        <f>'Raw Data'!N326</f>
        <v>10</v>
      </c>
      <c r="O326" s="21">
        <f>'Raw Data'!O326</f>
        <v>0</v>
      </c>
      <c r="P326" s="21">
        <f>IF('Raw Data'!P326="",ROUND(AVERAGE('Raw Data'!$P$2:$P$1501),1),'Raw Data'!P326)</f>
        <v>12.6</v>
      </c>
      <c r="Q326" s="21">
        <f>IF('Raw Data'!Q326="",ROUND(AVERAGE('Raw Data'!$Q$2:$Q$1501),0),'Raw Data'!Q326)</f>
        <v>0</v>
      </c>
      <c r="R326" s="21">
        <f>'Raw Data'!R326</f>
        <v>6</v>
      </c>
      <c r="S326" s="21">
        <f>IF('Raw Data'!S326="",ROUND(AVERAGE('Raw Data'!$S$2:$S$1501),0),'Raw Data'!S326)</f>
        <v>6</v>
      </c>
      <c r="T326" s="21">
        <f>'Raw Data'!T326</f>
        <v>225.23</v>
      </c>
      <c r="U326" s="21" t="str">
        <f>INDEX('Lookup Tables'!$C$7:$C$9,MATCH(E326,'Lookup Tables'!$B$7:$B$9,0))</f>
        <v>Tier 1 (Metro)</v>
      </c>
      <c r="V326" s="21" t="str">
        <f t="shared" si="15"/>
        <v>13-24 months</v>
      </c>
      <c r="W326" s="21" t="str">
        <f t="shared" si="16"/>
        <v>Low Risk</v>
      </c>
      <c r="X326" s="21" t="str">
        <f t="shared" si="17"/>
        <v>No</v>
      </c>
    </row>
    <row r="327" spans="1:24" x14ac:dyDescent="0.3">
      <c r="A327" s="21">
        <f>'Raw Data'!A327</f>
        <v>50326</v>
      </c>
      <c r="B327" s="21">
        <f>'Raw Data'!B327</f>
        <v>0</v>
      </c>
      <c r="C327" s="21">
        <f>'Raw Data'!C327</f>
        <v>16</v>
      </c>
      <c r="D327" s="21" t="str">
        <f>'Raw Data'!D327</f>
        <v>Mobile Phone</v>
      </c>
      <c r="E327" s="21">
        <f>'Raw Data'!E327</f>
        <v>3</v>
      </c>
      <c r="F327" s="21">
        <f>IF('Raw Data'!F327="",ROUND(AVERAGE('Raw Data'!$F$2:$F$1501),1),'Raw Data'!F327)</f>
        <v>7</v>
      </c>
      <c r="G327" s="21" t="str">
        <f>'Raw Data'!G327</f>
        <v>Debit Card</v>
      </c>
      <c r="H327" s="21" t="str">
        <f>'Raw Data'!H327</f>
        <v>Female</v>
      </c>
      <c r="I327" s="21">
        <f>IF('Raw Data'!I327="",ROUND(AVERAGE('Raw Data'!$I$2:$I$1501),1),'Raw Data'!I327)</f>
        <v>3.1</v>
      </c>
      <c r="J327" s="21">
        <f>'Raw Data'!J327</f>
        <v>3</v>
      </c>
      <c r="K327" s="21" t="str">
        <f>'Raw Data'!K327</f>
        <v>Laptop &amp; Accessory</v>
      </c>
      <c r="L327" s="21">
        <f>'Raw Data'!L327</f>
        <v>5</v>
      </c>
      <c r="M327" s="21" t="str">
        <f>'Raw Data'!M327</f>
        <v>Single</v>
      </c>
      <c r="N327" s="21">
        <f>'Raw Data'!N327</f>
        <v>1</v>
      </c>
      <c r="O327" s="21">
        <f>'Raw Data'!O327</f>
        <v>0</v>
      </c>
      <c r="P327" s="21">
        <f>IF('Raw Data'!P327="",ROUND(AVERAGE('Raw Data'!$P$2:$P$1501),1),'Raw Data'!P327)</f>
        <v>19.600000000000001</v>
      </c>
      <c r="Q327" s="21">
        <f>IF('Raw Data'!Q327="",ROUND(AVERAGE('Raw Data'!$Q$2:$Q$1501),0),'Raw Data'!Q327)</f>
        <v>2</v>
      </c>
      <c r="R327" s="21">
        <f>'Raw Data'!R327</f>
        <v>5</v>
      </c>
      <c r="S327" s="21">
        <f>IF('Raw Data'!S327="",ROUND(AVERAGE('Raw Data'!$S$2:$S$1501),0),'Raw Data'!S327)</f>
        <v>5</v>
      </c>
      <c r="T327" s="21">
        <f>'Raw Data'!T327</f>
        <v>185.04</v>
      </c>
      <c r="U327" s="21" t="str">
        <f>INDEX('Lookup Tables'!$C$7:$C$9,MATCH(E327,'Lookup Tables'!$B$7:$B$9,0))</f>
        <v>Tier 3 (Semi-urban/Rural)</v>
      </c>
      <c r="V327" s="21" t="str">
        <f t="shared" si="15"/>
        <v>13-24 months</v>
      </c>
      <c r="W327" s="21" t="str">
        <f t="shared" si="16"/>
        <v>Low Risk</v>
      </c>
      <c r="X327" s="21" t="str">
        <f t="shared" si="17"/>
        <v>No</v>
      </c>
    </row>
    <row r="328" spans="1:24" x14ac:dyDescent="0.3">
      <c r="A328" s="21">
        <f>'Raw Data'!A328</f>
        <v>50327</v>
      </c>
      <c r="B328" s="21">
        <f>'Raw Data'!B328</f>
        <v>0</v>
      </c>
      <c r="C328" s="21">
        <f>'Raw Data'!C328</f>
        <v>10</v>
      </c>
      <c r="D328" s="21" t="str">
        <f>'Raw Data'!D328</f>
        <v>Mobile Phone</v>
      </c>
      <c r="E328" s="21">
        <f>'Raw Data'!E328</f>
        <v>1</v>
      </c>
      <c r="F328" s="21">
        <f>IF('Raw Data'!F328="",ROUND(AVERAGE('Raw Data'!$F$2:$F$1501),1),'Raw Data'!F328)</f>
        <v>5</v>
      </c>
      <c r="G328" s="21" t="str">
        <f>'Raw Data'!G328</f>
        <v>Credit Card</v>
      </c>
      <c r="H328" s="21" t="str">
        <f>'Raw Data'!H328</f>
        <v>Male</v>
      </c>
      <c r="I328" s="21">
        <f>IF('Raw Data'!I328="",ROUND(AVERAGE('Raw Data'!$I$2:$I$1501),1),'Raw Data'!I328)</f>
        <v>2.6</v>
      </c>
      <c r="J328" s="21">
        <f>'Raw Data'!J328</f>
        <v>3</v>
      </c>
      <c r="K328" s="21" t="str">
        <f>'Raw Data'!K328</f>
        <v>Fashion</v>
      </c>
      <c r="L328" s="21">
        <f>'Raw Data'!L328</f>
        <v>4</v>
      </c>
      <c r="M328" s="21" t="str">
        <f>'Raw Data'!M328</f>
        <v>Married</v>
      </c>
      <c r="N328" s="21">
        <f>'Raw Data'!N328</f>
        <v>2</v>
      </c>
      <c r="O328" s="21">
        <f>'Raw Data'!O328</f>
        <v>0</v>
      </c>
      <c r="P328" s="21">
        <f>IF('Raw Data'!P328="",ROUND(AVERAGE('Raw Data'!$P$2:$P$1501),1),'Raw Data'!P328)</f>
        <v>11</v>
      </c>
      <c r="Q328" s="21">
        <f>IF('Raw Data'!Q328="",ROUND(AVERAGE('Raw Data'!$Q$2:$Q$1501),0),'Raw Data'!Q328)</f>
        <v>2</v>
      </c>
      <c r="R328" s="21">
        <f>'Raw Data'!R328</f>
        <v>6</v>
      </c>
      <c r="S328" s="21">
        <f>IF('Raw Data'!S328="",ROUND(AVERAGE('Raw Data'!$S$2:$S$1501),0),'Raw Data'!S328)</f>
        <v>14</v>
      </c>
      <c r="T328" s="21">
        <f>'Raw Data'!T328</f>
        <v>260.83</v>
      </c>
      <c r="U328" s="21" t="str">
        <f>INDEX('Lookup Tables'!$C$7:$C$9,MATCH(E328,'Lookup Tables'!$B$7:$B$9,0))</f>
        <v>Tier 1 (Metro)</v>
      </c>
      <c r="V328" s="21" t="str">
        <f t="shared" si="15"/>
        <v>7-12 months</v>
      </c>
      <c r="W328" s="21" t="str">
        <f t="shared" si="16"/>
        <v>Low Risk</v>
      </c>
      <c r="X328" s="21" t="str">
        <f t="shared" si="17"/>
        <v>No</v>
      </c>
    </row>
    <row r="329" spans="1:24" x14ac:dyDescent="0.3">
      <c r="A329" s="21">
        <f>'Raw Data'!A329</f>
        <v>50328</v>
      </c>
      <c r="B329" s="21">
        <f>'Raw Data'!B329</f>
        <v>0</v>
      </c>
      <c r="C329" s="21">
        <f>'Raw Data'!C329</f>
        <v>8</v>
      </c>
      <c r="D329" s="21" t="str">
        <f>'Raw Data'!D329</f>
        <v>Phone</v>
      </c>
      <c r="E329" s="21">
        <f>'Raw Data'!E329</f>
        <v>3</v>
      </c>
      <c r="F329" s="21">
        <f>IF('Raw Data'!F329="",ROUND(AVERAGE('Raw Data'!$F$2:$F$1501),1),'Raw Data'!F329)</f>
        <v>17</v>
      </c>
      <c r="G329" s="21" t="str">
        <f>'Raw Data'!G329</f>
        <v>Credit Card</v>
      </c>
      <c r="H329" s="21" t="str">
        <f>'Raw Data'!H329</f>
        <v>Female</v>
      </c>
      <c r="I329" s="21">
        <f>IF('Raw Data'!I329="",ROUND(AVERAGE('Raw Data'!$I$2:$I$1501),1),'Raw Data'!I329)</f>
        <v>2.2999999999999998</v>
      </c>
      <c r="J329" s="21">
        <f>'Raw Data'!J329</f>
        <v>2</v>
      </c>
      <c r="K329" s="21" t="str">
        <f>'Raw Data'!K329</f>
        <v>Mobile Phone</v>
      </c>
      <c r="L329" s="21">
        <f>'Raw Data'!L329</f>
        <v>4</v>
      </c>
      <c r="M329" s="21" t="str">
        <f>'Raw Data'!M329</f>
        <v>Single</v>
      </c>
      <c r="N329" s="21">
        <f>'Raw Data'!N329</f>
        <v>8</v>
      </c>
      <c r="O329" s="21">
        <f>'Raw Data'!O329</f>
        <v>1</v>
      </c>
      <c r="P329" s="21">
        <f>IF('Raw Data'!P329="",ROUND(AVERAGE('Raw Data'!$P$2:$P$1501),1),'Raw Data'!P329)</f>
        <v>15.5</v>
      </c>
      <c r="Q329" s="21">
        <f>IF('Raw Data'!Q329="",ROUND(AVERAGE('Raw Data'!$Q$2:$Q$1501),0),'Raw Data'!Q329)</f>
        <v>1</v>
      </c>
      <c r="R329" s="21">
        <f>'Raw Data'!R329</f>
        <v>6</v>
      </c>
      <c r="S329" s="21">
        <f>IF('Raw Data'!S329="",ROUND(AVERAGE('Raw Data'!$S$2:$S$1501),0),'Raw Data'!S329)</f>
        <v>2</v>
      </c>
      <c r="T329" s="21">
        <f>'Raw Data'!T329</f>
        <v>176.01</v>
      </c>
      <c r="U329" s="21" t="str">
        <f>INDEX('Lookup Tables'!$C$7:$C$9,MATCH(E329,'Lookup Tables'!$B$7:$B$9,0))</f>
        <v>Tier 3 (Semi-urban/Rural)</v>
      </c>
      <c r="V329" s="21" t="str">
        <f t="shared" si="15"/>
        <v>7-12 months</v>
      </c>
      <c r="W329" s="21" t="str">
        <f t="shared" si="16"/>
        <v>Low Risk</v>
      </c>
      <c r="X329" s="21" t="str">
        <f t="shared" si="17"/>
        <v>No</v>
      </c>
    </row>
    <row r="330" spans="1:24" x14ac:dyDescent="0.3">
      <c r="A330" s="21">
        <f>'Raw Data'!A330</f>
        <v>50329</v>
      </c>
      <c r="B330" s="21">
        <f>'Raw Data'!B330</f>
        <v>0</v>
      </c>
      <c r="C330" s="21">
        <f>'Raw Data'!C330</f>
        <v>0</v>
      </c>
      <c r="D330" s="21" t="str">
        <f>'Raw Data'!D330</f>
        <v>Phone</v>
      </c>
      <c r="E330" s="21">
        <f>'Raw Data'!E330</f>
        <v>1</v>
      </c>
      <c r="F330" s="21">
        <f>IF('Raw Data'!F330="",ROUND(AVERAGE('Raw Data'!$F$2:$F$1501),1),'Raw Data'!F330)</f>
        <v>23</v>
      </c>
      <c r="G330" s="21" t="str">
        <f>'Raw Data'!G330</f>
        <v>Credit Card</v>
      </c>
      <c r="H330" s="21" t="str">
        <f>'Raw Data'!H330</f>
        <v>Male</v>
      </c>
      <c r="I330" s="21">
        <f>IF('Raw Data'!I330="",ROUND(AVERAGE('Raw Data'!$I$2:$I$1501),1),'Raw Data'!I330)</f>
        <v>3.1</v>
      </c>
      <c r="J330" s="21">
        <f>'Raw Data'!J330</f>
        <v>3</v>
      </c>
      <c r="K330" s="21" t="str">
        <f>'Raw Data'!K330</f>
        <v>Others</v>
      </c>
      <c r="L330" s="21">
        <f>'Raw Data'!L330</f>
        <v>1</v>
      </c>
      <c r="M330" s="21" t="str">
        <f>'Raw Data'!M330</f>
        <v>Married</v>
      </c>
      <c r="N330" s="21">
        <f>'Raw Data'!N330</f>
        <v>3</v>
      </c>
      <c r="O330" s="21">
        <f>'Raw Data'!O330</f>
        <v>0</v>
      </c>
      <c r="P330" s="21">
        <f>IF('Raw Data'!P330="",ROUND(AVERAGE('Raw Data'!$P$2:$P$1501),1),'Raw Data'!P330)</f>
        <v>18.100000000000001</v>
      </c>
      <c r="Q330" s="21">
        <f>IF('Raw Data'!Q330="",ROUND(AVERAGE('Raw Data'!$Q$2:$Q$1501),0),'Raw Data'!Q330)</f>
        <v>4</v>
      </c>
      <c r="R330" s="21">
        <f>'Raw Data'!R330</f>
        <v>4</v>
      </c>
      <c r="S330" s="21">
        <f>IF('Raw Data'!S330="",ROUND(AVERAGE('Raw Data'!$S$2:$S$1501),0),'Raw Data'!S330)</f>
        <v>0</v>
      </c>
      <c r="T330" s="21">
        <f>'Raw Data'!T330</f>
        <v>103.14</v>
      </c>
      <c r="U330" s="21" t="str">
        <f>INDEX('Lookup Tables'!$C$7:$C$9,MATCH(E330,'Lookup Tables'!$B$7:$B$9,0))</f>
        <v>Tier 1 (Metro)</v>
      </c>
      <c r="V330" s="21" t="str">
        <f t="shared" si="15"/>
        <v>0-6 months</v>
      </c>
      <c r="W330" s="21" t="str">
        <f t="shared" si="16"/>
        <v>Low Risk</v>
      </c>
      <c r="X330" s="21" t="str">
        <f t="shared" si="17"/>
        <v>No</v>
      </c>
    </row>
    <row r="331" spans="1:24" x14ac:dyDescent="0.3">
      <c r="A331" s="21">
        <f>'Raw Data'!A331</f>
        <v>50330</v>
      </c>
      <c r="B331" s="21">
        <f>'Raw Data'!B331</f>
        <v>0</v>
      </c>
      <c r="C331" s="21">
        <f>'Raw Data'!C331</f>
        <v>5</v>
      </c>
      <c r="D331" s="21" t="str">
        <f>'Raw Data'!D331</f>
        <v>Mobile Phone</v>
      </c>
      <c r="E331" s="21">
        <f>'Raw Data'!E331</f>
        <v>2</v>
      </c>
      <c r="F331" s="21">
        <f>IF('Raw Data'!F331="",ROUND(AVERAGE('Raw Data'!$F$2:$F$1501),1),'Raw Data'!F331)</f>
        <v>18</v>
      </c>
      <c r="G331" s="21" t="str">
        <f>'Raw Data'!G331</f>
        <v>E wallet</v>
      </c>
      <c r="H331" s="21" t="str">
        <f>'Raw Data'!H331</f>
        <v>Male</v>
      </c>
      <c r="I331" s="21">
        <f>IF('Raw Data'!I331="",ROUND(AVERAGE('Raw Data'!$I$2:$I$1501),1),'Raw Data'!I331)</f>
        <v>1.2</v>
      </c>
      <c r="J331" s="21">
        <f>'Raw Data'!J331</f>
        <v>5</v>
      </c>
      <c r="K331" s="21" t="str">
        <f>'Raw Data'!K331</f>
        <v>Grocery</v>
      </c>
      <c r="L331" s="21">
        <f>'Raw Data'!L331</f>
        <v>3</v>
      </c>
      <c r="M331" s="21" t="str">
        <f>'Raw Data'!M331</f>
        <v>Married</v>
      </c>
      <c r="N331" s="21">
        <f>'Raw Data'!N331</f>
        <v>3</v>
      </c>
      <c r="O331" s="21">
        <f>'Raw Data'!O331</f>
        <v>0</v>
      </c>
      <c r="P331" s="21">
        <f>IF('Raw Data'!P331="",ROUND(AVERAGE('Raw Data'!$P$2:$P$1501),1),'Raw Data'!P331)</f>
        <v>17.2</v>
      </c>
      <c r="Q331" s="21">
        <f>IF('Raw Data'!Q331="",ROUND(AVERAGE('Raw Data'!$Q$2:$Q$1501),0),'Raw Data'!Q331)</f>
        <v>2</v>
      </c>
      <c r="R331" s="21">
        <f>'Raw Data'!R331</f>
        <v>6</v>
      </c>
      <c r="S331" s="21">
        <f>IF('Raw Data'!S331="",ROUND(AVERAGE('Raw Data'!$S$2:$S$1501),0),'Raw Data'!S331)</f>
        <v>11</v>
      </c>
      <c r="T331" s="21">
        <f>'Raw Data'!T331</f>
        <v>70.08</v>
      </c>
      <c r="U331" s="21" t="str">
        <f>INDEX('Lookup Tables'!$C$7:$C$9,MATCH(E331,'Lookup Tables'!$B$7:$B$9,0))</f>
        <v>Tier 2 (Urban)</v>
      </c>
      <c r="V331" s="21" t="str">
        <f t="shared" si="15"/>
        <v>0-6 months</v>
      </c>
      <c r="W331" s="21" t="str">
        <f t="shared" si="16"/>
        <v>Medium Risk</v>
      </c>
      <c r="X331" s="21" t="str">
        <f t="shared" si="17"/>
        <v>No</v>
      </c>
    </row>
    <row r="332" spans="1:24" x14ac:dyDescent="0.3">
      <c r="A332" s="21">
        <f>'Raw Data'!A332</f>
        <v>50331</v>
      </c>
      <c r="B332" s="21">
        <f>'Raw Data'!B332</f>
        <v>0</v>
      </c>
      <c r="C332" s="21">
        <f>'Raw Data'!C332</f>
        <v>4</v>
      </c>
      <c r="D332" s="21" t="str">
        <f>'Raw Data'!D332</f>
        <v>Mobile Phone</v>
      </c>
      <c r="E332" s="21">
        <f>'Raw Data'!E332</f>
        <v>1</v>
      </c>
      <c r="F332" s="21">
        <f>IF('Raw Data'!F332="",ROUND(AVERAGE('Raw Data'!$F$2:$F$1501),1),'Raw Data'!F332)</f>
        <v>14</v>
      </c>
      <c r="G332" s="21" t="str">
        <f>'Raw Data'!G332</f>
        <v>Credit Card</v>
      </c>
      <c r="H332" s="21" t="str">
        <f>'Raw Data'!H332</f>
        <v>Male</v>
      </c>
      <c r="I332" s="21">
        <f>IF('Raw Data'!I332="",ROUND(AVERAGE('Raw Data'!$I$2:$I$1501),1),'Raw Data'!I332)</f>
        <v>2.8</v>
      </c>
      <c r="J332" s="21">
        <f>'Raw Data'!J332</f>
        <v>4</v>
      </c>
      <c r="K332" s="21" t="str">
        <f>'Raw Data'!K332</f>
        <v>Mobile Phone</v>
      </c>
      <c r="L332" s="21">
        <f>'Raw Data'!L332</f>
        <v>3</v>
      </c>
      <c r="M332" s="21" t="str">
        <f>'Raw Data'!M332</f>
        <v>Married</v>
      </c>
      <c r="N332" s="21">
        <f>'Raw Data'!N332</f>
        <v>4</v>
      </c>
      <c r="O332" s="21">
        <f>'Raw Data'!O332</f>
        <v>0</v>
      </c>
      <c r="P332" s="21">
        <f>IF('Raw Data'!P332="",ROUND(AVERAGE('Raw Data'!$P$2:$P$1501),1),'Raw Data'!P332)</f>
        <v>13.5</v>
      </c>
      <c r="Q332" s="21">
        <f>IF('Raw Data'!Q332="",ROUND(AVERAGE('Raw Data'!$Q$2:$Q$1501),0),'Raw Data'!Q332)</f>
        <v>0</v>
      </c>
      <c r="R332" s="21">
        <f>'Raw Data'!R332</f>
        <v>3</v>
      </c>
      <c r="S332" s="21">
        <f>IF('Raw Data'!S332="",ROUND(AVERAGE('Raw Data'!$S$2:$S$1501),0),'Raw Data'!S332)</f>
        <v>0</v>
      </c>
      <c r="T332" s="21">
        <f>'Raw Data'!T332</f>
        <v>271.76</v>
      </c>
      <c r="U332" s="21" t="str">
        <f>INDEX('Lookup Tables'!$C$7:$C$9,MATCH(E332,'Lookup Tables'!$B$7:$B$9,0))</f>
        <v>Tier 1 (Metro)</v>
      </c>
      <c r="V332" s="21" t="str">
        <f t="shared" si="15"/>
        <v>0-6 months</v>
      </c>
      <c r="W332" s="21" t="str">
        <f t="shared" si="16"/>
        <v>Medium Risk</v>
      </c>
      <c r="X332" s="21" t="str">
        <f t="shared" si="17"/>
        <v>No</v>
      </c>
    </row>
    <row r="333" spans="1:24" x14ac:dyDescent="0.3">
      <c r="A333" s="21">
        <f>'Raw Data'!A333</f>
        <v>50332</v>
      </c>
      <c r="B333" s="21">
        <f>'Raw Data'!B333</f>
        <v>1</v>
      </c>
      <c r="C333" s="21">
        <f>'Raw Data'!C333</f>
        <v>3</v>
      </c>
      <c r="D333" s="21" t="str">
        <f>'Raw Data'!D333</f>
        <v>Mobile Phone</v>
      </c>
      <c r="E333" s="21">
        <f>'Raw Data'!E333</f>
        <v>1</v>
      </c>
      <c r="F333" s="21">
        <f>IF('Raw Data'!F333="",ROUND(AVERAGE('Raw Data'!$F$2:$F$1501),1),'Raw Data'!F333)</f>
        <v>10</v>
      </c>
      <c r="G333" s="21" t="str">
        <f>'Raw Data'!G333</f>
        <v>E wallet</v>
      </c>
      <c r="H333" s="21" t="str">
        <f>'Raw Data'!H333</f>
        <v>Male</v>
      </c>
      <c r="I333" s="21">
        <f>IF('Raw Data'!I333="",ROUND(AVERAGE('Raw Data'!$I$2:$I$1501),1),'Raw Data'!I333)</f>
        <v>2.8</v>
      </c>
      <c r="J333" s="21">
        <f>'Raw Data'!J333</f>
        <v>3</v>
      </c>
      <c r="K333" s="21" t="str">
        <f>'Raw Data'!K333</f>
        <v>Mobile Phone</v>
      </c>
      <c r="L333" s="21">
        <f>'Raw Data'!L333</f>
        <v>4</v>
      </c>
      <c r="M333" s="21" t="str">
        <f>'Raw Data'!M333</f>
        <v>Single</v>
      </c>
      <c r="N333" s="21">
        <f>'Raw Data'!N333</f>
        <v>6</v>
      </c>
      <c r="O333" s="21">
        <f>'Raw Data'!O333</f>
        <v>1</v>
      </c>
      <c r="P333" s="21">
        <f>IF('Raw Data'!P333="",ROUND(AVERAGE('Raw Data'!$P$2:$P$1501),1),'Raw Data'!P333)</f>
        <v>18.3</v>
      </c>
      <c r="Q333" s="21">
        <f>IF('Raw Data'!Q333="",ROUND(AVERAGE('Raw Data'!$Q$2:$Q$1501),0),'Raw Data'!Q333)</f>
        <v>1</v>
      </c>
      <c r="R333" s="21">
        <f>'Raw Data'!R333</f>
        <v>2</v>
      </c>
      <c r="S333" s="21">
        <f>IF('Raw Data'!S333="",ROUND(AVERAGE('Raw Data'!$S$2:$S$1501),0),'Raw Data'!S333)</f>
        <v>5</v>
      </c>
      <c r="T333" s="21">
        <f>'Raw Data'!T333</f>
        <v>206.32</v>
      </c>
      <c r="U333" s="21" t="str">
        <f>INDEX('Lookup Tables'!$C$7:$C$9,MATCH(E333,'Lookup Tables'!$B$7:$B$9,0))</f>
        <v>Tier 1 (Metro)</v>
      </c>
      <c r="V333" s="21" t="str">
        <f t="shared" si="15"/>
        <v>0-6 months</v>
      </c>
      <c r="W333" s="21" t="str">
        <f t="shared" si="16"/>
        <v>Low Risk</v>
      </c>
      <c r="X333" s="21" t="str">
        <f t="shared" si="17"/>
        <v>Yes</v>
      </c>
    </row>
    <row r="334" spans="1:24" x14ac:dyDescent="0.3">
      <c r="A334" s="21">
        <f>'Raw Data'!A334</f>
        <v>50333</v>
      </c>
      <c r="B334" s="21">
        <f>'Raw Data'!B334</f>
        <v>0</v>
      </c>
      <c r="C334" s="21">
        <f>'Raw Data'!C334</f>
        <v>12</v>
      </c>
      <c r="D334" s="21" t="str">
        <f>'Raw Data'!D334</f>
        <v>Phone</v>
      </c>
      <c r="E334" s="21">
        <f>'Raw Data'!E334</f>
        <v>2</v>
      </c>
      <c r="F334" s="21">
        <f>IF('Raw Data'!F334="",ROUND(AVERAGE('Raw Data'!$F$2:$F$1501),1),'Raw Data'!F334)</f>
        <v>6</v>
      </c>
      <c r="G334" s="21" t="str">
        <f>'Raw Data'!G334</f>
        <v>Credit Card</v>
      </c>
      <c r="H334" s="21" t="str">
        <f>'Raw Data'!H334</f>
        <v>Male</v>
      </c>
      <c r="I334" s="21">
        <f>IF('Raw Data'!I334="",ROUND(AVERAGE('Raw Data'!$I$2:$I$1501),1),'Raw Data'!I334)</f>
        <v>1.9</v>
      </c>
      <c r="J334" s="21">
        <f>'Raw Data'!J334</f>
        <v>5</v>
      </c>
      <c r="K334" s="21" t="str">
        <f>'Raw Data'!K334</f>
        <v>Laptop &amp; Accessory</v>
      </c>
      <c r="L334" s="21">
        <f>'Raw Data'!L334</f>
        <v>3</v>
      </c>
      <c r="M334" s="21" t="str">
        <f>'Raw Data'!M334</f>
        <v>Married</v>
      </c>
      <c r="N334" s="21">
        <f>'Raw Data'!N334</f>
        <v>7</v>
      </c>
      <c r="O334" s="21">
        <f>'Raw Data'!O334</f>
        <v>0</v>
      </c>
      <c r="P334" s="21">
        <f>IF('Raw Data'!P334="",ROUND(AVERAGE('Raw Data'!$P$2:$P$1501),1),'Raw Data'!P334)</f>
        <v>12.9</v>
      </c>
      <c r="Q334" s="21">
        <f>IF('Raw Data'!Q334="",ROUND(AVERAGE('Raw Data'!$Q$2:$Q$1501),0),'Raw Data'!Q334)</f>
        <v>3</v>
      </c>
      <c r="R334" s="21">
        <f>'Raw Data'!R334</f>
        <v>4</v>
      </c>
      <c r="S334" s="21">
        <f>IF('Raw Data'!S334="",ROUND(AVERAGE('Raw Data'!$S$2:$S$1501),0),'Raw Data'!S334)</f>
        <v>10</v>
      </c>
      <c r="T334" s="21">
        <f>'Raw Data'!T334</f>
        <v>209.93</v>
      </c>
      <c r="U334" s="21" t="str">
        <f>INDEX('Lookup Tables'!$C$7:$C$9,MATCH(E334,'Lookup Tables'!$B$7:$B$9,0))</f>
        <v>Tier 2 (Urban)</v>
      </c>
      <c r="V334" s="21" t="str">
        <f t="shared" si="15"/>
        <v>7-12 months</v>
      </c>
      <c r="W334" s="21" t="str">
        <f t="shared" si="16"/>
        <v>Medium Risk</v>
      </c>
      <c r="X334" s="21" t="str">
        <f t="shared" si="17"/>
        <v>No</v>
      </c>
    </row>
    <row r="335" spans="1:24" x14ac:dyDescent="0.3">
      <c r="A335" s="21">
        <f>'Raw Data'!A335</f>
        <v>50334</v>
      </c>
      <c r="B335" s="21">
        <f>'Raw Data'!B335</f>
        <v>1</v>
      </c>
      <c r="C335" s="21">
        <f>'Raw Data'!C335</f>
        <v>6</v>
      </c>
      <c r="D335" s="21" t="str">
        <f>'Raw Data'!D335</f>
        <v>Mobile Phone</v>
      </c>
      <c r="E335" s="21">
        <f>'Raw Data'!E335</f>
        <v>3</v>
      </c>
      <c r="F335" s="21">
        <f>IF('Raw Data'!F335="",ROUND(AVERAGE('Raw Data'!$F$2:$F$1501),1),'Raw Data'!F335)</f>
        <v>21</v>
      </c>
      <c r="G335" s="21" t="str">
        <f>'Raw Data'!G335</f>
        <v>Credit Card</v>
      </c>
      <c r="H335" s="21" t="str">
        <f>'Raw Data'!H335</f>
        <v>Male</v>
      </c>
      <c r="I335" s="21">
        <f>IF('Raw Data'!I335="",ROUND(AVERAGE('Raw Data'!$I$2:$I$1501),1),'Raw Data'!I335)</f>
        <v>2.2999999999999998</v>
      </c>
      <c r="J335" s="21">
        <f>'Raw Data'!J335</f>
        <v>2</v>
      </c>
      <c r="K335" s="21" t="str">
        <f>'Raw Data'!K335</f>
        <v>Laptop &amp; Accessory</v>
      </c>
      <c r="L335" s="21">
        <f>'Raw Data'!L335</f>
        <v>1</v>
      </c>
      <c r="M335" s="21" t="str">
        <f>'Raw Data'!M335</f>
        <v>Single</v>
      </c>
      <c r="N335" s="21">
        <f>'Raw Data'!N335</f>
        <v>3</v>
      </c>
      <c r="O335" s="21">
        <f>'Raw Data'!O335</f>
        <v>0</v>
      </c>
      <c r="P335" s="21">
        <f>IF('Raw Data'!P335="",ROUND(AVERAGE('Raw Data'!$P$2:$P$1501),1),'Raw Data'!P335)</f>
        <v>15.9</v>
      </c>
      <c r="Q335" s="21">
        <f>IF('Raw Data'!Q335="",ROUND(AVERAGE('Raw Data'!$Q$2:$Q$1501),0),'Raw Data'!Q335)</f>
        <v>4</v>
      </c>
      <c r="R335" s="21">
        <f>'Raw Data'!R335</f>
        <v>7</v>
      </c>
      <c r="S335" s="21">
        <f>IF('Raw Data'!S335="",ROUND(AVERAGE('Raw Data'!$S$2:$S$1501),0),'Raw Data'!S335)</f>
        <v>1</v>
      </c>
      <c r="T335" s="21">
        <f>'Raw Data'!T335</f>
        <v>261.93</v>
      </c>
      <c r="U335" s="21" t="str">
        <f>INDEX('Lookup Tables'!$C$7:$C$9,MATCH(E335,'Lookup Tables'!$B$7:$B$9,0))</f>
        <v>Tier 3 (Semi-urban/Rural)</v>
      </c>
      <c r="V335" s="21" t="str">
        <f t="shared" si="15"/>
        <v>0-6 months</v>
      </c>
      <c r="W335" s="21" t="str">
        <f t="shared" si="16"/>
        <v>Low Risk</v>
      </c>
      <c r="X335" s="21" t="str">
        <f t="shared" si="17"/>
        <v>Yes</v>
      </c>
    </row>
    <row r="336" spans="1:24" x14ac:dyDescent="0.3">
      <c r="A336" s="21">
        <f>'Raw Data'!A336</f>
        <v>50335</v>
      </c>
      <c r="B336" s="21">
        <f>'Raw Data'!B336</f>
        <v>0</v>
      </c>
      <c r="C336" s="21">
        <f>'Raw Data'!C336</f>
        <v>0</v>
      </c>
      <c r="D336" s="21" t="str">
        <f>'Raw Data'!D336</f>
        <v>Computer</v>
      </c>
      <c r="E336" s="21">
        <f>'Raw Data'!E336</f>
        <v>1</v>
      </c>
      <c r="F336" s="21">
        <f>IF('Raw Data'!F336="",ROUND(AVERAGE('Raw Data'!$F$2:$F$1501),1),'Raw Data'!F336)</f>
        <v>22</v>
      </c>
      <c r="G336" s="21" t="str">
        <f>'Raw Data'!G336</f>
        <v>E wallet</v>
      </c>
      <c r="H336" s="21" t="str">
        <f>'Raw Data'!H336</f>
        <v>Female</v>
      </c>
      <c r="I336" s="21">
        <f>IF('Raw Data'!I336="",ROUND(AVERAGE('Raw Data'!$I$2:$I$1501),1),'Raw Data'!I336)</f>
        <v>3.5</v>
      </c>
      <c r="J336" s="21">
        <f>'Raw Data'!J336</f>
        <v>2</v>
      </c>
      <c r="K336" s="21" t="str">
        <f>'Raw Data'!K336</f>
        <v>Laptop &amp; Accessory</v>
      </c>
      <c r="L336" s="21">
        <f>'Raw Data'!L336</f>
        <v>4</v>
      </c>
      <c r="M336" s="21" t="str">
        <f>'Raw Data'!M336</f>
        <v>Married</v>
      </c>
      <c r="N336" s="21">
        <f>'Raw Data'!N336</f>
        <v>7</v>
      </c>
      <c r="O336" s="21">
        <f>'Raw Data'!O336</f>
        <v>0</v>
      </c>
      <c r="P336" s="21">
        <f>IF('Raw Data'!P336="",ROUND(AVERAGE('Raw Data'!$P$2:$P$1501),1),'Raw Data'!P336)</f>
        <v>18.3</v>
      </c>
      <c r="Q336" s="21">
        <f>IF('Raw Data'!Q336="",ROUND(AVERAGE('Raw Data'!$Q$2:$Q$1501),0),'Raw Data'!Q336)</f>
        <v>0</v>
      </c>
      <c r="R336" s="21">
        <f>'Raw Data'!R336</f>
        <v>5</v>
      </c>
      <c r="S336" s="21">
        <f>IF('Raw Data'!S336="",ROUND(AVERAGE('Raw Data'!$S$2:$S$1501),0),'Raw Data'!S336)</f>
        <v>8</v>
      </c>
      <c r="T336" s="21">
        <f>'Raw Data'!T336</f>
        <v>89.15</v>
      </c>
      <c r="U336" s="21" t="str">
        <f>INDEX('Lookup Tables'!$C$7:$C$9,MATCH(E336,'Lookup Tables'!$B$7:$B$9,0))</f>
        <v>Tier 1 (Metro)</v>
      </c>
      <c r="V336" s="21" t="str">
        <f t="shared" si="15"/>
        <v>0-6 months</v>
      </c>
      <c r="W336" s="21" t="str">
        <f t="shared" si="16"/>
        <v>Low Risk</v>
      </c>
      <c r="X336" s="21" t="str">
        <f t="shared" si="17"/>
        <v>No</v>
      </c>
    </row>
    <row r="337" spans="1:24" x14ac:dyDescent="0.3">
      <c r="A337" s="21">
        <f>'Raw Data'!A337</f>
        <v>50336</v>
      </c>
      <c r="B337" s="21">
        <f>'Raw Data'!B337</f>
        <v>0</v>
      </c>
      <c r="C337" s="21">
        <f>'Raw Data'!C337</f>
        <v>2</v>
      </c>
      <c r="D337" s="21" t="str">
        <f>'Raw Data'!D337</f>
        <v>Mobile Phone</v>
      </c>
      <c r="E337" s="21">
        <f>'Raw Data'!E337</f>
        <v>1</v>
      </c>
      <c r="F337" s="21">
        <f>IF('Raw Data'!F337="",ROUND(AVERAGE('Raw Data'!$F$2:$F$1501),1),'Raw Data'!F337)</f>
        <v>5</v>
      </c>
      <c r="G337" s="21" t="str">
        <f>'Raw Data'!G337</f>
        <v>Debit Card</v>
      </c>
      <c r="H337" s="21" t="str">
        <f>'Raw Data'!H337</f>
        <v>Male</v>
      </c>
      <c r="I337" s="21">
        <f>IF('Raw Data'!I337="",ROUND(AVERAGE('Raw Data'!$I$2:$I$1501),1),'Raw Data'!I337)</f>
        <v>3.1</v>
      </c>
      <c r="J337" s="21">
        <f>'Raw Data'!J337</f>
        <v>5</v>
      </c>
      <c r="K337" s="21" t="str">
        <f>'Raw Data'!K337</f>
        <v>Laptop &amp; Accessory</v>
      </c>
      <c r="L337" s="21">
        <f>'Raw Data'!L337</f>
        <v>3</v>
      </c>
      <c r="M337" s="21" t="str">
        <f>'Raw Data'!M337</f>
        <v>Married</v>
      </c>
      <c r="N337" s="21">
        <f>'Raw Data'!N337</f>
        <v>2</v>
      </c>
      <c r="O337" s="21">
        <f>'Raw Data'!O337</f>
        <v>0</v>
      </c>
      <c r="P337" s="21">
        <f>IF('Raw Data'!P337="",ROUND(AVERAGE('Raw Data'!$P$2:$P$1501),1),'Raw Data'!P337)</f>
        <v>17.600000000000001</v>
      </c>
      <c r="Q337" s="21">
        <f>IF('Raw Data'!Q337="",ROUND(AVERAGE('Raw Data'!$Q$2:$Q$1501),0),'Raw Data'!Q337)</f>
        <v>1</v>
      </c>
      <c r="R337" s="21">
        <f>'Raw Data'!R337</f>
        <v>2</v>
      </c>
      <c r="S337" s="21">
        <f>IF('Raw Data'!S337="",ROUND(AVERAGE('Raw Data'!$S$2:$S$1501),0),'Raw Data'!S337)</f>
        <v>2</v>
      </c>
      <c r="T337" s="21">
        <f>'Raw Data'!T337</f>
        <v>160.28</v>
      </c>
      <c r="U337" s="21" t="str">
        <f>INDEX('Lookup Tables'!$C$7:$C$9,MATCH(E337,'Lookup Tables'!$B$7:$B$9,0))</f>
        <v>Tier 1 (Metro)</v>
      </c>
      <c r="V337" s="21" t="str">
        <f t="shared" si="15"/>
        <v>0-6 months</v>
      </c>
      <c r="W337" s="21" t="str">
        <f t="shared" si="16"/>
        <v>Medium Risk</v>
      </c>
      <c r="X337" s="21" t="str">
        <f t="shared" si="17"/>
        <v>No</v>
      </c>
    </row>
    <row r="338" spans="1:24" x14ac:dyDescent="0.3">
      <c r="A338" s="21">
        <f>'Raw Data'!A338</f>
        <v>50337</v>
      </c>
      <c r="B338" s="21">
        <f>'Raw Data'!B338</f>
        <v>1</v>
      </c>
      <c r="C338" s="21">
        <f>'Raw Data'!C338</f>
        <v>11</v>
      </c>
      <c r="D338" s="21" t="str">
        <f>'Raw Data'!D338</f>
        <v>Computer</v>
      </c>
      <c r="E338" s="21">
        <f>'Raw Data'!E338</f>
        <v>3</v>
      </c>
      <c r="F338" s="21">
        <f>IF('Raw Data'!F338="",ROUND(AVERAGE('Raw Data'!$F$2:$F$1501),1),'Raw Data'!F338)</f>
        <v>27</v>
      </c>
      <c r="G338" s="21" t="str">
        <f>'Raw Data'!G338</f>
        <v>Debit Card</v>
      </c>
      <c r="H338" s="21" t="str">
        <f>'Raw Data'!H338</f>
        <v>Male</v>
      </c>
      <c r="I338" s="21">
        <f>IF('Raw Data'!I338="",ROUND(AVERAGE('Raw Data'!$I$2:$I$1501),1),'Raw Data'!I338)</f>
        <v>3</v>
      </c>
      <c r="J338" s="21">
        <f>'Raw Data'!J338</f>
        <v>3</v>
      </c>
      <c r="K338" s="21" t="str">
        <f>'Raw Data'!K338</f>
        <v>Laptop &amp; Accessory</v>
      </c>
      <c r="L338" s="21">
        <f>'Raw Data'!L338</f>
        <v>3</v>
      </c>
      <c r="M338" s="21" t="str">
        <f>'Raw Data'!M338</f>
        <v>Single</v>
      </c>
      <c r="N338" s="21">
        <f>'Raw Data'!N338</f>
        <v>1</v>
      </c>
      <c r="O338" s="21">
        <f>'Raw Data'!O338</f>
        <v>1</v>
      </c>
      <c r="P338" s="21">
        <f>IF('Raw Data'!P338="",ROUND(AVERAGE('Raw Data'!$P$2:$P$1501),1),'Raw Data'!P338)</f>
        <v>13.6</v>
      </c>
      <c r="Q338" s="21">
        <f>IF('Raw Data'!Q338="",ROUND(AVERAGE('Raw Data'!$Q$2:$Q$1501),0),'Raw Data'!Q338)</f>
        <v>3</v>
      </c>
      <c r="R338" s="21">
        <f>'Raw Data'!R338</f>
        <v>7</v>
      </c>
      <c r="S338" s="21">
        <f>IF('Raw Data'!S338="",ROUND(AVERAGE('Raw Data'!$S$2:$S$1501),0),'Raw Data'!S338)</f>
        <v>7</v>
      </c>
      <c r="T338" s="21">
        <f>'Raw Data'!T338</f>
        <v>167.02</v>
      </c>
      <c r="U338" s="21" t="str">
        <f>INDEX('Lookup Tables'!$C$7:$C$9,MATCH(E338,'Lookup Tables'!$B$7:$B$9,0))</f>
        <v>Tier 3 (Semi-urban/Rural)</v>
      </c>
      <c r="V338" s="21" t="str">
        <f t="shared" si="15"/>
        <v>7-12 months</v>
      </c>
      <c r="W338" s="21" t="str">
        <f t="shared" si="16"/>
        <v>Medium Risk</v>
      </c>
      <c r="X338" s="21" t="str">
        <f t="shared" si="17"/>
        <v>Yes</v>
      </c>
    </row>
    <row r="339" spans="1:24" x14ac:dyDescent="0.3">
      <c r="A339" s="21">
        <f>'Raw Data'!A339</f>
        <v>50338</v>
      </c>
      <c r="B339" s="21">
        <f>'Raw Data'!B339</f>
        <v>0</v>
      </c>
      <c r="C339" s="21">
        <f>'Raw Data'!C339</f>
        <v>0</v>
      </c>
      <c r="D339" s="21" t="str">
        <f>'Raw Data'!D339</f>
        <v>Mobile Phone</v>
      </c>
      <c r="E339" s="21">
        <f>'Raw Data'!E339</f>
        <v>2</v>
      </c>
      <c r="F339" s="21">
        <f>IF('Raw Data'!F339="",ROUND(AVERAGE('Raw Data'!$F$2:$F$1501),1),'Raw Data'!F339)</f>
        <v>19</v>
      </c>
      <c r="G339" s="21" t="str">
        <f>'Raw Data'!G339</f>
        <v>Debit Card</v>
      </c>
      <c r="H339" s="21" t="str">
        <f>'Raw Data'!H339</f>
        <v>Female</v>
      </c>
      <c r="I339" s="21">
        <f>IF('Raw Data'!I339="",ROUND(AVERAGE('Raw Data'!$I$2:$I$1501),1),'Raw Data'!I339)</f>
        <v>3.1</v>
      </c>
      <c r="J339" s="21">
        <f>'Raw Data'!J339</f>
        <v>3</v>
      </c>
      <c r="K339" s="21" t="str">
        <f>'Raw Data'!K339</f>
        <v>Laptop &amp; Accessory</v>
      </c>
      <c r="L339" s="21">
        <f>'Raw Data'!L339</f>
        <v>2</v>
      </c>
      <c r="M339" s="21" t="str">
        <f>'Raw Data'!M339</f>
        <v>Divorced</v>
      </c>
      <c r="N339" s="21">
        <f>'Raw Data'!N339</f>
        <v>7</v>
      </c>
      <c r="O339" s="21">
        <f>'Raw Data'!O339</f>
        <v>0</v>
      </c>
      <c r="P339" s="21">
        <f>IF('Raw Data'!P339="",ROUND(AVERAGE('Raw Data'!$P$2:$P$1501),1),'Raw Data'!P339)</f>
        <v>20.2</v>
      </c>
      <c r="Q339" s="21">
        <f>IF('Raw Data'!Q339="",ROUND(AVERAGE('Raw Data'!$Q$2:$Q$1501),0),'Raw Data'!Q339)</f>
        <v>8</v>
      </c>
      <c r="R339" s="21">
        <f>'Raw Data'!R339</f>
        <v>4</v>
      </c>
      <c r="S339" s="21">
        <f>IF('Raw Data'!S339="",ROUND(AVERAGE('Raw Data'!$S$2:$S$1501),0),'Raw Data'!S339)</f>
        <v>0</v>
      </c>
      <c r="T339" s="21">
        <f>'Raw Data'!T339</f>
        <v>220.83</v>
      </c>
      <c r="U339" s="21" t="str">
        <f>INDEX('Lookup Tables'!$C$7:$C$9,MATCH(E339,'Lookup Tables'!$B$7:$B$9,0))</f>
        <v>Tier 2 (Urban)</v>
      </c>
      <c r="V339" s="21" t="str">
        <f t="shared" si="15"/>
        <v>0-6 months</v>
      </c>
      <c r="W339" s="21" t="str">
        <f t="shared" si="16"/>
        <v>Low Risk</v>
      </c>
      <c r="X339" s="21" t="str">
        <f t="shared" si="17"/>
        <v>No</v>
      </c>
    </row>
    <row r="340" spans="1:24" x14ac:dyDescent="0.3">
      <c r="A340" s="21">
        <f>'Raw Data'!A340</f>
        <v>50339</v>
      </c>
      <c r="B340" s="21">
        <f>'Raw Data'!B340</f>
        <v>0</v>
      </c>
      <c r="C340" s="21">
        <f>'Raw Data'!C340</f>
        <v>19</v>
      </c>
      <c r="D340" s="21" t="str">
        <f>'Raw Data'!D340</f>
        <v>Computer</v>
      </c>
      <c r="E340" s="21">
        <f>'Raw Data'!E340</f>
        <v>3</v>
      </c>
      <c r="F340" s="21">
        <f>IF('Raw Data'!F340="",ROUND(AVERAGE('Raw Data'!$F$2:$F$1501),1),'Raw Data'!F340)</f>
        <v>26</v>
      </c>
      <c r="G340" s="21" t="str">
        <f>'Raw Data'!G340</f>
        <v>Debit Card</v>
      </c>
      <c r="H340" s="21" t="str">
        <f>'Raw Data'!H340</f>
        <v>Male</v>
      </c>
      <c r="I340" s="21">
        <f>IF('Raw Data'!I340="",ROUND(AVERAGE('Raw Data'!$I$2:$I$1501),1),'Raw Data'!I340)</f>
        <v>3</v>
      </c>
      <c r="J340" s="21">
        <f>'Raw Data'!J340</f>
        <v>2</v>
      </c>
      <c r="K340" s="21" t="str">
        <f>'Raw Data'!K340</f>
        <v>Laptop &amp; Accessory</v>
      </c>
      <c r="L340" s="21">
        <f>'Raw Data'!L340</f>
        <v>4</v>
      </c>
      <c r="M340" s="21" t="str">
        <f>'Raw Data'!M340</f>
        <v>Single</v>
      </c>
      <c r="N340" s="21">
        <f>'Raw Data'!N340</f>
        <v>2</v>
      </c>
      <c r="O340" s="21">
        <f>'Raw Data'!O340</f>
        <v>1</v>
      </c>
      <c r="P340" s="21">
        <f>IF('Raw Data'!P340="",ROUND(AVERAGE('Raw Data'!$P$2:$P$1501),1),'Raw Data'!P340)</f>
        <v>16.3</v>
      </c>
      <c r="Q340" s="21">
        <f>IF('Raw Data'!Q340="",ROUND(AVERAGE('Raw Data'!$Q$2:$Q$1501),0),'Raw Data'!Q340)</f>
        <v>1</v>
      </c>
      <c r="R340" s="21">
        <f>'Raw Data'!R340</f>
        <v>3</v>
      </c>
      <c r="S340" s="21">
        <f>IF('Raw Data'!S340="",ROUND(AVERAGE('Raw Data'!$S$2:$S$1501),0),'Raw Data'!S340)</f>
        <v>5</v>
      </c>
      <c r="T340" s="21">
        <f>'Raw Data'!T340</f>
        <v>141.9</v>
      </c>
      <c r="U340" s="21" t="str">
        <f>INDEX('Lookup Tables'!$C$7:$C$9,MATCH(E340,'Lookup Tables'!$B$7:$B$9,0))</f>
        <v>Tier 3 (Semi-urban/Rural)</v>
      </c>
      <c r="V340" s="21" t="str">
        <f t="shared" si="15"/>
        <v>13-24 months</v>
      </c>
      <c r="W340" s="21" t="str">
        <f t="shared" si="16"/>
        <v>Low Risk</v>
      </c>
      <c r="X340" s="21" t="str">
        <f t="shared" si="17"/>
        <v>No</v>
      </c>
    </row>
    <row r="341" spans="1:24" x14ac:dyDescent="0.3">
      <c r="A341" s="21">
        <f>'Raw Data'!A341</f>
        <v>50340</v>
      </c>
      <c r="B341" s="21">
        <f>'Raw Data'!B341</f>
        <v>0</v>
      </c>
      <c r="C341" s="21">
        <f>'Raw Data'!C341</f>
        <v>6</v>
      </c>
      <c r="D341" s="21" t="str">
        <f>'Raw Data'!D341</f>
        <v>Mobile Phone</v>
      </c>
      <c r="E341" s="21">
        <f>'Raw Data'!E341</f>
        <v>3</v>
      </c>
      <c r="F341" s="21">
        <f>IF('Raw Data'!F341="",ROUND(AVERAGE('Raw Data'!$F$2:$F$1501),1),'Raw Data'!F341)</f>
        <v>5</v>
      </c>
      <c r="G341" s="21" t="str">
        <f>'Raw Data'!G341</f>
        <v>Credit Card</v>
      </c>
      <c r="H341" s="21" t="str">
        <f>'Raw Data'!H341</f>
        <v>Female</v>
      </c>
      <c r="I341" s="21">
        <f>IF('Raw Data'!I341="",ROUND(AVERAGE('Raw Data'!$I$2:$I$1501),1),'Raw Data'!I341)</f>
        <v>3.8</v>
      </c>
      <c r="J341" s="21">
        <f>'Raw Data'!J341</f>
        <v>4</v>
      </c>
      <c r="K341" s="21" t="str">
        <f>'Raw Data'!K341</f>
        <v>Others</v>
      </c>
      <c r="L341" s="21">
        <f>'Raw Data'!L341</f>
        <v>4</v>
      </c>
      <c r="M341" s="21" t="str">
        <f>'Raw Data'!M341</f>
        <v>Divorced</v>
      </c>
      <c r="N341" s="21">
        <f>'Raw Data'!N341</f>
        <v>8</v>
      </c>
      <c r="O341" s="21">
        <f>'Raw Data'!O341</f>
        <v>0</v>
      </c>
      <c r="P341" s="21">
        <f>IF('Raw Data'!P341="",ROUND(AVERAGE('Raw Data'!$P$2:$P$1501),1),'Raw Data'!P341)</f>
        <v>18.600000000000001</v>
      </c>
      <c r="Q341" s="21">
        <f>IF('Raw Data'!Q341="",ROUND(AVERAGE('Raw Data'!$Q$2:$Q$1501),0),'Raw Data'!Q341)</f>
        <v>0</v>
      </c>
      <c r="R341" s="21">
        <f>'Raw Data'!R341</f>
        <v>1</v>
      </c>
      <c r="S341" s="21">
        <f>IF('Raw Data'!S341="",ROUND(AVERAGE('Raw Data'!$S$2:$S$1501),0),'Raw Data'!S341)</f>
        <v>5</v>
      </c>
      <c r="T341" s="21">
        <f>'Raw Data'!T341</f>
        <v>113.92</v>
      </c>
      <c r="U341" s="21" t="str">
        <f>INDEX('Lookup Tables'!$C$7:$C$9,MATCH(E341,'Lookup Tables'!$B$7:$B$9,0))</f>
        <v>Tier 3 (Semi-urban/Rural)</v>
      </c>
      <c r="V341" s="21" t="str">
        <f t="shared" si="15"/>
        <v>0-6 months</v>
      </c>
      <c r="W341" s="21" t="str">
        <f t="shared" si="16"/>
        <v>Low Risk</v>
      </c>
      <c r="X341" s="21" t="str">
        <f t="shared" si="17"/>
        <v>No</v>
      </c>
    </row>
    <row r="342" spans="1:24" x14ac:dyDescent="0.3">
      <c r="A342" s="21">
        <f>'Raw Data'!A342</f>
        <v>50341</v>
      </c>
      <c r="B342" s="21">
        <f>'Raw Data'!B342</f>
        <v>0</v>
      </c>
      <c r="C342" s="21">
        <f>'Raw Data'!C342</f>
        <v>6</v>
      </c>
      <c r="D342" s="21" t="str">
        <f>'Raw Data'!D342</f>
        <v>Computer</v>
      </c>
      <c r="E342" s="21">
        <f>'Raw Data'!E342</f>
        <v>3</v>
      </c>
      <c r="F342" s="21">
        <f>IF('Raw Data'!F342="",ROUND(AVERAGE('Raw Data'!$F$2:$F$1501),1),'Raw Data'!F342)</f>
        <v>5</v>
      </c>
      <c r="G342" s="21" t="str">
        <f>'Raw Data'!G342</f>
        <v>UPI</v>
      </c>
      <c r="H342" s="21" t="str">
        <f>'Raw Data'!H342</f>
        <v>Male</v>
      </c>
      <c r="I342" s="21">
        <f>IF('Raw Data'!I342="",ROUND(AVERAGE('Raw Data'!$I$2:$I$1501),1),'Raw Data'!I342)</f>
        <v>3</v>
      </c>
      <c r="J342" s="21">
        <f>'Raw Data'!J342</f>
        <v>4</v>
      </c>
      <c r="K342" s="21" t="str">
        <f>'Raw Data'!K342</f>
        <v>Mobile Phone</v>
      </c>
      <c r="L342" s="21">
        <f>'Raw Data'!L342</f>
        <v>5</v>
      </c>
      <c r="M342" s="21" t="str">
        <f>'Raw Data'!M342</f>
        <v>Single</v>
      </c>
      <c r="N342" s="21">
        <f>'Raw Data'!N342</f>
        <v>1</v>
      </c>
      <c r="O342" s="21">
        <f>'Raw Data'!O342</f>
        <v>1</v>
      </c>
      <c r="P342" s="21">
        <f>IF('Raw Data'!P342="",ROUND(AVERAGE('Raw Data'!$P$2:$P$1501),1),'Raw Data'!P342)</f>
        <v>21.4</v>
      </c>
      <c r="Q342" s="21">
        <f>IF('Raw Data'!Q342="",ROUND(AVERAGE('Raw Data'!$Q$2:$Q$1501),0),'Raw Data'!Q342)</f>
        <v>1</v>
      </c>
      <c r="R342" s="21">
        <f>'Raw Data'!R342</f>
        <v>5</v>
      </c>
      <c r="S342" s="21">
        <f>IF('Raw Data'!S342="",ROUND(AVERAGE('Raw Data'!$S$2:$S$1501),0),'Raw Data'!S342)</f>
        <v>3</v>
      </c>
      <c r="T342" s="21">
        <f>'Raw Data'!T342</f>
        <v>113.43</v>
      </c>
      <c r="U342" s="21" t="str">
        <f>INDEX('Lookup Tables'!$C$7:$C$9,MATCH(E342,'Lookup Tables'!$B$7:$B$9,0))</f>
        <v>Tier 3 (Semi-urban/Rural)</v>
      </c>
      <c r="V342" s="21" t="str">
        <f t="shared" si="15"/>
        <v>0-6 months</v>
      </c>
      <c r="W342" s="21" t="str">
        <f t="shared" si="16"/>
        <v>Low Risk</v>
      </c>
      <c r="X342" s="21" t="str">
        <f t="shared" si="17"/>
        <v>No</v>
      </c>
    </row>
    <row r="343" spans="1:24" x14ac:dyDescent="0.3">
      <c r="A343" s="21">
        <f>'Raw Data'!A343</f>
        <v>50342</v>
      </c>
      <c r="B343" s="21">
        <f>'Raw Data'!B343</f>
        <v>0</v>
      </c>
      <c r="C343" s="21">
        <f>'Raw Data'!C343</f>
        <v>8</v>
      </c>
      <c r="D343" s="21" t="str">
        <f>'Raw Data'!D343</f>
        <v>Mobile Phone</v>
      </c>
      <c r="E343" s="21">
        <f>'Raw Data'!E343</f>
        <v>3</v>
      </c>
      <c r="F343" s="21">
        <f>IF('Raw Data'!F343="",ROUND(AVERAGE('Raw Data'!$F$2:$F$1501),1),'Raw Data'!F343)</f>
        <v>13</v>
      </c>
      <c r="G343" s="21" t="str">
        <f>'Raw Data'!G343</f>
        <v>E wallet</v>
      </c>
      <c r="H343" s="21" t="str">
        <f>'Raw Data'!H343</f>
        <v>Female</v>
      </c>
      <c r="I343" s="21">
        <f>IF('Raw Data'!I343="",ROUND(AVERAGE('Raw Data'!$I$2:$I$1501),1),'Raw Data'!I343)</f>
        <v>1.9</v>
      </c>
      <c r="J343" s="21">
        <f>'Raw Data'!J343</f>
        <v>2</v>
      </c>
      <c r="K343" s="21" t="str">
        <f>'Raw Data'!K343</f>
        <v>Others</v>
      </c>
      <c r="L343" s="21">
        <f>'Raw Data'!L343</f>
        <v>3</v>
      </c>
      <c r="M343" s="21" t="str">
        <f>'Raw Data'!M343</f>
        <v>Single</v>
      </c>
      <c r="N343" s="21">
        <f>'Raw Data'!N343</f>
        <v>1</v>
      </c>
      <c r="O343" s="21">
        <f>'Raw Data'!O343</f>
        <v>0</v>
      </c>
      <c r="P343" s="21">
        <f>IF('Raw Data'!P343="",ROUND(AVERAGE('Raw Data'!$P$2:$P$1501),1),'Raw Data'!P343)</f>
        <v>19.899999999999999</v>
      </c>
      <c r="Q343" s="21">
        <f>IF('Raw Data'!Q343="",ROUND(AVERAGE('Raw Data'!$Q$2:$Q$1501),0),'Raw Data'!Q343)</f>
        <v>2</v>
      </c>
      <c r="R343" s="21">
        <f>'Raw Data'!R343</f>
        <v>2</v>
      </c>
      <c r="S343" s="21">
        <f>IF('Raw Data'!S343="",ROUND(AVERAGE('Raw Data'!$S$2:$S$1501),0),'Raw Data'!S343)</f>
        <v>5</v>
      </c>
      <c r="T343" s="21">
        <f>'Raw Data'!T343</f>
        <v>243.22</v>
      </c>
      <c r="U343" s="21" t="str">
        <f>INDEX('Lookup Tables'!$C$7:$C$9,MATCH(E343,'Lookup Tables'!$B$7:$B$9,0))</f>
        <v>Tier 3 (Semi-urban/Rural)</v>
      </c>
      <c r="V343" s="21" t="str">
        <f t="shared" si="15"/>
        <v>7-12 months</v>
      </c>
      <c r="W343" s="21" t="str">
        <f t="shared" si="16"/>
        <v>Medium Risk</v>
      </c>
      <c r="X343" s="21" t="str">
        <f t="shared" si="17"/>
        <v>No</v>
      </c>
    </row>
    <row r="344" spans="1:24" x14ac:dyDescent="0.3">
      <c r="A344" s="21">
        <f>'Raw Data'!A344</f>
        <v>50343</v>
      </c>
      <c r="B344" s="21">
        <f>'Raw Data'!B344</f>
        <v>0</v>
      </c>
      <c r="C344" s="21">
        <f>'Raw Data'!C344</f>
        <v>17</v>
      </c>
      <c r="D344" s="21" t="str">
        <f>'Raw Data'!D344</f>
        <v>Computer</v>
      </c>
      <c r="E344" s="21">
        <f>'Raw Data'!E344</f>
        <v>1</v>
      </c>
      <c r="F344" s="21">
        <f>IF('Raw Data'!F344="",ROUND(AVERAGE('Raw Data'!$F$2:$F$1501),1),'Raw Data'!F344)</f>
        <v>19</v>
      </c>
      <c r="G344" s="21" t="str">
        <f>'Raw Data'!G344</f>
        <v>UPI</v>
      </c>
      <c r="H344" s="21" t="str">
        <f>'Raw Data'!H344</f>
        <v>Male</v>
      </c>
      <c r="I344" s="21">
        <f>IF('Raw Data'!I344="",ROUND(AVERAGE('Raw Data'!$I$2:$I$1501),1),'Raw Data'!I344)</f>
        <v>4</v>
      </c>
      <c r="J344" s="21">
        <f>'Raw Data'!J344</f>
        <v>3</v>
      </c>
      <c r="K344" s="21" t="str">
        <f>'Raw Data'!K344</f>
        <v>Mobile Phone</v>
      </c>
      <c r="L344" s="21">
        <f>'Raw Data'!L344</f>
        <v>5</v>
      </c>
      <c r="M344" s="21" t="str">
        <f>'Raw Data'!M344</f>
        <v>Single</v>
      </c>
      <c r="N344" s="21">
        <f>'Raw Data'!N344</f>
        <v>10</v>
      </c>
      <c r="O344" s="21">
        <f>'Raw Data'!O344</f>
        <v>0</v>
      </c>
      <c r="P344" s="21">
        <f>IF('Raw Data'!P344="",ROUND(AVERAGE('Raw Data'!$P$2:$P$1501),1),'Raw Data'!P344)</f>
        <v>19.899999999999999</v>
      </c>
      <c r="Q344" s="21">
        <f>IF('Raw Data'!Q344="",ROUND(AVERAGE('Raw Data'!$Q$2:$Q$1501),0),'Raw Data'!Q344)</f>
        <v>2</v>
      </c>
      <c r="R344" s="21">
        <f>'Raw Data'!R344</f>
        <v>5</v>
      </c>
      <c r="S344" s="21">
        <f>IF('Raw Data'!S344="",ROUND(AVERAGE('Raw Data'!$S$2:$S$1501),0),'Raw Data'!S344)</f>
        <v>12</v>
      </c>
      <c r="T344" s="21">
        <f>'Raw Data'!T344</f>
        <v>139.16</v>
      </c>
      <c r="U344" s="21" t="str">
        <f>INDEX('Lookup Tables'!$C$7:$C$9,MATCH(E344,'Lookup Tables'!$B$7:$B$9,0))</f>
        <v>Tier 1 (Metro)</v>
      </c>
      <c r="V344" s="21" t="str">
        <f t="shared" si="15"/>
        <v>13-24 months</v>
      </c>
      <c r="W344" s="21" t="str">
        <f t="shared" si="16"/>
        <v>Low Risk</v>
      </c>
      <c r="X344" s="21" t="str">
        <f t="shared" si="17"/>
        <v>No</v>
      </c>
    </row>
    <row r="345" spans="1:24" x14ac:dyDescent="0.3">
      <c r="A345" s="21">
        <f>'Raw Data'!A345</f>
        <v>50344</v>
      </c>
      <c r="B345" s="21">
        <f>'Raw Data'!B345</f>
        <v>1</v>
      </c>
      <c r="C345" s="21">
        <f>'Raw Data'!C345</f>
        <v>4</v>
      </c>
      <c r="D345" s="21" t="str">
        <f>'Raw Data'!D345</f>
        <v>Phone</v>
      </c>
      <c r="E345" s="21">
        <f>'Raw Data'!E345</f>
        <v>1</v>
      </c>
      <c r="F345" s="21">
        <f>IF('Raw Data'!F345="",ROUND(AVERAGE('Raw Data'!$F$2:$F$1501),1),'Raw Data'!F345)</f>
        <v>29</v>
      </c>
      <c r="G345" s="21" t="str">
        <f>'Raw Data'!G345</f>
        <v>Credit Card</v>
      </c>
      <c r="H345" s="21" t="str">
        <f>'Raw Data'!H345</f>
        <v>Female</v>
      </c>
      <c r="I345" s="21">
        <f>IF('Raw Data'!I345="",ROUND(AVERAGE('Raw Data'!$I$2:$I$1501),1),'Raw Data'!I345)</f>
        <v>3.2</v>
      </c>
      <c r="J345" s="21">
        <f>'Raw Data'!J345</f>
        <v>3</v>
      </c>
      <c r="K345" s="21" t="str">
        <f>'Raw Data'!K345</f>
        <v>Mobile Phone</v>
      </c>
      <c r="L345" s="21">
        <f>'Raw Data'!L345</f>
        <v>5</v>
      </c>
      <c r="M345" s="21" t="str">
        <f>'Raw Data'!M345</f>
        <v>Single</v>
      </c>
      <c r="N345" s="21">
        <f>'Raw Data'!N345</f>
        <v>1</v>
      </c>
      <c r="O345" s="21">
        <f>'Raw Data'!O345</f>
        <v>1</v>
      </c>
      <c r="P345" s="21">
        <f>IF('Raw Data'!P345="",ROUND(AVERAGE('Raw Data'!$P$2:$P$1501),1),'Raw Data'!P345)</f>
        <v>16.7</v>
      </c>
      <c r="Q345" s="21">
        <f>IF('Raw Data'!Q345="",ROUND(AVERAGE('Raw Data'!$Q$2:$Q$1501),0),'Raw Data'!Q345)</f>
        <v>4</v>
      </c>
      <c r="R345" s="21">
        <f>'Raw Data'!R345</f>
        <v>3</v>
      </c>
      <c r="S345" s="21">
        <f>IF('Raw Data'!S345="",ROUND(AVERAGE('Raw Data'!$S$2:$S$1501),0),'Raw Data'!S345)</f>
        <v>6</v>
      </c>
      <c r="T345" s="21">
        <f>'Raw Data'!T345</f>
        <v>149.63999999999999</v>
      </c>
      <c r="U345" s="21" t="str">
        <f>INDEX('Lookup Tables'!$C$7:$C$9,MATCH(E345,'Lookup Tables'!$B$7:$B$9,0))</f>
        <v>Tier 1 (Metro)</v>
      </c>
      <c r="V345" s="21" t="str">
        <f t="shared" si="15"/>
        <v>0-6 months</v>
      </c>
      <c r="W345" s="21" t="str">
        <f t="shared" si="16"/>
        <v>Low Risk</v>
      </c>
      <c r="X345" s="21" t="str">
        <f t="shared" si="17"/>
        <v>Yes</v>
      </c>
    </row>
    <row r="346" spans="1:24" x14ac:dyDescent="0.3">
      <c r="A346" s="21">
        <f>'Raw Data'!A346</f>
        <v>50345</v>
      </c>
      <c r="B346" s="21">
        <f>'Raw Data'!B346</f>
        <v>0</v>
      </c>
      <c r="C346" s="21">
        <f>'Raw Data'!C346</f>
        <v>11</v>
      </c>
      <c r="D346" s="21" t="str">
        <f>'Raw Data'!D346</f>
        <v>Mobile Phone</v>
      </c>
      <c r="E346" s="21">
        <f>'Raw Data'!E346</f>
        <v>3</v>
      </c>
      <c r="F346" s="21">
        <f>IF('Raw Data'!F346="",ROUND(AVERAGE('Raw Data'!$F$2:$F$1501),1),'Raw Data'!F346)</f>
        <v>20</v>
      </c>
      <c r="G346" s="21" t="str">
        <f>'Raw Data'!G346</f>
        <v>Credit Card</v>
      </c>
      <c r="H346" s="21" t="str">
        <f>'Raw Data'!H346</f>
        <v>Female</v>
      </c>
      <c r="I346" s="21">
        <f>IF('Raw Data'!I346="",ROUND(AVERAGE('Raw Data'!$I$2:$I$1501),1),'Raw Data'!I346)</f>
        <v>2.5</v>
      </c>
      <c r="J346" s="21">
        <f>'Raw Data'!J346</f>
        <v>3</v>
      </c>
      <c r="K346" s="21" t="str">
        <f>'Raw Data'!K346</f>
        <v>Mobile Phone</v>
      </c>
      <c r="L346" s="21">
        <f>'Raw Data'!L346</f>
        <v>4</v>
      </c>
      <c r="M346" s="21" t="str">
        <f>'Raw Data'!M346</f>
        <v>Married</v>
      </c>
      <c r="N346" s="21">
        <f>'Raw Data'!N346</f>
        <v>9</v>
      </c>
      <c r="O346" s="21">
        <f>'Raw Data'!O346</f>
        <v>1</v>
      </c>
      <c r="P346" s="21">
        <f>IF('Raw Data'!P346="",ROUND(AVERAGE('Raw Data'!$P$2:$P$1501),1),'Raw Data'!P346)</f>
        <v>18.8</v>
      </c>
      <c r="Q346" s="21">
        <f>IF('Raw Data'!Q346="",ROUND(AVERAGE('Raw Data'!$Q$2:$Q$1501),0),'Raw Data'!Q346)</f>
        <v>3</v>
      </c>
      <c r="R346" s="21">
        <f>'Raw Data'!R346</f>
        <v>7</v>
      </c>
      <c r="S346" s="21">
        <f>IF('Raw Data'!S346="",ROUND(AVERAGE('Raw Data'!$S$2:$S$1501),0),'Raw Data'!S346)</f>
        <v>16</v>
      </c>
      <c r="T346" s="21">
        <f>'Raw Data'!T346</f>
        <v>214.9</v>
      </c>
      <c r="U346" s="21" t="str">
        <f>INDEX('Lookup Tables'!$C$7:$C$9,MATCH(E346,'Lookup Tables'!$B$7:$B$9,0))</f>
        <v>Tier 3 (Semi-urban/Rural)</v>
      </c>
      <c r="V346" s="21" t="str">
        <f t="shared" si="15"/>
        <v>7-12 months</v>
      </c>
      <c r="W346" s="21" t="str">
        <f t="shared" si="16"/>
        <v>Medium Risk</v>
      </c>
      <c r="X346" s="21" t="str">
        <f t="shared" si="17"/>
        <v>No</v>
      </c>
    </row>
    <row r="347" spans="1:24" x14ac:dyDescent="0.3">
      <c r="A347" s="21">
        <f>'Raw Data'!A347</f>
        <v>50346</v>
      </c>
      <c r="B347" s="21">
        <f>'Raw Data'!B347</f>
        <v>0</v>
      </c>
      <c r="C347" s="21">
        <f>'Raw Data'!C347</f>
        <v>8</v>
      </c>
      <c r="D347" s="21" t="str">
        <f>'Raw Data'!D347</f>
        <v>Phone</v>
      </c>
      <c r="E347" s="21">
        <f>'Raw Data'!E347</f>
        <v>2</v>
      </c>
      <c r="F347" s="21">
        <f>IF('Raw Data'!F347="",ROUND(AVERAGE('Raw Data'!$F$2:$F$1501),1),'Raw Data'!F347)</f>
        <v>13</v>
      </c>
      <c r="G347" s="21" t="str">
        <f>'Raw Data'!G347</f>
        <v>Credit Card</v>
      </c>
      <c r="H347" s="21" t="str">
        <f>'Raw Data'!H347</f>
        <v>Male</v>
      </c>
      <c r="I347" s="21">
        <f>IF('Raw Data'!I347="",ROUND(AVERAGE('Raw Data'!$I$2:$I$1501),1),'Raw Data'!I347)</f>
        <v>2</v>
      </c>
      <c r="J347" s="21">
        <f>'Raw Data'!J347</f>
        <v>2</v>
      </c>
      <c r="K347" s="21" t="str">
        <f>'Raw Data'!K347</f>
        <v>Laptop &amp; Accessory</v>
      </c>
      <c r="L347" s="21">
        <f>'Raw Data'!L347</f>
        <v>5</v>
      </c>
      <c r="M347" s="21" t="str">
        <f>'Raw Data'!M347</f>
        <v>Married</v>
      </c>
      <c r="N347" s="21">
        <f>'Raw Data'!N347</f>
        <v>10</v>
      </c>
      <c r="O347" s="21">
        <f>'Raw Data'!O347</f>
        <v>0</v>
      </c>
      <c r="P347" s="21">
        <f>IF('Raw Data'!P347="",ROUND(AVERAGE('Raw Data'!$P$2:$P$1501),1),'Raw Data'!P347)</f>
        <v>16.7</v>
      </c>
      <c r="Q347" s="21">
        <f>IF('Raw Data'!Q347="",ROUND(AVERAGE('Raw Data'!$Q$2:$Q$1501),0),'Raw Data'!Q347)</f>
        <v>2</v>
      </c>
      <c r="R347" s="21">
        <f>'Raw Data'!R347</f>
        <v>3</v>
      </c>
      <c r="S347" s="21">
        <f>IF('Raw Data'!S347="",ROUND(AVERAGE('Raw Data'!$S$2:$S$1501),0),'Raw Data'!S347)</f>
        <v>2</v>
      </c>
      <c r="T347" s="21">
        <f>'Raw Data'!T347</f>
        <v>141.56</v>
      </c>
      <c r="U347" s="21" t="str">
        <f>INDEX('Lookup Tables'!$C$7:$C$9,MATCH(E347,'Lookup Tables'!$B$7:$B$9,0))</f>
        <v>Tier 2 (Urban)</v>
      </c>
      <c r="V347" s="21" t="str">
        <f t="shared" si="15"/>
        <v>7-12 months</v>
      </c>
      <c r="W347" s="21" t="str">
        <f t="shared" si="16"/>
        <v>Low Risk</v>
      </c>
      <c r="X347" s="21" t="str">
        <f t="shared" si="17"/>
        <v>No</v>
      </c>
    </row>
    <row r="348" spans="1:24" x14ac:dyDescent="0.3">
      <c r="A348" s="21">
        <f>'Raw Data'!A348</f>
        <v>50347</v>
      </c>
      <c r="B348" s="21">
        <f>'Raw Data'!B348</f>
        <v>0</v>
      </c>
      <c r="C348" s="21">
        <f>'Raw Data'!C348</f>
        <v>3</v>
      </c>
      <c r="D348" s="21" t="str">
        <f>'Raw Data'!D348</f>
        <v>Computer</v>
      </c>
      <c r="E348" s="21">
        <f>'Raw Data'!E348</f>
        <v>1</v>
      </c>
      <c r="F348" s="21">
        <f>IF('Raw Data'!F348="",ROUND(AVERAGE('Raw Data'!$F$2:$F$1501),1),'Raw Data'!F348)</f>
        <v>6</v>
      </c>
      <c r="G348" s="21" t="str">
        <f>'Raw Data'!G348</f>
        <v>Debit Card</v>
      </c>
      <c r="H348" s="21" t="str">
        <f>'Raw Data'!H348</f>
        <v>Male</v>
      </c>
      <c r="I348" s="21">
        <f>IF('Raw Data'!I348="",ROUND(AVERAGE('Raw Data'!$I$2:$I$1501),1),'Raw Data'!I348)</f>
        <v>3.2</v>
      </c>
      <c r="J348" s="21">
        <f>'Raw Data'!J348</f>
        <v>4</v>
      </c>
      <c r="K348" s="21" t="str">
        <f>'Raw Data'!K348</f>
        <v>Laptop &amp; Accessory</v>
      </c>
      <c r="L348" s="21">
        <f>'Raw Data'!L348</f>
        <v>3</v>
      </c>
      <c r="M348" s="21" t="str">
        <f>'Raw Data'!M348</f>
        <v>Married</v>
      </c>
      <c r="N348" s="21">
        <f>'Raw Data'!N348</f>
        <v>7</v>
      </c>
      <c r="O348" s="21">
        <f>'Raw Data'!O348</f>
        <v>0</v>
      </c>
      <c r="P348" s="21">
        <f>IF('Raw Data'!P348="",ROUND(AVERAGE('Raw Data'!$P$2:$P$1501),1),'Raw Data'!P348)</f>
        <v>11.8</v>
      </c>
      <c r="Q348" s="21">
        <f>IF('Raw Data'!Q348="",ROUND(AVERAGE('Raw Data'!$Q$2:$Q$1501),0),'Raw Data'!Q348)</f>
        <v>2</v>
      </c>
      <c r="R348" s="21">
        <f>'Raw Data'!R348</f>
        <v>3</v>
      </c>
      <c r="S348" s="21">
        <f>IF('Raw Data'!S348="",ROUND(AVERAGE('Raw Data'!$S$2:$S$1501),0),'Raw Data'!S348)</f>
        <v>3</v>
      </c>
      <c r="T348" s="21">
        <f>'Raw Data'!T348</f>
        <v>86.23</v>
      </c>
      <c r="U348" s="21" t="str">
        <f>INDEX('Lookup Tables'!$C$7:$C$9,MATCH(E348,'Lookup Tables'!$B$7:$B$9,0))</f>
        <v>Tier 1 (Metro)</v>
      </c>
      <c r="V348" s="21" t="str">
        <f t="shared" si="15"/>
        <v>0-6 months</v>
      </c>
      <c r="W348" s="21" t="str">
        <f t="shared" si="16"/>
        <v>Medium Risk</v>
      </c>
      <c r="X348" s="21" t="str">
        <f t="shared" si="17"/>
        <v>No</v>
      </c>
    </row>
    <row r="349" spans="1:24" x14ac:dyDescent="0.3">
      <c r="A349" s="21">
        <f>'Raw Data'!A349</f>
        <v>50348</v>
      </c>
      <c r="B349" s="21">
        <f>'Raw Data'!B349</f>
        <v>1</v>
      </c>
      <c r="C349" s="21">
        <f>'Raw Data'!C349</f>
        <v>21</v>
      </c>
      <c r="D349" s="21" t="str">
        <f>'Raw Data'!D349</f>
        <v>Mobile Phone</v>
      </c>
      <c r="E349" s="21">
        <f>'Raw Data'!E349</f>
        <v>1</v>
      </c>
      <c r="F349" s="21">
        <f>IF('Raw Data'!F349="",ROUND(AVERAGE('Raw Data'!$F$2:$F$1501),1),'Raw Data'!F349)</f>
        <v>24</v>
      </c>
      <c r="G349" s="21" t="str">
        <f>'Raw Data'!G349</f>
        <v>Debit Card</v>
      </c>
      <c r="H349" s="21" t="str">
        <f>'Raw Data'!H349</f>
        <v>Male</v>
      </c>
      <c r="I349" s="21">
        <f>IF('Raw Data'!I349="",ROUND(AVERAGE('Raw Data'!$I$2:$I$1501),1),'Raw Data'!I349)</f>
        <v>2.8</v>
      </c>
      <c r="J349" s="21">
        <f>'Raw Data'!J349</f>
        <v>4</v>
      </c>
      <c r="K349" s="21" t="str">
        <f>'Raw Data'!K349</f>
        <v>Others</v>
      </c>
      <c r="L349" s="21">
        <f>'Raw Data'!L349</f>
        <v>3</v>
      </c>
      <c r="M349" s="21" t="str">
        <f>'Raw Data'!M349</f>
        <v>Single</v>
      </c>
      <c r="N349" s="21">
        <f>'Raw Data'!N349</f>
        <v>2</v>
      </c>
      <c r="O349" s="21">
        <f>'Raw Data'!O349</f>
        <v>0</v>
      </c>
      <c r="P349" s="21">
        <f>IF('Raw Data'!P349="",ROUND(AVERAGE('Raw Data'!$P$2:$P$1501),1),'Raw Data'!P349)</f>
        <v>17.100000000000001</v>
      </c>
      <c r="Q349" s="21">
        <f>IF('Raw Data'!Q349="",ROUND(AVERAGE('Raw Data'!$Q$2:$Q$1501),0),'Raw Data'!Q349)</f>
        <v>5</v>
      </c>
      <c r="R349" s="21">
        <f>'Raw Data'!R349</f>
        <v>7</v>
      </c>
      <c r="S349" s="21">
        <f>IF('Raw Data'!S349="",ROUND(AVERAGE('Raw Data'!$S$2:$S$1501),0),'Raw Data'!S349)</f>
        <v>1</v>
      </c>
      <c r="T349" s="21">
        <f>'Raw Data'!T349</f>
        <v>93.01</v>
      </c>
      <c r="U349" s="21" t="str">
        <f>INDEX('Lookup Tables'!$C$7:$C$9,MATCH(E349,'Lookup Tables'!$B$7:$B$9,0))</f>
        <v>Tier 1 (Metro)</v>
      </c>
      <c r="V349" s="21" t="str">
        <f t="shared" si="15"/>
        <v>13-24 months</v>
      </c>
      <c r="W349" s="21" t="str">
        <f t="shared" si="16"/>
        <v>Medium Risk</v>
      </c>
      <c r="X349" s="21" t="str">
        <f t="shared" si="17"/>
        <v>Yes</v>
      </c>
    </row>
    <row r="350" spans="1:24" x14ac:dyDescent="0.3">
      <c r="A350" s="21">
        <f>'Raw Data'!A350</f>
        <v>50349</v>
      </c>
      <c r="B350" s="21">
        <f>'Raw Data'!B350</f>
        <v>0</v>
      </c>
      <c r="C350" s="21">
        <f>'Raw Data'!C350</f>
        <v>15</v>
      </c>
      <c r="D350" s="21" t="str">
        <f>'Raw Data'!D350</f>
        <v>Mobile Phone</v>
      </c>
      <c r="E350" s="21">
        <f>'Raw Data'!E350</f>
        <v>3</v>
      </c>
      <c r="F350" s="21">
        <f>IF('Raw Data'!F350="",ROUND(AVERAGE('Raw Data'!$F$2:$F$1501),1),'Raw Data'!F350)</f>
        <v>7</v>
      </c>
      <c r="G350" s="21" t="str">
        <f>'Raw Data'!G350</f>
        <v>Credit Card</v>
      </c>
      <c r="H350" s="21" t="str">
        <f>'Raw Data'!H350</f>
        <v>Female</v>
      </c>
      <c r="I350" s="21">
        <f>IF('Raw Data'!I350="",ROUND(AVERAGE('Raw Data'!$I$2:$I$1501),1),'Raw Data'!I350)</f>
        <v>4</v>
      </c>
      <c r="J350" s="21">
        <f>'Raw Data'!J350</f>
        <v>3</v>
      </c>
      <c r="K350" s="21" t="str">
        <f>'Raw Data'!K350</f>
        <v>Others</v>
      </c>
      <c r="L350" s="21">
        <f>'Raw Data'!L350</f>
        <v>1</v>
      </c>
      <c r="M350" s="21" t="str">
        <f>'Raw Data'!M350</f>
        <v>Married</v>
      </c>
      <c r="N350" s="21">
        <f>'Raw Data'!N350</f>
        <v>3</v>
      </c>
      <c r="O350" s="21">
        <f>'Raw Data'!O350</f>
        <v>1</v>
      </c>
      <c r="P350" s="21">
        <f>IF('Raw Data'!P350="",ROUND(AVERAGE('Raw Data'!$P$2:$P$1501),1),'Raw Data'!P350)</f>
        <v>16.899999999999999</v>
      </c>
      <c r="Q350" s="21">
        <f>IF('Raw Data'!Q350="",ROUND(AVERAGE('Raw Data'!$Q$2:$Q$1501),0),'Raw Data'!Q350)</f>
        <v>1</v>
      </c>
      <c r="R350" s="21">
        <f>'Raw Data'!R350</f>
        <v>6</v>
      </c>
      <c r="S350" s="21">
        <f>IF('Raw Data'!S350="",ROUND(AVERAGE('Raw Data'!$S$2:$S$1501),0),'Raw Data'!S350)</f>
        <v>21</v>
      </c>
      <c r="T350" s="21">
        <f>'Raw Data'!T350</f>
        <v>176.88</v>
      </c>
      <c r="U350" s="21" t="str">
        <f>INDEX('Lookup Tables'!$C$7:$C$9,MATCH(E350,'Lookup Tables'!$B$7:$B$9,0))</f>
        <v>Tier 3 (Semi-urban/Rural)</v>
      </c>
      <c r="V350" s="21" t="str">
        <f t="shared" si="15"/>
        <v>13-24 months</v>
      </c>
      <c r="W350" s="21" t="str">
        <f t="shared" si="16"/>
        <v>High Risk</v>
      </c>
      <c r="X350" s="21" t="str">
        <f t="shared" si="17"/>
        <v>No</v>
      </c>
    </row>
    <row r="351" spans="1:24" x14ac:dyDescent="0.3">
      <c r="A351" s="21">
        <f>'Raw Data'!A351</f>
        <v>50350</v>
      </c>
      <c r="B351" s="21">
        <f>'Raw Data'!B351</f>
        <v>0</v>
      </c>
      <c r="C351" s="21">
        <f>'Raw Data'!C351</f>
        <v>10</v>
      </c>
      <c r="D351" s="21" t="str">
        <f>'Raw Data'!D351</f>
        <v>Mobile Phone</v>
      </c>
      <c r="E351" s="21">
        <f>'Raw Data'!E351</f>
        <v>2</v>
      </c>
      <c r="F351" s="21">
        <f>IF('Raw Data'!F351="",ROUND(AVERAGE('Raw Data'!$F$2:$F$1501),1),'Raw Data'!F351)</f>
        <v>28</v>
      </c>
      <c r="G351" s="21" t="str">
        <f>'Raw Data'!G351</f>
        <v>Cash on Delivery</v>
      </c>
      <c r="H351" s="21" t="str">
        <f>'Raw Data'!H351</f>
        <v>Male</v>
      </c>
      <c r="I351" s="21">
        <f>IF('Raw Data'!I351="",ROUND(AVERAGE('Raw Data'!$I$2:$I$1501),1),'Raw Data'!I351)</f>
        <v>2.7</v>
      </c>
      <c r="J351" s="21">
        <f>'Raw Data'!J351</f>
        <v>3</v>
      </c>
      <c r="K351" s="21" t="str">
        <f>'Raw Data'!K351</f>
        <v>Laptop &amp; Accessory</v>
      </c>
      <c r="L351" s="21">
        <f>'Raw Data'!L351</f>
        <v>4</v>
      </c>
      <c r="M351" s="21" t="str">
        <f>'Raw Data'!M351</f>
        <v>Married</v>
      </c>
      <c r="N351" s="21">
        <f>'Raw Data'!N351</f>
        <v>7</v>
      </c>
      <c r="O351" s="21">
        <f>'Raw Data'!O351</f>
        <v>0</v>
      </c>
      <c r="P351" s="21">
        <f>IF('Raw Data'!P351="",ROUND(AVERAGE('Raw Data'!$P$2:$P$1501),1),'Raw Data'!P351)</f>
        <v>18</v>
      </c>
      <c r="Q351" s="21">
        <f>IF('Raw Data'!Q351="",ROUND(AVERAGE('Raw Data'!$Q$2:$Q$1501),0),'Raw Data'!Q351)</f>
        <v>1</v>
      </c>
      <c r="R351" s="21">
        <f>'Raw Data'!R351</f>
        <v>2</v>
      </c>
      <c r="S351" s="21">
        <f>IF('Raw Data'!S351="",ROUND(AVERAGE('Raw Data'!$S$2:$S$1501),0),'Raw Data'!S351)</f>
        <v>0</v>
      </c>
      <c r="T351" s="21">
        <f>'Raw Data'!T351</f>
        <v>207.35</v>
      </c>
      <c r="U351" s="21" t="str">
        <f>INDEX('Lookup Tables'!$C$7:$C$9,MATCH(E351,'Lookup Tables'!$B$7:$B$9,0))</f>
        <v>Tier 2 (Urban)</v>
      </c>
      <c r="V351" s="21" t="str">
        <f t="shared" si="15"/>
        <v>7-12 months</v>
      </c>
      <c r="W351" s="21" t="str">
        <f t="shared" si="16"/>
        <v>Low Risk</v>
      </c>
      <c r="X351" s="21" t="str">
        <f t="shared" si="17"/>
        <v>No</v>
      </c>
    </row>
    <row r="352" spans="1:24" x14ac:dyDescent="0.3">
      <c r="A352" s="21">
        <f>'Raw Data'!A352</f>
        <v>50351</v>
      </c>
      <c r="B352" s="21">
        <f>'Raw Data'!B352</f>
        <v>0</v>
      </c>
      <c r="C352" s="21">
        <f>'Raw Data'!C352</f>
        <v>19</v>
      </c>
      <c r="D352" s="21" t="str">
        <f>'Raw Data'!D352</f>
        <v>Computer</v>
      </c>
      <c r="E352" s="21">
        <f>'Raw Data'!E352</f>
        <v>1</v>
      </c>
      <c r="F352" s="21">
        <f>IF('Raw Data'!F352="",ROUND(AVERAGE('Raw Data'!$F$2:$F$1501),1),'Raw Data'!F352)</f>
        <v>12</v>
      </c>
      <c r="G352" s="21" t="str">
        <f>'Raw Data'!G352</f>
        <v>Debit Card</v>
      </c>
      <c r="H352" s="21" t="str">
        <f>'Raw Data'!H352</f>
        <v>Male</v>
      </c>
      <c r="I352" s="21">
        <f>IF('Raw Data'!I352="",ROUND(AVERAGE('Raw Data'!$I$2:$I$1501),1),'Raw Data'!I352)</f>
        <v>2.2999999999999998</v>
      </c>
      <c r="J352" s="21">
        <f>'Raw Data'!J352</f>
        <v>3</v>
      </c>
      <c r="K352" s="21" t="str">
        <f>'Raw Data'!K352</f>
        <v>Laptop &amp; Accessory</v>
      </c>
      <c r="L352" s="21">
        <f>'Raw Data'!L352</f>
        <v>4</v>
      </c>
      <c r="M352" s="21" t="str">
        <f>'Raw Data'!M352</f>
        <v>Married</v>
      </c>
      <c r="N352" s="21">
        <f>'Raw Data'!N352</f>
        <v>5</v>
      </c>
      <c r="O352" s="21">
        <f>'Raw Data'!O352</f>
        <v>0</v>
      </c>
      <c r="P352" s="21">
        <f>IF('Raw Data'!P352="",ROUND(AVERAGE('Raw Data'!$P$2:$P$1501),1),'Raw Data'!P352)</f>
        <v>15.6</v>
      </c>
      <c r="Q352" s="21">
        <f>IF('Raw Data'!Q352="",ROUND(AVERAGE('Raw Data'!$Q$2:$Q$1501),0),'Raw Data'!Q352)</f>
        <v>2</v>
      </c>
      <c r="R352" s="21">
        <f>'Raw Data'!R352</f>
        <v>5</v>
      </c>
      <c r="S352" s="21">
        <f>IF('Raw Data'!S352="",ROUND(AVERAGE('Raw Data'!$S$2:$S$1501),0),'Raw Data'!S352)</f>
        <v>2</v>
      </c>
      <c r="T352" s="21">
        <f>'Raw Data'!T352</f>
        <v>168.88</v>
      </c>
      <c r="U352" s="21" t="str">
        <f>INDEX('Lookup Tables'!$C$7:$C$9,MATCH(E352,'Lookup Tables'!$B$7:$B$9,0))</f>
        <v>Tier 1 (Metro)</v>
      </c>
      <c r="V352" s="21" t="str">
        <f t="shared" si="15"/>
        <v>13-24 months</v>
      </c>
      <c r="W352" s="21" t="str">
        <f t="shared" si="16"/>
        <v>Low Risk</v>
      </c>
      <c r="X352" s="21" t="str">
        <f t="shared" si="17"/>
        <v>No</v>
      </c>
    </row>
    <row r="353" spans="1:24" x14ac:dyDescent="0.3">
      <c r="A353" s="21">
        <f>'Raw Data'!A353</f>
        <v>50352</v>
      </c>
      <c r="B353" s="21">
        <f>'Raw Data'!B353</f>
        <v>0</v>
      </c>
      <c r="C353" s="21">
        <f>'Raw Data'!C353</f>
        <v>20</v>
      </c>
      <c r="D353" s="21" t="str">
        <f>'Raw Data'!D353</f>
        <v>Computer</v>
      </c>
      <c r="E353" s="21">
        <f>'Raw Data'!E353</f>
        <v>1</v>
      </c>
      <c r="F353" s="21">
        <f>IF('Raw Data'!F353="",ROUND(AVERAGE('Raw Data'!$F$2:$F$1501),1),'Raw Data'!F353)</f>
        <v>27</v>
      </c>
      <c r="G353" s="21" t="str">
        <f>'Raw Data'!G353</f>
        <v>Debit Card</v>
      </c>
      <c r="H353" s="21" t="str">
        <f>'Raw Data'!H353</f>
        <v>Male</v>
      </c>
      <c r="I353" s="21">
        <f>IF('Raw Data'!I353="",ROUND(AVERAGE('Raw Data'!$I$2:$I$1501),1),'Raw Data'!I353)</f>
        <v>3.5</v>
      </c>
      <c r="J353" s="21">
        <f>'Raw Data'!J353</f>
        <v>2</v>
      </c>
      <c r="K353" s="21" t="str">
        <f>'Raw Data'!K353</f>
        <v>Mobile Phone</v>
      </c>
      <c r="L353" s="21">
        <f>'Raw Data'!L353</f>
        <v>4</v>
      </c>
      <c r="M353" s="21" t="str">
        <f>'Raw Data'!M353</f>
        <v>Married</v>
      </c>
      <c r="N353" s="21">
        <f>'Raw Data'!N353</f>
        <v>3</v>
      </c>
      <c r="O353" s="21">
        <f>'Raw Data'!O353</f>
        <v>0</v>
      </c>
      <c r="P353" s="21">
        <f>IF('Raw Data'!P353="",ROUND(AVERAGE('Raw Data'!$P$2:$P$1501),1),'Raw Data'!P353)</f>
        <v>13.3</v>
      </c>
      <c r="Q353" s="21">
        <f>IF('Raw Data'!Q353="",ROUND(AVERAGE('Raw Data'!$Q$2:$Q$1501),0),'Raw Data'!Q353)</f>
        <v>1</v>
      </c>
      <c r="R353" s="21">
        <f>'Raw Data'!R353</f>
        <v>2</v>
      </c>
      <c r="S353" s="21">
        <f>IF('Raw Data'!S353="",ROUND(AVERAGE('Raw Data'!$S$2:$S$1501),0),'Raw Data'!S353)</f>
        <v>1</v>
      </c>
      <c r="T353" s="21">
        <f>'Raw Data'!T353</f>
        <v>203.67</v>
      </c>
      <c r="U353" s="21" t="str">
        <f>INDEX('Lookup Tables'!$C$7:$C$9,MATCH(E353,'Lookup Tables'!$B$7:$B$9,0))</f>
        <v>Tier 1 (Metro)</v>
      </c>
      <c r="V353" s="21" t="str">
        <f t="shared" si="15"/>
        <v>13-24 months</v>
      </c>
      <c r="W353" s="21" t="str">
        <f t="shared" si="16"/>
        <v>Low Risk</v>
      </c>
      <c r="X353" s="21" t="str">
        <f t="shared" si="17"/>
        <v>No</v>
      </c>
    </row>
    <row r="354" spans="1:24" x14ac:dyDescent="0.3">
      <c r="A354" s="21">
        <f>'Raw Data'!A354</f>
        <v>50353</v>
      </c>
      <c r="B354" s="21">
        <f>'Raw Data'!B354</f>
        <v>0</v>
      </c>
      <c r="C354" s="21">
        <f>'Raw Data'!C354</f>
        <v>12</v>
      </c>
      <c r="D354" s="21" t="str">
        <f>'Raw Data'!D354</f>
        <v>Mobile Phone</v>
      </c>
      <c r="E354" s="21">
        <f>'Raw Data'!E354</f>
        <v>1</v>
      </c>
      <c r="F354" s="21">
        <f>IF('Raw Data'!F354="",ROUND(AVERAGE('Raw Data'!$F$2:$F$1501),1),'Raw Data'!F354)</f>
        <v>20</v>
      </c>
      <c r="G354" s="21" t="str">
        <f>'Raw Data'!G354</f>
        <v>UPI</v>
      </c>
      <c r="H354" s="21" t="str">
        <f>'Raw Data'!H354</f>
        <v>Male</v>
      </c>
      <c r="I354" s="21">
        <f>IF('Raw Data'!I354="",ROUND(AVERAGE('Raw Data'!$I$2:$I$1501),1),'Raw Data'!I354)</f>
        <v>3.5</v>
      </c>
      <c r="J354" s="21">
        <f>'Raw Data'!J354</f>
        <v>3</v>
      </c>
      <c r="K354" s="21" t="str">
        <f>'Raw Data'!K354</f>
        <v>Laptop &amp; Accessory</v>
      </c>
      <c r="L354" s="21">
        <f>'Raw Data'!L354</f>
        <v>2</v>
      </c>
      <c r="M354" s="21" t="str">
        <f>'Raw Data'!M354</f>
        <v>Married</v>
      </c>
      <c r="N354" s="21">
        <f>'Raw Data'!N354</f>
        <v>14</v>
      </c>
      <c r="O354" s="21">
        <f>'Raw Data'!O354</f>
        <v>1</v>
      </c>
      <c r="P354" s="21">
        <f>IF('Raw Data'!P354="",ROUND(AVERAGE('Raw Data'!$P$2:$P$1501),1),'Raw Data'!P354)</f>
        <v>18.3</v>
      </c>
      <c r="Q354" s="21">
        <f>IF('Raw Data'!Q354="",ROUND(AVERAGE('Raw Data'!$Q$2:$Q$1501),0),'Raw Data'!Q354)</f>
        <v>0</v>
      </c>
      <c r="R354" s="21">
        <f>'Raw Data'!R354</f>
        <v>5</v>
      </c>
      <c r="S354" s="21">
        <f>IF('Raw Data'!S354="",ROUND(AVERAGE('Raw Data'!$S$2:$S$1501),0),'Raw Data'!S354)</f>
        <v>2</v>
      </c>
      <c r="T354" s="21">
        <f>'Raw Data'!T354</f>
        <v>91.29</v>
      </c>
      <c r="U354" s="21" t="str">
        <f>INDEX('Lookup Tables'!$C$7:$C$9,MATCH(E354,'Lookup Tables'!$B$7:$B$9,0))</f>
        <v>Tier 1 (Metro)</v>
      </c>
      <c r="V354" s="21" t="str">
        <f t="shared" si="15"/>
        <v>7-12 months</v>
      </c>
      <c r="W354" s="21" t="str">
        <f t="shared" si="16"/>
        <v>High Risk</v>
      </c>
      <c r="X354" s="21" t="str">
        <f t="shared" si="17"/>
        <v>No</v>
      </c>
    </row>
    <row r="355" spans="1:24" x14ac:dyDescent="0.3">
      <c r="A355" s="21">
        <f>'Raw Data'!A355</f>
        <v>50354</v>
      </c>
      <c r="B355" s="21">
        <f>'Raw Data'!B355</f>
        <v>0</v>
      </c>
      <c r="C355" s="21">
        <f>'Raw Data'!C355</f>
        <v>18</v>
      </c>
      <c r="D355" s="21" t="str">
        <f>'Raw Data'!D355</f>
        <v>Mobile Phone</v>
      </c>
      <c r="E355" s="21">
        <f>'Raw Data'!E355</f>
        <v>1</v>
      </c>
      <c r="F355" s="21">
        <f>IF('Raw Data'!F355="",ROUND(AVERAGE('Raw Data'!$F$2:$F$1501),1),'Raw Data'!F355)</f>
        <v>13</v>
      </c>
      <c r="G355" s="21" t="str">
        <f>'Raw Data'!G355</f>
        <v>Debit Card</v>
      </c>
      <c r="H355" s="21" t="str">
        <f>'Raw Data'!H355</f>
        <v>Male</v>
      </c>
      <c r="I355" s="21">
        <f>IF('Raw Data'!I355="",ROUND(AVERAGE('Raw Data'!$I$2:$I$1501),1),'Raw Data'!I355)</f>
        <v>3</v>
      </c>
      <c r="J355" s="21">
        <f>'Raw Data'!J355</f>
        <v>3</v>
      </c>
      <c r="K355" s="21" t="str">
        <f>'Raw Data'!K355</f>
        <v>Mobile Phone</v>
      </c>
      <c r="L355" s="21">
        <f>'Raw Data'!L355</f>
        <v>3</v>
      </c>
      <c r="M355" s="21" t="str">
        <f>'Raw Data'!M355</f>
        <v>Single</v>
      </c>
      <c r="N355" s="21">
        <f>'Raw Data'!N355</f>
        <v>4</v>
      </c>
      <c r="O355" s="21">
        <f>'Raw Data'!O355</f>
        <v>0</v>
      </c>
      <c r="P355" s="21">
        <f>IF('Raw Data'!P355="",ROUND(AVERAGE('Raw Data'!$P$2:$P$1501),1),'Raw Data'!P355)</f>
        <v>11.4</v>
      </c>
      <c r="Q355" s="21">
        <f>IF('Raw Data'!Q355="",ROUND(AVERAGE('Raw Data'!$Q$2:$Q$1501),0),'Raw Data'!Q355)</f>
        <v>2</v>
      </c>
      <c r="R355" s="21">
        <f>'Raw Data'!R355</f>
        <v>4</v>
      </c>
      <c r="S355" s="21">
        <f>IF('Raw Data'!S355="",ROUND(AVERAGE('Raw Data'!$S$2:$S$1501),0),'Raw Data'!S355)</f>
        <v>12</v>
      </c>
      <c r="T355" s="21">
        <f>'Raw Data'!T355</f>
        <v>95.01</v>
      </c>
      <c r="U355" s="21" t="str">
        <f>INDEX('Lookup Tables'!$C$7:$C$9,MATCH(E355,'Lookup Tables'!$B$7:$B$9,0))</f>
        <v>Tier 1 (Metro)</v>
      </c>
      <c r="V355" s="21" t="str">
        <f t="shared" si="15"/>
        <v>13-24 months</v>
      </c>
      <c r="W355" s="21" t="str">
        <f t="shared" si="16"/>
        <v>Medium Risk</v>
      </c>
      <c r="X355" s="21" t="str">
        <f t="shared" si="17"/>
        <v>No</v>
      </c>
    </row>
    <row r="356" spans="1:24" x14ac:dyDescent="0.3">
      <c r="A356" s="21">
        <f>'Raw Data'!A356</f>
        <v>50355</v>
      </c>
      <c r="B356" s="21">
        <f>'Raw Data'!B356</f>
        <v>0</v>
      </c>
      <c r="C356" s="21">
        <f>'Raw Data'!C356</f>
        <v>11</v>
      </c>
      <c r="D356" s="21" t="str">
        <f>'Raw Data'!D356</f>
        <v>Phone</v>
      </c>
      <c r="E356" s="21">
        <f>'Raw Data'!E356</f>
        <v>1</v>
      </c>
      <c r="F356" s="21">
        <f>IF('Raw Data'!F356="",ROUND(AVERAGE('Raw Data'!$F$2:$F$1501),1),'Raw Data'!F356)</f>
        <v>10</v>
      </c>
      <c r="G356" s="21" t="str">
        <f>'Raw Data'!G356</f>
        <v>UPI</v>
      </c>
      <c r="H356" s="21" t="str">
        <f>'Raw Data'!H356</f>
        <v>Female</v>
      </c>
      <c r="I356" s="21">
        <f>IF('Raw Data'!I356="",ROUND(AVERAGE('Raw Data'!$I$2:$I$1501),1),'Raw Data'!I356)</f>
        <v>3.4</v>
      </c>
      <c r="J356" s="21">
        <f>'Raw Data'!J356</f>
        <v>5</v>
      </c>
      <c r="K356" s="21" t="str">
        <f>'Raw Data'!K356</f>
        <v>Laptop &amp; Accessory</v>
      </c>
      <c r="L356" s="21">
        <f>'Raw Data'!L356</f>
        <v>2</v>
      </c>
      <c r="M356" s="21" t="str">
        <f>'Raw Data'!M356</f>
        <v>Married</v>
      </c>
      <c r="N356" s="21">
        <f>'Raw Data'!N356</f>
        <v>12</v>
      </c>
      <c r="O356" s="21">
        <f>'Raw Data'!O356</f>
        <v>0</v>
      </c>
      <c r="P356" s="21">
        <f>IF('Raw Data'!P356="",ROUND(AVERAGE('Raw Data'!$P$2:$P$1501),1),'Raw Data'!P356)</f>
        <v>21.1</v>
      </c>
      <c r="Q356" s="21">
        <f>IF('Raw Data'!Q356="",ROUND(AVERAGE('Raw Data'!$Q$2:$Q$1501),0),'Raw Data'!Q356)</f>
        <v>1</v>
      </c>
      <c r="R356" s="21">
        <f>'Raw Data'!R356</f>
        <v>4</v>
      </c>
      <c r="S356" s="21">
        <f>IF('Raw Data'!S356="",ROUND(AVERAGE('Raw Data'!$S$2:$S$1501),0),'Raw Data'!S356)</f>
        <v>2</v>
      </c>
      <c r="T356" s="21">
        <f>'Raw Data'!T356</f>
        <v>303.97000000000003</v>
      </c>
      <c r="U356" s="21" t="str">
        <f>INDEX('Lookup Tables'!$C$7:$C$9,MATCH(E356,'Lookup Tables'!$B$7:$B$9,0))</f>
        <v>Tier 1 (Metro)</v>
      </c>
      <c r="V356" s="21" t="str">
        <f t="shared" si="15"/>
        <v>7-12 months</v>
      </c>
      <c r="W356" s="21" t="str">
        <f t="shared" si="16"/>
        <v>Low Risk</v>
      </c>
      <c r="X356" s="21" t="str">
        <f t="shared" si="17"/>
        <v>No</v>
      </c>
    </row>
    <row r="357" spans="1:24" x14ac:dyDescent="0.3">
      <c r="A357" s="21">
        <f>'Raw Data'!A357</f>
        <v>50356</v>
      </c>
      <c r="B357" s="21">
        <f>'Raw Data'!B357</f>
        <v>0</v>
      </c>
      <c r="C357" s="21">
        <f>'Raw Data'!C357</f>
        <v>11</v>
      </c>
      <c r="D357" s="21" t="str">
        <f>'Raw Data'!D357</f>
        <v>Phone</v>
      </c>
      <c r="E357" s="21">
        <f>'Raw Data'!E357</f>
        <v>1</v>
      </c>
      <c r="F357" s="21">
        <f>IF('Raw Data'!F357="",ROUND(AVERAGE('Raw Data'!$F$2:$F$1501),1),'Raw Data'!F357)</f>
        <v>12</v>
      </c>
      <c r="G357" s="21" t="str">
        <f>'Raw Data'!G357</f>
        <v>E wallet</v>
      </c>
      <c r="H357" s="21" t="str">
        <f>'Raw Data'!H357</f>
        <v>Male</v>
      </c>
      <c r="I357" s="21">
        <f>IF('Raw Data'!I357="",ROUND(AVERAGE('Raw Data'!$I$2:$I$1501),1),'Raw Data'!I357)</f>
        <v>2.9</v>
      </c>
      <c r="J357" s="21">
        <f>'Raw Data'!J357</f>
        <v>4</v>
      </c>
      <c r="K357" s="21" t="str">
        <f>'Raw Data'!K357</f>
        <v>Mobile Phone</v>
      </c>
      <c r="L357" s="21">
        <f>'Raw Data'!L357</f>
        <v>4</v>
      </c>
      <c r="M357" s="21" t="str">
        <f>'Raw Data'!M357</f>
        <v>Married</v>
      </c>
      <c r="N357" s="21">
        <f>'Raw Data'!N357</f>
        <v>1</v>
      </c>
      <c r="O357" s="21">
        <f>'Raw Data'!O357</f>
        <v>0</v>
      </c>
      <c r="P357" s="21">
        <f>IF('Raw Data'!P357="",ROUND(AVERAGE('Raw Data'!$P$2:$P$1501),1),'Raw Data'!P357)</f>
        <v>16.3</v>
      </c>
      <c r="Q357" s="21">
        <f>IF('Raw Data'!Q357="",ROUND(AVERAGE('Raw Data'!$Q$2:$Q$1501),0),'Raw Data'!Q357)</f>
        <v>0</v>
      </c>
      <c r="R357" s="21">
        <f>'Raw Data'!R357</f>
        <v>4</v>
      </c>
      <c r="S357" s="21">
        <f>IF('Raw Data'!S357="",ROUND(AVERAGE('Raw Data'!$S$2:$S$1501),0),'Raw Data'!S357)</f>
        <v>12</v>
      </c>
      <c r="T357" s="21">
        <f>'Raw Data'!T357</f>
        <v>247.8</v>
      </c>
      <c r="U357" s="21" t="str">
        <f>INDEX('Lookup Tables'!$C$7:$C$9,MATCH(E357,'Lookup Tables'!$B$7:$B$9,0))</f>
        <v>Tier 1 (Metro)</v>
      </c>
      <c r="V357" s="21" t="str">
        <f t="shared" si="15"/>
        <v>7-12 months</v>
      </c>
      <c r="W357" s="21" t="str">
        <f t="shared" si="16"/>
        <v>Low Risk</v>
      </c>
      <c r="X357" s="21" t="str">
        <f t="shared" si="17"/>
        <v>No</v>
      </c>
    </row>
    <row r="358" spans="1:24" x14ac:dyDescent="0.3">
      <c r="A358" s="21">
        <f>'Raw Data'!A358</f>
        <v>50357</v>
      </c>
      <c r="B358" s="21">
        <f>'Raw Data'!B358</f>
        <v>1</v>
      </c>
      <c r="C358" s="21">
        <f>'Raw Data'!C358</f>
        <v>9</v>
      </c>
      <c r="D358" s="21" t="str">
        <f>'Raw Data'!D358</f>
        <v>Mobile Phone</v>
      </c>
      <c r="E358" s="21">
        <f>'Raw Data'!E358</f>
        <v>3</v>
      </c>
      <c r="F358" s="21">
        <f>IF('Raw Data'!F358="",ROUND(AVERAGE('Raw Data'!$F$2:$F$1501),1),'Raw Data'!F358)</f>
        <v>18</v>
      </c>
      <c r="G358" s="21" t="str">
        <f>'Raw Data'!G358</f>
        <v>Cash on Delivery</v>
      </c>
      <c r="H358" s="21" t="str">
        <f>'Raw Data'!H358</f>
        <v>Female</v>
      </c>
      <c r="I358" s="21">
        <f>IF('Raw Data'!I358="",ROUND(AVERAGE('Raw Data'!$I$2:$I$1501),1),'Raw Data'!I358)</f>
        <v>3.1</v>
      </c>
      <c r="J358" s="21">
        <f>'Raw Data'!J358</f>
        <v>4</v>
      </c>
      <c r="K358" s="21" t="str">
        <f>'Raw Data'!K358</f>
        <v>Laptop &amp; Accessory</v>
      </c>
      <c r="L358" s="21">
        <f>'Raw Data'!L358</f>
        <v>2</v>
      </c>
      <c r="M358" s="21" t="str">
        <f>'Raw Data'!M358</f>
        <v>Married</v>
      </c>
      <c r="N358" s="21">
        <f>'Raw Data'!N358</f>
        <v>1</v>
      </c>
      <c r="O358" s="21">
        <f>'Raw Data'!O358</f>
        <v>0</v>
      </c>
      <c r="P358" s="21">
        <f>IF('Raw Data'!P358="",ROUND(AVERAGE('Raw Data'!$P$2:$P$1501),1),'Raw Data'!P358)</f>
        <v>16.899999999999999</v>
      </c>
      <c r="Q358" s="21">
        <f>IF('Raw Data'!Q358="",ROUND(AVERAGE('Raw Data'!$Q$2:$Q$1501),0),'Raw Data'!Q358)</f>
        <v>0</v>
      </c>
      <c r="R358" s="21">
        <f>'Raw Data'!R358</f>
        <v>2</v>
      </c>
      <c r="S358" s="21">
        <f>IF('Raw Data'!S358="",ROUND(AVERAGE('Raw Data'!$S$2:$S$1501),0),'Raw Data'!S358)</f>
        <v>2</v>
      </c>
      <c r="T358" s="21">
        <f>'Raw Data'!T358</f>
        <v>222.29</v>
      </c>
      <c r="U358" s="21" t="str">
        <f>INDEX('Lookup Tables'!$C$7:$C$9,MATCH(E358,'Lookup Tables'!$B$7:$B$9,0))</f>
        <v>Tier 3 (Semi-urban/Rural)</v>
      </c>
      <c r="V358" s="21" t="str">
        <f t="shared" si="15"/>
        <v>7-12 months</v>
      </c>
      <c r="W358" s="21" t="str">
        <f t="shared" si="16"/>
        <v>Low Risk</v>
      </c>
      <c r="X358" s="21" t="str">
        <f t="shared" si="17"/>
        <v>Yes</v>
      </c>
    </row>
    <row r="359" spans="1:24" x14ac:dyDescent="0.3">
      <c r="A359" s="21">
        <f>'Raw Data'!A359</f>
        <v>50358</v>
      </c>
      <c r="B359" s="21">
        <f>'Raw Data'!B359</f>
        <v>0</v>
      </c>
      <c r="C359" s="21">
        <f>'Raw Data'!C359</f>
        <v>13</v>
      </c>
      <c r="D359" s="21" t="str">
        <f>'Raw Data'!D359</f>
        <v>Phone</v>
      </c>
      <c r="E359" s="21">
        <f>'Raw Data'!E359</f>
        <v>1</v>
      </c>
      <c r="F359" s="21">
        <f>IF('Raw Data'!F359="",ROUND(AVERAGE('Raw Data'!$F$2:$F$1501),1),'Raw Data'!F359)</f>
        <v>15</v>
      </c>
      <c r="G359" s="21" t="str">
        <f>'Raw Data'!G359</f>
        <v>Credit Card</v>
      </c>
      <c r="H359" s="21" t="str">
        <f>'Raw Data'!H359</f>
        <v>Male</v>
      </c>
      <c r="I359" s="21">
        <f>IF('Raw Data'!I359="",ROUND(AVERAGE('Raw Data'!$I$2:$I$1501),1),'Raw Data'!I359)</f>
        <v>3.7</v>
      </c>
      <c r="J359" s="21">
        <f>'Raw Data'!J359</f>
        <v>4</v>
      </c>
      <c r="K359" s="21" t="str">
        <f>'Raw Data'!K359</f>
        <v>Mobile Phone</v>
      </c>
      <c r="L359" s="21">
        <f>'Raw Data'!L359</f>
        <v>5</v>
      </c>
      <c r="M359" s="21" t="str">
        <f>'Raw Data'!M359</f>
        <v>Single</v>
      </c>
      <c r="N359" s="21">
        <f>'Raw Data'!N359</f>
        <v>2</v>
      </c>
      <c r="O359" s="21">
        <f>'Raw Data'!O359</f>
        <v>0</v>
      </c>
      <c r="P359" s="21">
        <f>IF('Raw Data'!P359="",ROUND(AVERAGE('Raw Data'!$P$2:$P$1501),1),'Raw Data'!P359)</f>
        <v>18</v>
      </c>
      <c r="Q359" s="21">
        <f>IF('Raw Data'!Q359="",ROUND(AVERAGE('Raw Data'!$Q$2:$Q$1501),0),'Raw Data'!Q359)</f>
        <v>0</v>
      </c>
      <c r="R359" s="21">
        <f>'Raw Data'!R359</f>
        <v>4</v>
      </c>
      <c r="S359" s="21">
        <f>IF('Raw Data'!S359="",ROUND(AVERAGE('Raw Data'!$S$2:$S$1501),0),'Raw Data'!S359)</f>
        <v>9</v>
      </c>
      <c r="T359" s="21">
        <f>'Raw Data'!T359</f>
        <v>143.72</v>
      </c>
      <c r="U359" s="21" t="str">
        <f>INDEX('Lookup Tables'!$C$7:$C$9,MATCH(E359,'Lookup Tables'!$B$7:$B$9,0))</f>
        <v>Tier 1 (Metro)</v>
      </c>
      <c r="V359" s="21" t="str">
        <f t="shared" si="15"/>
        <v>13-24 months</v>
      </c>
      <c r="W359" s="21" t="str">
        <f t="shared" si="16"/>
        <v>Low Risk</v>
      </c>
      <c r="X359" s="21" t="str">
        <f t="shared" si="17"/>
        <v>No</v>
      </c>
    </row>
    <row r="360" spans="1:24" x14ac:dyDescent="0.3">
      <c r="A360" s="21">
        <f>'Raw Data'!A360</f>
        <v>50359</v>
      </c>
      <c r="B360" s="21">
        <f>'Raw Data'!B360</f>
        <v>0</v>
      </c>
      <c r="C360" s="21">
        <f>'Raw Data'!C360</f>
        <v>1</v>
      </c>
      <c r="D360" s="21" t="str">
        <f>'Raw Data'!D360</f>
        <v>Mobile Phone</v>
      </c>
      <c r="E360" s="21">
        <f>'Raw Data'!E360</f>
        <v>3</v>
      </c>
      <c r="F360" s="21">
        <f>IF('Raw Data'!F360="",ROUND(AVERAGE('Raw Data'!$F$2:$F$1501),1),'Raw Data'!F360)</f>
        <v>10</v>
      </c>
      <c r="G360" s="21" t="str">
        <f>'Raw Data'!G360</f>
        <v>E wallet</v>
      </c>
      <c r="H360" s="21" t="str">
        <f>'Raw Data'!H360</f>
        <v>Male</v>
      </c>
      <c r="I360" s="21">
        <f>IF('Raw Data'!I360="",ROUND(AVERAGE('Raw Data'!$I$2:$I$1501),1),'Raw Data'!I360)</f>
        <v>3.3</v>
      </c>
      <c r="J360" s="21">
        <f>'Raw Data'!J360</f>
        <v>2</v>
      </c>
      <c r="K360" s="21" t="str">
        <f>'Raw Data'!K360</f>
        <v>Laptop &amp; Accessory</v>
      </c>
      <c r="L360" s="21">
        <f>'Raw Data'!L360</f>
        <v>2</v>
      </c>
      <c r="M360" s="21" t="str">
        <f>'Raw Data'!M360</f>
        <v>Single</v>
      </c>
      <c r="N360" s="21">
        <f>'Raw Data'!N360</f>
        <v>1</v>
      </c>
      <c r="O360" s="21">
        <f>'Raw Data'!O360</f>
        <v>1</v>
      </c>
      <c r="P360" s="21">
        <f>IF('Raw Data'!P360="",ROUND(AVERAGE('Raw Data'!$P$2:$P$1501),1),'Raw Data'!P360)</f>
        <v>18.100000000000001</v>
      </c>
      <c r="Q360" s="21">
        <f>IF('Raw Data'!Q360="",ROUND(AVERAGE('Raw Data'!$Q$2:$Q$1501),0),'Raw Data'!Q360)</f>
        <v>1</v>
      </c>
      <c r="R360" s="21">
        <f>'Raw Data'!R360</f>
        <v>3</v>
      </c>
      <c r="S360" s="21">
        <f>IF('Raw Data'!S360="",ROUND(AVERAGE('Raw Data'!$S$2:$S$1501),0),'Raw Data'!S360)</f>
        <v>3</v>
      </c>
      <c r="T360" s="21">
        <f>'Raw Data'!T360</f>
        <v>166.91</v>
      </c>
      <c r="U360" s="21" t="str">
        <f>INDEX('Lookup Tables'!$C$7:$C$9,MATCH(E360,'Lookup Tables'!$B$7:$B$9,0))</f>
        <v>Tier 3 (Semi-urban/Rural)</v>
      </c>
      <c r="V360" s="21" t="str">
        <f t="shared" si="15"/>
        <v>0-6 months</v>
      </c>
      <c r="W360" s="21" t="str">
        <f t="shared" si="16"/>
        <v>High Risk</v>
      </c>
      <c r="X360" s="21" t="str">
        <f t="shared" si="17"/>
        <v>No</v>
      </c>
    </row>
    <row r="361" spans="1:24" x14ac:dyDescent="0.3">
      <c r="A361" s="21">
        <f>'Raw Data'!A361</f>
        <v>50360</v>
      </c>
      <c r="B361" s="21">
        <f>'Raw Data'!B361</f>
        <v>0</v>
      </c>
      <c r="C361" s="21">
        <f>'Raw Data'!C361</f>
        <v>21</v>
      </c>
      <c r="D361" s="21" t="str">
        <f>'Raw Data'!D361</f>
        <v>Mobile Phone</v>
      </c>
      <c r="E361" s="21">
        <f>'Raw Data'!E361</f>
        <v>3</v>
      </c>
      <c r="F361" s="21">
        <f>IF('Raw Data'!F361="",ROUND(AVERAGE('Raw Data'!$F$2:$F$1501),1),'Raw Data'!F361)</f>
        <v>13</v>
      </c>
      <c r="G361" s="21" t="str">
        <f>'Raw Data'!G361</f>
        <v>Credit Card</v>
      </c>
      <c r="H361" s="21" t="str">
        <f>'Raw Data'!H361</f>
        <v>Male</v>
      </c>
      <c r="I361" s="21">
        <f>IF('Raw Data'!I361="",ROUND(AVERAGE('Raw Data'!$I$2:$I$1501),1),'Raw Data'!I361)</f>
        <v>2.8</v>
      </c>
      <c r="J361" s="21">
        <f>'Raw Data'!J361</f>
        <v>3</v>
      </c>
      <c r="K361" s="21" t="str">
        <f>'Raw Data'!K361</f>
        <v>Mobile Phone</v>
      </c>
      <c r="L361" s="21">
        <f>'Raw Data'!L361</f>
        <v>3</v>
      </c>
      <c r="M361" s="21" t="str">
        <f>'Raw Data'!M361</f>
        <v>Single</v>
      </c>
      <c r="N361" s="21">
        <f>'Raw Data'!N361</f>
        <v>5</v>
      </c>
      <c r="O361" s="21">
        <f>'Raw Data'!O361</f>
        <v>1</v>
      </c>
      <c r="P361" s="21">
        <f>IF('Raw Data'!P361="",ROUND(AVERAGE('Raw Data'!$P$2:$P$1501),1),'Raw Data'!P361)</f>
        <v>11.1</v>
      </c>
      <c r="Q361" s="21">
        <f>IF('Raw Data'!Q361="",ROUND(AVERAGE('Raw Data'!$Q$2:$Q$1501),0),'Raw Data'!Q361)</f>
        <v>1</v>
      </c>
      <c r="R361" s="21">
        <f>'Raw Data'!R361</f>
        <v>4</v>
      </c>
      <c r="S361" s="21">
        <f>IF('Raw Data'!S361="",ROUND(AVERAGE('Raw Data'!$S$2:$S$1501),0),'Raw Data'!S361)</f>
        <v>1</v>
      </c>
      <c r="T361" s="21">
        <f>'Raw Data'!T361</f>
        <v>179.91</v>
      </c>
      <c r="U361" s="21" t="str">
        <f>INDEX('Lookup Tables'!$C$7:$C$9,MATCH(E361,'Lookup Tables'!$B$7:$B$9,0))</f>
        <v>Tier 3 (Semi-urban/Rural)</v>
      </c>
      <c r="V361" s="21" t="str">
        <f t="shared" si="15"/>
        <v>13-24 months</v>
      </c>
      <c r="W361" s="21" t="str">
        <f t="shared" si="16"/>
        <v>Medium Risk</v>
      </c>
      <c r="X361" s="21" t="str">
        <f t="shared" si="17"/>
        <v>No</v>
      </c>
    </row>
    <row r="362" spans="1:24" x14ac:dyDescent="0.3">
      <c r="A362" s="21">
        <f>'Raw Data'!A362</f>
        <v>50361</v>
      </c>
      <c r="B362" s="21">
        <f>'Raw Data'!B362</f>
        <v>0</v>
      </c>
      <c r="C362" s="21">
        <f>'Raw Data'!C362</f>
        <v>20</v>
      </c>
      <c r="D362" s="21" t="str">
        <f>'Raw Data'!D362</f>
        <v>Phone</v>
      </c>
      <c r="E362" s="21">
        <f>'Raw Data'!E362</f>
        <v>1</v>
      </c>
      <c r="F362" s="21">
        <f>IF('Raw Data'!F362="",ROUND(AVERAGE('Raw Data'!$F$2:$F$1501),1),'Raw Data'!F362)</f>
        <v>15</v>
      </c>
      <c r="G362" s="21" t="str">
        <f>'Raw Data'!G362</f>
        <v>E wallet</v>
      </c>
      <c r="H362" s="21" t="str">
        <f>'Raw Data'!H362</f>
        <v>Male</v>
      </c>
      <c r="I362" s="21">
        <f>IF('Raw Data'!I362="",ROUND(AVERAGE('Raw Data'!$I$2:$I$1501),1),'Raw Data'!I362)</f>
        <v>3.8</v>
      </c>
      <c r="J362" s="21">
        <f>'Raw Data'!J362</f>
        <v>4</v>
      </c>
      <c r="K362" s="21" t="str">
        <f>'Raw Data'!K362</f>
        <v>Others</v>
      </c>
      <c r="L362" s="21">
        <f>'Raw Data'!L362</f>
        <v>5</v>
      </c>
      <c r="M362" s="21" t="str">
        <f>'Raw Data'!M362</f>
        <v>Single</v>
      </c>
      <c r="N362" s="21">
        <f>'Raw Data'!N362</f>
        <v>1</v>
      </c>
      <c r="O362" s="21">
        <f>'Raw Data'!O362</f>
        <v>0</v>
      </c>
      <c r="P362" s="21">
        <f>IF('Raw Data'!P362="",ROUND(AVERAGE('Raw Data'!$P$2:$P$1501),1),'Raw Data'!P362)</f>
        <v>18.899999999999999</v>
      </c>
      <c r="Q362" s="21">
        <f>IF('Raw Data'!Q362="",ROUND(AVERAGE('Raw Data'!$Q$2:$Q$1501),0),'Raw Data'!Q362)</f>
        <v>0</v>
      </c>
      <c r="R362" s="21">
        <f>'Raw Data'!R362</f>
        <v>4</v>
      </c>
      <c r="S362" s="21">
        <f>IF('Raw Data'!S362="",ROUND(AVERAGE('Raw Data'!$S$2:$S$1501),0),'Raw Data'!S362)</f>
        <v>2</v>
      </c>
      <c r="T362" s="21">
        <f>'Raw Data'!T362</f>
        <v>252.29</v>
      </c>
      <c r="U362" s="21" t="str">
        <f>INDEX('Lookup Tables'!$C$7:$C$9,MATCH(E362,'Lookup Tables'!$B$7:$B$9,0))</f>
        <v>Tier 1 (Metro)</v>
      </c>
      <c r="V362" s="21" t="str">
        <f t="shared" si="15"/>
        <v>13-24 months</v>
      </c>
      <c r="W362" s="21" t="str">
        <f t="shared" si="16"/>
        <v>Low Risk</v>
      </c>
      <c r="X362" s="21" t="str">
        <f t="shared" si="17"/>
        <v>No</v>
      </c>
    </row>
    <row r="363" spans="1:24" x14ac:dyDescent="0.3">
      <c r="A363" s="21">
        <f>'Raw Data'!A363</f>
        <v>50362</v>
      </c>
      <c r="B363" s="21">
        <f>'Raw Data'!B363</f>
        <v>0</v>
      </c>
      <c r="C363" s="21">
        <f>'Raw Data'!C363</f>
        <v>0</v>
      </c>
      <c r="D363" s="21" t="str">
        <f>'Raw Data'!D363</f>
        <v>Mobile Phone</v>
      </c>
      <c r="E363" s="21">
        <f>'Raw Data'!E363</f>
        <v>2</v>
      </c>
      <c r="F363" s="21">
        <f>IF('Raw Data'!F363="",ROUND(AVERAGE('Raw Data'!$F$2:$F$1501),1),'Raw Data'!F363)</f>
        <v>5</v>
      </c>
      <c r="G363" s="21" t="str">
        <f>'Raw Data'!G363</f>
        <v>Credit Card</v>
      </c>
      <c r="H363" s="21" t="str">
        <f>'Raw Data'!H363</f>
        <v>Female</v>
      </c>
      <c r="I363" s="21">
        <f>IF('Raw Data'!I363="",ROUND(AVERAGE('Raw Data'!$I$2:$I$1501),1),'Raw Data'!I363)</f>
        <v>1.2</v>
      </c>
      <c r="J363" s="21">
        <f>'Raw Data'!J363</f>
        <v>2</v>
      </c>
      <c r="K363" s="21" t="str">
        <f>'Raw Data'!K363</f>
        <v>Mobile Phone</v>
      </c>
      <c r="L363" s="21">
        <f>'Raw Data'!L363</f>
        <v>3</v>
      </c>
      <c r="M363" s="21" t="str">
        <f>'Raw Data'!M363</f>
        <v>Single</v>
      </c>
      <c r="N363" s="21">
        <f>'Raw Data'!N363</f>
        <v>13</v>
      </c>
      <c r="O363" s="21">
        <f>'Raw Data'!O363</f>
        <v>1</v>
      </c>
      <c r="P363" s="21">
        <f>IF('Raw Data'!P363="",ROUND(AVERAGE('Raw Data'!$P$2:$P$1501),1),'Raw Data'!P363)</f>
        <v>17.100000000000001</v>
      </c>
      <c r="Q363" s="21">
        <f>IF('Raw Data'!Q363="",ROUND(AVERAGE('Raw Data'!$Q$2:$Q$1501),0),'Raw Data'!Q363)</f>
        <v>2</v>
      </c>
      <c r="R363" s="21">
        <f>'Raw Data'!R363</f>
        <v>2</v>
      </c>
      <c r="S363" s="21">
        <f>IF('Raw Data'!S363="",ROUND(AVERAGE('Raw Data'!$S$2:$S$1501),0),'Raw Data'!S363)</f>
        <v>2</v>
      </c>
      <c r="T363" s="21">
        <f>'Raw Data'!T363</f>
        <v>202.15</v>
      </c>
      <c r="U363" s="21" t="str">
        <f>INDEX('Lookup Tables'!$C$7:$C$9,MATCH(E363,'Lookup Tables'!$B$7:$B$9,0))</f>
        <v>Tier 2 (Urban)</v>
      </c>
      <c r="V363" s="21" t="str">
        <f t="shared" si="15"/>
        <v>0-6 months</v>
      </c>
      <c r="W363" s="21" t="str">
        <f t="shared" si="16"/>
        <v>Medium Risk</v>
      </c>
      <c r="X363" s="21" t="str">
        <f t="shared" si="17"/>
        <v>No</v>
      </c>
    </row>
    <row r="364" spans="1:24" x14ac:dyDescent="0.3">
      <c r="A364" s="21">
        <f>'Raw Data'!A364</f>
        <v>50363</v>
      </c>
      <c r="B364" s="21">
        <f>'Raw Data'!B364</f>
        <v>0</v>
      </c>
      <c r="C364" s="21">
        <f>'Raw Data'!C364</f>
        <v>17</v>
      </c>
      <c r="D364" s="21" t="str">
        <f>'Raw Data'!D364</f>
        <v>Mobile Phone</v>
      </c>
      <c r="E364" s="21">
        <f>'Raw Data'!E364</f>
        <v>1</v>
      </c>
      <c r="F364" s="21">
        <f>IF('Raw Data'!F364="",ROUND(AVERAGE('Raw Data'!$F$2:$F$1501),1),'Raw Data'!F364)</f>
        <v>18</v>
      </c>
      <c r="G364" s="21" t="str">
        <f>'Raw Data'!G364</f>
        <v>Debit Card</v>
      </c>
      <c r="H364" s="21" t="str">
        <f>'Raw Data'!H364</f>
        <v>Female</v>
      </c>
      <c r="I364" s="21">
        <f>IF('Raw Data'!I364="",ROUND(AVERAGE('Raw Data'!$I$2:$I$1501),1),'Raw Data'!I364)</f>
        <v>4.3</v>
      </c>
      <c r="J364" s="21">
        <f>'Raw Data'!J364</f>
        <v>4</v>
      </c>
      <c r="K364" s="21" t="str">
        <f>'Raw Data'!K364</f>
        <v>Grocery</v>
      </c>
      <c r="L364" s="21">
        <f>'Raw Data'!L364</f>
        <v>1</v>
      </c>
      <c r="M364" s="21" t="str">
        <f>'Raw Data'!M364</f>
        <v>Married</v>
      </c>
      <c r="N364" s="21">
        <f>'Raw Data'!N364</f>
        <v>1</v>
      </c>
      <c r="O364" s="21">
        <f>'Raw Data'!O364</f>
        <v>0</v>
      </c>
      <c r="P364" s="21">
        <f>IF('Raw Data'!P364="",ROUND(AVERAGE('Raw Data'!$P$2:$P$1501),1),'Raw Data'!P364)</f>
        <v>13.8</v>
      </c>
      <c r="Q364" s="21">
        <f>IF('Raw Data'!Q364="",ROUND(AVERAGE('Raw Data'!$Q$2:$Q$1501),0),'Raw Data'!Q364)</f>
        <v>0</v>
      </c>
      <c r="R364" s="21">
        <f>'Raw Data'!R364</f>
        <v>4</v>
      </c>
      <c r="S364" s="21">
        <f>IF('Raw Data'!S364="",ROUND(AVERAGE('Raw Data'!$S$2:$S$1501),0),'Raw Data'!S364)</f>
        <v>1</v>
      </c>
      <c r="T364" s="21">
        <f>'Raw Data'!T364</f>
        <v>208.93</v>
      </c>
      <c r="U364" s="21" t="str">
        <f>INDEX('Lookup Tables'!$C$7:$C$9,MATCH(E364,'Lookup Tables'!$B$7:$B$9,0))</f>
        <v>Tier 1 (Metro)</v>
      </c>
      <c r="V364" s="21" t="str">
        <f t="shared" si="15"/>
        <v>13-24 months</v>
      </c>
      <c r="W364" s="21" t="str">
        <f t="shared" si="16"/>
        <v>Low Risk</v>
      </c>
      <c r="X364" s="21" t="str">
        <f t="shared" si="17"/>
        <v>No</v>
      </c>
    </row>
    <row r="365" spans="1:24" x14ac:dyDescent="0.3">
      <c r="A365" s="21">
        <f>'Raw Data'!A365</f>
        <v>50364</v>
      </c>
      <c r="B365" s="21">
        <f>'Raw Data'!B365</f>
        <v>0</v>
      </c>
      <c r="C365" s="21">
        <f>'Raw Data'!C365</f>
        <v>1</v>
      </c>
      <c r="D365" s="21" t="str">
        <f>'Raw Data'!D365</f>
        <v>Mobile Phone</v>
      </c>
      <c r="E365" s="21">
        <f>'Raw Data'!E365</f>
        <v>3</v>
      </c>
      <c r="F365" s="21">
        <f>IF('Raw Data'!F365="",ROUND(AVERAGE('Raw Data'!$F$2:$F$1501),1),'Raw Data'!F365)</f>
        <v>7</v>
      </c>
      <c r="G365" s="21" t="str">
        <f>'Raw Data'!G365</f>
        <v>Credit Card</v>
      </c>
      <c r="H365" s="21" t="str">
        <f>'Raw Data'!H365</f>
        <v>Male</v>
      </c>
      <c r="I365" s="21">
        <f>IF('Raw Data'!I365="",ROUND(AVERAGE('Raw Data'!$I$2:$I$1501),1),'Raw Data'!I365)</f>
        <v>1.7</v>
      </c>
      <c r="J365" s="21">
        <f>'Raw Data'!J365</f>
        <v>6</v>
      </c>
      <c r="K365" s="21" t="str">
        <f>'Raw Data'!K365</f>
        <v>Grocery</v>
      </c>
      <c r="L365" s="21">
        <f>'Raw Data'!L365</f>
        <v>3</v>
      </c>
      <c r="M365" s="21" t="str">
        <f>'Raw Data'!M365</f>
        <v>Married</v>
      </c>
      <c r="N365" s="21">
        <f>'Raw Data'!N365</f>
        <v>1</v>
      </c>
      <c r="O365" s="21">
        <f>'Raw Data'!O365</f>
        <v>0</v>
      </c>
      <c r="P365" s="21">
        <f>IF('Raw Data'!P365="",ROUND(AVERAGE('Raw Data'!$P$2:$P$1501),1),'Raw Data'!P365)</f>
        <v>13.4</v>
      </c>
      <c r="Q365" s="21">
        <f>IF('Raw Data'!Q365="",ROUND(AVERAGE('Raw Data'!$Q$2:$Q$1501),0),'Raw Data'!Q365)</f>
        <v>2</v>
      </c>
      <c r="R365" s="21">
        <f>'Raw Data'!R365</f>
        <v>5</v>
      </c>
      <c r="S365" s="21">
        <f>IF('Raw Data'!S365="",ROUND(AVERAGE('Raw Data'!$S$2:$S$1501),0),'Raw Data'!S365)</f>
        <v>1</v>
      </c>
      <c r="T365" s="21">
        <f>'Raw Data'!T365</f>
        <v>170.78</v>
      </c>
      <c r="U365" s="21" t="str">
        <f>INDEX('Lookup Tables'!$C$7:$C$9,MATCH(E365,'Lookup Tables'!$B$7:$B$9,0))</f>
        <v>Tier 3 (Semi-urban/Rural)</v>
      </c>
      <c r="V365" s="21" t="str">
        <f t="shared" si="15"/>
        <v>0-6 months</v>
      </c>
      <c r="W365" s="21" t="str">
        <f t="shared" si="16"/>
        <v>Medium Risk</v>
      </c>
      <c r="X365" s="21" t="str">
        <f t="shared" si="17"/>
        <v>No</v>
      </c>
    </row>
    <row r="366" spans="1:24" x14ac:dyDescent="0.3">
      <c r="A366" s="21">
        <f>'Raw Data'!A366</f>
        <v>50365</v>
      </c>
      <c r="B366" s="21">
        <f>'Raw Data'!B366</f>
        <v>0</v>
      </c>
      <c r="C366" s="21">
        <f>'Raw Data'!C366</f>
        <v>4</v>
      </c>
      <c r="D366" s="21" t="str">
        <f>'Raw Data'!D366</f>
        <v>Phone</v>
      </c>
      <c r="E366" s="21">
        <f>'Raw Data'!E366</f>
        <v>1</v>
      </c>
      <c r="F366" s="21">
        <f>IF('Raw Data'!F366="",ROUND(AVERAGE('Raw Data'!$F$2:$F$1501),1),'Raw Data'!F366)</f>
        <v>5</v>
      </c>
      <c r="G366" s="21" t="str">
        <f>'Raw Data'!G366</f>
        <v>Credit Card</v>
      </c>
      <c r="H366" s="21" t="str">
        <f>'Raw Data'!H366</f>
        <v>Male</v>
      </c>
      <c r="I366" s="21">
        <f>IF('Raw Data'!I366="",ROUND(AVERAGE('Raw Data'!$I$2:$I$1501),1),'Raw Data'!I366)</f>
        <v>2.5</v>
      </c>
      <c r="J366" s="21">
        <f>'Raw Data'!J366</f>
        <v>4</v>
      </c>
      <c r="K366" s="21" t="str">
        <f>'Raw Data'!K366</f>
        <v>Others</v>
      </c>
      <c r="L366" s="21">
        <f>'Raw Data'!L366</f>
        <v>1</v>
      </c>
      <c r="M366" s="21" t="str">
        <f>'Raw Data'!M366</f>
        <v>Married</v>
      </c>
      <c r="N366" s="21">
        <f>'Raw Data'!N366</f>
        <v>1</v>
      </c>
      <c r="O366" s="21">
        <f>'Raw Data'!O366</f>
        <v>1</v>
      </c>
      <c r="P366" s="21">
        <f>IF('Raw Data'!P366="",ROUND(AVERAGE('Raw Data'!$P$2:$P$1501),1),'Raw Data'!P366)</f>
        <v>16.3</v>
      </c>
      <c r="Q366" s="21">
        <f>IF('Raw Data'!Q366="",ROUND(AVERAGE('Raw Data'!$Q$2:$Q$1501),0),'Raw Data'!Q366)</f>
        <v>2</v>
      </c>
      <c r="R366" s="21">
        <f>'Raw Data'!R366</f>
        <v>4</v>
      </c>
      <c r="S366" s="21">
        <f>IF('Raw Data'!S366="",ROUND(AVERAGE('Raw Data'!$S$2:$S$1501),0),'Raw Data'!S366)</f>
        <v>1</v>
      </c>
      <c r="T366" s="21">
        <f>'Raw Data'!T366</f>
        <v>223.6</v>
      </c>
      <c r="U366" s="21" t="str">
        <f>INDEX('Lookup Tables'!$C$7:$C$9,MATCH(E366,'Lookup Tables'!$B$7:$B$9,0))</f>
        <v>Tier 1 (Metro)</v>
      </c>
      <c r="V366" s="21" t="str">
        <f t="shared" si="15"/>
        <v>0-6 months</v>
      </c>
      <c r="W366" s="21" t="str">
        <f t="shared" si="16"/>
        <v>High Risk</v>
      </c>
      <c r="X366" s="21" t="str">
        <f t="shared" si="17"/>
        <v>No</v>
      </c>
    </row>
    <row r="367" spans="1:24" x14ac:dyDescent="0.3">
      <c r="A367" s="21">
        <f>'Raw Data'!A367</f>
        <v>50366</v>
      </c>
      <c r="B367" s="21">
        <f>'Raw Data'!B367</f>
        <v>0</v>
      </c>
      <c r="C367" s="21">
        <f>'Raw Data'!C367</f>
        <v>13</v>
      </c>
      <c r="D367" s="21" t="str">
        <f>'Raw Data'!D367</f>
        <v>Phone</v>
      </c>
      <c r="E367" s="21">
        <f>'Raw Data'!E367</f>
        <v>2</v>
      </c>
      <c r="F367" s="21">
        <f>IF('Raw Data'!F367="",ROUND(AVERAGE('Raw Data'!$F$2:$F$1501),1),'Raw Data'!F367)</f>
        <v>5</v>
      </c>
      <c r="G367" s="21" t="str">
        <f>'Raw Data'!G367</f>
        <v>UPI</v>
      </c>
      <c r="H367" s="21" t="str">
        <f>'Raw Data'!H367</f>
        <v>Male</v>
      </c>
      <c r="I367" s="21">
        <f>IF('Raw Data'!I367="",ROUND(AVERAGE('Raw Data'!$I$2:$I$1501),1),'Raw Data'!I367)</f>
        <v>2.9</v>
      </c>
      <c r="J367" s="21">
        <f>'Raw Data'!J367</f>
        <v>5</v>
      </c>
      <c r="K367" s="21" t="str">
        <f>'Raw Data'!K367</f>
        <v>Grocery</v>
      </c>
      <c r="L367" s="21">
        <f>'Raw Data'!L367</f>
        <v>5</v>
      </c>
      <c r="M367" s="21" t="str">
        <f>'Raw Data'!M367</f>
        <v>Single</v>
      </c>
      <c r="N367" s="21">
        <f>'Raw Data'!N367</f>
        <v>3</v>
      </c>
      <c r="O367" s="21">
        <f>'Raw Data'!O367</f>
        <v>0</v>
      </c>
      <c r="P367" s="21">
        <f>IF('Raw Data'!P367="",ROUND(AVERAGE('Raw Data'!$P$2:$P$1501),1),'Raw Data'!P367)</f>
        <v>11.5</v>
      </c>
      <c r="Q367" s="21">
        <f>IF('Raw Data'!Q367="",ROUND(AVERAGE('Raw Data'!$Q$2:$Q$1501),0),'Raw Data'!Q367)</f>
        <v>3</v>
      </c>
      <c r="R367" s="21">
        <f>'Raw Data'!R367</f>
        <v>5</v>
      </c>
      <c r="S367" s="21">
        <f>IF('Raw Data'!S367="",ROUND(AVERAGE('Raw Data'!$S$2:$S$1501),0),'Raw Data'!S367)</f>
        <v>2</v>
      </c>
      <c r="T367" s="21">
        <f>'Raw Data'!T367</f>
        <v>196.63</v>
      </c>
      <c r="U367" s="21" t="str">
        <f>INDEX('Lookup Tables'!$C$7:$C$9,MATCH(E367,'Lookup Tables'!$B$7:$B$9,0))</f>
        <v>Tier 2 (Urban)</v>
      </c>
      <c r="V367" s="21" t="str">
        <f t="shared" si="15"/>
        <v>13-24 months</v>
      </c>
      <c r="W367" s="21" t="str">
        <f t="shared" si="16"/>
        <v>Low Risk</v>
      </c>
      <c r="X367" s="21" t="str">
        <f t="shared" si="17"/>
        <v>No</v>
      </c>
    </row>
    <row r="368" spans="1:24" x14ac:dyDescent="0.3">
      <c r="A368" s="21">
        <f>'Raw Data'!A368</f>
        <v>50367</v>
      </c>
      <c r="B368" s="21">
        <f>'Raw Data'!B368</f>
        <v>0</v>
      </c>
      <c r="C368" s="21">
        <f>'Raw Data'!C368</f>
        <v>1</v>
      </c>
      <c r="D368" s="21" t="str">
        <f>'Raw Data'!D368</f>
        <v>Mobile Phone</v>
      </c>
      <c r="E368" s="21">
        <f>'Raw Data'!E368</f>
        <v>2</v>
      </c>
      <c r="F368" s="21">
        <f>IF('Raw Data'!F368="",ROUND(AVERAGE('Raw Data'!$F$2:$F$1501),1),'Raw Data'!F368)</f>
        <v>5</v>
      </c>
      <c r="G368" s="21" t="str">
        <f>'Raw Data'!G368</f>
        <v>E wallet</v>
      </c>
      <c r="H368" s="21" t="str">
        <f>'Raw Data'!H368</f>
        <v>Female</v>
      </c>
      <c r="I368" s="21">
        <f>IF('Raw Data'!I368="",ROUND(AVERAGE('Raw Data'!$I$2:$I$1501),1),'Raw Data'!I368)</f>
        <v>2.8</v>
      </c>
      <c r="J368" s="21">
        <f>'Raw Data'!J368</f>
        <v>3</v>
      </c>
      <c r="K368" s="21" t="str">
        <f>'Raw Data'!K368</f>
        <v>Fashion</v>
      </c>
      <c r="L368" s="21">
        <f>'Raw Data'!L368</f>
        <v>4</v>
      </c>
      <c r="M368" s="21" t="str">
        <f>'Raw Data'!M368</f>
        <v>Divorced</v>
      </c>
      <c r="N368" s="21">
        <f>'Raw Data'!N368</f>
        <v>1</v>
      </c>
      <c r="O368" s="21">
        <f>'Raw Data'!O368</f>
        <v>0</v>
      </c>
      <c r="P368" s="21">
        <f>IF('Raw Data'!P368="",ROUND(AVERAGE('Raw Data'!$P$2:$P$1501),1),'Raw Data'!P368)</f>
        <v>22</v>
      </c>
      <c r="Q368" s="21">
        <f>IF('Raw Data'!Q368="",ROUND(AVERAGE('Raw Data'!$Q$2:$Q$1501),0),'Raw Data'!Q368)</f>
        <v>2</v>
      </c>
      <c r="R368" s="21">
        <f>'Raw Data'!R368</f>
        <v>5</v>
      </c>
      <c r="S368" s="21">
        <f>IF('Raw Data'!S368="",ROUND(AVERAGE('Raw Data'!$S$2:$S$1501),0),'Raw Data'!S368)</f>
        <v>4</v>
      </c>
      <c r="T368" s="21">
        <f>'Raw Data'!T368</f>
        <v>182.42</v>
      </c>
      <c r="U368" s="21" t="str">
        <f>INDEX('Lookup Tables'!$C$7:$C$9,MATCH(E368,'Lookup Tables'!$B$7:$B$9,0))</f>
        <v>Tier 2 (Urban)</v>
      </c>
      <c r="V368" s="21" t="str">
        <f t="shared" si="15"/>
        <v>0-6 months</v>
      </c>
      <c r="W368" s="21" t="str">
        <f t="shared" si="16"/>
        <v>Low Risk</v>
      </c>
      <c r="X368" s="21" t="str">
        <f t="shared" si="17"/>
        <v>No</v>
      </c>
    </row>
    <row r="369" spans="1:24" x14ac:dyDescent="0.3">
      <c r="A369" s="21">
        <f>'Raw Data'!A369</f>
        <v>50368</v>
      </c>
      <c r="B369" s="21">
        <f>'Raw Data'!B369</f>
        <v>0</v>
      </c>
      <c r="C369" s="21">
        <f>'Raw Data'!C369</f>
        <v>17</v>
      </c>
      <c r="D369" s="21" t="str">
        <f>'Raw Data'!D369</f>
        <v>Mobile Phone</v>
      </c>
      <c r="E369" s="21">
        <f>'Raw Data'!E369</f>
        <v>1</v>
      </c>
      <c r="F369" s="21">
        <f>IF('Raw Data'!F369="",ROUND(AVERAGE('Raw Data'!$F$2:$F$1501),1),'Raw Data'!F369)</f>
        <v>5</v>
      </c>
      <c r="G369" s="21" t="str">
        <f>'Raw Data'!G369</f>
        <v>E wallet</v>
      </c>
      <c r="H369" s="21" t="str">
        <f>'Raw Data'!H369</f>
        <v>Female</v>
      </c>
      <c r="I369" s="21">
        <f>IF('Raw Data'!I369="",ROUND(AVERAGE('Raw Data'!$I$2:$I$1501),1),'Raw Data'!I369)</f>
        <v>3.6</v>
      </c>
      <c r="J369" s="21">
        <f>'Raw Data'!J369</f>
        <v>4</v>
      </c>
      <c r="K369" s="21" t="str">
        <f>'Raw Data'!K369</f>
        <v>Grocery</v>
      </c>
      <c r="L369" s="21">
        <f>'Raw Data'!L369</f>
        <v>3</v>
      </c>
      <c r="M369" s="21" t="str">
        <f>'Raw Data'!M369</f>
        <v>Single</v>
      </c>
      <c r="N369" s="21">
        <f>'Raw Data'!N369</f>
        <v>1</v>
      </c>
      <c r="O369" s="21">
        <f>'Raw Data'!O369</f>
        <v>1</v>
      </c>
      <c r="P369" s="21">
        <f>IF('Raw Data'!P369="",ROUND(AVERAGE('Raw Data'!$P$2:$P$1501),1),'Raw Data'!P369)</f>
        <v>21.2</v>
      </c>
      <c r="Q369" s="21">
        <f>IF('Raw Data'!Q369="",ROUND(AVERAGE('Raw Data'!$Q$2:$Q$1501),0),'Raw Data'!Q369)</f>
        <v>1</v>
      </c>
      <c r="R369" s="21">
        <f>'Raw Data'!R369</f>
        <v>3</v>
      </c>
      <c r="S369" s="21">
        <f>IF('Raw Data'!S369="",ROUND(AVERAGE('Raw Data'!$S$2:$S$1501),0),'Raw Data'!S369)</f>
        <v>2</v>
      </c>
      <c r="T369" s="21">
        <f>'Raw Data'!T369</f>
        <v>139.13</v>
      </c>
      <c r="U369" s="21" t="str">
        <f>INDEX('Lookup Tables'!$C$7:$C$9,MATCH(E369,'Lookup Tables'!$B$7:$B$9,0))</f>
        <v>Tier 1 (Metro)</v>
      </c>
      <c r="V369" s="21" t="str">
        <f t="shared" si="15"/>
        <v>13-24 months</v>
      </c>
      <c r="W369" s="21" t="str">
        <f t="shared" si="16"/>
        <v>Medium Risk</v>
      </c>
      <c r="X369" s="21" t="str">
        <f t="shared" si="17"/>
        <v>No</v>
      </c>
    </row>
    <row r="370" spans="1:24" x14ac:dyDescent="0.3">
      <c r="A370" s="21">
        <f>'Raw Data'!A370</f>
        <v>50369</v>
      </c>
      <c r="B370" s="21">
        <f>'Raw Data'!B370</f>
        <v>0</v>
      </c>
      <c r="C370" s="21">
        <f>'Raw Data'!C370</f>
        <v>17</v>
      </c>
      <c r="D370" s="21" t="str">
        <f>'Raw Data'!D370</f>
        <v>Mobile Phone</v>
      </c>
      <c r="E370" s="21">
        <f>'Raw Data'!E370</f>
        <v>1</v>
      </c>
      <c r="F370" s="21">
        <f>IF('Raw Data'!F370="",ROUND(AVERAGE('Raw Data'!$F$2:$F$1501),1),'Raw Data'!F370)</f>
        <v>9</v>
      </c>
      <c r="G370" s="21" t="str">
        <f>'Raw Data'!G370</f>
        <v>Debit Card</v>
      </c>
      <c r="H370" s="21" t="str">
        <f>'Raw Data'!H370</f>
        <v>Female</v>
      </c>
      <c r="I370" s="21">
        <f>IF('Raw Data'!I370="",ROUND(AVERAGE('Raw Data'!$I$2:$I$1501),1),'Raw Data'!I370)</f>
        <v>2.2000000000000002</v>
      </c>
      <c r="J370" s="21">
        <f>'Raw Data'!J370</f>
        <v>2</v>
      </c>
      <c r="K370" s="21" t="str">
        <f>'Raw Data'!K370</f>
        <v>Laptop &amp; Accessory</v>
      </c>
      <c r="L370" s="21">
        <f>'Raw Data'!L370</f>
        <v>4</v>
      </c>
      <c r="M370" s="21" t="str">
        <f>'Raw Data'!M370</f>
        <v>Married</v>
      </c>
      <c r="N370" s="21">
        <f>'Raw Data'!N370</f>
        <v>4</v>
      </c>
      <c r="O370" s="21">
        <f>'Raw Data'!O370</f>
        <v>0</v>
      </c>
      <c r="P370" s="21">
        <f>IF('Raw Data'!P370="",ROUND(AVERAGE('Raw Data'!$P$2:$P$1501),1),'Raw Data'!P370)</f>
        <v>17.600000000000001</v>
      </c>
      <c r="Q370" s="21">
        <f>IF('Raw Data'!Q370="",ROUND(AVERAGE('Raw Data'!$Q$2:$Q$1501),0),'Raw Data'!Q370)</f>
        <v>2</v>
      </c>
      <c r="R370" s="21">
        <f>'Raw Data'!R370</f>
        <v>3</v>
      </c>
      <c r="S370" s="21">
        <f>IF('Raw Data'!S370="",ROUND(AVERAGE('Raw Data'!$S$2:$S$1501),0),'Raw Data'!S370)</f>
        <v>6</v>
      </c>
      <c r="T370" s="21">
        <f>'Raw Data'!T370</f>
        <v>173.75</v>
      </c>
      <c r="U370" s="21" t="str">
        <f>INDEX('Lookup Tables'!$C$7:$C$9,MATCH(E370,'Lookup Tables'!$B$7:$B$9,0))</f>
        <v>Tier 1 (Metro)</v>
      </c>
      <c r="V370" s="21" t="str">
        <f t="shared" si="15"/>
        <v>13-24 months</v>
      </c>
      <c r="W370" s="21" t="str">
        <f t="shared" si="16"/>
        <v>Low Risk</v>
      </c>
      <c r="X370" s="21" t="str">
        <f t="shared" si="17"/>
        <v>No</v>
      </c>
    </row>
    <row r="371" spans="1:24" x14ac:dyDescent="0.3">
      <c r="A371" s="21">
        <f>'Raw Data'!A371</f>
        <v>50370</v>
      </c>
      <c r="B371" s="21">
        <f>'Raw Data'!B371</f>
        <v>1</v>
      </c>
      <c r="C371" s="21">
        <f>'Raw Data'!C371</f>
        <v>7</v>
      </c>
      <c r="D371" s="21" t="str">
        <f>'Raw Data'!D371</f>
        <v>Computer</v>
      </c>
      <c r="E371" s="21">
        <f>'Raw Data'!E371</f>
        <v>2</v>
      </c>
      <c r="F371" s="21">
        <f>IF('Raw Data'!F371="",ROUND(AVERAGE('Raw Data'!$F$2:$F$1501),1),'Raw Data'!F371)</f>
        <v>30</v>
      </c>
      <c r="G371" s="21" t="str">
        <f>'Raw Data'!G371</f>
        <v>E wallet</v>
      </c>
      <c r="H371" s="21" t="str">
        <f>'Raw Data'!H371</f>
        <v>Male</v>
      </c>
      <c r="I371" s="21">
        <f>IF('Raw Data'!I371="",ROUND(AVERAGE('Raw Data'!$I$2:$I$1501),1),'Raw Data'!I371)</f>
        <v>3.1</v>
      </c>
      <c r="J371" s="21">
        <f>'Raw Data'!J371</f>
        <v>4</v>
      </c>
      <c r="K371" s="21" t="str">
        <f>'Raw Data'!K371</f>
        <v>Mobile Phone</v>
      </c>
      <c r="L371" s="21">
        <f>'Raw Data'!L371</f>
        <v>1</v>
      </c>
      <c r="M371" s="21" t="str">
        <f>'Raw Data'!M371</f>
        <v>Divorced</v>
      </c>
      <c r="N371" s="21">
        <f>'Raw Data'!N371</f>
        <v>1</v>
      </c>
      <c r="O371" s="21">
        <f>'Raw Data'!O371</f>
        <v>1</v>
      </c>
      <c r="P371" s="21">
        <f>IF('Raw Data'!P371="",ROUND(AVERAGE('Raw Data'!$P$2:$P$1501),1),'Raw Data'!P371)</f>
        <v>15.2</v>
      </c>
      <c r="Q371" s="21">
        <f>IF('Raw Data'!Q371="",ROUND(AVERAGE('Raw Data'!$Q$2:$Q$1501),0),'Raw Data'!Q371)</f>
        <v>2</v>
      </c>
      <c r="R371" s="21">
        <f>'Raw Data'!R371</f>
        <v>1</v>
      </c>
      <c r="S371" s="21">
        <f>IF('Raw Data'!S371="",ROUND(AVERAGE('Raw Data'!$S$2:$S$1501),0),'Raw Data'!S371)</f>
        <v>21</v>
      </c>
      <c r="T371" s="21">
        <f>'Raw Data'!T371</f>
        <v>120.63</v>
      </c>
      <c r="U371" s="21" t="str">
        <f>INDEX('Lookup Tables'!$C$7:$C$9,MATCH(E371,'Lookup Tables'!$B$7:$B$9,0))</f>
        <v>Tier 2 (Urban)</v>
      </c>
      <c r="V371" s="21" t="str">
        <f t="shared" si="15"/>
        <v>7-12 months</v>
      </c>
      <c r="W371" s="21" t="str">
        <f t="shared" si="16"/>
        <v>High Risk</v>
      </c>
      <c r="X371" s="21" t="str">
        <f t="shared" si="17"/>
        <v>Yes</v>
      </c>
    </row>
    <row r="372" spans="1:24" x14ac:dyDescent="0.3">
      <c r="A372" s="21">
        <f>'Raw Data'!A372</f>
        <v>50371</v>
      </c>
      <c r="B372" s="21">
        <f>'Raw Data'!B372</f>
        <v>0</v>
      </c>
      <c r="C372" s="21">
        <f>'Raw Data'!C372</f>
        <v>0</v>
      </c>
      <c r="D372" s="21" t="str">
        <f>'Raw Data'!D372</f>
        <v>Mobile Phone</v>
      </c>
      <c r="E372" s="21">
        <f>'Raw Data'!E372</f>
        <v>3</v>
      </c>
      <c r="F372" s="21">
        <f>IF('Raw Data'!F372="",ROUND(AVERAGE('Raw Data'!$F$2:$F$1501),1),'Raw Data'!F372)</f>
        <v>10</v>
      </c>
      <c r="G372" s="21" t="str">
        <f>'Raw Data'!G372</f>
        <v>Credit Card</v>
      </c>
      <c r="H372" s="21" t="str">
        <f>'Raw Data'!H372</f>
        <v>Male</v>
      </c>
      <c r="I372" s="21">
        <f>IF('Raw Data'!I372="",ROUND(AVERAGE('Raw Data'!$I$2:$I$1501),1),'Raw Data'!I372)</f>
        <v>2.5</v>
      </c>
      <c r="J372" s="21">
        <f>'Raw Data'!J372</f>
        <v>4</v>
      </c>
      <c r="K372" s="21" t="str">
        <f>'Raw Data'!K372</f>
        <v>Others</v>
      </c>
      <c r="L372" s="21">
        <f>'Raw Data'!L372</f>
        <v>4</v>
      </c>
      <c r="M372" s="21" t="str">
        <f>'Raw Data'!M372</f>
        <v>Married</v>
      </c>
      <c r="N372" s="21">
        <f>'Raw Data'!N372</f>
        <v>1</v>
      </c>
      <c r="O372" s="21">
        <f>'Raw Data'!O372</f>
        <v>1</v>
      </c>
      <c r="P372" s="21">
        <f>IF('Raw Data'!P372="",ROUND(AVERAGE('Raw Data'!$P$2:$P$1501),1),'Raw Data'!P372)</f>
        <v>15.3</v>
      </c>
      <c r="Q372" s="21">
        <f>IF('Raw Data'!Q372="",ROUND(AVERAGE('Raw Data'!$Q$2:$Q$1501),0),'Raw Data'!Q372)</f>
        <v>4</v>
      </c>
      <c r="R372" s="21">
        <f>'Raw Data'!R372</f>
        <v>3</v>
      </c>
      <c r="S372" s="21">
        <f>IF('Raw Data'!S372="",ROUND(AVERAGE('Raw Data'!$S$2:$S$1501),0),'Raw Data'!S372)</f>
        <v>2</v>
      </c>
      <c r="T372" s="21">
        <f>'Raw Data'!T372</f>
        <v>177.79</v>
      </c>
      <c r="U372" s="21" t="str">
        <f>INDEX('Lookup Tables'!$C$7:$C$9,MATCH(E372,'Lookup Tables'!$B$7:$B$9,0))</f>
        <v>Tier 3 (Semi-urban/Rural)</v>
      </c>
      <c r="V372" s="21" t="str">
        <f t="shared" si="15"/>
        <v>0-6 months</v>
      </c>
      <c r="W372" s="21" t="str">
        <f t="shared" si="16"/>
        <v>Low Risk</v>
      </c>
      <c r="X372" s="21" t="str">
        <f t="shared" si="17"/>
        <v>No</v>
      </c>
    </row>
    <row r="373" spans="1:24" x14ac:dyDescent="0.3">
      <c r="A373" s="21">
        <f>'Raw Data'!A373</f>
        <v>50372</v>
      </c>
      <c r="B373" s="21">
        <f>'Raw Data'!B373</f>
        <v>0</v>
      </c>
      <c r="C373" s="21">
        <f>'Raw Data'!C373</f>
        <v>3</v>
      </c>
      <c r="D373" s="21" t="str">
        <f>'Raw Data'!D373</f>
        <v>Computer</v>
      </c>
      <c r="E373" s="21">
        <f>'Raw Data'!E373</f>
        <v>1</v>
      </c>
      <c r="F373" s="21">
        <f>IF('Raw Data'!F373="",ROUND(AVERAGE('Raw Data'!$F$2:$F$1501),1),'Raw Data'!F373)</f>
        <v>16</v>
      </c>
      <c r="G373" s="21" t="str">
        <f>'Raw Data'!G373</f>
        <v>UPI</v>
      </c>
      <c r="H373" s="21" t="str">
        <f>'Raw Data'!H373</f>
        <v>Male</v>
      </c>
      <c r="I373" s="21">
        <f>IF('Raw Data'!I373="",ROUND(AVERAGE('Raw Data'!$I$2:$I$1501),1),'Raw Data'!I373)</f>
        <v>3.1</v>
      </c>
      <c r="J373" s="21">
        <f>'Raw Data'!J373</f>
        <v>3</v>
      </c>
      <c r="K373" s="21" t="str">
        <f>'Raw Data'!K373</f>
        <v>Fashion</v>
      </c>
      <c r="L373" s="21">
        <f>'Raw Data'!L373</f>
        <v>5</v>
      </c>
      <c r="M373" s="21" t="str">
        <f>'Raw Data'!M373</f>
        <v>Divorced</v>
      </c>
      <c r="N373" s="21">
        <f>'Raw Data'!N373</f>
        <v>5</v>
      </c>
      <c r="O373" s="21">
        <f>'Raw Data'!O373</f>
        <v>0</v>
      </c>
      <c r="P373" s="21">
        <f>IF('Raw Data'!P373="",ROUND(AVERAGE('Raw Data'!$P$2:$P$1501),1),'Raw Data'!P373)</f>
        <v>18.7</v>
      </c>
      <c r="Q373" s="21">
        <f>IF('Raw Data'!Q373="",ROUND(AVERAGE('Raw Data'!$Q$2:$Q$1501),0),'Raw Data'!Q373)</f>
        <v>2</v>
      </c>
      <c r="R373" s="21">
        <f>'Raw Data'!R373</f>
        <v>5</v>
      </c>
      <c r="S373" s="21">
        <f>IF('Raw Data'!S373="",ROUND(AVERAGE('Raw Data'!$S$2:$S$1501),0),'Raw Data'!S373)</f>
        <v>3</v>
      </c>
      <c r="T373" s="21">
        <f>'Raw Data'!T373</f>
        <v>184.89</v>
      </c>
      <c r="U373" s="21" t="str">
        <f>INDEX('Lookup Tables'!$C$7:$C$9,MATCH(E373,'Lookup Tables'!$B$7:$B$9,0))</f>
        <v>Tier 1 (Metro)</v>
      </c>
      <c r="V373" s="21" t="str">
        <f t="shared" si="15"/>
        <v>0-6 months</v>
      </c>
      <c r="W373" s="21" t="str">
        <f t="shared" si="16"/>
        <v>Low Risk</v>
      </c>
      <c r="X373" s="21" t="str">
        <f t="shared" si="17"/>
        <v>No</v>
      </c>
    </row>
    <row r="374" spans="1:24" x14ac:dyDescent="0.3">
      <c r="A374" s="21">
        <f>'Raw Data'!A374</f>
        <v>50373</v>
      </c>
      <c r="B374" s="21">
        <f>'Raw Data'!B374</f>
        <v>0</v>
      </c>
      <c r="C374" s="21">
        <f>'Raw Data'!C374</f>
        <v>9</v>
      </c>
      <c r="D374" s="21" t="str">
        <f>'Raw Data'!D374</f>
        <v>Mobile Phone</v>
      </c>
      <c r="E374" s="21">
        <f>'Raw Data'!E374</f>
        <v>2</v>
      </c>
      <c r="F374" s="21">
        <f>IF('Raw Data'!F374="",ROUND(AVERAGE('Raw Data'!$F$2:$F$1501),1),'Raw Data'!F374)</f>
        <v>18</v>
      </c>
      <c r="G374" s="21" t="str">
        <f>'Raw Data'!G374</f>
        <v>Cash on Delivery</v>
      </c>
      <c r="H374" s="21" t="str">
        <f>'Raw Data'!H374</f>
        <v>Male</v>
      </c>
      <c r="I374" s="21">
        <f>IF('Raw Data'!I374="",ROUND(AVERAGE('Raw Data'!$I$2:$I$1501),1),'Raw Data'!I374)</f>
        <v>2.9</v>
      </c>
      <c r="J374" s="21">
        <f>'Raw Data'!J374</f>
        <v>5</v>
      </c>
      <c r="K374" s="21" t="str">
        <f>'Raw Data'!K374</f>
        <v>Others</v>
      </c>
      <c r="L374" s="21">
        <f>'Raw Data'!L374</f>
        <v>5</v>
      </c>
      <c r="M374" s="21" t="str">
        <f>'Raw Data'!M374</f>
        <v>Married</v>
      </c>
      <c r="N374" s="21">
        <f>'Raw Data'!N374</f>
        <v>1</v>
      </c>
      <c r="O374" s="21">
        <f>'Raw Data'!O374</f>
        <v>0</v>
      </c>
      <c r="P374" s="21">
        <f>IF('Raw Data'!P374="",ROUND(AVERAGE('Raw Data'!$P$2:$P$1501),1),'Raw Data'!P374)</f>
        <v>22.2</v>
      </c>
      <c r="Q374" s="21">
        <f>IF('Raw Data'!Q374="",ROUND(AVERAGE('Raw Data'!$Q$2:$Q$1501),0),'Raw Data'!Q374)</f>
        <v>1</v>
      </c>
      <c r="R374" s="21">
        <f>'Raw Data'!R374</f>
        <v>4</v>
      </c>
      <c r="S374" s="21">
        <f>IF('Raw Data'!S374="",ROUND(AVERAGE('Raw Data'!$S$2:$S$1501),0),'Raw Data'!S374)</f>
        <v>0</v>
      </c>
      <c r="T374" s="21">
        <f>'Raw Data'!T374</f>
        <v>47.75</v>
      </c>
      <c r="U374" s="21" t="str">
        <f>INDEX('Lookup Tables'!$C$7:$C$9,MATCH(E374,'Lookup Tables'!$B$7:$B$9,0))</f>
        <v>Tier 2 (Urban)</v>
      </c>
      <c r="V374" s="21" t="str">
        <f t="shared" si="15"/>
        <v>7-12 months</v>
      </c>
      <c r="W374" s="21" t="str">
        <f t="shared" si="16"/>
        <v>Low Risk</v>
      </c>
      <c r="X374" s="21" t="str">
        <f t="shared" si="17"/>
        <v>No</v>
      </c>
    </row>
    <row r="375" spans="1:24" x14ac:dyDescent="0.3">
      <c r="A375" s="21">
        <f>'Raw Data'!A375</f>
        <v>50374</v>
      </c>
      <c r="B375" s="21">
        <f>'Raw Data'!B375</f>
        <v>0</v>
      </c>
      <c r="C375" s="21">
        <f>'Raw Data'!C375</f>
        <v>39</v>
      </c>
      <c r="D375" s="21" t="str">
        <f>'Raw Data'!D375</f>
        <v>Mobile Phone</v>
      </c>
      <c r="E375" s="21">
        <f>'Raw Data'!E375</f>
        <v>1</v>
      </c>
      <c r="F375" s="21">
        <f>IF('Raw Data'!F375="",ROUND(AVERAGE('Raw Data'!$F$2:$F$1501),1),'Raw Data'!F375)</f>
        <v>16</v>
      </c>
      <c r="G375" s="21" t="str">
        <f>'Raw Data'!G375</f>
        <v>Debit Card</v>
      </c>
      <c r="H375" s="21" t="str">
        <f>'Raw Data'!H375</f>
        <v>Male</v>
      </c>
      <c r="I375" s="21">
        <f>IF('Raw Data'!I375="",ROUND(AVERAGE('Raw Data'!$I$2:$I$1501),1),'Raw Data'!I375)</f>
        <v>3</v>
      </c>
      <c r="J375" s="21">
        <f>'Raw Data'!J375</f>
        <v>3</v>
      </c>
      <c r="K375" s="21" t="str">
        <f>'Raw Data'!K375</f>
        <v>Fashion</v>
      </c>
      <c r="L375" s="21">
        <f>'Raw Data'!L375</f>
        <v>3</v>
      </c>
      <c r="M375" s="21" t="str">
        <f>'Raw Data'!M375</f>
        <v>Single</v>
      </c>
      <c r="N375" s="21">
        <f>'Raw Data'!N375</f>
        <v>2</v>
      </c>
      <c r="O375" s="21">
        <f>'Raw Data'!O375</f>
        <v>0</v>
      </c>
      <c r="P375" s="21">
        <f>IF('Raw Data'!P375="",ROUND(AVERAGE('Raw Data'!$P$2:$P$1501),1),'Raw Data'!P375)</f>
        <v>14</v>
      </c>
      <c r="Q375" s="21">
        <f>IF('Raw Data'!Q375="",ROUND(AVERAGE('Raw Data'!$Q$2:$Q$1501),0),'Raw Data'!Q375)</f>
        <v>3</v>
      </c>
      <c r="R375" s="21">
        <f>'Raw Data'!R375</f>
        <v>3</v>
      </c>
      <c r="S375" s="21">
        <f>IF('Raw Data'!S375="",ROUND(AVERAGE('Raw Data'!$S$2:$S$1501),0),'Raw Data'!S375)</f>
        <v>2</v>
      </c>
      <c r="T375" s="21">
        <f>'Raw Data'!T375</f>
        <v>167.33</v>
      </c>
      <c r="U375" s="21" t="str">
        <f>INDEX('Lookup Tables'!$C$7:$C$9,MATCH(E375,'Lookup Tables'!$B$7:$B$9,0))</f>
        <v>Tier 1 (Metro)</v>
      </c>
      <c r="V375" s="21" t="str">
        <f t="shared" si="15"/>
        <v>25+ months</v>
      </c>
      <c r="W375" s="21" t="str">
        <f t="shared" si="16"/>
        <v>Medium Risk</v>
      </c>
      <c r="X375" s="21" t="str">
        <f t="shared" si="17"/>
        <v>No</v>
      </c>
    </row>
    <row r="376" spans="1:24" x14ac:dyDescent="0.3">
      <c r="A376" s="21">
        <f>'Raw Data'!A376</f>
        <v>50375</v>
      </c>
      <c r="B376" s="21">
        <f>'Raw Data'!B376</f>
        <v>1</v>
      </c>
      <c r="C376" s="21">
        <f>'Raw Data'!C376</f>
        <v>9</v>
      </c>
      <c r="D376" s="21" t="str">
        <f>'Raw Data'!D376</f>
        <v>Mobile Phone</v>
      </c>
      <c r="E376" s="21">
        <f>'Raw Data'!E376</f>
        <v>3</v>
      </c>
      <c r="F376" s="21">
        <f>IF('Raw Data'!F376="",ROUND(AVERAGE('Raw Data'!$F$2:$F$1501),1),'Raw Data'!F376)</f>
        <v>14</v>
      </c>
      <c r="G376" s="21" t="str">
        <f>'Raw Data'!G376</f>
        <v>UPI</v>
      </c>
      <c r="H376" s="21" t="str">
        <f>'Raw Data'!H376</f>
        <v>Male</v>
      </c>
      <c r="I376" s="21">
        <f>IF('Raw Data'!I376="",ROUND(AVERAGE('Raw Data'!$I$2:$I$1501),1),'Raw Data'!I376)</f>
        <v>2.5</v>
      </c>
      <c r="J376" s="21">
        <f>'Raw Data'!J376</f>
        <v>3</v>
      </c>
      <c r="K376" s="21" t="str">
        <f>'Raw Data'!K376</f>
        <v>Grocery</v>
      </c>
      <c r="L376" s="21">
        <f>'Raw Data'!L376</f>
        <v>3</v>
      </c>
      <c r="M376" s="21" t="str">
        <f>'Raw Data'!M376</f>
        <v>Single</v>
      </c>
      <c r="N376" s="21">
        <f>'Raw Data'!N376</f>
        <v>1</v>
      </c>
      <c r="O376" s="21">
        <f>'Raw Data'!O376</f>
        <v>0</v>
      </c>
      <c r="P376" s="21">
        <f>IF('Raw Data'!P376="",ROUND(AVERAGE('Raw Data'!$P$2:$P$1501),1),'Raw Data'!P376)</f>
        <v>12.1</v>
      </c>
      <c r="Q376" s="21">
        <f>IF('Raw Data'!Q376="",ROUND(AVERAGE('Raw Data'!$Q$2:$Q$1501),0),'Raw Data'!Q376)</f>
        <v>2</v>
      </c>
      <c r="R376" s="21">
        <f>'Raw Data'!R376</f>
        <v>7</v>
      </c>
      <c r="S376" s="21">
        <f>IF('Raw Data'!S376="",ROUND(AVERAGE('Raw Data'!$S$2:$S$1501),0),'Raw Data'!S376)</f>
        <v>6</v>
      </c>
      <c r="T376" s="21">
        <f>'Raw Data'!T376</f>
        <v>115.33</v>
      </c>
      <c r="U376" s="21" t="str">
        <f>INDEX('Lookup Tables'!$C$7:$C$9,MATCH(E376,'Lookup Tables'!$B$7:$B$9,0))</f>
        <v>Tier 3 (Semi-urban/Rural)</v>
      </c>
      <c r="V376" s="21" t="str">
        <f t="shared" si="15"/>
        <v>7-12 months</v>
      </c>
      <c r="W376" s="21" t="str">
        <f t="shared" si="16"/>
        <v>Medium Risk</v>
      </c>
      <c r="X376" s="21" t="str">
        <f t="shared" si="17"/>
        <v>Yes</v>
      </c>
    </row>
    <row r="377" spans="1:24" x14ac:dyDescent="0.3">
      <c r="A377" s="21">
        <f>'Raw Data'!A377</f>
        <v>50376</v>
      </c>
      <c r="B377" s="21">
        <f>'Raw Data'!B377</f>
        <v>0</v>
      </c>
      <c r="C377" s="21">
        <f>'Raw Data'!C377</f>
        <v>3</v>
      </c>
      <c r="D377" s="21" t="str">
        <f>'Raw Data'!D377</f>
        <v>Mobile Phone</v>
      </c>
      <c r="E377" s="21">
        <f>'Raw Data'!E377</f>
        <v>1</v>
      </c>
      <c r="F377" s="21">
        <f>IF('Raw Data'!F377="",ROUND(AVERAGE('Raw Data'!$F$2:$F$1501),1),'Raw Data'!F377)</f>
        <v>5</v>
      </c>
      <c r="G377" s="21" t="str">
        <f>'Raw Data'!G377</f>
        <v>Debit Card</v>
      </c>
      <c r="H377" s="21" t="str">
        <f>'Raw Data'!H377</f>
        <v>Male</v>
      </c>
      <c r="I377" s="21">
        <f>IF('Raw Data'!I377="",ROUND(AVERAGE('Raw Data'!$I$2:$I$1501),1),'Raw Data'!I377)</f>
        <v>2.5</v>
      </c>
      <c r="J377" s="21">
        <f>'Raw Data'!J377</f>
        <v>3</v>
      </c>
      <c r="K377" s="21" t="str">
        <f>'Raw Data'!K377</f>
        <v>Fashion</v>
      </c>
      <c r="L377" s="21">
        <f>'Raw Data'!L377</f>
        <v>1</v>
      </c>
      <c r="M377" s="21" t="str">
        <f>'Raw Data'!M377</f>
        <v>Single</v>
      </c>
      <c r="N377" s="21">
        <f>'Raw Data'!N377</f>
        <v>1</v>
      </c>
      <c r="O377" s="21">
        <f>'Raw Data'!O377</f>
        <v>0</v>
      </c>
      <c r="P377" s="21">
        <f>IF('Raw Data'!P377="",ROUND(AVERAGE('Raw Data'!$P$2:$P$1501),1),'Raw Data'!P377)</f>
        <v>21.4</v>
      </c>
      <c r="Q377" s="21">
        <f>IF('Raw Data'!Q377="",ROUND(AVERAGE('Raw Data'!$Q$2:$Q$1501),0),'Raw Data'!Q377)</f>
        <v>0</v>
      </c>
      <c r="R377" s="21">
        <f>'Raw Data'!R377</f>
        <v>2</v>
      </c>
      <c r="S377" s="21">
        <f>IF('Raw Data'!S377="",ROUND(AVERAGE('Raw Data'!$S$2:$S$1501),0),'Raw Data'!S377)</f>
        <v>1</v>
      </c>
      <c r="T377" s="21">
        <f>'Raw Data'!T377</f>
        <v>207.43</v>
      </c>
      <c r="U377" s="21" t="str">
        <f>INDEX('Lookup Tables'!$C$7:$C$9,MATCH(E377,'Lookup Tables'!$B$7:$B$9,0))</f>
        <v>Tier 1 (Metro)</v>
      </c>
      <c r="V377" s="21" t="str">
        <f t="shared" si="15"/>
        <v>0-6 months</v>
      </c>
      <c r="W377" s="21" t="str">
        <f t="shared" si="16"/>
        <v>Low Risk</v>
      </c>
      <c r="X377" s="21" t="str">
        <f t="shared" si="17"/>
        <v>No</v>
      </c>
    </row>
    <row r="378" spans="1:24" x14ac:dyDescent="0.3">
      <c r="A378" s="21">
        <f>'Raw Data'!A378</f>
        <v>50377</v>
      </c>
      <c r="B378" s="21">
        <f>'Raw Data'!B378</f>
        <v>0</v>
      </c>
      <c r="C378" s="21">
        <f>'Raw Data'!C378</f>
        <v>10</v>
      </c>
      <c r="D378" s="21" t="str">
        <f>'Raw Data'!D378</f>
        <v>Phone</v>
      </c>
      <c r="E378" s="21">
        <f>'Raw Data'!E378</f>
        <v>3</v>
      </c>
      <c r="F378" s="21">
        <f>IF('Raw Data'!F378="",ROUND(AVERAGE('Raw Data'!$F$2:$F$1501),1),'Raw Data'!F378)</f>
        <v>26</v>
      </c>
      <c r="G378" s="21" t="str">
        <f>'Raw Data'!G378</f>
        <v>Credit Card</v>
      </c>
      <c r="H378" s="21" t="str">
        <f>'Raw Data'!H378</f>
        <v>Female</v>
      </c>
      <c r="I378" s="21">
        <f>IF('Raw Data'!I378="",ROUND(AVERAGE('Raw Data'!$I$2:$I$1501),1),'Raw Data'!I378)</f>
        <v>3.1</v>
      </c>
      <c r="J378" s="21">
        <f>'Raw Data'!J378</f>
        <v>2</v>
      </c>
      <c r="K378" s="21" t="str">
        <f>'Raw Data'!K378</f>
        <v>Fashion</v>
      </c>
      <c r="L378" s="21">
        <f>'Raw Data'!L378</f>
        <v>4</v>
      </c>
      <c r="M378" s="21" t="str">
        <f>'Raw Data'!M378</f>
        <v>Single</v>
      </c>
      <c r="N378" s="21">
        <f>'Raw Data'!N378</f>
        <v>4</v>
      </c>
      <c r="O378" s="21">
        <f>'Raw Data'!O378</f>
        <v>1</v>
      </c>
      <c r="P378" s="21">
        <f>IF('Raw Data'!P378="",ROUND(AVERAGE('Raw Data'!$P$2:$P$1501),1),'Raw Data'!P378)</f>
        <v>11</v>
      </c>
      <c r="Q378" s="21">
        <f>IF('Raw Data'!Q378="",ROUND(AVERAGE('Raw Data'!$Q$2:$Q$1501),0),'Raw Data'!Q378)</f>
        <v>0</v>
      </c>
      <c r="R378" s="21">
        <f>'Raw Data'!R378</f>
        <v>3</v>
      </c>
      <c r="S378" s="21">
        <f>IF('Raw Data'!S378="",ROUND(AVERAGE('Raw Data'!$S$2:$S$1501),0),'Raw Data'!S378)</f>
        <v>1</v>
      </c>
      <c r="T378" s="21">
        <f>'Raw Data'!T378</f>
        <v>215.04</v>
      </c>
      <c r="U378" s="21" t="str">
        <f>INDEX('Lookup Tables'!$C$7:$C$9,MATCH(E378,'Lookup Tables'!$B$7:$B$9,0))</f>
        <v>Tier 3 (Semi-urban/Rural)</v>
      </c>
      <c r="V378" s="21" t="str">
        <f t="shared" si="15"/>
        <v>7-12 months</v>
      </c>
      <c r="W378" s="21" t="str">
        <f t="shared" si="16"/>
        <v>Low Risk</v>
      </c>
      <c r="X378" s="21" t="str">
        <f t="shared" si="17"/>
        <v>No</v>
      </c>
    </row>
    <row r="379" spans="1:24" x14ac:dyDescent="0.3">
      <c r="A379" s="21">
        <f>'Raw Data'!A379</f>
        <v>50378</v>
      </c>
      <c r="B379" s="21">
        <f>'Raw Data'!B379</f>
        <v>0</v>
      </c>
      <c r="C379" s="21">
        <f>'Raw Data'!C379</f>
        <v>7</v>
      </c>
      <c r="D379" s="21" t="str">
        <f>'Raw Data'!D379</f>
        <v>Mobile Phone</v>
      </c>
      <c r="E379" s="21">
        <f>'Raw Data'!E379</f>
        <v>1</v>
      </c>
      <c r="F379" s="21">
        <f>IF('Raw Data'!F379="",ROUND(AVERAGE('Raw Data'!$F$2:$F$1501),1),'Raw Data'!F379)</f>
        <v>29</v>
      </c>
      <c r="G379" s="21" t="str">
        <f>'Raw Data'!G379</f>
        <v>Credit Card</v>
      </c>
      <c r="H379" s="21" t="str">
        <f>'Raw Data'!H379</f>
        <v>Female</v>
      </c>
      <c r="I379" s="21">
        <f>IF('Raw Data'!I379="",ROUND(AVERAGE('Raw Data'!$I$2:$I$1501),1),'Raw Data'!I379)</f>
        <v>3.6</v>
      </c>
      <c r="J379" s="21">
        <f>'Raw Data'!J379</f>
        <v>3</v>
      </c>
      <c r="K379" s="21" t="str">
        <f>'Raw Data'!K379</f>
        <v>Mobile Phone</v>
      </c>
      <c r="L379" s="21">
        <f>'Raw Data'!L379</f>
        <v>3</v>
      </c>
      <c r="M379" s="21" t="str">
        <f>'Raw Data'!M379</f>
        <v>Married</v>
      </c>
      <c r="N379" s="21">
        <f>'Raw Data'!N379</f>
        <v>1</v>
      </c>
      <c r="O379" s="21">
        <f>'Raw Data'!O379</f>
        <v>0</v>
      </c>
      <c r="P379" s="21">
        <f>IF('Raw Data'!P379="",ROUND(AVERAGE('Raw Data'!$P$2:$P$1501),1),'Raw Data'!P379)</f>
        <v>12.5</v>
      </c>
      <c r="Q379" s="21">
        <f>IF('Raw Data'!Q379="",ROUND(AVERAGE('Raw Data'!$Q$2:$Q$1501),0),'Raw Data'!Q379)</f>
        <v>0</v>
      </c>
      <c r="R379" s="21">
        <f>'Raw Data'!R379</f>
        <v>7</v>
      </c>
      <c r="S379" s="21">
        <f>IF('Raw Data'!S379="",ROUND(AVERAGE('Raw Data'!$S$2:$S$1501),0),'Raw Data'!S379)</f>
        <v>2</v>
      </c>
      <c r="T379" s="21">
        <f>'Raw Data'!T379</f>
        <v>156.55000000000001</v>
      </c>
      <c r="U379" s="21" t="str">
        <f>INDEX('Lookup Tables'!$C$7:$C$9,MATCH(E379,'Lookup Tables'!$B$7:$B$9,0))</f>
        <v>Tier 1 (Metro)</v>
      </c>
      <c r="V379" s="21" t="str">
        <f t="shared" si="15"/>
        <v>7-12 months</v>
      </c>
      <c r="W379" s="21" t="str">
        <f t="shared" si="16"/>
        <v>Medium Risk</v>
      </c>
      <c r="X379" s="21" t="str">
        <f t="shared" si="17"/>
        <v>No</v>
      </c>
    </row>
    <row r="380" spans="1:24" x14ac:dyDescent="0.3">
      <c r="A380" s="21">
        <f>'Raw Data'!A380</f>
        <v>50379</v>
      </c>
      <c r="B380" s="21">
        <f>'Raw Data'!B380</f>
        <v>1</v>
      </c>
      <c r="C380" s="21">
        <f>'Raw Data'!C380</f>
        <v>15</v>
      </c>
      <c r="D380" s="21" t="str">
        <f>'Raw Data'!D380</f>
        <v>Mobile Phone</v>
      </c>
      <c r="E380" s="21">
        <f>'Raw Data'!E380</f>
        <v>1</v>
      </c>
      <c r="F380" s="21">
        <f>IF('Raw Data'!F380="",ROUND(AVERAGE('Raw Data'!$F$2:$F$1501),1),'Raw Data'!F380)</f>
        <v>14.8</v>
      </c>
      <c r="G380" s="21" t="str">
        <f>'Raw Data'!G380</f>
        <v>Debit Card</v>
      </c>
      <c r="H380" s="21" t="str">
        <f>'Raw Data'!H380</f>
        <v>Male</v>
      </c>
      <c r="I380" s="21">
        <f>IF('Raw Data'!I380="",ROUND(AVERAGE('Raw Data'!$I$2:$I$1501),1),'Raw Data'!I380)</f>
        <v>2.5</v>
      </c>
      <c r="J380" s="21">
        <f>'Raw Data'!J380</f>
        <v>1</v>
      </c>
      <c r="K380" s="21" t="str">
        <f>'Raw Data'!K380</f>
        <v>Others</v>
      </c>
      <c r="L380" s="21">
        <f>'Raw Data'!L380</f>
        <v>3</v>
      </c>
      <c r="M380" s="21" t="str">
        <f>'Raw Data'!M380</f>
        <v>Single</v>
      </c>
      <c r="N380" s="21">
        <f>'Raw Data'!N380</f>
        <v>7</v>
      </c>
      <c r="O380" s="21">
        <f>'Raw Data'!O380</f>
        <v>0</v>
      </c>
      <c r="P380" s="21">
        <f>IF('Raw Data'!P380="",ROUND(AVERAGE('Raw Data'!$P$2:$P$1501),1),'Raw Data'!P380)</f>
        <v>15.1</v>
      </c>
      <c r="Q380" s="21">
        <f>IF('Raw Data'!Q380="",ROUND(AVERAGE('Raw Data'!$Q$2:$Q$1501),0),'Raw Data'!Q380)</f>
        <v>1</v>
      </c>
      <c r="R380" s="21">
        <f>'Raw Data'!R380</f>
        <v>2</v>
      </c>
      <c r="S380" s="21">
        <f>IF('Raw Data'!S380="",ROUND(AVERAGE('Raw Data'!$S$2:$S$1501),0),'Raw Data'!S380)</f>
        <v>8</v>
      </c>
      <c r="T380" s="21">
        <f>'Raw Data'!T380</f>
        <v>210.2</v>
      </c>
      <c r="U380" s="21" t="str">
        <f>INDEX('Lookup Tables'!$C$7:$C$9,MATCH(E380,'Lookup Tables'!$B$7:$B$9,0))</f>
        <v>Tier 1 (Metro)</v>
      </c>
      <c r="V380" s="21" t="str">
        <f t="shared" si="15"/>
        <v>13-24 months</v>
      </c>
      <c r="W380" s="21" t="str">
        <f t="shared" si="16"/>
        <v>Medium Risk</v>
      </c>
      <c r="X380" s="21" t="str">
        <f t="shared" si="17"/>
        <v>Yes</v>
      </c>
    </row>
    <row r="381" spans="1:24" x14ac:dyDescent="0.3">
      <c r="A381" s="21">
        <f>'Raw Data'!A381</f>
        <v>50380</v>
      </c>
      <c r="B381" s="21">
        <f>'Raw Data'!B381</f>
        <v>0</v>
      </c>
      <c r="C381" s="21">
        <f>'Raw Data'!C381</f>
        <v>1</v>
      </c>
      <c r="D381" s="21" t="str">
        <f>'Raw Data'!D381</f>
        <v>Mobile Phone</v>
      </c>
      <c r="E381" s="21">
        <f>'Raw Data'!E381</f>
        <v>1</v>
      </c>
      <c r="F381" s="21">
        <f>IF('Raw Data'!F381="",ROUND(AVERAGE('Raw Data'!$F$2:$F$1501),1),'Raw Data'!F381)</f>
        <v>6</v>
      </c>
      <c r="G381" s="21" t="str">
        <f>'Raw Data'!G381</f>
        <v>E wallet</v>
      </c>
      <c r="H381" s="21" t="str">
        <f>'Raw Data'!H381</f>
        <v>Male</v>
      </c>
      <c r="I381" s="21">
        <f>IF('Raw Data'!I381="",ROUND(AVERAGE('Raw Data'!$I$2:$I$1501),1),'Raw Data'!I381)</f>
        <v>2.2999999999999998</v>
      </c>
      <c r="J381" s="21">
        <f>'Raw Data'!J381</f>
        <v>4</v>
      </c>
      <c r="K381" s="21" t="str">
        <f>'Raw Data'!K381</f>
        <v>Grocery</v>
      </c>
      <c r="L381" s="21">
        <f>'Raw Data'!L381</f>
        <v>5</v>
      </c>
      <c r="M381" s="21" t="str">
        <f>'Raw Data'!M381</f>
        <v>Married</v>
      </c>
      <c r="N381" s="21">
        <f>'Raw Data'!N381</f>
        <v>8</v>
      </c>
      <c r="O381" s="21">
        <f>'Raw Data'!O381</f>
        <v>0</v>
      </c>
      <c r="P381" s="21">
        <f>IF('Raw Data'!P381="",ROUND(AVERAGE('Raw Data'!$P$2:$P$1501),1),'Raw Data'!P381)</f>
        <v>11</v>
      </c>
      <c r="Q381" s="21">
        <f>IF('Raw Data'!Q381="",ROUND(AVERAGE('Raw Data'!$Q$2:$Q$1501),0),'Raw Data'!Q381)</f>
        <v>2</v>
      </c>
      <c r="R381" s="21">
        <f>'Raw Data'!R381</f>
        <v>3</v>
      </c>
      <c r="S381" s="21">
        <f>IF('Raw Data'!S381="",ROUND(AVERAGE('Raw Data'!$S$2:$S$1501),0),'Raw Data'!S381)</f>
        <v>4</v>
      </c>
      <c r="T381" s="21">
        <f>'Raw Data'!T381</f>
        <v>212.51</v>
      </c>
      <c r="U381" s="21" t="str">
        <f>INDEX('Lookup Tables'!$C$7:$C$9,MATCH(E381,'Lookup Tables'!$B$7:$B$9,0))</f>
        <v>Tier 1 (Metro)</v>
      </c>
      <c r="V381" s="21" t="str">
        <f t="shared" si="15"/>
        <v>0-6 months</v>
      </c>
      <c r="W381" s="21" t="str">
        <f t="shared" si="16"/>
        <v>Low Risk</v>
      </c>
      <c r="X381" s="21" t="str">
        <f t="shared" si="17"/>
        <v>No</v>
      </c>
    </row>
    <row r="382" spans="1:24" x14ac:dyDescent="0.3">
      <c r="A382" s="21">
        <f>'Raw Data'!A382</f>
        <v>50381</v>
      </c>
      <c r="B382" s="21">
        <f>'Raw Data'!B382</f>
        <v>1</v>
      </c>
      <c r="C382" s="21">
        <f>'Raw Data'!C382</f>
        <v>14</v>
      </c>
      <c r="D382" s="21" t="str">
        <f>'Raw Data'!D382</f>
        <v>Mobile Phone</v>
      </c>
      <c r="E382" s="21">
        <f>'Raw Data'!E382</f>
        <v>1</v>
      </c>
      <c r="F382" s="21">
        <f>IF('Raw Data'!F382="",ROUND(AVERAGE('Raw Data'!$F$2:$F$1501),1),'Raw Data'!F382)</f>
        <v>12</v>
      </c>
      <c r="G382" s="21" t="str">
        <f>'Raw Data'!G382</f>
        <v>Debit Card</v>
      </c>
      <c r="H382" s="21" t="str">
        <f>'Raw Data'!H382</f>
        <v>Male</v>
      </c>
      <c r="I382" s="21">
        <f>IF('Raw Data'!I382="",ROUND(AVERAGE('Raw Data'!$I$2:$I$1501),1),'Raw Data'!I382)</f>
        <v>3.3</v>
      </c>
      <c r="J382" s="21">
        <f>'Raw Data'!J382</f>
        <v>3</v>
      </c>
      <c r="K382" s="21" t="str">
        <f>'Raw Data'!K382</f>
        <v>Grocery</v>
      </c>
      <c r="L382" s="21">
        <f>'Raw Data'!L382</f>
        <v>2</v>
      </c>
      <c r="M382" s="21" t="str">
        <f>'Raw Data'!M382</f>
        <v>Single</v>
      </c>
      <c r="N382" s="21">
        <f>'Raw Data'!N382</f>
        <v>1</v>
      </c>
      <c r="O382" s="21">
        <f>'Raw Data'!O382</f>
        <v>0</v>
      </c>
      <c r="P382" s="21">
        <f>IF('Raw Data'!P382="",ROUND(AVERAGE('Raw Data'!$P$2:$P$1501),1),'Raw Data'!P382)</f>
        <v>19.899999999999999</v>
      </c>
      <c r="Q382" s="21">
        <f>IF('Raw Data'!Q382="",ROUND(AVERAGE('Raw Data'!$Q$2:$Q$1501),0),'Raw Data'!Q382)</f>
        <v>1</v>
      </c>
      <c r="R382" s="21">
        <f>'Raw Data'!R382</f>
        <v>6</v>
      </c>
      <c r="S382" s="21">
        <f>IF('Raw Data'!S382="",ROUND(AVERAGE('Raw Data'!$S$2:$S$1501),0),'Raw Data'!S382)</f>
        <v>15</v>
      </c>
      <c r="T382" s="21">
        <f>'Raw Data'!T382</f>
        <v>167.37</v>
      </c>
      <c r="U382" s="21" t="str">
        <f>INDEX('Lookup Tables'!$C$7:$C$9,MATCH(E382,'Lookup Tables'!$B$7:$B$9,0))</f>
        <v>Tier 1 (Metro)</v>
      </c>
      <c r="V382" s="21" t="str">
        <f t="shared" si="15"/>
        <v>13-24 months</v>
      </c>
      <c r="W382" s="21" t="str">
        <f t="shared" si="16"/>
        <v>Low Risk</v>
      </c>
      <c r="X382" s="21" t="str">
        <f t="shared" si="17"/>
        <v>Yes</v>
      </c>
    </row>
    <row r="383" spans="1:24" x14ac:dyDescent="0.3">
      <c r="A383" s="21">
        <f>'Raw Data'!A383</f>
        <v>50382</v>
      </c>
      <c r="B383" s="21">
        <f>'Raw Data'!B383</f>
        <v>0</v>
      </c>
      <c r="C383" s="21">
        <f>'Raw Data'!C383</f>
        <v>7</v>
      </c>
      <c r="D383" s="21" t="str">
        <f>'Raw Data'!D383</f>
        <v>Mobile Phone</v>
      </c>
      <c r="E383" s="21">
        <f>'Raw Data'!E383</f>
        <v>2</v>
      </c>
      <c r="F383" s="21">
        <f>IF('Raw Data'!F383="",ROUND(AVERAGE('Raw Data'!$F$2:$F$1501),1),'Raw Data'!F383)</f>
        <v>7</v>
      </c>
      <c r="G383" s="21" t="str">
        <f>'Raw Data'!G383</f>
        <v>Debit Card</v>
      </c>
      <c r="H383" s="21" t="str">
        <f>'Raw Data'!H383</f>
        <v>Female</v>
      </c>
      <c r="I383" s="21">
        <f>IF('Raw Data'!I383="",ROUND(AVERAGE('Raw Data'!$I$2:$I$1501),1),'Raw Data'!I383)</f>
        <v>2.9</v>
      </c>
      <c r="J383" s="21">
        <f>'Raw Data'!J383</f>
        <v>3</v>
      </c>
      <c r="K383" s="21" t="str">
        <f>'Raw Data'!K383</f>
        <v>Fashion</v>
      </c>
      <c r="L383" s="21">
        <f>'Raw Data'!L383</f>
        <v>1</v>
      </c>
      <c r="M383" s="21" t="str">
        <f>'Raw Data'!M383</f>
        <v>Married</v>
      </c>
      <c r="N383" s="21">
        <f>'Raw Data'!N383</f>
        <v>16</v>
      </c>
      <c r="O383" s="21">
        <f>'Raw Data'!O383</f>
        <v>1</v>
      </c>
      <c r="P383" s="21">
        <f>IF('Raw Data'!P383="",ROUND(AVERAGE('Raw Data'!$P$2:$P$1501),1),'Raw Data'!P383)</f>
        <v>19</v>
      </c>
      <c r="Q383" s="21">
        <f>IF('Raw Data'!Q383="",ROUND(AVERAGE('Raw Data'!$Q$2:$Q$1501),0),'Raw Data'!Q383)</f>
        <v>4</v>
      </c>
      <c r="R383" s="21">
        <f>'Raw Data'!R383</f>
        <v>4</v>
      </c>
      <c r="S383" s="21">
        <f>IF('Raw Data'!S383="",ROUND(AVERAGE('Raw Data'!$S$2:$S$1501),0),'Raw Data'!S383)</f>
        <v>11</v>
      </c>
      <c r="T383" s="21">
        <f>'Raw Data'!T383</f>
        <v>264.39</v>
      </c>
      <c r="U383" s="21" t="str">
        <f>INDEX('Lookup Tables'!$C$7:$C$9,MATCH(E383,'Lookup Tables'!$B$7:$B$9,0))</f>
        <v>Tier 2 (Urban)</v>
      </c>
      <c r="V383" s="21" t="str">
        <f t="shared" si="15"/>
        <v>7-12 months</v>
      </c>
      <c r="W383" s="21" t="str">
        <f t="shared" si="16"/>
        <v>High Risk</v>
      </c>
      <c r="X383" s="21" t="str">
        <f t="shared" si="17"/>
        <v>No</v>
      </c>
    </row>
    <row r="384" spans="1:24" x14ac:dyDescent="0.3">
      <c r="A384" s="21">
        <f>'Raw Data'!A384</f>
        <v>50383</v>
      </c>
      <c r="B384" s="21">
        <f>'Raw Data'!B384</f>
        <v>0</v>
      </c>
      <c r="C384" s="21">
        <f>'Raw Data'!C384</f>
        <v>32</v>
      </c>
      <c r="D384" s="21" t="str">
        <f>'Raw Data'!D384</f>
        <v>Mobile Phone</v>
      </c>
      <c r="E384" s="21">
        <f>'Raw Data'!E384</f>
        <v>1</v>
      </c>
      <c r="F384" s="21">
        <f>IF('Raw Data'!F384="",ROUND(AVERAGE('Raw Data'!$F$2:$F$1501),1),'Raw Data'!F384)</f>
        <v>19</v>
      </c>
      <c r="G384" s="21" t="str">
        <f>'Raw Data'!G384</f>
        <v>Credit Card</v>
      </c>
      <c r="H384" s="21" t="str">
        <f>'Raw Data'!H384</f>
        <v>Female</v>
      </c>
      <c r="I384" s="21">
        <f>IF('Raw Data'!I384="",ROUND(AVERAGE('Raw Data'!$I$2:$I$1501),1),'Raw Data'!I384)</f>
        <v>3.5</v>
      </c>
      <c r="J384" s="21">
        <f>'Raw Data'!J384</f>
        <v>2</v>
      </c>
      <c r="K384" s="21" t="str">
        <f>'Raw Data'!K384</f>
        <v>Laptop &amp; Accessory</v>
      </c>
      <c r="L384" s="21">
        <f>'Raw Data'!L384</f>
        <v>1</v>
      </c>
      <c r="M384" s="21" t="str">
        <f>'Raw Data'!M384</f>
        <v>Divorced</v>
      </c>
      <c r="N384" s="21">
        <f>'Raw Data'!N384</f>
        <v>1</v>
      </c>
      <c r="O384" s="21">
        <f>'Raw Data'!O384</f>
        <v>0</v>
      </c>
      <c r="P384" s="21">
        <f>IF('Raw Data'!P384="",ROUND(AVERAGE('Raw Data'!$P$2:$P$1501),1),'Raw Data'!P384)</f>
        <v>14</v>
      </c>
      <c r="Q384" s="21">
        <f>IF('Raw Data'!Q384="",ROUND(AVERAGE('Raw Data'!$Q$2:$Q$1501),0),'Raw Data'!Q384)</f>
        <v>0</v>
      </c>
      <c r="R384" s="21">
        <f>'Raw Data'!R384</f>
        <v>8</v>
      </c>
      <c r="S384" s="21">
        <f>IF('Raw Data'!S384="",ROUND(AVERAGE('Raw Data'!$S$2:$S$1501),0),'Raw Data'!S384)</f>
        <v>0</v>
      </c>
      <c r="T384" s="21">
        <f>'Raw Data'!T384</f>
        <v>140.12</v>
      </c>
      <c r="U384" s="21" t="str">
        <f>INDEX('Lookup Tables'!$C$7:$C$9,MATCH(E384,'Lookup Tables'!$B$7:$B$9,0))</f>
        <v>Tier 1 (Metro)</v>
      </c>
      <c r="V384" s="21" t="str">
        <f t="shared" si="15"/>
        <v>25+ months</v>
      </c>
      <c r="W384" s="21" t="str">
        <f t="shared" si="16"/>
        <v>Low Risk</v>
      </c>
      <c r="X384" s="21" t="str">
        <f t="shared" si="17"/>
        <v>No</v>
      </c>
    </row>
    <row r="385" spans="1:24" x14ac:dyDescent="0.3">
      <c r="A385" s="21">
        <f>'Raw Data'!A385</f>
        <v>50384</v>
      </c>
      <c r="B385" s="21">
        <f>'Raw Data'!B385</f>
        <v>0</v>
      </c>
      <c r="C385" s="21">
        <f>'Raw Data'!C385</f>
        <v>4</v>
      </c>
      <c r="D385" s="21" t="str">
        <f>'Raw Data'!D385</f>
        <v>Mobile Phone</v>
      </c>
      <c r="E385" s="21">
        <f>'Raw Data'!E385</f>
        <v>3</v>
      </c>
      <c r="F385" s="21">
        <f>IF('Raw Data'!F385="",ROUND(AVERAGE('Raw Data'!$F$2:$F$1501),1),'Raw Data'!F385)</f>
        <v>9</v>
      </c>
      <c r="G385" s="21" t="str">
        <f>'Raw Data'!G385</f>
        <v>E wallet</v>
      </c>
      <c r="H385" s="21" t="str">
        <f>'Raw Data'!H385</f>
        <v>Female</v>
      </c>
      <c r="I385" s="21">
        <f>IF('Raw Data'!I385="",ROUND(AVERAGE('Raw Data'!$I$2:$I$1501),1),'Raw Data'!I385)</f>
        <v>2.2999999999999998</v>
      </c>
      <c r="J385" s="21">
        <f>'Raw Data'!J385</f>
        <v>3</v>
      </c>
      <c r="K385" s="21" t="str">
        <f>'Raw Data'!K385</f>
        <v>Laptop &amp; Accessory</v>
      </c>
      <c r="L385" s="21">
        <f>'Raw Data'!L385</f>
        <v>2</v>
      </c>
      <c r="M385" s="21" t="str">
        <f>'Raw Data'!M385</f>
        <v>Single</v>
      </c>
      <c r="N385" s="21">
        <f>'Raw Data'!N385</f>
        <v>1</v>
      </c>
      <c r="O385" s="21">
        <f>'Raw Data'!O385</f>
        <v>1</v>
      </c>
      <c r="P385" s="21">
        <f>IF('Raw Data'!P385="",ROUND(AVERAGE('Raw Data'!$P$2:$P$1501),1),'Raw Data'!P385)</f>
        <v>20.5</v>
      </c>
      <c r="Q385" s="21">
        <f>IF('Raw Data'!Q385="",ROUND(AVERAGE('Raw Data'!$Q$2:$Q$1501),0),'Raw Data'!Q385)</f>
        <v>2</v>
      </c>
      <c r="R385" s="21">
        <f>'Raw Data'!R385</f>
        <v>3</v>
      </c>
      <c r="S385" s="21">
        <f>IF('Raw Data'!S385="",ROUND(AVERAGE('Raw Data'!$S$2:$S$1501),0),'Raw Data'!S385)</f>
        <v>0</v>
      </c>
      <c r="T385" s="21">
        <f>'Raw Data'!T385</f>
        <v>260.93</v>
      </c>
      <c r="U385" s="21" t="str">
        <f>INDEX('Lookup Tables'!$C$7:$C$9,MATCH(E385,'Lookup Tables'!$B$7:$B$9,0))</f>
        <v>Tier 3 (Semi-urban/Rural)</v>
      </c>
      <c r="V385" s="21" t="str">
        <f t="shared" si="15"/>
        <v>0-6 months</v>
      </c>
      <c r="W385" s="21" t="str">
        <f t="shared" si="16"/>
        <v>High Risk</v>
      </c>
      <c r="X385" s="21" t="str">
        <f t="shared" si="17"/>
        <v>No</v>
      </c>
    </row>
    <row r="386" spans="1:24" x14ac:dyDescent="0.3">
      <c r="A386" s="21">
        <f>'Raw Data'!A386</f>
        <v>50385</v>
      </c>
      <c r="B386" s="21">
        <f>'Raw Data'!B386</f>
        <v>0</v>
      </c>
      <c r="C386" s="21">
        <f>'Raw Data'!C386</f>
        <v>10</v>
      </c>
      <c r="D386" s="21" t="str">
        <f>'Raw Data'!D386</f>
        <v>Computer</v>
      </c>
      <c r="E386" s="21">
        <f>'Raw Data'!E386</f>
        <v>1</v>
      </c>
      <c r="F386" s="21">
        <f>IF('Raw Data'!F386="",ROUND(AVERAGE('Raw Data'!$F$2:$F$1501),1),'Raw Data'!F386)</f>
        <v>32</v>
      </c>
      <c r="G386" s="21" t="str">
        <f>'Raw Data'!G386</f>
        <v>Cash on Delivery</v>
      </c>
      <c r="H386" s="21" t="str">
        <f>'Raw Data'!H386</f>
        <v>Female</v>
      </c>
      <c r="I386" s="21">
        <f>IF('Raw Data'!I386="",ROUND(AVERAGE('Raw Data'!$I$2:$I$1501),1),'Raw Data'!I386)</f>
        <v>1.7</v>
      </c>
      <c r="J386" s="21">
        <f>'Raw Data'!J386</f>
        <v>4</v>
      </c>
      <c r="K386" s="21" t="str">
        <f>'Raw Data'!K386</f>
        <v>Others</v>
      </c>
      <c r="L386" s="21">
        <f>'Raw Data'!L386</f>
        <v>1</v>
      </c>
      <c r="M386" s="21" t="str">
        <f>'Raw Data'!M386</f>
        <v>Married</v>
      </c>
      <c r="N386" s="21">
        <f>'Raw Data'!N386</f>
        <v>1</v>
      </c>
      <c r="O386" s="21">
        <f>'Raw Data'!O386</f>
        <v>0</v>
      </c>
      <c r="P386" s="21">
        <f>IF('Raw Data'!P386="",ROUND(AVERAGE('Raw Data'!$P$2:$P$1501),1),'Raw Data'!P386)</f>
        <v>21.1</v>
      </c>
      <c r="Q386" s="21">
        <f>IF('Raw Data'!Q386="",ROUND(AVERAGE('Raw Data'!$Q$2:$Q$1501),0),'Raw Data'!Q386)</f>
        <v>2</v>
      </c>
      <c r="R386" s="21">
        <f>'Raw Data'!R386</f>
        <v>3</v>
      </c>
      <c r="S386" s="21">
        <f>IF('Raw Data'!S386="",ROUND(AVERAGE('Raw Data'!$S$2:$S$1501),0),'Raw Data'!S386)</f>
        <v>2</v>
      </c>
      <c r="T386" s="21">
        <f>'Raw Data'!T386</f>
        <v>167.61</v>
      </c>
      <c r="U386" s="21" t="str">
        <f>INDEX('Lookup Tables'!$C$7:$C$9,MATCH(E386,'Lookup Tables'!$B$7:$B$9,0))</f>
        <v>Tier 1 (Metro)</v>
      </c>
      <c r="V386" s="21" t="str">
        <f t="shared" ref="V386:V449" si="18">IF(C386&lt;=6,"0-6 months",IF(C386&lt;=12,"7-12 months",IF(C386&lt;=24,"13-24 months","25+ months")))</f>
        <v>7-12 months</v>
      </c>
      <c r="W386" s="21" t="str">
        <f t="shared" ref="W386:W449" si="19">IF(AND(O386=1,L386&lt;=2),"High Risk",IF(OR(L386=3,S386&gt;15),"Medium Risk","Low Risk"))</f>
        <v>Low Risk</v>
      </c>
      <c r="X386" s="21" t="str">
        <f t="shared" ref="X386:X449" si="20">IF(B386=1,"Yes","No")</f>
        <v>No</v>
      </c>
    </row>
    <row r="387" spans="1:24" x14ac:dyDescent="0.3">
      <c r="A387" s="21">
        <f>'Raw Data'!A387</f>
        <v>50386</v>
      </c>
      <c r="B387" s="21">
        <f>'Raw Data'!B387</f>
        <v>0</v>
      </c>
      <c r="C387" s="21">
        <f>'Raw Data'!C387</f>
        <v>26</v>
      </c>
      <c r="D387" s="21" t="str">
        <f>'Raw Data'!D387</f>
        <v>Mobile Phone</v>
      </c>
      <c r="E387" s="21">
        <f>'Raw Data'!E387</f>
        <v>1</v>
      </c>
      <c r="F387" s="21">
        <f>IF('Raw Data'!F387="",ROUND(AVERAGE('Raw Data'!$F$2:$F$1501),1),'Raw Data'!F387)</f>
        <v>24</v>
      </c>
      <c r="G387" s="21" t="str">
        <f>'Raw Data'!G387</f>
        <v>E wallet</v>
      </c>
      <c r="H387" s="21" t="str">
        <f>'Raw Data'!H387</f>
        <v>Male</v>
      </c>
      <c r="I387" s="21">
        <f>IF('Raw Data'!I387="",ROUND(AVERAGE('Raw Data'!$I$2:$I$1501),1),'Raw Data'!I387)</f>
        <v>2.5</v>
      </c>
      <c r="J387" s="21">
        <f>'Raw Data'!J387</f>
        <v>4</v>
      </c>
      <c r="K387" s="21" t="str">
        <f>'Raw Data'!K387</f>
        <v>Mobile Phone</v>
      </c>
      <c r="L387" s="21">
        <f>'Raw Data'!L387</f>
        <v>3</v>
      </c>
      <c r="M387" s="21" t="str">
        <f>'Raw Data'!M387</f>
        <v>Married</v>
      </c>
      <c r="N387" s="21">
        <f>'Raw Data'!N387</f>
        <v>1</v>
      </c>
      <c r="O387" s="21">
        <f>'Raw Data'!O387</f>
        <v>0</v>
      </c>
      <c r="P387" s="21">
        <f>IF('Raw Data'!P387="",ROUND(AVERAGE('Raw Data'!$P$2:$P$1501),1),'Raw Data'!P387)</f>
        <v>16.3</v>
      </c>
      <c r="Q387" s="21">
        <f>IF('Raw Data'!Q387="",ROUND(AVERAGE('Raw Data'!$Q$2:$Q$1501),0),'Raw Data'!Q387)</f>
        <v>1</v>
      </c>
      <c r="R387" s="21">
        <f>'Raw Data'!R387</f>
        <v>2</v>
      </c>
      <c r="S387" s="21">
        <f>IF('Raw Data'!S387="",ROUND(AVERAGE('Raw Data'!$S$2:$S$1501),0),'Raw Data'!S387)</f>
        <v>3</v>
      </c>
      <c r="T387" s="21">
        <f>'Raw Data'!T387</f>
        <v>133.62</v>
      </c>
      <c r="U387" s="21" t="str">
        <f>INDEX('Lookup Tables'!$C$7:$C$9,MATCH(E387,'Lookup Tables'!$B$7:$B$9,0))</f>
        <v>Tier 1 (Metro)</v>
      </c>
      <c r="V387" s="21" t="str">
        <f t="shared" si="18"/>
        <v>25+ months</v>
      </c>
      <c r="W387" s="21" t="str">
        <f t="shared" si="19"/>
        <v>Medium Risk</v>
      </c>
      <c r="X387" s="21" t="str">
        <f t="shared" si="20"/>
        <v>No</v>
      </c>
    </row>
    <row r="388" spans="1:24" x14ac:dyDescent="0.3">
      <c r="A388" s="21">
        <f>'Raw Data'!A388</f>
        <v>50387</v>
      </c>
      <c r="B388" s="21">
        <f>'Raw Data'!B388</f>
        <v>0</v>
      </c>
      <c r="C388" s="21">
        <f>'Raw Data'!C388</f>
        <v>1</v>
      </c>
      <c r="D388" s="21" t="str">
        <f>'Raw Data'!D388</f>
        <v>Mobile Phone</v>
      </c>
      <c r="E388" s="21">
        <f>'Raw Data'!E388</f>
        <v>1</v>
      </c>
      <c r="F388" s="21">
        <f>IF('Raw Data'!F388="",ROUND(AVERAGE('Raw Data'!$F$2:$F$1501),1),'Raw Data'!F388)</f>
        <v>16</v>
      </c>
      <c r="G388" s="21" t="str">
        <f>'Raw Data'!G388</f>
        <v>E wallet</v>
      </c>
      <c r="H388" s="21" t="str">
        <f>'Raw Data'!H388</f>
        <v>Male</v>
      </c>
      <c r="I388" s="21">
        <f>IF('Raw Data'!I388="",ROUND(AVERAGE('Raw Data'!$I$2:$I$1501),1),'Raw Data'!I388)</f>
        <v>2.4</v>
      </c>
      <c r="J388" s="21">
        <f>'Raw Data'!J388</f>
        <v>2</v>
      </c>
      <c r="K388" s="21" t="str">
        <f>'Raw Data'!K388</f>
        <v>Laptop &amp; Accessory</v>
      </c>
      <c r="L388" s="21">
        <f>'Raw Data'!L388</f>
        <v>3</v>
      </c>
      <c r="M388" s="21" t="str">
        <f>'Raw Data'!M388</f>
        <v>Single</v>
      </c>
      <c r="N388" s="21">
        <f>'Raw Data'!N388</f>
        <v>3</v>
      </c>
      <c r="O388" s="21">
        <f>'Raw Data'!O388</f>
        <v>0</v>
      </c>
      <c r="P388" s="21">
        <f>IF('Raw Data'!P388="",ROUND(AVERAGE('Raw Data'!$P$2:$P$1501),1),'Raw Data'!P388)</f>
        <v>14.4</v>
      </c>
      <c r="Q388" s="21">
        <f>IF('Raw Data'!Q388="",ROUND(AVERAGE('Raw Data'!$Q$2:$Q$1501),0),'Raw Data'!Q388)</f>
        <v>5</v>
      </c>
      <c r="R388" s="21">
        <f>'Raw Data'!R388</f>
        <v>1</v>
      </c>
      <c r="S388" s="21">
        <f>IF('Raw Data'!S388="",ROUND(AVERAGE('Raw Data'!$S$2:$S$1501),0),'Raw Data'!S388)</f>
        <v>3</v>
      </c>
      <c r="T388" s="21">
        <f>'Raw Data'!T388</f>
        <v>160.66</v>
      </c>
      <c r="U388" s="21" t="str">
        <f>INDEX('Lookup Tables'!$C$7:$C$9,MATCH(E388,'Lookup Tables'!$B$7:$B$9,0))</f>
        <v>Tier 1 (Metro)</v>
      </c>
      <c r="V388" s="21" t="str">
        <f t="shared" si="18"/>
        <v>0-6 months</v>
      </c>
      <c r="W388" s="21" t="str">
        <f t="shared" si="19"/>
        <v>Medium Risk</v>
      </c>
      <c r="X388" s="21" t="str">
        <f t="shared" si="20"/>
        <v>No</v>
      </c>
    </row>
    <row r="389" spans="1:24" x14ac:dyDescent="0.3">
      <c r="A389" s="21">
        <f>'Raw Data'!A389</f>
        <v>50388</v>
      </c>
      <c r="B389" s="21">
        <f>'Raw Data'!B389</f>
        <v>0</v>
      </c>
      <c r="C389" s="21">
        <f>'Raw Data'!C389</f>
        <v>27</v>
      </c>
      <c r="D389" s="21" t="str">
        <f>'Raw Data'!D389</f>
        <v>Phone</v>
      </c>
      <c r="E389" s="21">
        <f>'Raw Data'!E389</f>
        <v>1</v>
      </c>
      <c r="F389" s="21">
        <f>IF('Raw Data'!F389="",ROUND(AVERAGE('Raw Data'!$F$2:$F$1501),1),'Raw Data'!F389)</f>
        <v>23</v>
      </c>
      <c r="G389" s="21" t="str">
        <f>'Raw Data'!G389</f>
        <v>Credit Card</v>
      </c>
      <c r="H389" s="21" t="str">
        <f>'Raw Data'!H389</f>
        <v>Male</v>
      </c>
      <c r="I389" s="21">
        <f>IF('Raw Data'!I389="",ROUND(AVERAGE('Raw Data'!$I$2:$I$1501),1),'Raw Data'!I389)</f>
        <v>2.8</v>
      </c>
      <c r="J389" s="21">
        <f>'Raw Data'!J389</f>
        <v>2</v>
      </c>
      <c r="K389" s="21" t="str">
        <f>'Raw Data'!K389</f>
        <v>Laptop &amp; Accessory</v>
      </c>
      <c r="L389" s="21">
        <f>'Raw Data'!L389</f>
        <v>2</v>
      </c>
      <c r="M389" s="21" t="str">
        <f>'Raw Data'!M389</f>
        <v>Married</v>
      </c>
      <c r="N389" s="21">
        <f>'Raw Data'!N389</f>
        <v>1</v>
      </c>
      <c r="O389" s="21">
        <f>'Raw Data'!O389</f>
        <v>0</v>
      </c>
      <c r="P389" s="21">
        <f>IF('Raw Data'!P389="",ROUND(AVERAGE('Raw Data'!$P$2:$P$1501),1),'Raw Data'!P389)</f>
        <v>23.9</v>
      </c>
      <c r="Q389" s="21">
        <f>IF('Raw Data'!Q389="",ROUND(AVERAGE('Raw Data'!$Q$2:$Q$1501),0),'Raw Data'!Q389)</f>
        <v>4</v>
      </c>
      <c r="R389" s="21">
        <f>'Raw Data'!R389</f>
        <v>3</v>
      </c>
      <c r="S389" s="21">
        <f>IF('Raw Data'!S389="",ROUND(AVERAGE('Raw Data'!$S$2:$S$1501),0),'Raw Data'!S389)</f>
        <v>0</v>
      </c>
      <c r="T389" s="21">
        <f>'Raw Data'!T389</f>
        <v>119.53</v>
      </c>
      <c r="U389" s="21" t="str">
        <f>INDEX('Lookup Tables'!$C$7:$C$9,MATCH(E389,'Lookup Tables'!$B$7:$B$9,0))</f>
        <v>Tier 1 (Metro)</v>
      </c>
      <c r="V389" s="21" t="str">
        <f t="shared" si="18"/>
        <v>25+ months</v>
      </c>
      <c r="W389" s="21" t="str">
        <f t="shared" si="19"/>
        <v>Low Risk</v>
      </c>
      <c r="X389" s="21" t="str">
        <f t="shared" si="20"/>
        <v>No</v>
      </c>
    </row>
    <row r="390" spans="1:24" x14ac:dyDescent="0.3">
      <c r="A390" s="21">
        <f>'Raw Data'!A390</f>
        <v>50389</v>
      </c>
      <c r="B390" s="21">
        <f>'Raw Data'!B390</f>
        <v>0</v>
      </c>
      <c r="C390" s="21">
        <f>'Raw Data'!C390</f>
        <v>11</v>
      </c>
      <c r="D390" s="21" t="str">
        <f>'Raw Data'!D390</f>
        <v>Mobile Phone</v>
      </c>
      <c r="E390" s="21">
        <f>'Raw Data'!E390</f>
        <v>1</v>
      </c>
      <c r="F390" s="21">
        <f>IF('Raw Data'!F390="",ROUND(AVERAGE('Raw Data'!$F$2:$F$1501),1),'Raw Data'!F390)</f>
        <v>23</v>
      </c>
      <c r="G390" s="21" t="str">
        <f>'Raw Data'!G390</f>
        <v>Debit Card</v>
      </c>
      <c r="H390" s="21" t="str">
        <f>'Raw Data'!H390</f>
        <v>Male</v>
      </c>
      <c r="I390" s="21">
        <f>IF('Raw Data'!I390="",ROUND(AVERAGE('Raw Data'!$I$2:$I$1501),1),'Raw Data'!I390)</f>
        <v>2.5</v>
      </c>
      <c r="J390" s="21">
        <f>'Raw Data'!J390</f>
        <v>4</v>
      </c>
      <c r="K390" s="21" t="str">
        <f>'Raw Data'!K390</f>
        <v>Grocery</v>
      </c>
      <c r="L390" s="21">
        <f>'Raw Data'!L390</f>
        <v>4</v>
      </c>
      <c r="M390" s="21" t="str">
        <f>'Raw Data'!M390</f>
        <v>Single</v>
      </c>
      <c r="N390" s="21">
        <f>'Raw Data'!N390</f>
        <v>6</v>
      </c>
      <c r="O390" s="21">
        <f>'Raw Data'!O390</f>
        <v>0</v>
      </c>
      <c r="P390" s="21">
        <f>IF('Raw Data'!P390="",ROUND(AVERAGE('Raw Data'!$P$2:$P$1501),1),'Raw Data'!P390)</f>
        <v>18.5</v>
      </c>
      <c r="Q390" s="21">
        <f>IF('Raw Data'!Q390="",ROUND(AVERAGE('Raw Data'!$Q$2:$Q$1501),0),'Raw Data'!Q390)</f>
        <v>0</v>
      </c>
      <c r="R390" s="21">
        <f>'Raw Data'!R390</f>
        <v>3</v>
      </c>
      <c r="S390" s="21">
        <f>IF('Raw Data'!S390="",ROUND(AVERAGE('Raw Data'!$S$2:$S$1501),0),'Raw Data'!S390)</f>
        <v>0</v>
      </c>
      <c r="T390" s="21">
        <f>'Raw Data'!T390</f>
        <v>223.15</v>
      </c>
      <c r="U390" s="21" t="str">
        <f>INDEX('Lookup Tables'!$C$7:$C$9,MATCH(E390,'Lookup Tables'!$B$7:$B$9,0))</f>
        <v>Tier 1 (Metro)</v>
      </c>
      <c r="V390" s="21" t="str">
        <f t="shared" si="18"/>
        <v>7-12 months</v>
      </c>
      <c r="W390" s="21" t="str">
        <f t="shared" si="19"/>
        <v>Low Risk</v>
      </c>
      <c r="X390" s="21" t="str">
        <f t="shared" si="20"/>
        <v>No</v>
      </c>
    </row>
    <row r="391" spans="1:24" x14ac:dyDescent="0.3">
      <c r="A391" s="21">
        <f>'Raw Data'!A391</f>
        <v>50390</v>
      </c>
      <c r="B391" s="21">
        <f>'Raw Data'!B391</f>
        <v>1</v>
      </c>
      <c r="C391" s="21">
        <f>'Raw Data'!C391</f>
        <v>0</v>
      </c>
      <c r="D391" s="21" t="str">
        <f>'Raw Data'!D391</f>
        <v>Mobile Phone</v>
      </c>
      <c r="E391" s="21">
        <f>'Raw Data'!E391</f>
        <v>1</v>
      </c>
      <c r="F391" s="21">
        <f>IF('Raw Data'!F391="",ROUND(AVERAGE('Raw Data'!$F$2:$F$1501),1),'Raw Data'!F391)</f>
        <v>10</v>
      </c>
      <c r="G391" s="21" t="str">
        <f>'Raw Data'!G391</f>
        <v>Debit Card</v>
      </c>
      <c r="H391" s="21" t="str">
        <f>'Raw Data'!H391</f>
        <v>Female</v>
      </c>
      <c r="I391" s="21">
        <f>IF('Raw Data'!I391="",ROUND(AVERAGE('Raw Data'!$I$2:$I$1501),1),'Raw Data'!I391)</f>
        <v>3.4</v>
      </c>
      <c r="J391" s="21">
        <f>'Raw Data'!J391</f>
        <v>2</v>
      </c>
      <c r="K391" s="21" t="str">
        <f>'Raw Data'!K391</f>
        <v>Grocery</v>
      </c>
      <c r="L391" s="21">
        <f>'Raw Data'!L391</f>
        <v>2</v>
      </c>
      <c r="M391" s="21" t="str">
        <f>'Raw Data'!M391</f>
        <v>Married</v>
      </c>
      <c r="N391" s="21">
        <f>'Raw Data'!N391</f>
        <v>4</v>
      </c>
      <c r="O391" s="21">
        <f>'Raw Data'!O391</f>
        <v>0</v>
      </c>
      <c r="P391" s="21">
        <f>IF('Raw Data'!P391="",ROUND(AVERAGE('Raw Data'!$P$2:$P$1501),1),'Raw Data'!P391)</f>
        <v>16.899999999999999</v>
      </c>
      <c r="Q391" s="21">
        <f>IF('Raw Data'!Q391="",ROUND(AVERAGE('Raw Data'!$Q$2:$Q$1501),0),'Raw Data'!Q391)</f>
        <v>0</v>
      </c>
      <c r="R391" s="21">
        <f>'Raw Data'!R391</f>
        <v>5</v>
      </c>
      <c r="S391" s="21">
        <f>IF('Raw Data'!S391="",ROUND(AVERAGE('Raw Data'!$S$2:$S$1501),0),'Raw Data'!S391)</f>
        <v>0</v>
      </c>
      <c r="T391" s="21">
        <f>'Raw Data'!T391</f>
        <v>91.85</v>
      </c>
      <c r="U391" s="21" t="str">
        <f>INDEX('Lookup Tables'!$C$7:$C$9,MATCH(E391,'Lookup Tables'!$B$7:$B$9,0))</f>
        <v>Tier 1 (Metro)</v>
      </c>
      <c r="V391" s="21" t="str">
        <f t="shared" si="18"/>
        <v>0-6 months</v>
      </c>
      <c r="W391" s="21" t="str">
        <f t="shared" si="19"/>
        <v>Low Risk</v>
      </c>
      <c r="X391" s="21" t="str">
        <f t="shared" si="20"/>
        <v>Yes</v>
      </c>
    </row>
    <row r="392" spans="1:24" x14ac:dyDescent="0.3">
      <c r="A392" s="21">
        <f>'Raw Data'!A392</f>
        <v>50391</v>
      </c>
      <c r="B392" s="21">
        <f>'Raw Data'!B392</f>
        <v>0</v>
      </c>
      <c r="C392" s="21">
        <f>'Raw Data'!C392</f>
        <v>3</v>
      </c>
      <c r="D392" s="21" t="str">
        <f>'Raw Data'!D392</f>
        <v>Mobile Phone</v>
      </c>
      <c r="E392" s="21">
        <f>'Raw Data'!E392</f>
        <v>1</v>
      </c>
      <c r="F392" s="21">
        <f>IF('Raw Data'!F392="",ROUND(AVERAGE('Raw Data'!$F$2:$F$1501),1),'Raw Data'!F392)</f>
        <v>8</v>
      </c>
      <c r="G392" s="21" t="str">
        <f>'Raw Data'!G392</f>
        <v>Credit Card</v>
      </c>
      <c r="H392" s="21" t="str">
        <f>'Raw Data'!H392</f>
        <v>Male</v>
      </c>
      <c r="I392" s="21">
        <f>IF('Raw Data'!I392="",ROUND(AVERAGE('Raw Data'!$I$2:$I$1501),1),'Raw Data'!I392)</f>
        <v>2.7</v>
      </c>
      <c r="J392" s="21">
        <f>'Raw Data'!J392</f>
        <v>3</v>
      </c>
      <c r="K392" s="21" t="str">
        <f>'Raw Data'!K392</f>
        <v>Grocery</v>
      </c>
      <c r="L392" s="21">
        <f>'Raw Data'!L392</f>
        <v>4</v>
      </c>
      <c r="M392" s="21" t="str">
        <f>'Raw Data'!M392</f>
        <v>Married</v>
      </c>
      <c r="N392" s="21">
        <f>'Raw Data'!N392</f>
        <v>1</v>
      </c>
      <c r="O392" s="21">
        <f>'Raw Data'!O392</f>
        <v>1</v>
      </c>
      <c r="P392" s="21">
        <f>IF('Raw Data'!P392="",ROUND(AVERAGE('Raw Data'!$P$2:$P$1501),1),'Raw Data'!P392)</f>
        <v>20.8</v>
      </c>
      <c r="Q392" s="21">
        <f>IF('Raw Data'!Q392="",ROUND(AVERAGE('Raw Data'!$Q$2:$Q$1501),0),'Raw Data'!Q392)</f>
        <v>4</v>
      </c>
      <c r="R392" s="21">
        <f>'Raw Data'!R392</f>
        <v>2</v>
      </c>
      <c r="S392" s="21">
        <f>IF('Raw Data'!S392="",ROUND(AVERAGE('Raw Data'!$S$2:$S$1501),0),'Raw Data'!S392)</f>
        <v>9</v>
      </c>
      <c r="T392" s="21">
        <f>'Raw Data'!T392</f>
        <v>256.43</v>
      </c>
      <c r="U392" s="21" t="str">
        <f>INDEX('Lookup Tables'!$C$7:$C$9,MATCH(E392,'Lookup Tables'!$B$7:$B$9,0))</f>
        <v>Tier 1 (Metro)</v>
      </c>
      <c r="V392" s="21" t="str">
        <f t="shared" si="18"/>
        <v>0-6 months</v>
      </c>
      <c r="W392" s="21" t="str">
        <f t="shared" si="19"/>
        <v>Low Risk</v>
      </c>
      <c r="X392" s="21" t="str">
        <f t="shared" si="20"/>
        <v>No</v>
      </c>
    </row>
    <row r="393" spans="1:24" x14ac:dyDescent="0.3">
      <c r="A393" s="21">
        <f>'Raw Data'!A393</f>
        <v>50392</v>
      </c>
      <c r="B393" s="21">
        <f>'Raw Data'!B393</f>
        <v>0</v>
      </c>
      <c r="C393" s="21">
        <f>'Raw Data'!C393</f>
        <v>12</v>
      </c>
      <c r="D393" s="21" t="str">
        <f>'Raw Data'!D393</f>
        <v>Mobile Phone</v>
      </c>
      <c r="E393" s="21">
        <f>'Raw Data'!E393</f>
        <v>1</v>
      </c>
      <c r="F393" s="21">
        <f>IF('Raw Data'!F393="",ROUND(AVERAGE('Raw Data'!$F$2:$F$1501),1),'Raw Data'!F393)</f>
        <v>15</v>
      </c>
      <c r="G393" s="21" t="str">
        <f>'Raw Data'!G393</f>
        <v>E wallet</v>
      </c>
      <c r="H393" s="21" t="str">
        <f>'Raw Data'!H393</f>
        <v>Male</v>
      </c>
      <c r="I393" s="21">
        <f>IF('Raw Data'!I393="",ROUND(AVERAGE('Raw Data'!$I$2:$I$1501),1),'Raw Data'!I393)</f>
        <v>3</v>
      </c>
      <c r="J393" s="21">
        <f>'Raw Data'!J393</f>
        <v>3</v>
      </c>
      <c r="K393" s="21" t="str">
        <f>'Raw Data'!K393</f>
        <v>Fashion</v>
      </c>
      <c r="L393" s="21">
        <f>'Raw Data'!L393</f>
        <v>3</v>
      </c>
      <c r="M393" s="21" t="str">
        <f>'Raw Data'!M393</f>
        <v>Married</v>
      </c>
      <c r="N393" s="21">
        <f>'Raw Data'!N393</f>
        <v>4</v>
      </c>
      <c r="O393" s="21">
        <f>'Raw Data'!O393</f>
        <v>0</v>
      </c>
      <c r="P393" s="21">
        <f>IF('Raw Data'!P393="",ROUND(AVERAGE('Raw Data'!$P$2:$P$1501),1),'Raw Data'!P393)</f>
        <v>17.100000000000001</v>
      </c>
      <c r="Q393" s="21">
        <f>IF('Raw Data'!Q393="",ROUND(AVERAGE('Raw Data'!$Q$2:$Q$1501),0),'Raw Data'!Q393)</f>
        <v>0</v>
      </c>
      <c r="R393" s="21">
        <f>'Raw Data'!R393</f>
        <v>7</v>
      </c>
      <c r="S393" s="21">
        <f>IF('Raw Data'!S393="",ROUND(AVERAGE('Raw Data'!$S$2:$S$1501),0),'Raw Data'!S393)</f>
        <v>14</v>
      </c>
      <c r="T393" s="21">
        <f>'Raw Data'!T393</f>
        <v>128.53</v>
      </c>
      <c r="U393" s="21" t="str">
        <f>INDEX('Lookup Tables'!$C$7:$C$9,MATCH(E393,'Lookup Tables'!$B$7:$B$9,0))</f>
        <v>Tier 1 (Metro)</v>
      </c>
      <c r="V393" s="21" t="str">
        <f t="shared" si="18"/>
        <v>7-12 months</v>
      </c>
      <c r="W393" s="21" t="str">
        <f t="shared" si="19"/>
        <v>Medium Risk</v>
      </c>
      <c r="X393" s="21" t="str">
        <f t="shared" si="20"/>
        <v>No</v>
      </c>
    </row>
    <row r="394" spans="1:24" x14ac:dyDescent="0.3">
      <c r="A394" s="21">
        <f>'Raw Data'!A394</f>
        <v>50393</v>
      </c>
      <c r="B394" s="21">
        <f>'Raw Data'!B394</f>
        <v>0</v>
      </c>
      <c r="C394" s="21">
        <f>'Raw Data'!C394</f>
        <v>0</v>
      </c>
      <c r="D394" s="21" t="str">
        <f>'Raw Data'!D394</f>
        <v>Computer</v>
      </c>
      <c r="E394" s="21">
        <f>'Raw Data'!E394</f>
        <v>2</v>
      </c>
      <c r="F394" s="21">
        <f>IF('Raw Data'!F394="",ROUND(AVERAGE('Raw Data'!$F$2:$F$1501),1),'Raw Data'!F394)</f>
        <v>21</v>
      </c>
      <c r="G394" s="21" t="str">
        <f>'Raw Data'!G394</f>
        <v>Credit Card</v>
      </c>
      <c r="H394" s="21" t="str">
        <f>'Raw Data'!H394</f>
        <v>Male</v>
      </c>
      <c r="I394" s="21">
        <f>IF('Raw Data'!I394="",ROUND(AVERAGE('Raw Data'!$I$2:$I$1501),1),'Raw Data'!I394)</f>
        <v>3</v>
      </c>
      <c r="J394" s="21">
        <f>'Raw Data'!J394</f>
        <v>4</v>
      </c>
      <c r="K394" s="21" t="str">
        <f>'Raw Data'!K394</f>
        <v>Mobile Phone</v>
      </c>
      <c r="L394" s="21">
        <f>'Raw Data'!L394</f>
        <v>3</v>
      </c>
      <c r="M394" s="21" t="str">
        <f>'Raw Data'!M394</f>
        <v>Married</v>
      </c>
      <c r="N394" s="21">
        <f>'Raw Data'!N394</f>
        <v>9</v>
      </c>
      <c r="O394" s="21">
        <f>'Raw Data'!O394</f>
        <v>1</v>
      </c>
      <c r="P394" s="21">
        <f>IF('Raw Data'!P394="",ROUND(AVERAGE('Raw Data'!$P$2:$P$1501),1),'Raw Data'!P394)</f>
        <v>14.2</v>
      </c>
      <c r="Q394" s="21">
        <f>IF('Raw Data'!Q394="",ROUND(AVERAGE('Raw Data'!$Q$2:$Q$1501),0),'Raw Data'!Q394)</f>
        <v>1</v>
      </c>
      <c r="R394" s="21">
        <f>'Raw Data'!R394</f>
        <v>4</v>
      </c>
      <c r="S394" s="21">
        <f>IF('Raw Data'!S394="",ROUND(AVERAGE('Raw Data'!$S$2:$S$1501),0),'Raw Data'!S394)</f>
        <v>0</v>
      </c>
      <c r="T394" s="21">
        <f>'Raw Data'!T394</f>
        <v>226.02</v>
      </c>
      <c r="U394" s="21" t="str">
        <f>INDEX('Lookup Tables'!$C$7:$C$9,MATCH(E394,'Lookup Tables'!$B$7:$B$9,0))</f>
        <v>Tier 2 (Urban)</v>
      </c>
      <c r="V394" s="21" t="str">
        <f t="shared" si="18"/>
        <v>0-6 months</v>
      </c>
      <c r="W394" s="21" t="str">
        <f t="shared" si="19"/>
        <v>Medium Risk</v>
      </c>
      <c r="X394" s="21" t="str">
        <f t="shared" si="20"/>
        <v>No</v>
      </c>
    </row>
    <row r="395" spans="1:24" x14ac:dyDescent="0.3">
      <c r="A395" s="21">
        <f>'Raw Data'!A395</f>
        <v>50394</v>
      </c>
      <c r="B395" s="21">
        <f>'Raw Data'!B395</f>
        <v>0</v>
      </c>
      <c r="C395" s="21">
        <f>'Raw Data'!C395</f>
        <v>8</v>
      </c>
      <c r="D395" s="21" t="str">
        <f>'Raw Data'!D395</f>
        <v>Mobile Phone</v>
      </c>
      <c r="E395" s="21">
        <f>'Raw Data'!E395</f>
        <v>2</v>
      </c>
      <c r="F395" s="21">
        <f>IF('Raw Data'!F395="",ROUND(AVERAGE('Raw Data'!$F$2:$F$1501),1),'Raw Data'!F395)</f>
        <v>16</v>
      </c>
      <c r="G395" s="21" t="str">
        <f>'Raw Data'!G395</f>
        <v>E wallet</v>
      </c>
      <c r="H395" s="21" t="str">
        <f>'Raw Data'!H395</f>
        <v>Female</v>
      </c>
      <c r="I395" s="21">
        <f>IF('Raw Data'!I395="",ROUND(AVERAGE('Raw Data'!$I$2:$I$1501),1),'Raw Data'!I395)</f>
        <v>3</v>
      </c>
      <c r="J395" s="21">
        <f>'Raw Data'!J395</f>
        <v>4</v>
      </c>
      <c r="K395" s="21" t="str">
        <f>'Raw Data'!K395</f>
        <v>Laptop &amp; Accessory</v>
      </c>
      <c r="L395" s="21">
        <f>'Raw Data'!L395</f>
        <v>5</v>
      </c>
      <c r="M395" s="21" t="str">
        <f>'Raw Data'!M395</f>
        <v>Single</v>
      </c>
      <c r="N395" s="21">
        <f>'Raw Data'!N395</f>
        <v>1</v>
      </c>
      <c r="O395" s="21">
        <f>'Raw Data'!O395</f>
        <v>0</v>
      </c>
      <c r="P395" s="21">
        <f>IF('Raw Data'!P395="",ROUND(AVERAGE('Raw Data'!$P$2:$P$1501),1),'Raw Data'!P395)</f>
        <v>16.3</v>
      </c>
      <c r="Q395" s="21">
        <f>IF('Raw Data'!Q395="",ROUND(AVERAGE('Raw Data'!$Q$2:$Q$1501),0),'Raw Data'!Q395)</f>
        <v>1</v>
      </c>
      <c r="R395" s="21">
        <f>'Raw Data'!R395</f>
        <v>7</v>
      </c>
      <c r="S395" s="21">
        <f>IF('Raw Data'!S395="",ROUND(AVERAGE('Raw Data'!$S$2:$S$1501),0),'Raw Data'!S395)</f>
        <v>1</v>
      </c>
      <c r="T395" s="21">
        <f>'Raw Data'!T395</f>
        <v>181.33</v>
      </c>
      <c r="U395" s="21" t="str">
        <f>INDEX('Lookup Tables'!$C$7:$C$9,MATCH(E395,'Lookup Tables'!$B$7:$B$9,0))</f>
        <v>Tier 2 (Urban)</v>
      </c>
      <c r="V395" s="21" t="str">
        <f t="shared" si="18"/>
        <v>7-12 months</v>
      </c>
      <c r="W395" s="21" t="str">
        <f t="shared" si="19"/>
        <v>Low Risk</v>
      </c>
      <c r="X395" s="21" t="str">
        <f t="shared" si="20"/>
        <v>No</v>
      </c>
    </row>
    <row r="396" spans="1:24" x14ac:dyDescent="0.3">
      <c r="A396" s="21">
        <f>'Raw Data'!A396</f>
        <v>50395</v>
      </c>
      <c r="B396" s="21">
        <f>'Raw Data'!B396</f>
        <v>0</v>
      </c>
      <c r="C396" s="21">
        <f>'Raw Data'!C396</f>
        <v>4</v>
      </c>
      <c r="D396" s="21" t="str">
        <f>'Raw Data'!D396</f>
        <v>Computer</v>
      </c>
      <c r="E396" s="21">
        <f>'Raw Data'!E396</f>
        <v>1</v>
      </c>
      <c r="F396" s="21">
        <f>IF('Raw Data'!F396="",ROUND(AVERAGE('Raw Data'!$F$2:$F$1501),1),'Raw Data'!F396)</f>
        <v>5</v>
      </c>
      <c r="G396" s="21" t="str">
        <f>'Raw Data'!G396</f>
        <v>Credit Card</v>
      </c>
      <c r="H396" s="21" t="str">
        <f>'Raw Data'!H396</f>
        <v>Male</v>
      </c>
      <c r="I396" s="21">
        <f>IF('Raw Data'!I396="",ROUND(AVERAGE('Raw Data'!$I$2:$I$1501),1),'Raw Data'!I396)</f>
        <v>2.9</v>
      </c>
      <c r="J396" s="21">
        <f>'Raw Data'!J396</f>
        <v>2</v>
      </c>
      <c r="K396" s="21" t="str">
        <f>'Raw Data'!K396</f>
        <v>Laptop &amp; Accessory</v>
      </c>
      <c r="L396" s="21">
        <f>'Raw Data'!L396</f>
        <v>1</v>
      </c>
      <c r="M396" s="21" t="str">
        <f>'Raw Data'!M396</f>
        <v>Married</v>
      </c>
      <c r="N396" s="21">
        <f>'Raw Data'!N396</f>
        <v>1</v>
      </c>
      <c r="O396" s="21">
        <f>'Raw Data'!O396</f>
        <v>0</v>
      </c>
      <c r="P396" s="21">
        <f>IF('Raw Data'!P396="",ROUND(AVERAGE('Raw Data'!$P$2:$P$1501),1),'Raw Data'!P396)</f>
        <v>19.600000000000001</v>
      </c>
      <c r="Q396" s="21">
        <f>IF('Raw Data'!Q396="",ROUND(AVERAGE('Raw Data'!$Q$2:$Q$1501),0),'Raw Data'!Q396)</f>
        <v>3</v>
      </c>
      <c r="R396" s="21">
        <f>'Raw Data'!R396</f>
        <v>6</v>
      </c>
      <c r="S396" s="21">
        <f>IF('Raw Data'!S396="",ROUND(AVERAGE('Raw Data'!$S$2:$S$1501),0),'Raw Data'!S396)</f>
        <v>0</v>
      </c>
      <c r="T396" s="21">
        <f>'Raw Data'!T396</f>
        <v>194.89</v>
      </c>
      <c r="U396" s="21" t="str">
        <f>INDEX('Lookup Tables'!$C$7:$C$9,MATCH(E396,'Lookup Tables'!$B$7:$B$9,0))</f>
        <v>Tier 1 (Metro)</v>
      </c>
      <c r="V396" s="21" t="str">
        <f t="shared" si="18"/>
        <v>0-6 months</v>
      </c>
      <c r="W396" s="21" t="str">
        <f t="shared" si="19"/>
        <v>Low Risk</v>
      </c>
      <c r="X396" s="21" t="str">
        <f t="shared" si="20"/>
        <v>No</v>
      </c>
    </row>
    <row r="397" spans="1:24" x14ac:dyDescent="0.3">
      <c r="A397" s="21">
        <f>'Raw Data'!A397</f>
        <v>50396</v>
      </c>
      <c r="B397" s="21">
        <f>'Raw Data'!B397</f>
        <v>0</v>
      </c>
      <c r="C397" s="21">
        <f>'Raw Data'!C397</f>
        <v>9</v>
      </c>
      <c r="D397" s="21" t="str">
        <f>'Raw Data'!D397</f>
        <v>Mobile Phone</v>
      </c>
      <c r="E397" s="21">
        <f>'Raw Data'!E397</f>
        <v>1</v>
      </c>
      <c r="F397" s="21">
        <f>IF('Raw Data'!F397="",ROUND(AVERAGE('Raw Data'!$F$2:$F$1501),1),'Raw Data'!F397)</f>
        <v>8</v>
      </c>
      <c r="G397" s="21" t="str">
        <f>'Raw Data'!G397</f>
        <v>Debit Card</v>
      </c>
      <c r="H397" s="21" t="str">
        <f>'Raw Data'!H397</f>
        <v>Female</v>
      </c>
      <c r="I397" s="21">
        <f>IF('Raw Data'!I397="",ROUND(AVERAGE('Raw Data'!$I$2:$I$1501),1),'Raw Data'!I397)</f>
        <v>3.3</v>
      </c>
      <c r="J397" s="21">
        <f>'Raw Data'!J397</f>
        <v>1</v>
      </c>
      <c r="K397" s="21" t="str">
        <f>'Raw Data'!K397</f>
        <v>Grocery</v>
      </c>
      <c r="L397" s="21">
        <f>'Raw Data'!L397</f>
        <v>3</v>
      </c>
      <c r="M397" s="21" t="str">
        <f>'Raw Data'!M397</f>
        <v>Married</v>
      </c>
      <c r="N397" s="21">
        <f>'Raw Data'!N397</f>
        <v>2</v>
      </c>
      <c r="O397" s="21">
        <f>'Raw Data'!O397</f>
        <v>0</v>
      </c>
      <c r="P397" s="21">
        <f>IF('Raw Data'!P397="",ROUND(AVERAGE('Raw Data'!$P$2:$P$1501),1),'Raw Data'!P397)</f>
        <v>11</v>
      </c>
      <c r="Q397" s="21">
        <f>IF('Raw Data'!Q397="",ROUND(AVERAGE('Raw Data'!$Q$2:$Q$1501),0),'Raw Data'!Q397)</f>
        <v>2</v>
      </c>
      <c r="R397" s="21">
        <f>'Raw Data'!R397</f>
        <v>2</v>
      </c>
      <c r="S397" s="21">
        <f>IF('Raw Data'!S397="",ROUND(AVERAGE('Raw Data'!$S$2:$S$1501),0),'Raw Data'!S397)</f>
        <v>10</v>
      </c>
      <c r="T397" s="21">
        <f>'Raw Data'!T397</f>
        <v>147.55000000000001</v>
      </c>
      <c r="U397" s="21" t="str">
        <f>INDEX('Lookup Tables'!$C$7:$C$9,MATCH(E397,'Lookup Tables'!$B$7:$B$9,0))</f>
        <v>Tier 1 (Metro)</v>
      </c>
      <c r="V397" s="21" t="str">
        <f t="shared" si="18"/>
        <v>7-12 months</v>
      </c>
      <c r="W397" s="21" t="str">
        <f t="shared" si="19"/>
        <v>Medium Risk</v>
      </c>
      <c r="X397" s="21" t="str">
        <f t="shared" si="20"/>
        <v>No</v>
      </c>
    </row>
    <row r="398" spans="1:24" x14ac:dyDescent="0.3">
      <c r="A398" s="21">
        <f>'Raw Data'!A398</f>
        <v>50397</v>
      </c>
      <c r="B398" s="21">
        <f>'Raw Data'!B398</f>
        <v>0</v>
      </c>
      <c r="C398" s="21">
        <f>'Raw Data'!C398</f>
        <v>0</v>
      </c>
      <c r="D398" s="21" t="str">
        <f>'Raw Data'!D398</f>
        <v>Mobile Phone</v>
      </c>
      <c r="E398" s="21">
        <f>'Raw Data'!E398</f>
        <v>3</v>
      </c>
      <c r="F398" s="21">
        <f>IF('Raw Data'!F398="",ROUND(AVERAGE('Raw Data'!$F$2:$F$1501),1),'Raw Data'!F398)</f>
        <v>14</v>
      </c>
      <c r="G398" s="21" t="str">
        <f>'Raw Data'!G398</f>
        <v>Debit Card</v>
      </c>
      <c r="H398" s="21" t="str">
        <f>'Raw Data'!H398</f>
        <v>Male</v>
      </c>
      <c r="I398" s="21">
        <f>IF('Raw Data'!I398="",ROUND(AVERAGE('Raw Data'!$I$2:$I$1501),1),'Raw Data'!I398)</f>
        <v>2.2999999999999998</v>
      </c>
      <c r="J398" s="21">
        <f>'Raw Data'!J398</f>
        <v>3</v>
      </c>
      <c r="K398" s="21" t="str">
        <f>'Raw Data'!K398</f>
        <v>Laptop &amp; Accessory</v>
      </c>
      <c r="L398" s="21">
        <f>'Raw Data'!L398</f>
        <v>5</v>
      </c>
      <c r="M398" s="21" t="str">
        <f>'Raw Data'!M398</f>
        <v>Married</v>
      </c>
      <c r="N398" s="21">
        <f>'Raw Data'!N398</f>
        <v>2</v>
      </c>
      <c r="O398" s="21">
        <f>'Raw Data'!O398</f>
        <v>0</v>
      </c>
      <c r="P398" s="21">
        <f>IF('Raw Data'!P398="",ROUND(AVERAGE('Raw Data'!$P$2:$P$1501),1),'Raw Data'!P398)</f>
        <v>15</v>
      </c>
      <c r="Q398" s="21">
        <f>IF('Raw Data'!Q398="",ROUND(AVERAGE('Raw Data'!$Q$2:$Q$1501),0),'Raw Data'!Q398)</f>
        <v>3</v>
      </c>
      <c r="R398" s="21">
        <f>'Raw Data'!R398</f>
        <v>4</v>
      </c>
      <c r="S398" s="21">
        <f>IF('Raw Data'!S398="",ROUND(AVERAGE('Raw Data'!$S$2:$S$1501),0),'Raw Data'!S398)</f>
        <v>15</v>
      </c>
      <c r="T398" s="21">
        <f>'Raw Data'!T398</f>
        <v>199.4</v>
      </c>
      <c r="U398" s="21" t="str">
        <f>INDEX('Lookup Tables'!$C$7:$C$9,MATCH(E398,'Lookup Tables'!$B$7:$B$9,0))</f>
        <v>Tier 3 (Semi-urban/Rural)</v>
      </c>
      <c r="V398" s="21" t="str">
        <f t="shared" si="18"/>
        <v>0-6 months</v>
      </c>
      <c r="W398" s="21" t="str">
        <f t="shared" si="19"/>
        <v>Low Risk</v>
      </c>
      <c r="X398" s="21" t="str">
        <f t="shared" si="20"/>
        <v>No</v>
      </c>
    </row>
    <row r="399" spans="1:24" x14ac:dyDescent="0.3">
      <c r="A399" s="21">
        <f>'Raw Data'!A399</f>
        <v>50398</v>
      </c>
      <c r="B399" s="21">
        <f>'Raw Data'!B399</f>
        <v>0</v>
      </c>
      <c r="C399" s="21">
        <f>'Raw Data'!C399</f>
        <v>20</v>
      </c>
      <c r="D399" s="21" t="str">
        <f>'Raw Data'!D399</f>
        <v>Computer</v>
      </c>
      <c r="E399" s="21">
        <f>'Raw Data'!E399</f>
        <v>2</v>
      </c>
      <c r="F399" s="21">
        <f>IF('Raw Data'!F399="",ROUND(AVERAGE('Raw Data'!$F$2:$F$1501),1),'Raw Data'!F399)</f>
        <v>14</v>
      </c>
      <c r="G399" s="21" t="str">
        <f>'Raw Data'!G399</f>
        <v>UPI</v>
      </c>
      <c r="H399" s="21" t="str">
        <f>'Raw Data'!H399</f>
        <v>Male</v>
      </c>
      <c r="I399" s="21">
        <f>IF('Raw Data'!I399="",ROUND(AVERAGE('Raw Data'!$I$2:$I$1501),1),'Raw Data'!I399)</f>
        <v>3.9</v>
      </c>
      <c r="J399" s="21">
        <f>'Raw Data'!J399</f>
        <v>5</v>
      </c>
      <c r="K399" s="21" t="str">
        <f>'Raw Data'!K399</f>
        <v>Fashion</v>
      </c>
      <c r="L399" s="21">
        <f>'Raw Data'!L399</f>
        <v>4</v>
      </c>
      <c r="M399" s="21" t="str">
        <f>'Raw Data'!M399</f>
        <v>Married</v>
      </c>
      <c r="N399" s="21">
        <f>'Raw Data'!N399</f>
        <v>2</v>
      </c>
      <c r="O399" s="21">
        <f>'Raw Data'!O399</f>
        <v>1</v>
      </c>
      <c r="P399" s="21">
        <f>IF('Raw Data'!P399="",ROUND(AVERAGE('Raw Data'!$P$2:$P$1501),1),'Raw Data'!P399)</f>
        <v>20.8</v>
      </c>
      <c r="Q399" s="21">
        <f>IF('Raw Data'!Q399="",ROUND(AVERAGE('Raw Data'!$Q$2:$Q$1501),0),'Raw Data'!Q399)</f>
        <v>0</v>
      </c>
      <c r="R399" s="21">
        <f>'Raw Data'!R399</f>
        <v>6</v>
      </c>
      <c r="S399" s="21">
        <f>IF('Raw Data'!S399="",ROUND(AVERAGE('Raw Data'!$S$2:$S$1501),0),'Raw Data'!S399)</f>
        <v>1</v>
      </c>
      <c r="T399" s="21">
        <f>'Raw Data'!T399</f>
        <v>187.42</v>
      </c>
      <c r="U399" s="21" t="str">
        <f>INDEX('Lookup Tables'!$C$7:$C$9,MATCH(E399,'Lookup Tables'!$B$7:$B$9,0))</f>
        <v>Tier 2 (Urban)</v>
      </c>
      <c r="V399" s="21" t="str">
        <f t="shared" si="18"/>
        <v>13-24 months</v>
      </c>
      <c r="W399" s="21" t="str">
        <f t="shared" si="19"/>
        <v>Low Risk</v>
      </c>
      <c r="X399" s="21" t="str">
        <f t="shared" si="20"/>
        <v>No</v>
      </c>
    </row>
    <row r="400" spans="1:24" x14ac:dyDescent="0.3">
      <c r="A400" s="21">
        <f>'Raw Data'!A400</f>
        <v>50399</v>
      </c>
      <c r="B400" s="21">
        <f>'Raw Data'!B400</f>
        <v>0</v>
      </c>
      <c r="C400" s="21">
        <f>'Raw Data'!C400</f>
        <v>36</v>
      </c>
      <c r="D400" s="21" t="str">
        <f>'Raw Data'!D400</f>
        <v>Mobile Phone</v>
      </c>
      <c r="E400" s="21">
        <f>'Raw Data'!E400</f>
        <v>2</v>
      </c>
      <c r="F400" s="21">
        <f>IF('Raw Data'!F400="",ROUND(AVERAGE('Raw Data'!$F$2:$F$1501),1),'Raw Data'!F400)</f>
        <v>30</v>
      </c>
      <c r="G400" s="21" t="str">
        <f>'Raw Data'!G400</f>
        <v>E wallet</v>
      </c>
      <c r="H400" s="21" t="str">
        <f>'Raw Data'!H400</f>
        <v>Male</v>
      </c>
      <c r="I400" s="21">
        <f>IF('Raw Data'!I400="",ROUND(AVERAGE('Raw Data'!$I$2:$I$1501),1),'Raw Data'!I400)</f>
        <v>2.7</v>
      </c>
      <c r="J400" s="21">
        <f>'Raw Data'!J400</f>
        <v>5</v>
      </c>
      <c r="K400" s="21" t="str">
        <f>'Raw Data'!K400</f>
        <v>Mobile Phone</v>
      </c>
      <c r="L400" s="21">
        <f>'Raw Data'!L400</f>
        <v>3</v>
      </c>
      <c r="M400" s="21" t="str">
        <f>'Raw Data'!M400</f>
        <v>Married</v>
      </c>
      <c r="N400" s="21">
        <f>'Raw Data'!N400</f>
        <v>1</v>
      </c>
      <c r="O400" s="21">
        <f>'Raw Data'!O400</f>
        <v>0</v>
      </c>
      <c r="P400" s="21">
        <f>IF('Raw Data'!P400="",ROUND(AVERAGE('Raw Data'!$P$2:$P$1501),1),'Raw Data'!P400)</f>
        <v>14.2</v>
      </c>
      <c r="Q400" s="21">
        <f>IF('Raw Data'!Q400="",ROUND(AVERAGE('Raw Data'!$Q$2:$Q$1501),0),'Raw Data'!Q400)</f>
        <v>2</v>
      </c>
      <c r="R400" s="21">
        <f>'Raw Data'!R400</f>
        <v>2</v>
      </c>
      <c r="S400" s="21">
        <f>IF('Raw Data'!S400="",ROUND(AVERAGE('Raw Data'!$S$2:$S$1501),0),'Raw Data'!S400)</f>
        <v>1</v>
      </c>
      <c r="T400" s="21">
        <f>'Raw Data'!T400</f>
        <v>99.81</v>
      </c>
      <c r="U400" s="21" t="str">
        <f>INDEX('Lookup Tables'!$C$7:$C$9,MATCH(E400,'Lookup Tables'!$B$7:$B$9,0))</f>
        <v>Tier 2 (Urban)</v>
      </c>
      <c r="V400" s="21" t="str">
        <f t="shared" si="18"/>
        <v>25+ months</v>
      </c>
      <c r="W400" s="21" t="str">
        <f t="shared" si="19"/>
        <v>Medium Risk</v>
      </c>
      <c r="X400" s="21" t="str">
        <f t="shared" si="20"/>
        <v>No</v>
      </c>
    </row>
    <row r="401" spans="1:24" x14ac:dyDescent="0.3">
      <c r="A401" s="21">
        <f>'Raw Data'!A401</f>
        <v>50400</v>
      </c>
      <c r="B401" s="21">
        <f>'Raw Data'!B401</f>
        <v>0</v>
      </c>
      <c r="C401" s="21">
        <f>'Raw Data'!C401</f>
        <v>34</v>
      </c>
      <c r="D401" s="21" t="str">
        <f>'Raw Data'!D401</f>
        <v>Computer</v>
      </c>
      <c r="E401" s="21">
        <f>'Raw Data'!E401</f>
        <v>1</v>
      </c>
      <c r="F401" s="21">
        <f>IF('Raw Data'!F401="",ROUND(AVERAGE('Raw Data'!$F$2:$F$1501),1),'Raw Data'!F401)</f>
        <v>5</v>
      </c>
      <c r="G401" s="21" t="str">
        <f>'Raw Data'!G401</f>
        <v>UPI</v>
      </c>
      <c r="H401" s="21" t="str">
        <f>'Raw Data'!H401</f>
        <v>Female</v>
      </c>
      <c r="I401" s="21">
        <f>IF('Raw Data'!I401="",ROUND(AVERAGE('Raw Data'!$I$2:$I$1501),1),'Raw Data'!I401)</f>
        <v>2</v>
      </c>
      <c r="J401" s="21">
        <f>'Raw Data'!J401</f>
        <v>5</v>
      </c>
      <c r="K401" s="21" t="str">
        <f>'Raw Data'!K401</f>
        <v>Mobile Phone</v>
      </c>
      <c r="L401" s="21">
        <f>'Raw Data'!L401</f>
        <v>3</v>
      </c>
      <c r="M401" s="21" t="str">
        <f>'Raw Data'!M401</f>
        <v>Divorced</v>
      </c>
      <c r="N401" s="21">
        <f>'Raw Data'!N401</f>
        <v>3</v>
      </c>
      <c r="O401" s="21">
        <f>'Raw Data'!O401</f>
        <v>0</v>
      </c>
      <c r="P401" s="21">
        <f>IF('Raw Data'!P401="",ROUND(AVERAGE('Raw Data'!$P$2:$P$1501),1),'Raw Data'!P401)</f>
        <v>21.4</v>
      </c>
      <c r="Q401" s="21">
        <f>IF('Raw Data'!Q401="",ROUND(AVERAGE('Raw Data'!$Q$2:$Q$1501),0),'Raw Data'!Q401)</f>
        <v>1</v>
      </c>
      <c r="R401" s="21">
        <f>'Raw Data'!R401</f>
        <v>5</v>
      </c>
      <c r="S401" s="21">
        <f>IF('Raw Data'!S401="",ROUND(AVERAGE('Raw Data'!$S$2:$S$1501),0),'Raw Data'!S401)</f>
        <v>2</v>
      </c>
      <c r="T401" s="21">
        <f>'Raw Data'!T401</f>
        <v>127.06</v>
      </c>
      <c r="U401" s="21" t="str">
        <f>INDEX('Lookup Tables'!$C$7:$C$9,MATCH(E401,'Lookup Tables'!$B$7:$B$9,0))</f>
        <v>Tier 1 (Metro)</v>
      </c>
      <c r="V401" s="21" t="str">
        <f t="shared" si="18"/>
        <v>25+ months</v>
      </c>
      <c r="W401" s="21" t="str">
        <f t="shared" si="19"/>
        <v>Medium Risk</v>
      </c>
      <c r="X401" s="21" t="str">
        <f t="shared" si="20"/>
        <v>No</v>
      </c>
    </row>
    <row r="402" spans="1:24" x14ac:dyDescent="0.3">
      <c r="A402" s="21">
        <f>'Raw Data'!A402</f>
        <v>50401</v>
      </c>
      <c r="B402" s="21">
        <f>'Raw Data'!B402</f>
        <v>0</v>
      </c>
      <c r="C402" s="21">
        <f>'Raw Data'!C402</f>
        <v>13</v>
      </c>
      <c r="D402" s="21" t="str">
        <f>'Raw Data'!D402</f>
        <v>Mobile Phone</v>
      </c>
      <c r="E402" s="21">
        <f>'Raw Data'!E402</f>
        <v>3</v>
      </c>
      <c r="F402" s="21">
        <f>IF('Raw Data'!F402="",ROUND(AVERAGE('Raw Data'!$F$2:$F$1501),1),'Raw Data'!F402)</f>
        <v>19</v>
      </c>
      <c r="G402" s="21" t="str">
        <f>'Raw Data'!G402</f>
        <v>Debit Card</v>
      </c>
      <c r="H402" s="21" t="str">
        <f>'Raw Data'!H402</f>
        <v>Male</v>
      </c>
      <c r="I402" s="21">
        <f>IF('Raw Data'!I402="",ROUND(AVERAGE('Raw Data'!$I$2:$I$1501),1),'Raw Data'!I402)</f>
        <v>2.9</v>
      </c>
      <c r="J402" s="21">
        <f>'Raw Data'!J402</f>
        <v>3</v>
      </c>
      <c r="K402" s="21" t="str">
        <f>'Raw Data'!K402</f>
        <v>Others</v>
      </c>
      <c r="L402" s="21">
        <f>'Raw Data'!L402</f>
        <v>4</v>
      </c>
      <c r="M402" s="21" t="str">
        <f>'Raw Data'!M402</f>
        <v>Single</v>
      </c>
      <c r="N402" s="21">
        <f>'Raw Data'!N402</f>
        <v>3</v>
      </c>
      <c r="O402" s="21">
        <f>'Raw Data'!O402</f>
        <v>0</v>
      </c>
      <c r="P402" s="21">
        <f>IF('Raw Data'!P402="",ROUND(AVERAGE('Raw Data'!$P$2:$P$1501),1),'Raw Data'!P402)</f>
        <v>21</v>
      </c>
      <c r="Q402" s="21">
        <f>IF('Raw Data'!Q402="",ROUND(AVERAGE('Raw Data'!$Q$2:$Q$1501),0),'Raw Data'!Q402)</f>
        <v>1</v>
      </c>
      <c r="R402" s="21">
        <f>'Raw Data'!R402</f>
        <v>4</v>
      </c>
      <c r="S402" s="21">
        <f>IF('Raw Data'!S402="",ROUND(AVERAGE('Raw Data'!$S$2:$S$1501),0),'Raw Data'!S402)</f>
        <v>3</v>
      </c>
      <c r="T402" s="21">
        <f>'Raw Data'!T402</f>
        <v>150.25</v>
      </c>
      <c r="U402" s="21" t="str">
        <f>INDEX('Lookup Tables'!$C$7:$C$9,MATCH(E402,'Lookup Tables'!$B$7:$B$9,0))</f>
        <v>Tier 3 (Semi-urban/Rural)</v>
      </c>
      <c r="V402" s="21" t="str">
        <f t="shared" si="18"/>
        <v>13-24 months</v>
      </c>
      <c r="W402" s="21" t="str">
        <f t="shared" si="19"/>
        <v>Low Risk</v>
      </c>
      <c r="X402" s="21" t="str">
        <f t="shared" si="20"/>
        <v>No</v>
      </c>
    </row>
    <row r="403" spans="1:24" x14ac:dyDescent="0.3">
      <c r="A403" s="21">
        <f>'Raw Data'!A403</f>
        <v>50402</v>
      </c>
      <c r="B403" s="21">
        <f>'Raw Data'!B403</f>
        <v>0</v>
      </c>
      <c r="C403" s="21">
        <f>'Raw Data'!C403</f>
        <v>1</v>
      </c>
      <c r="D403" s="21" t="str">
        <f>'Raw Data'!D403</f>
        <v>Computer</v>
      </c>
      <c r="E403" s="21">
        <f>'Raw Data'!E403</f>
        <v>3</v>
      </c>
      <c r="F403" s="21">
        <f>IF('Raw Data'!F403="",ROUND(AVERAGE('Raw Data'!$F$2:$F$1501),1),'Raw Data'!F403)</f>
        <v>26</v>
      </c>
      <c r="G403" s="21" t="str">
        <f>'Raw Data'!G403</f>
        <v>Cash on Delivery</v>
      </c>
      <c r="H403" s="21" t="str">
        <f>'Raw Data'!H403</f>
        <v>Female</v>
      </c>
      <c r="I403" s="21">
        <f>IF('Raw Data'!I403="",ROUND(AVERAGE('Raw Data'!$I$2:$I$1501),1),'Raw Data'!I403)</f>
        <v>2.2999999999999998</v>
      </c>
      <c r="J403" s="21">
        <f>'Raw Data'!J403</f>
        <v>1</v>
      </c>
      <c r="K403" s="21" t="str">
        <f>'Raw Data'!K403</f>
        <v>Laptop &amp; Accessory</v>
      </c>
      <c r="L403" s="21">
        <f>'Raw Data'!L403</f>
        <v>5</v>
      </c>
      <c r="M403" s="21" t="str">
        <f>'Raw Data'!M403</f>
        <v>Married</v>
      </c>
      <c r="N403" s="21">
        <f>'Raw Data'!N403</f>
        <v>3</v>
      </c>
      <c r="O403" s="21">
        <f>'Raw Data'!O403</f>
        <v>0</v>
      </c>
      <c r="P403" s="21">
        <f>IF('Raw Data'!P403="",ROUND(AVERAGE('Raw Data'!$P$2:$P$1501),1),'Raw Data'!P403)</f>
        <v>15.8</v>
      </c>
      <c r="Q403" s="21">
        <f>IF('Raw Data'!Q403="",ROUND(AVERAGE('Raw Data'!$Q$2:$Q$1501),0),'Raw Data'!Q403)</f>
        <v>4</v>
      </c>
      <c r="R403" s="21">
        <f>'Raw Data'!R403</f>
        <v>2</v>
      </c>
      <c r="S403" s="21">
        <f>IF('Raw Data'!S403="",ROUND(AVERAGE('Raw Data'!$S$2:$S$1501),0),'Raw Data'!S403)</f>
        <v>5</v>
      </c>
      <c r="T403" s="21">
        <f>'Raw Data'!T403</f>
        <v>138.47999999999999</v>
      </c>
      <c r="U403" s="21" t="str">
        <f>INDEX('Lookup Tables'!$C$7:$C$9,MATCH(E403,'Lookup Tables'!$B$7:$B$9,0))</f>
        <v>Tier 3 (Semi-urban/Rural)</v>
      </c>
      <c r="V403" s="21" t="str">
        <f t="shared" si="18"/>
        <v>0-6 months</v>
      </c>
      <c r="W403" s="21" t="str">
        <f t="shared" si="19"/>
        <v>Low Risk</v>
      </c>
      <c r="X403" s="21" t="str">
        <f t="shared" si="20"/>
        <v>No</v>
      </c>
    </row>
    <row r="404" spans="1:24" x14ac:dyDescent="0.3">
      <c r="A404" s="21">
        <f>'Raw Data'!A404</f>
        <v>50403</v>
      </c>
      <c r="B404" s="21">
        <f>'Raw Data'!B404</f>
        <v>1</v>
      </c>
      <c r="C404" s="21">
        <f>'Raw Data'!C404</f>
        <v>14</v>
      </c>
      <c r="D404" s="21" t="str">
        <f>'Raw Data'!D404</f>
        <v>Mobile Phone</v>
      </c>
      <c r="E404" s="21">
        <f>'Raw Data'!E404</f>
        <v>2</v>
      </c>
      <c r="F404" s="21">
        <f>IF('Raw Data'!F404="",ROUND(AVERAGE('Raw Data'!$F$2:$F$1501),1),'Raw Data'!F404)</f>
        <v>33</v>
      </c>
      <c r="G404" s="21" t="str">
        <f>'Raw Data'!G404</f>
        <v>Debit Card</v>
      </c>
      <c r="H404" s="21" t="str">
        <f>'Raw Data'!H404</f>
        <v>Male</v>
      </c>
      <c r="I404" s="21">
        <f>IF('Raw Data'!I404="",ROUND(AVERAGE('Raw Data'!$I$2:$I$1501),1),'Raw Data'!I404)</f>
        <v>3.4</v>
      </c>
      <c r="J404" s="21">
        <f>'Raw Data'!J404</f>
        <v>1</v>
      </c>
      <c r="K404" s="21" t="str">
        <f>'Raw Data'!K404</f>
        <v>Fashion</v>
      </c>
      <c r="L404" s="21">
        <f>'Raw Data'!L404</f>
        <v>1</v>
      </c>
      <c r="M404" s="21" t="str">
        <f>'Raw Data'!M404</f>
        <v>Single</v>
      </c>
      <c r="N404" s="21">
        <f>'Raw Data'!N404</f>
        <v>1</v>
      </c>
      <c r="O404" s="21">
        <f>'Raw Data'!O404</f>
        <v>1</v>
      </c>
      <c r="P404" s="21">
        <f>IF('Raw Data'!P404="",ROUND(AVERAGE('Raw Data'!$P$2:$P$1501),1),'Raw Data'!P404)</f>
        <v>14</v>
      </c>
      <c r="Q404" s="21">
        <f>IF('Raw Data'!Q404="",ROUND(AVERAGE('Raw Data'!$Q$2:$Q$1501),0),'Raw Data'!Q404)</f>
        <v>2</v>
      </c>
      <c r="R404" s="21">
        <f>'Raw Data'!R404</f>
        <v>3</v>
      </c>
      <c r="S404" s="21">
        <f>IF('Raw Data'!S404="",ROUND(AVERAGE('Raw Data'!$S$2:$S$1501),0),'Raw Data'!S404)</f>
        <v>3</v>
      </c>
      <c r="T404" s="21">
        <f>'Raw Data'!T404</f>
        <v>248.9</v>
      </c>
      <c r="U404" s="21" t="str">
        <f>INDEX('Lookup Tables'!$C$7:$C$9,MATCH(E404,'Lookup Tables'!$B$7:$B$9,0))</f>
        <v>Tier 2 (Urban)</v>
      </c>
      <c r="V404" s="21" t="str">
        <f t="shared" si="18"/>
        <v>13-24 months</v>
      </c>
      <c r="W404" s="21" t="str">
        <f t="shared" si="19"/>
        <v>High Risk</v>
      </c>
      <c r="X404" s="21" t="str">
        <f t="shared" si="20"/>
        <v>Yes</v>
      </c>
    </row>
    <row r="405" spans="1:24" x14ac:dyDescent="0.3">
      <c r="A405" s="21">
        <f>'Raw Data'!A405</f>
        <v>50404</v>
      </c>
      <c r="B405" s="21">
        <f>'Raw Data'!B405</f>
        <v>0</v>
      </c>
      <c r="C405" s="21">
        <f>'Raw Data'!C405</f>
        <v>0</v>
      </c>
      <c r="D405" s="21" t="str">
        <f>'Raw Data'!D405</f>
        <v>Phone</v>
      </c>
      <c r="E405" s="21">
        <f>'Raw Data'!E405</f>
        <v>3</v>
      </c>
      <c r="F405" s="21">
        <f>IF('Raw Data'!F405="",ROUND(AVERAGE('Raw Data'!$F$2:$F$1501),1),'Raw Data'!F405)</f>
        <v>11</v>
      </c>
      <c r="G405" s="21" t="str">
        <f>'Raw Data'!G405</f>
        <v>Debit Card</v>
      </c>
      <c r="H405" s="21" t="str">
        <f>'Raw Data'!H405</f>
        <v>Male</v>
      </c>
      <c r="I405" s="21">
        <f>IF('Raw Data'!I405="",ROUND(AVERAGE('Raw Data'!$I$2:$I$1501),1),'Raw Data'!I405)</f>
        <v>4.4000000000000004</v>
      </c>
      <c r="J405" s="21">
        <f>'Raw Data'!J405</f>
        <v>3</v>
      </c>
      <c r="K405" s="21" t="str">
        <f>'Raw Data'!K405</f>
        <v>Laptop &amp; Accessory</v>
      </c>
      <c r="L405" s="21">
        <f>'Raw Data'!L405</f>
        <v>1</v>
      </c>
      <c r="M405" s="21" t="str">
        <f>'Raw Data'!M405</f>
        <v>Divorced</v>
      </c>
      <c r="N405" s="21">
        <f>'Raw Data'!N405</f>
        <v>2</v>
      </c>
      <c r="O405" s="21">
        <f>'Raw Data'!O405</f>
        <v>0</v>
      </c>
      <c r="P405" s="21">
        <f>IF('Raw Data'!P405="",ROUND(AVERAGE('Raw Data'!$P$2:$P$1501),1),'Raw Data'!P405)</f>
        <v>15</v>
      </c>
      <c r="Q405" s="21">
        <f>IF('Raw Data'!Q405="",ROUND(AVERAGE('Raw Data'!$Q$2:$Q$1501),0),'Raw Data'!Q405)</f>
        <v>3</v>
      </c>
      <c r="R405" s="21">
        <f>'Raw Data'!R405</f>
        <v>4</v>
      </c>
      <c r="S405" s="21">
        <f>IF('Raw Data'!S405="",ROUND(AVERAGE('Raw Data'!$S$2:$S$1501),0),'Raw Data'!S405)</f>
        <v>15</v>
      </c>
      <c r="T405" s="21">
        <f>'Raw Data'!T405</f>
        <v>180.39</v>
      </c>
      <c r="U405" s="21" t="str">
        <f>INDEX('Lookup Tables'!$C$7:$C$9,MATCH(E405,'Lookup Tables'!$B$7:$B$9,0))</f>
        <v>Tier 3 (Semi-urban/Rural)</v>
      </c>
      <c r="V405" s="21" t="str">
        <f t="shared" si="18"/>
        <v>0-6 months</v>
      </c>
      <c r="W405" s="21" t="str">
        <f t="shared" si="19"/>
        <v>Low Risk</v>
      </c>
      <c r="X405" s="21" t="str">
        <f t="shared" si="20"/>
        <v>No</v>
      </c>
    </row>
    <row r="406" spans="1:24" x14ac:dyDescent="0.3">
      <c r="A406" s="21">
        <f>'Raw Data'!A406</f>
        <v>50405</v>
      </c>
      <c r="B406" s="21">
        <f>'Raw Data'!B406</f>
        <v>0</v>
      </c>
      <c r="C406" s="21">
        <f>'Raw Data'!C406</f>
        <v>0</v>
      </c>
      <c r="D406" s="21" t="str">
        <f>'Raw Data'!D406</f>
        <v>Mobile Phone</v>
      </c>
      <c r="E406" s="21">
        <f>'Raw Data'!E406</f>
        <v>1</v>
      </c>
      <c r="F406" s="21">
        <f>IF('Raw Data'!F406="",ROUND(AVERAGE('Raw Data'!$F$2:$F$1501),1),'Raw Data'!F406)</f>
        <v>18</v>
      </c>
      <c r="G406" s="21" t="str">
        <f>'Raw Data'!G406</f>
        <v>Cash on Delivery</v>
      </c>
      <c r="H406" s="21" t="str">
        <f>'Raw Data'!H406</f>
        <v>Female</v>
      </c>
      <c r="I406" s="21">
        <f>IF('Raw Data'!I406="",ROUND(AVERAGE('Raw Data'!$I$2:$I$1501),1),'Raw Data'!I406)</f>
        <v>2.2999999999999998</v>
      </c>
      <c r="J406" s="21">
        <f>'Raw Data'!J406</f>
        <v>3</v>
      </c>
      <c r="K406" s="21" t="str">
        <f>'Raw Data'!K406</f>
        <v>Laptop &amp; Accessory</v>
      </c>
      <c r="L406" s="21">
        <f>'Raw Data'!L406</f>
        <v>3</v>
      </c>
      <c r="M406" s="21" t="str">
        <f>'Raw Data'!M406</f>
        <v>Married</v>
      </c>
      <c r="N406" s="21">
        <f>'Raw Data'!N406</f>
        <v>1</v>
      </c>
      <c r="O406" s="21">
        <f>'Raw Data'!O406</f>
        <v>1</v>
      </c>
      <c r="P406" s="21">
        <f>IF('Raw Data'!P406="",ROUND(AVERAGE('Raw Data'!$P$2:$P$1501),1),'Raw Data'!P406)</f>
        <v>25.3</v>
      </c>
      <c r="Q406" s="21">
        <f>IF('Raw Data'!Q406="",ROUND(AVERAGE('Raw Data'!$Q$2:$Q$1501),0),'Raw Data'!Q406)</f>
        <v>0</v>
      </c>
      <c r="R406" s="21">
        <f>'Raw Data'!R406</f>
        <v>3</v>
      </c>
      <c r="S406" s="21">
        <f>IF('Raw Data'!S406="",ROUND(AVERAGE('Raw Data'!$S$2:$S$1501),0),'Raw Data'!S406)</f>
        <v>0</v>
      </c>
      <c r="T406" s="21">
        <f>'Raw Data'!T406</f>
        <v>137.16999999999999</v>
      </c>
      <c r="U406" s="21" t="str">
        <f>INDEX('Lookup Tables'!$C$7:$C$9,MATCH(E406,'Lookup Tables'!$B$7:$B$9,0))</f>
        <v>Tier 1 (Metro)</v>
      </c>
      <c r="V406" s="21" t="str">
        <f t="shared" si="18"/>
        <v>0-6 months</v>
      </c>
      <c r="W406" s="21" t="str">
        <f t="shared" si="19"/>
        <v>Medium Risk</v>
      </c>
      <c r="X406" s="21" t="str">
        <f t="shared" si="20"/>
        <v>No</v>
      </c>
    </row>
    <row r="407" spans="1:24" x14ac:dyDescent="0.3">
      <c r="A407" s="21">
        <f>'Raw Data'!A407</f>
        <v>50406</v>
      </c>
      <c r="B407" s="21">
        <f>'Raw Data'!B407</f>
        <v>0</v>
      </c>
      <c r="C407" s="21">
        <f>'Raw Data'!C407</f>
        <v>3</v>
      </c>
      <c r="D407" s="21" t="str">
        <f>'Raw Data'!D407</f>
        <v>Phone</v>
      </c>
      <c r="E407" s="21">
        <f>'Raw Data'!E407</f>
        <v>1</v>
      </c>
      <c r="F407" s="21">
        <f>IF('Raw Data'!F407="",ROUND(AVERAGE('Raw Data'!$F$2:$F$1501),1),'Raw Data'!F407)</f>
        <v>19</v>
      </c>
      <c r="G407" s="21" t="str">
        <f>'Raw Data'!G407</f>
        <v>Debit Card</v>
      </c>
      <c r="H407" s="21" t="str">
        <f>'Raw Data'!H407</f>
        <v>Male</v>
      </c>
      <c r="I407" s="21">
        <f>IF('Raw Data'!I407="",ROUND(AVERAGE('Raw Data'!$I$2:$I$1501),1),'Raw Data'!I407)</f>
        <v>3.1</v>
      </c>
      <c r="J407" s="21">
        <f>'Raw Data'!J407</f>
        <v>5</v>
      </c>
      <c r="K407" s="21" t="str">
        <f>'Raw Data'!K407</f>
        <v>Mobile Phone</v>
      </c>
      <c r="L407" s="21">
        <f>'Raw Data'!L407</f>
        <v>2</v>
      </c>
      <c r="M407" s="21" t="str">
        <f>'Raw Data'!M407</f>
        <v>Married</v>
      </c>
      <c r="N407" s="21">
        <f>'Raw Data'!N407</f>
        <v>2</v>
      </c>
      <c r="O407" s="21">
        <f>'Raw Data'!O407</f>
        <v>0</v>
      </c>
      <c r="P407" s="21">
        <f>IF('Raw Data'!P407="",ROUND(AVERAGE('Raw Data'!$P$2:$P$1501),1),'Raw Data'!P407)</f>
        <v>22.6</v>
      </c>
      <c r="Q407" s="21">
        <f>IF('Raw Data'!Q407="",ROUND(AVERAGE('Raw Data'!$Q$2:$Q$1501),0),'Raw Data'!Q407)</f>
        <v>1</v>
      </c>
      <c r="R407" s="21">
        <f>'Raw Data'!R407</f>
        <v>4</v>
      </c>
      <c r="S407" s="21">
        <f>IF('Raw Data'!S407="",ROUND(AVERAGE('Raw Data'!$S$2:$S$1501),0),'Raw Data'!S407)</f>
        <v>8</v>
      </c>
      <c r="T407" s="21">
        <f>'Raw Data'!T407</f>
        <v>153.01</v>
      </c>
      <c r="U407" s="21" t="str">
        <f>INDEX('Lookup Tables'!$C$7:$C$9,MATCH(E407,'Lookup Tables'!$B$7:$B$9,0))</f>
        <v>Tier 1 (Metro)</v>
      </c>
      <c r="V407" s="21" t="str">
        <f t="shared" si="18"/>
        <v>0-6 months</v>
      </c>
      <c r="W407" s="21" t="str">
        <f t="shared" si="19"/>
        <v>Low Risk</v>
      </c>
      <c r="X407" s="21" t="str">
        <f t="shared" si="20"/>
        <v>No</v>
      </c>
    </row>
    <row r="408" spans="1:24" x14ac:dyDescent="0.3">
      <c r="A408" s="21">
        <f>'Raw Data'!A408</f>
        <v>50407</v>
      </c>
      <c r="B408" s="21">
        <f>'Raw Data'!B408</f>
        <v>1</v>
      </c>
      <c r="C408" s="21">
        <f>'Raw Data'!C408</f>
        <v>6</v>
      </c>
      <c r="D408" s="21" t="str">
        <f>'Raw Data'!D408</f>
        <v>Mobile Phone</v>
      </c>
      <c r="E408" s="21">
        <f>'Raw Data'!E408</f>
        <v>3</v>
      </c>
      <c r="F408" s="21">
        <f>IF('Raw Data'!F408="",ROUND(AVERAGE('Raw Data'!$F$2:$F$1501),1),'Raw Data'!F408)</f>
        <v>16</v>
      </c>
      <c r="G408" s="21" t="str">
        <f>'Raw Data'!G408</f>
        <v>E wallet</v>
      </c>
      <c r="H408" s="21" t="str">
        <f>'Raw Data'!H408</f>
        <v>Male</v>
      </c>
      <c r="I408" s="21">
        <f>IF('Raw Data'!I408="",ROUND(AVERAGE('Raw Data'!$I$2:$I$1501),1),'Raw Data'!I408)</f>
        <v>1.7</v>
      </c>
      <c r="J408" s="21">
        <f>'Raw Data'!J408</f>
        <v>4</v>
      </c>
      <c r="K408" s="21" t="str">
        <f>'Raw Data'!K408</f>
        <v>Laptop &amp; Accessory</v>
      </c>
      <c r="L408" s="21">
        <f>'Raw Data'!L408</f>
        <v>3</v>
      </c>
      <c r="M408" s="21" t="str">
        <f>'Raw Data'!M408</f>
        <v>Single</v>
      </c>
      <c r="N408" s="21">
        <f>'Raw Data'!N408</f>
        <v>8</v>
      </c>
      <c r="O408" s="21">
        <f>'Raw Data'!O408</f>
        <v>1</v>
      </c>
      <c r="P408" s="21">
        <f>IF('Raw Data'!P408="",ROUND(AVERAGE('Raw Data'!$P$2:$P$1501),1),'Raw Data'!P408)</f>
        <v>16.3</v>
      </c>
      <c r="Q408" s="21">
        <f>IF('Raw Data'!Q408="",ROUND(AVERAGE('Raw Data'!$Q$2:$Q$1501),0),'Raw Data'!Q408)</f>
        <v>3</v>
      </c>
      <c r="R408" s="21">
        <f>'Raw Data'!R408</f>
        <v>4</v>
      </c>
      <c r="S408" s="21">
        <f>IF('Raw Data'!S408="",ROUND(AVERAGE('Raw Data'!$S$2:$S$1501),0),'Raw Data'!S408)</f>
        <v>2</v>
      </c>
      <c r="T408" s="21">
        <f>'Raw Data'!T408</f>
        <v>152.25</v>
      </c>
      <c r="U408" s="21" t="str">
        <f>INDEX('Lookup Tables'!$C$7:$C$9,MATCH(E408,'Lookup Tables'!$B$7:$B$9,0))</f>
        <v>Tier 3 (Semi-urban/Rural)</v>
      </c>
      <c r="V408" s="21" t="str">
        <f t="shared" si="18"/>
        <v>0-6 months</v>
      </c>
      <c r="W408" s="21" t="str">
        <f t="shared" si="19"/>
        <v>Medium Risk</v>
      </c>
      <c r="X408" s="21" t="str">
        <f t="shared" si="20"/>
        <v>Yes</v>
      </c>
    </row>
    <row r="409" spans="1:24" x14ac:dyDescent="0.3">
      <c r="A409" s="21">
        <f>'Raw Data'!A409</f>
        <v>50408</v>
      </c>
      <c r="B409" s="21">
        <f>'Raw Data'!B409</f>
        <v>0</v>
      </c>
      <c r="C409" s="21">
        <f>'Raw Data'!C409</f>
        <v>14</v>
      </c>
      <c r="D409" s="21" t="str">
        <f>'Raw Data'!D409</f>
        <v>Computer</v>
      </c>
      <c r="E409" s="21">
        <f>'Raw Data'!E409</f>
        <v>3</v>
      </c>
      <c r="F409" s="21">
        <f>IF('Raw Data'!F409="",ROUND(AVERAGE('Raw Data'!$F$2:$F$1501),1),'Raw Data'!F409)</f>
        <v>14</v>
      </c>
      <c r="G409" s="21" t="str">
        <f>'Raw Data'!G409</f>
        <v>Debit Card</v>
      </c>
      <c r="H409" s="21" t="str">
        <f>'Raw Data'!H409</f>
        <v>Female</v>
      </c>
      <c r="I409" s="21">
        <f>IF('Raw Data'!I409="",ROUND(AVERAGE('Raw Data'!$I$2:$I$1501),1),'Raw Data'!I409)</f>
        <v>3.2</v>
      </c>
      <c r="J409" s="21">
        <f>'Raw Data'!J409</f>
        <v>3</v>
      </c>
      <c r="K409" s="21" t="str">
        <f>'Raw Data'!K409</f>
        <v>Grocery</v>
      </c>
      <c r="L409" s="21">
        <f>'Raw Data'!L409</f>
        <v>2</v>
      </c>
      <c r="M409" s="21" t="str">
        <f>'Raw Data'!M409</f>
        <v>Married</v>
      </c>
      <c r="N409" s="21">
        <f>'Raw Data'!N409</f>
        <v>2</v>
      </c>
      <c r="O409" s="21">
        <f>'Raw Data'!O409</f>
        <v>0</v>
      </c>
      <c r="P409" s="21">
        <f>IF('Raw Data'!P409="",ROUND(AVERAGE('Raw Data'!$P$2:$P$1501),1),'Raw Data'!P409)</f>
        <v>13.9</v>
      </c>
      <c r="Q409" s="21">
        <f>IF('Raw Data'!Q409="",ROUND(AVERAGE('Raw Data'!$Q$2:$Q$1501),0),'Raw Data'!Q409)</f>
        <v>1</v>
      </c>
      <c r="R409" s="21">
        <f>'Raw Data'!R409</f>
        <v>4</v>
      </c>
      <c r="S409" s="21">
        <f>IF('Raw Data'!S409="",ROUND(AVERAGE('Raw Data'!$S$2:$S$1501),0),'Raw Data'!S409)</f>
        <v>2</v>
      </c>
      <c r="T409" s="21">
        <f>'Raw Data'!T409</f>
        <v>164.16</v>
      </c>
      <c r="U409" s="21" t="str">
        <f>INDEX('Lookup Tables'!$C$7:$C$9,MATCH(E409,'Lookup Tables'!$B$7:$B$9,0))</f>
        <v>Tier 3 (Semi-urban/Rural)</v>
      </c>
      <c r="V409" s="21" t="str">
        <f t="shared" si="18"/>
        <v>13-24 months</v>
      </c>
      <c r="W409" s="21" t="str">
        <f t="shared" si="19"/>
        <v>Low Risk</v>
      </c>
      <c r="X409" s="21" t="str">
        <f t="shared" si="20"/>
        <v>No</v>
      </c>
    </row>
    <row r="410" spans="1:24" x14ac:dyDescent="0.3">
      <c r="A410" s="21">
        <f>'Raw Data'!A410</f>
        <v>50409</v>
      </c>
      <c r="B410" s="21">
        <f>'Raw Data'!B410</f>
        <v>1</v>
      </c>
      <c r="C410" s="21">
        <f>'Raw Data'!C410</f>
        <v>11</v>
      </c>
      <c r="D410" s="21" t="str">
        <f>'Raw Data'!D410</f>
        <v>Mobile Phone</v>
      </c>
      <c r="E410" s="21">
        <f>'Raw Data'!E410</f>
        <v>1</v>
      </c>
      <c r="F410" s="21">
        <f>IF('Raw Data'!F410="",ROUND(AVERAGE('Raw Data'!$F$2:$F$1501),1),'Raw Data'!F410)</f>
        <v>18</v>
      </c>
      <c r="G410" s="21" t="str">
        <f>'Raw Data'!G410</f>
        <v>Credit Card</v>
      </c>
      <c r="H410" s="21" t="str">
        <f>'Raw Data'!H410</f>
        <v>Male</v>
      </c>
      <c r="I410" s="21">
        <f>IF('Raw Data'!I410="",ROUND(AVERAGE('Raw Data'!$I$2:$I$1501),1),'Raw Data'!I410)</f>
        <v>2.2999999999999998</v>
      </c>
      <c r="J410" s="21">
        <f>'Raw Data'!J410</f>
        <v>2</v>
      </c>
      <c r="K410" s="21" t="str">
        <f>'Raw Data'!K410</f>
        <v>Mobile Phone</v>
      </c>
      <c r="L410" s="21">
        <f>'Raw Data'!L410</f>
        <v>2</v>
      </c>
      <c r="M410" s="21" t="str">
        <f>'Raw Data'!M410</f>
        <v>Married</v>
      </c>
      <c r="N410" s="21">
        <f>'Raw Data'!N410</f>
        <v>1</v>
      </c>
      <c r="O410" s="21">
        <f>'Raw Data'!O410</f>
        <v>0</v>
      </c>
      <c r="P410" s="21">
        <f>IF('Raw Data'!P410="",ROUND(AVERAGE('Raw Data'!$P$2:$P$1501),1),'Raw Data'!P410)</f>
        <v>16.399999999999999</v>
      </c>
      <c r="Q410" s="21">
        <f>IF('Raw Data'!Q410="",ROUND(AVERAGE('Raw Data'!$Q$2:$Q$1501),0),'Raw Data'!Q410)</f>
        <v>0</v>
      </c>
      <c r="R410" s="21">
        <f>'Raw Data'!R410</f>
        <v>4</v>
      </c>
      <c r="S410" s="21">
        <f>IF('Raw Data'!S410="",ROUND(AVERAGE('Raw Data'!$S$2:$S$1501),0),'Raw Data'!S410)</f>
        <v>6</v>
      </c>
      <c r="T410" s="21">
        <f>'Raw Data'!T410</f>
        <v>120.86</v>
      </c>
      <c r="U410" s="21" t="str">
        <f>INDEX('Lookup Tables'!$C$7:$C$9,MATCH(E410,'Lookup Tables'!$B$7:$B$9,0))</f>
        <v>Tier 1 (Metro)</v>
      </c>
      <c r="V410" s="21" t="str">
        <f t="shared" si="18"/>
        <v>7-12 months</v>
      </c>
      <c r="W410" s="21" t="str">
        <f t="shared" si="19"/>
        <v>Low Risk</v>
      </c>
      <c r="X410" s="21" t="str">
        <f t="shared" si="20"/>
        <v>Yes</v>
      </c>
    </row>
    <row r="411" spans="1:24" x14ac:dyDescent="0.3">
      <c r="A411" s="21">
        <f>'Raw Data'!A411</f>
        <v>50410</v>
      </c>
      <c r="B411" s="21">
        <f>'Raw Data'!B411</f>
        <v>0</v>
      </c>
      <c r="C411" s="21">
        <f>'Raw Data'!C411</f>
        <v>5</v>
      </c>
      <c r="D411" s="21" t="str">
        <f>'Raw Data'!D411</f>
        <v>Phone</v>
      </c>
      <c r="E411" s="21">
        <f>'Raw Data'!E411</f>
        <v>1</v>
      </c>
      <c r="F411" s="21">
        <f>IF('Raw Data'!F411="",ROUND(AVERAGE('Raw Data'!$F$2:$F$1501),1),'Raw Data'!F411)</f>
        <v>5</v>
      </c>
      <c r="G411" s="21" t="str">
        <f>'Raw Data'!G411</f>
        <v>Cash on Delivery</v>
      </c>
      <c r="H411" s="21" t="str">
        <f>'Raw Data'!H411</f>
        <v>Female</v>
      </c>
      <c r="I411" s="21">
        <f>IF('Raw Data'!I411="",ROUND(AVERAGE('Raw Data'!$I$2:$I$1501),1),'Raw Data'!I411)</f>
        <v>2.5</v>
      </c>
      <c r="J411" s="21">
        <f>'Raw Data'!J411</f>
        <v>2</v>
      </c>
      <c r="K411" s="21" t="str">
        <f>'Raw Data'!K411</f>
        <v>Laptop &amp; Accessory</v>
      </c>
      <c r="L411" s="21">
        <f>'Raw Data'!L411</f>
        <v>2</v>
      </c>
      <c r="M411" s="21" t="str">
        <f>'Raw Data'!M411</f>
        <v>Married</v>
      </c>
      <c r="N411" s="21">
        <f>'Raw Data'!N411</f>
        <v>2</v>
      </c>
      <c r="O411" s="21">
        <f>'Raw Data'!O411</f>
        <v>0</v>
      </c>
      <c r="P411" s="21">
        <f>IF('Raw Data'!P411="",ROUND(AVERAGE('Raw Data'!$P$2:$P$1501),1),'Raw Data'!P411)</f>
        <v>16.899999999999999</v>
      </c>
      <c r="Q411" s="21">
        <f>IF('Raw Data'!Q411="",ROUND(AVERAGE('Raw Data'!$Q$2:$Q$1501),0),'Raw Data'!Q411)</f>
        <v>1</v>
      </c>
      <c r="R411" s="21">
        <f>'Raw Data'!R411</f>
        <v>3</v>
      </c>
      <c r="S411" s="21">
        <f>IF('Raw Data'!S411="",ROUND(AVERAGE('Raw Data'!$S$2:$S$1501),0),'Raw Data'!S411)</f>
        <v>13</v>
      </c>
      <c r="T411" s="21">
        <f>'Raw Data'!T411</f>
        <v>135.22999999999999</v>
      </c>
      <c r="U411" s="21" t="str">
        <f>INDEX('Lookup Tables'!$C$7:$C$9,MATCH(E411,'Lookup Tables'!$B$7:$B$9,0))</f>
        <v>Tier 1 (Metro)</v>
      </c>
      <c r="V411" s="21" t="str">
        <f t="shared" si="18"/>
        <v>0-6 months</v>
      </c>
      <c r="W411" s="21" t="str">
        <f t="shared" si="19"/>
        <v>Low Risk</v>
      </c>
      <c r="X411" s="21" t="str">
        <f t="shared" si="20"/>
        <v>No</v>
      </c>
    </row>
    <row r="412" spans="1:24" x14ac:dyDescent="0.3">
      <c r="A412" s="21">
        <f>'Raw Data'!A412</f>
        <v>50411</v>
      </c>
      <c r="B412" s="21">
        <f>'Raw Data'!B412</f>
        <v>0</v>
      </c>
      <c r="C412" s="21">
        <f>'Raw Data'!C412</f>
        <v>3</v>
      </c>
      <c r="D412" s="21" t="str">
        <f>'Raw Data'!D412</f>
        <v>Mobile Phone</v>
      </c>
      <c r="E412" s="21">
        <f>'Raw Data'!E412</f>
        <v>1</v>
      </c>
      <c r="F412" s="21">
        <f>IF('Raw Data'!F412="",ROUND(AVERAGE('Raw Data'!$F$2:$F$1501),1),'Raw Data'!F412)</f>
        <v>20</v>
      </c>
      <c r="G412" s="21" t="str">
        <f>'Raw Data'!G412</f>
        <v>Debit Card</v>
      </c>
      <c r="H412" s="21" t="str">
        <f>'Raw Data'!H412</f>
        <v>Male</v>
      </c>
      <c r="I412" s="21">
        <f>IF('Raw Data'!I412="",ROUND(AVERAGE('Raw Data'!$I$2:$I$1501),1),'Raw Data'!I412)</f>
        <v>2.1</v>
      </c>
      <c r="J412" s="21">
        <f>'Raw Data'!J412</f>
        <v>3</v>
      </c>
      <c r="K412" s="21" t="str">
        <f>'Raw Data'!K412</f>
        <v>Laptop &amp; Accessory</v>
      </c>
      <c r="L412" s="21">
        <f>'Raw Data'!L412</f>
        <v>5</v>
      </c>
      <c r="M412" s="21" t="str">
        <f>'Raw Data'!M412</f>
        <v>Single</v>
      </c>
      <c r="N412" s="21">
        <f>'Raw Data'!N412</f>
        <v>6</v>
      </c>
      <c r="O412" s="21">
        <f>'Raw Data'!O412</f>
        <v>1</v>
      </c>
      <c r="P412" s="21">
        <f>IF('Raw Data'!P412="",ROUND(AVERAGE('Raw Data'!$P$2:$P$1501),1),'Raw Data'!P412)</f>
        <v>11.6</v>
      </c>
      <c r="Q412" s="21">
        <f>IF('Raw Data'!Q412="",ROUND(AVERAGE('Raw Data'!$Q$2:$Q$1501),0),'Raw Data'!Q412)</f>
        <v>2</v>
      </c>
      <c r="R412" s="21">
        <f>'Raw Data'!R412</f>
        <v>2</v>
      </c>
      <c r="S412" s="21">
        <f>IF('Raw Data'!S412="",ROUND(AVERAGE('Raw Data'!$S$2:$S$1501),0),'Raw Data'!S412)</f>
        <v>6</v>
      </c>
      <c r="T412" s="21">
        <f>'Raw Data'!T412</f>
        <v>222.16</v>
      </c>
      <c r="U412" s="21" t="str">
        <f>INDEX('Lookup Tables'!$C$7:$C$9,MATCH(E412,'Lookup Tables'!$B$7:$B$9,0))</f>
        <v>Tier 1 (Metro)</v>
      </c>
      <c r="V412" s="21" t="str">
        <f t="shared" si="18"/>
        <v>0-6 months</v>
      </c>
      <c r="W412" s="21" t="str">
        <f t="shared" si="19"/>
        <v>Low Risk</v>
      </c>
      <c r="X412" s="21" t="str">
        <f t="shared" si="20"/>
        <v>No</v>
      </c>
    </row>
    <row r="413" spans="1:24" x14ac:dyDescent="0.3">
      <c r="A413" s="21">
        <f>'Raw Data'!A413</f>
        <v>50412</v>
      </c>
      <c r="B413" s="21">
        <f>'Raw Data'!B413</f>
        <v>0</v>
      </c>
      <c r="C413" s="21">
        <f>'Raw Data'!C413</f>
        <v>58</v>
      </c>
      <c r="D413" s="21" t="str">
        <f>'Raw Data'!D413</f>
        <v>Mobile Phone</v>
      </c>
      <c r="E413" s="21">
        <f>'Raw Data'!E413</f>
        <v>1</v>
      </c>
      <c r="F413" s="21">
        <f>IF('Raw Data'!F413="",ROUND(AVERAGE('Raw Data'!$F$2:$F$1501),1),'Raw Data'!F413)</f>
        <v>16</v>
      </c>
      <c r="G413" s="21" t="str">
        <f>'Raw Data'!G413</f>
        <v>E wallet</v>
      </c>
      <c r="H413" s="21" t="str">
        <f>'Raw Data'!H413</f>
        <v>Male</v>
      </c>
      <c r="I413" s="21">
        <f>IF('Raw Data'!I413="",ROUND(AVERAGE('Raw Data'!$I$2:$I$1501),1),'Raw Data'!I413)</f>
        <v>3.4</v>
      </c>
      <c r="J413" s="21">
        <f>'Raw Data'!J413</f>
        <v>4</v>
      </c>
      <c r="K413" s="21" t="str">
        <f>'Raw Data'!K413</f>
        <v>Fashion</v>
      </c>
      <c r="L413" s="21">
        <f>'Raw Data'!L413</f>
        <v>2</v>
      </c>
      <c r="M413" s="21" t="str">
        <f>'Raw Data'!M413</f>
        <v>Married</v>
      </c>
      <c r="N413" s="21">
        <f>'Raw Data'!N413</f>
        <v>5</v>
      </c>
      <c r="O413" s="21">
        <f>'Raw Data'!O413</f>
        <v>0</v>
      </c>
      <c r="P413" s="21">
        <f>IF('Raw Data'!P413="",ROUND(AVERAGE('Raw Data'!$P$2:$P$1501),1),'Raw Data'!P413)</f>
        <v>16.3</v>
      </c>
      <c r="Q413" s="21">
        <f>IF('Raw Data'!Q413="",ROUND(AVERAGE('Raw Data'!$Q$2:$Q$1501),0),'Raw Data'!Q413)</f>
        <v>2</v>
      </c>
      <c r="R413" s="21">
        <f>'Raw Data'!R413</f>
        <v>2</v>
      </c>
      <c r="S413" s="21">
        <f>IF('Raw Data'!S413="",ROUND(AVERAGE('Raw Data'!$S$2:$S$1501),0),'Raw Data'!S413)</f>
        <v>7</v>
      </c>
      <c r="T413" s="21">
        <f>'Raw Data'!T413</f>
        <v>190.19</v>
      </c>
      <c r="U413" s="21" t="str">
        <f>INDEX('Lookup Tables'!$C$7:$C$9,MATCH(E413,'Lookup Tables'!$B$7:$B$9,0))</f>
        <v>Tier 1 (Metro)</v>
      </c>
      <c r="V413" s="21" t="str">
        <f t="shared" si="18"/>
        <v>25+ months</v>
      </c>
      <c r="W413" s="21" t="str">
        <f t="shared" si="19"/>
        <v>Low Risk</v>
      </c>
      <c r="X413" s="21" t="str">
        <f t="shared" si="20"/>
        <v>No</v>
      </c>
    </row>
    <row r="414" spans="1:24" x14ac:dyDescent="0.3">
      <c r="A414" s="21">
        <f>'Raw Data'!A414</f>
        <v>50413</v>
      </c>
      <c r="B414" s="21">
        <f>'Raw Data'!B414</f>
        <v>0</v>
      </c>
      <c r="C414" s="21">
        <f>'Raw Data'!C414</f>
        <v>5</v>
      </c>
      <c r="D414" s="21" t="str">
        <f>'Raw Data'!D414</f>
        <v>Mobile Phone</v>
      </c>
      <c r="E414" s="21">
        <f>'Raw Data'!E414</f>
        <v>3</v>
      </c>
      <c r="F414" s="21">
        <f>IF('Raw Data'!F414="",ROUND(AVERAGE('Raw Data'!$F$2:$F$1501),1),'Raw Data'!F414)</f>
        <v>13</v>
      </c>
      <c r="G414" s="21" t="str">
        <f>'Raw Data'!G414</f>
        <v>Debit Card</v>
      </c>
      <c r="H414" s="21" t="str">
        <f>'Raw Data'!H414</f>
        <v>Male</v>
      </c>
      <c r="I414" s="21">
        <f>IF('Raw Data'!I414="",ROUND(AVERAGE('Raw Data'!$I$2:$I$1501),1),'Raw Data'!I414)</f>
        <v>3.6</v>
      </c>
      <c r="J414" s="21">
        <f>'Raw Data'!J414</f>
        <v>4</v>
      </c>
      <c r="K414" s="21" t="str">
        <f>'Raw Data'!K414</f>
        <v>Grocery</v>
      </c>
      <c r="L414" s="21">
        <f>'Raw Data'!L414</f>
        <v>2</v>
      </c>
      <c r="M414" s="21" t="str">
        <f>'Raw Data'!M414</f>
        <v>Single</v>
      </c>
      <c r="N414" s="21">
        <f>'Raw Data'!N414</f>
        <v>2</v>
      </c>
      <c r="O414" s="21">
        <f>'Raw Data'!O414</f>
        <v>0</v>
      </c>
      <c r="P414" s="21">
        <f>IF('Raw Data'!P414="",ROUND(AVERAGE('Raw Data'!$P$2:$P$1501),1),'Raw Data'!P414)</f>
        <v>20.6</v>
      </c>
      <c r="Q414" s="21">
        <f>IF('Raw Data'!Q414="",ROUND(AVERAGE('Raw Data'!$Q$2:$Q$1501),0),'Raw Data'!Q414)</f>
        <v>3</v>
      </c>
      <c r="R414" s="21">
        <f>'Raw Data'!R414</f>
        <v>5</v>
      </c>
      <c r="S414" s="21">
        <f>IF('Raw Data'!S414="",ROUND(AVERAGE('Raw Data'!$S$2:$S$1501),0),'Raw Data'!S414)</f>
        <v>6</v>
      </c>
      <c r="T414" s="21">
        <f>'Raw Data'!T414</f>
        <v>171.62</v>
      </c>
      <c r="U414" s="21" t="str">
        <f>INDEX('Lookup Tables'!$C$7:$C$9,MATCH(E414,'Lookup Tables'!$B$7:$B$9,0))</f>
        <v>Tier 3 (Semi-urban/Rural)</v>
      </c>
      <c r="V414" s="21" t="str">
        <f t="shared" si="18"/>
        <v>0-6 months</v>
      </c>
      <c r="W414" s="21" t="str">
        <f t="shared" si="19"/>
        <v>Low Risk</v>
      </c>
      <c r="X414" s="21" t="str">
        <f t="shared" si="20"/>
        <v>No</v>
      </c>
    </row>
    <row r="415" spans="1:24" x14ac:dyDescent="0.3">
      <c r="A415" s="21">
        <f>'Raw Data'!A415</f>
        <v>50414</v>
      </c>
      <c r="B415" s="21">
        <f>'Raw Data'!B415</f>
        <v>0</v>
      </c>
      <c r="C415" s="21">
        <f>'Raw Data'!C415</f>
        <v>6</v>
      </c>
      <c r="D415" s="21" t="str">
        <f>'Raw Data'!D415</f>
        <v>Mobile Phone</v>
      </c>
      <c r="E415" s="21">
        <f>'Raw Data'!E415</f>
        <v>2</v>
      </c>
      <c r="F415" s="21">
        <f>IF('Raw Data'!F415="",ROUND(AVERAGE('Raw Data'!$F$2:$F$1501),1),'Raw Data'!F415)</f>
        <v>31</v>
      </c>
      <c r="G415" s="21" t="str">
        <f>'Raw Data'!G415</f>
        <v>E wallet</v>
      </c>
      <c r="H415" s="21" t="str">
        <f>'Raw Data'!H415</f>
        <v>Female</v>
      </c>
      <c r="I415" s="21">
        <f>IF('Raw Data'!I415="",ROUND(AVERAGE('Raw Data'!$I$2:$I$1501),1),'Raw Data'!I415)</f>
        <v>2.9</v>
      </c>
      <c r="J415" s="21">
        <f>'Raw Data'!J415</f>
        <v>2</v>
      </c>
      <c r="K415" s="21" t="str">
        <f>'Raw Data'!K415</f>
        <v>Mobile Phone</v>
      </c>
      <c r="L415" s="21">
        <f>'Raw Data'!L415</f>
        <v>2</v>
      </c>
      <c r="M415" s="21" t="str">
        <f>'Raw Data'!M415</f>
        <v>Married</v>
      </c>
      <c r="N415" s="21">
        <f>'Raw Data'!N415</f>
        <v>1</v>
      </c>
      <c r="O415" s="21">
        <f>'Raw Data'!O415</f>
        <v>0</v>
      </c>
      <c r="P415" s="21">
        <f>IF('Raw Data'!P415="",ROUND(AVERAGE('Raw Data'!$P$2:$P$1501),1),'Raw Data'!P415)</f>
        <v>11</v>
      </c>
      <c r="Q415" s="21">
        <f>IF('Raw Data'!Q415="",ROUND(AVERAGE('Raw Data'!$Q$2:$Q$1501),0),'Raw Data'!Q415)</f>
        <v>2</v>
      </c>
      <c r="R415" s="21">
        <f>'Raw Data'!R415</f>
        <v>3</v>
      </c>
      <c r="S415" s="21">
        <f>IF('Raw Data'!S415="",ROUND(AVERAGE('Raw Data'!$S$2:$S$1501),0),'Raw Data'!S415)</f>
        <v>1</v>
      </c>
      <c r="T415" s="21">
        <f>'Raw Data'!T415</f>
        <v>180.14</v>
      </c>
      <c r="U415" s="21" t="str">
        <f>INDEX('Lookup Tables'!$C$7:$C$9,MATCH(E415,'Lookup Tables'!$B$7:$B$9,0))</f>
        <v>Tier 2 (Urban)</v>
      </c>
      <c r="V415" s="21" t="str">
        <f t="shared" si="18"/>
        <v>0-6 months</v>
      </c>
      <c r="W415" s="21" t="str">
        <f t="shared" si="19"/>
        <v>Low Risk</v>
      </c>
      <c r="X415" s="21" t="str">
        <f t="shared" si="20"/>
        <v>No</v>
      </c>
    </row>
    <row r="416" spans="1:24" x14ac:dyDescent="0.3">
      <c r="A416" s="21">
        <f>'Raw Data'!A416</f>
        <v>50415</v>
      </c>
      <c r="B416" s="21">
        <f>'Raw Data'!B416</f>
        <v>0</v>
      </c>
      <c r="C416" s="21">
        <f>'Raw Data'!C416</f>
        <v>1</v>
      </c>
      <c r="D416" s="21" t="str">
        <f>'Raw Data'!D416</f>
        <v>Mobile Phone</v>
      </c>
      <c r="E416" s="21">
        <f>'Raw Data'!E416</f>
        <v>1</v>
      </c>
      <c r="F416" s="21">
        <f>IF('Raw Data'!F416="",ROUND(AVERAGE('Raw Data'!$F$2:$F$1501),1),'Raw Data'!F416)</f>
        <v>9</v>
      </c>
      <c r="G416" s="21" t="str">
        <f>'Raw Data'!G416</f>
        <v>Debit Card</v>
      </c>
      <c r="H416" s="21" t="str">
        <f>'Raw Data'!H416</f>
        <v>Male</v>
      </c>
      <c r="I416" s="21">
        <f>IF('Raw Data'!I416="",ROUND(AVERAGE('Raw Data'!$I$2:$I$1501),1),'Raw Data'!I416)</f>
        <v>2.2999999999999998</v>
      </c>
      <c r="J416" s="21">
        <f>'Raw Data'!J416</f>
        <v>4</v>
      </c>
      <c r="K416" s="21" t="str">
        <f>'Raw Data'!K416</f>
        <v>Mobile Phone</v>
      </c>
      <c r="L416" s="21">
        <f>'Raw Data'!L416</f>
        <v>5</v>
      </c>
      <c r="M416" s="21" t="str">
        <f>'Raw Data'!M416</f>
        <v>Single</v>
      </c>
      <c r="N416" s="21">
        <f>'Raw Data'!N416</f>
        <v>2</v>
      </c>
      <c r="O416" s="21">
        <f>'Raw Data'!O416</f>
        <v>0</v>
      </c>
      <c r="P416" s="21">
        <f>IF('Raw Data'!P416="",ROUND(AVERAGE('Raw Data'!$P$2:$P$1501),1),'Raw Data'!P416)</f>
        <v>18.899999999999999</v>
      </c>
      <c r="Q416" s="21">
        <f>IF('Raw Data'!Q416="",ROUND(AVERAGE('Raw Data'!$Q$2:$Q$1501),0),'Raw Data'!Q416)</f>
        <v>3</v>
      </c>
      <c r="R416" s="21">
        <f>'Raw Data'!R416</f>
        <v>2</v>
      </c>
      <c r="S416" s="21">
        <f>IF('Raw Data'!S416="",ROUND(AVERAGE('Raw Data'!$S$2:$S$1501),0),'Raw Data'!S416)</f>
        <v>7</v>
      </c>
      <c r="T416" s="21">
        <f>'Raw Data'!T416</f>
        <v>177.49</v>
      </c>
      <c r="U416" s="21" t="str">
        <f>INDEX('Lookup Tables'!$C$7:$C$9,MATCH(E416,'Lookup Tables'!$B$7:$B$9,0))</f>
        <v>Tier 1 (Metro)</v>
      </c>
      <c r="V416" s="21" t="str">
        <f t="shared" si="18"/>
        <v>0-6 months</v>
      </c>
      <c r="W416" s="21" t="str">
        <f t="shared" si="19"/>
        <v>Low Risk</v>
      </c>
      <c r="X416" s="21" t="str">
        <f t="shared" si="20"/>
        <v>No</v>
      </c>
    </row>
    <row r="417" spans="1:24" x14ac:dyDescent="0.3">
      <c r="A417" s="21">
        <f>'Raw Data'!A417</f>
        <v>50416</v>
      </c>
      <c r="B417" s="21">
        <f>'Raw Data'!B417</f>
        <v>0</v>
      </c>
      <c r="C417" s="21">
        <f>'Raw Data'!C417</f>
        <v>15</v>
      </c>
      <c r="D417" s="21" t="str">
        <f>'Raw Data'!D417</f>
        <v>Phone</v>
      </c>
      <c r="E417" s="21">
        <f>'Raw Data'!E417</f>
        <v>1</v>
      </c>
      <c r="F417" s="21">
        <f>IF('Raw Data'!F417="",ROUND(AVERAGE('Raw Data'!$F$2:$F$1501),1),'Raw Data'!F417)</f>
        <v>11</v>
      </c>
      <c r="G417" s="21" t="str">
        <f>'Raw Data'!G417</f>
        <v>Debit Card</v>
      </c>
      <c r="H417" s="21" t="str">
        <f>'Raw Data'!H417</f>
        <v>Female</v>
      </c>
      <c r="I417" s="21">
        <f>IF('Raw Data'!I417="",ROUND(AVERAGE('Raw Data'!$I$2:$I$1501),1),'Raw Data'!I417)</f>
        <v>4</v>
      </c>
      <c r="J417" s="21">
        <f>'Raw Data'!J417</f>
        <v>4</v>
      </c>
      <c r="K417" s="21" t="str">
        <f>'Raw Data'!K417</f>
        <v>Grocery</v>
      </c>
      <c r="L417" s="21">
        <f>'Raw Data'!L417</f>
        <v>4</v>
      </c>
      <c r="M417" s="21" t="str">
        <f>'Raw Data'!M417</f>
        <v>Single</v>
      </c>
      <c r="N417" s="21">
        <f>'Raw Data'!N417</f>
        <v>2</v>
      </c>
      <c r="O417" s="21">
        <f>'Raw Data'!O417</f>
        <v>1</v>
      </c>
      <c r="P417" s="21">
        <f>IF('Raw Data'!P417="",ROUND(AVERAGE('Raw Data'!$P$2:$P$1501),1),'Raw Data'!P417)</f>
        <v>20.8</v>
      </c>
      <c r="Q417" s="21">
        <f>IF('Raw Data'!Q417="",ROUND(AVERAGE('Raw Data'!$Q$2:$Q$1501),0),'Raw Data'!Q417)</f>
        <v>0</v>
      </c>
      <c r="R417" s="21">
        <f>'Raw Data'!R417</f>
        <v>3</v>
      </c>
      <c r="S417" s="21">
        <f>IF('Raw Data'!S417="",ROUND(AVERAGE('Raw Data'!$S$2:$S$1501),0),'Raw Data'!S417)</f>
        <v>7</v>
      </c>
      <c r="T417" s="21">
        <f>'Raw Data'!T417</f>
        <v>168.5</v>
      </c>
      <c r="U417" s="21" t="str">
        <f>INDEX('Lookup Tables'!$C$7:$C$9,MATCH(E417,'Lookup Tables'!$B$7:$B$9,0))</f>
        <v>Tier 1 (Metro)</v>
      </c>
      <c r="V417" s="21" t="str">
        <f t="shared" si="18"/>
        <v>13-24 months</v>
      </c>
      <c r="W417" s="21" t="str">
        <f t="shared" si="19"/>
        <v>Low Risk</v>
      </c>
      <c r="X417" s="21" t="str">
        <f t="shared" si="20"/>
        <v>No</v>
      </c>
    </row>
    <row r="418" spans="1:24" x14ac:dyDescent="0.3">
      <c r="A418" s="21">
        <f>'Raw Data'!A418</f>
        <v>50417</v>
      </c>
      <c r="B418" s="21">
        <f>'Raw Data'!B418</f>
        <v>0</v>
      </c>
      <c r="C418" s="21">
        <f>'Raw Data'!C418</f>
        <v>11</v>
      </c>
      <c r="D418" s="21" t="str">
        <f>'Raw Data'!D418</f>
        <v>Phone</v>
      </c>
      <c r="E418" s="21">
        <f>'Raw Data'!E418</f>
        <v>1</v>
      </c>
      <c r="F418" s="21">
        <f>IF('Raw Data'!F418="",ROUND(AVERAGE('Raw Data'!$F$2:$F$1501),1),'Raw Data'!F418)</f>
        <v>30</v>
      </c>
      <c r="G418" s="21" t="str">
        <f>'Raw Data'!G418</f>
        <v>Debit Card</v>
      </c>
      <c r="H418" s="21" t="str">
        <f>'Raw Data'!H418</f>
        <v>Female</v>
      </c>
      <c r="I418" s="21">
        <f>IF('Raw Data'!I418="",ROUND(AVERAGE('Raw Data'!$I$2:$I$1501),1),'Raw Data'!I418)</f>
        <v>2.4</v>
      </c>
      <c r="J418" s="21">
        <f>'Raw Data'!J418</f>
        <v>2</v>
      </c>
      <c r="K418" s="21" t="str">
        <f>'Raw Data'!K418</f>
        <v>Fashion</v>
      </c>
      <c r="L418" s="21">
        <f>'Raw Data'!L418</f>
        <v>4</v>
      </c>
      <c r="M418" s="21" t="str">
        <f>'Raw Data'!M418</f>
        <v>Single</v>
      </c>
      <c r="N418" s="21">
        <f>'Raw Data'!N418</f>
        <v>22</v>
      </c>
      <c r="O418" s="21">
        <f>'Raw Data'!O418</f>
        <v>0</v>
      </c>
      <c r="P418" s="21">
        <f>IF('Raw Data'!P418="",ROUND(AVERAGE('Raw Data'!$P$2:$P$1501),1),'Raw Data'!P418)</f>
        <v>14</v>
      </c>
      <c r="Q418" s="21">
        <f>IF('Raw Data'!Q418="",ROUND(AVERAGE('Raw Data'!$Q$2:$Q$1501),0),'Raw Data'!Q418)</f>
        <v>2</v>
      </c>
      <c r="R418" s="21">
        <f>'Raw Data'!R418</f>
        <v>5</v>
      </c>
      <c r="S418" s="21">
        <f>IF('Raw Data'!S418="",ROUND(AVERAGE('Raw Data'!$S$2:$S$1501),0),'Raw Data'!S418)</f>
        <v>3</v>
      </c>
      <c r="T418" s="21">
        <f>'Raw Data'!T418</f>
        <v>208.44</v>
      </c>
      <c r="U418" s="21" t="str">
        <f>INDEX('Lookup Tables'!$C$7:$C$9,MATCH(E418,'Lookup Tables'!$B$7:$B$9,0))</f>
        <v>Tier 1 (Metro)</v>
      </c>
      <c r="V418" s="21" t="str">
        <f t="shared" si="18"/>
        <v>7-12 months</v>
      </c>
      <c r="W418" s="21" t="str">
        <f t="shared" si="19"/>
        <v>Low Risk</v>
      </c>
      <c r="X418" s="21" t="str">
        <f t="shared" si="20"/>
        <v>No</v>
      </c>
    </row>
    <row r="419" spans="1:24" x14ac:dyDescent="0.3">
      <c r="A419" s="21">
        <f>'Raw Data'!A419</f>
        <v>50418</v>
      </c>
      <c r="B419" s="21">
        <f>'Raw Data'!B419</f>
        <v>0</v>
      </c>
      <c r="C419" s="21">
        <f>'Raw Data'!C419</f>
        <v>2</v>
      </c>
      <c r="D419" s="21" t="str">
        <f>'Raw Data'!D419</f>
        <v>Mobile Phone</v>
      </c>
      <c r="E419" s="21">
        <f>'Raw Data'!E419</f>
        <v>1</v>
      </c>
      <c r="F419" s="21">
        <f>IF('Raw Data'!F419="",ROUND(AVERAGE('Raw Data'!$F$2:$F$1501),1),'Raw Data'!F419)</f>
        <v>8</v>
      </c>
      <c r="G419" s="21" t="str">
        <f>'Raw Data'!G419</f>
        <v>Debit Card</v>
      </c>
      <c r="H419" s="21" t="str">
        <f>'Raw Data'!H419</f>
        <v>Male</v>
      </c>
      <c r="I419" s="21">
        <f>IF('Raw Data'!I419="",ROUND(AVERAGE('Raw Data'!$I$2:$I$1501),1),'Raw Data'!I419)</f>
        <v>1.4</v>
      </c>
      <c r="J419" s="21">
        <f>'Raw Data'!J419</f>
        <v>2</v>
      </c>
      <c r="K419" s="21" t="str">
        <f>'Raw Data'!K419</f>
        <v>Laptop &amp; Accessory</v>
      </c>
      <c r="L419" s="21">
        <f>'Raw Data'!L419</f>
        <v>2</v>
      </c>
      <c r="M419" s="21" t="str">
        <f>'Raw Data'!M419</f>
        <v>Single</v>
      </c>
      <c r="N419" s="21">
        <f>'Raw Data'!N419</f>
        <v>3</v>
      </c>
      <c r="O419" s="21">
        <f>'Raw Data'!O419</f>
        <v>0</v>
      </c>
      <c r="P419" s="21">
        <f>IF('Raw Data'!P419="",ROUND(AVERAGE('Raw Data'!$P$2:$P$1501),1),'Raw Data'!P419)</f>
        <v>21.9</v>
      </c>
      <c r="Q419" s="21">
        <f>IF('Raw Data'!Q419="",ROUND(AVERAGE('Raw Data'!$Q$2:$Q$1501),0),'Raw Data'!Q419)</f>
        <v>3</v>
      </c>
      <c r="R419" s="21">
        <f>'Raw Data'!R419</f>
        <v>2</v>
      </c>
      <c r="S419" s="21">
        <f>IF('Raw Data'!S419="",ROUND(AVERAGE('Raw Data'!$S$2:$S$1501),0),'Raw Data'!S419)</f>
        <v>3</v>
      </c>
      <c r="T419" s="21">
        <f>'Raw Data'!T419</f>
        <v>204.37</v>
      </c>
      <c r="U419" s="21" t="str">
        <f>INDEX('Lookup Tables'!$C$7:$C$9,MATCH(E419,'Lookup Tables'!$B$7:$B$9,0))</f>
        <v>Tier 1 (Metro)</v>
      </c>
      <c r="V419" s="21" t="str">
        <f t="shared" si="18"/>
        <v>0-6 months</v>
      </c>
      <c r="W419" s="21" t="str">
        <f t="shared" si="19"/>
        <v>Low Risk</v>
      </c>
      <c r="X419" s="21" t="str">
        <f t="shared" si="20"/>
        <v>No</v>
      </c>
    </row>
    <row r="420" spans="1:24" x14ac:dyDescent="0.3">
      <c r="A420" s="21">
        <f>'Raw Data'!A420</f>
        <v>50419</v>
      </c>
      <c r="B420" s="21">
        <f>'Raw Data'!B420</f>
        <v>0</v>
      </c>
      <c r="C420" s="21">
        <f>'Raw Data'!C420</f>
        <v>0</v>
      </c>
      <c r="D420" s="21" t="str">
        <f>'Raw Data'!D420</f>
        <v>Phone</v>
      </c>
      <c r="E420" s="21">
        <f>'Raw Data'!E420</f>
        <v>2</v>
      </c>
      <c r="F420" s="21">
        <f>IF('Raw Data'!F420="",ROUND(AVERAGE('Raw Data'!$F$2:$F$1501),1),'Raw Data'!F420)</f>
        <v>10</v>
      </c>
      <c r="G420" s="21" t="str">
        <f>'Raw Data'!G420</f>
        <v>Cash on Delivery</v>
      </c>
      <c r="H420" s="21" t="str">
        <f>'Raw Data'!H420</f>
        <v>Male</v>
      </c>
      <c r="I420" s="21">
        <f>IF('Raw Data'!I420="",ROUND(AVERAGE('Raw Data'!$I$2:$I$1501),1),'Raw Data'!I420)</f>
        <v>3.2</v>
      </c>
      <c r="J420" s="21">
        <f>'Raw Data'!J420</f>
        <v>4</v>
      </c>
      <c r="K420" s="21" t="str">
        <f>'Raw Data'!K420</f>
        <v>Fashion</v>
      </c>
      <c r="L420" s="21">
        <f>'Raw Data'!L420</f>
        <v>5</v>
      </c>
      <c r="M420" s="21" t="str">
        <f>'Raw Data'!M420</f>
        <v>Single</v>
      </c>
      <c r="N420" s="21">
        <f>'Raw Data'!N420</f>
        <v>4</v>
      </c>
      <c r="O420" s="21">
        <f>'Raw Data'!O420</f>
        <v>0</v>
      </c>
      <c r="P420" s="21">
        <f>IF('Raw Data'!P420="",ROUND(AVERAGE('Raw Data'!$P$2:$P$1501),1),'Raw Data'!P420)</f>
        <v>13.6</v>
      </c>
      <c r="Q420" s="21">
        <f>IF('Raw Data'!Q420="",ROUND(AVERAGE('Raw Data'!$Q$2:$Q$1501),0),'Raw Data'!Q420)</f>
        <v>3</v>
      </c>
      <c r="R420" s="21">
        <f>'Raw Data'!R420</f>
        <v>5</v>
      </c>
      <c r="S420" s="21">
        <f>IF('Raw Data'!S420="",ROUND(AVERAGE('Raw Data'!$S$2:$S$1501),0),'Raw Data'!S420)</f>
        <v>7</v>
      </c>
      <c r="T420" s="21">
        <f>'Raw Data'!T420</f>
        <v>93.55</v>
      </c>
      <c r="U420" s="21" t="str">
        <f>INDEX('Lookup Tables'!$C$7:$C$9,MATCH(E420,'Lookup Tables'!$B$7:$B$9,0))</f>
        <v>Tier 2 (Urban)</v>
      </c>
      <c r="V420" s="21" t="str">
        <f t="shared" si="18"/>
        <v>0-6 months</v>
      </c>
      <c r="W420" s="21" t="str">
        <f t="shared" si="19"/>
        <v>Low Risk</v>
      </c>
      <c r="X420" s="21" t="str">
        <f t="shared" si="20"/>
        <v>No</v>
      </c>
    </row>
    <row r="421" spans="1:24" x14ac:dyDescent="0.3">
      <c r="A421" s="21">
        <f>'Raw Data'!A421</f>
        <v>50420</v>
      </c>
      <c r="B421" s="21">
        <f>'Raw Data'!B421</f>
        <v>0</v>
      </c>
      <c r="C421" s="21">
        <f>'Raw Data'!C421</f>
        <v>11</v>
      </c>
      <c r="D421" s="21" t="str">
        <f>'Raw Data'!D421</f>
        <v>Mobile Phone</v>
      </c>
      <c r="E421" s="21">
        <f>'Raw Data'!E421</f>
        <v>3</v>
      </c>
      <c r="F421" s="21">
        <f>IF('Raw Data'!F421="",ROUND(AVERAGE('Raw Data'!$F$2:$F$1501),1),'Raw Data'!F421)</f>
        <v>13</v>
      </c>
      <c r="G421" s="21" t="str">
        <f>'Raw Data'!G421</f>
        <v>Credit Card</v>
      </c>
      <c r="H421" s="21" t="str">
        <f>'Raw Data'!H421</f>
        <v>Male</v>
      </c>
      <c r="I421" s="21">
        <f>IF('Raw Data'!I421="",ROUND(AVERAGE('Raw Data'!$I$2:$I$1501),1),'Raw Data'!I421)</f>
        <v>2.1</v>
      </c>
      <c r="J421" s="21">
        <f>'Raw Data'!J421</f>
        <v>3</v>
      </c>
      <c r="K421" s="21" t="str">
        <f>'Raw Data'!K421</f>
        <v>Fashion</v>
      </c>
      <c r="L421" s="21">
        <f>'Raw Data'!L421</f>
        <v>3</v>
      </c>
      <c r="M421" s="21" t="str">
        <f>'Raw Data'!M421</f>
        <v>Divorced</v>
      </c>
      <c r="N421" s="21">
        <f>'Raw Data'!N421</f>
        <v>2</v>
      </c>
      <c r="O421" s="21">
        <f>'Raw Data'!O421</f>
        <v>0</v>
      </c>
      <c r="P421" s="21">
        <f>IF('Raw Data'!P421="",ROUND(AVERAGE('Raw Data'!$P$2:$P$1501),1),'Raw Data'!P421)</f>
        <v>17.5</v>
      </c>
      <c r="Q421" s="21">
        <f>IF('Raw Data'!Q421="",ROUND(AVERAGE('Raw Data'!$Q$2:$Q$1501),0),'Raw Data'!Q421)</f>
        <v>1</v>
      </c>
      <c r="R421" s="21">
        <f>'Raw Data'!R421</f>
        <v>4</v>
      </c>
      <c r="S421" s="21">
        <f>IF('Raw Data'!S421="",ROUND(AVERAGE('Raw Data'!$S$2:$S$1501),0),'Raw Data'!S421)</f>
        <v>8</v>
      </c>
      <c r="T421" s="21">
        <f>'Raw Data'!T421</f>
        <v>172.76</v>
      </c>
      <c r="U421" s="21" t="str">
        <f>INDEX('Lookup Tables'!$C$7:$C$9,MATCH(E421,'Lookup Tables'!$B$7:$B$9,0))</f>
        <v>Tier 3 (Semi-urban/Rural)</v>
      </c>
      <c r="V421" s="21" t="str">
        <f t="shared" si="18"/>
        <v>7-12 months</v>
      </c>
      <c r="W421" s="21" t="str">
        <f t="shared" si="19"/>
        <v>Medium Risk</v>
      </c>
      <c r="X421" s="21" t="str">
        <f t="shared" si="20"/>
        <v>No</v>
      </c>
    </row>
    <row r="422" spans="1:24" x14ac:dyDescent="0.3">
      <c r="A422" s="21">
        <f>'Raw Data'!A422</f>
        <v>50421</v>
      </c>
      <c r="B422" s="21">
        <f>'Raw Data'!B422</f>
        <v>0</v>
      </c>
      <c r="C422" s="21">
        <f>'Raw Data'!C422</f>
        <v>10</v>
      </c>
      <c r="D422" s="21" t="str">
        <f>'Raw Data'!D422</f>
        <v>Mobile Phone</v>
      </c>
      <c r="E422" s="21">
        <f>'Raw Data'!E422</f>
        <v>3</v>
      </c>
      <c r="F422" s="21">
        <f>IF('Raw Data'!F422="",ROUND(AVERAGE('Raw Data'!$F$2:$F$1501),1),'Raw Data'!F422)</f>
        <v>21</v>
      </c>
      <c r="G422" s="21" t="str">
        <f>'Raw Data'!G422</f>
        <v>Debit Card</v>
      </c>
      <c r="H422" s="21" t="str">
        <f>'Raw Data'!H422</f>
        <v>Male</v>
      </c>
      <c r="I422" s="21">
        <f>IF('Raw Data'!I422="",ROUND(AVERAGE('Raw Data'!$I$2:$I$1501),1),'Raw Data'!I422)</f>
        <v>3.6</v>
      </c>
      <c r="J422" s="21">
        <f>'Raw Data'!J422</f>
        <v>5</v>
      </c>
      <c r="K422" s="21" t="str">
        <f>'Raw Data'!K422</f>
        <v>Fashion</v>
      </c>
      <c r="L422" s="21">
        <f>'Raw Data'!L422</f>
        <v>3</v>
      </c>
      <c r="M422" s="21" t="str">
        <f>'Raw Data'!M422</f>
        <v>Married</v>
      </c>
      <c r="N422" s="21">
        <f>'Raw Data'!N422</f>
        <v>1</v>
      </c>
      <c r="O422" s="21">
        <f>'Raw Data'!O422</f>
        <v>1</v>
      </c>
      <c r="P422" s="21">
        <f>IF('Raw Data'!P422="",ROUND(AVERAGE('Raw Data'!$P$2:$P$1501),1),'Raw Data'!P422)</f>
        <v>14.9</v>
      </c>
      <c r="Q422" s="21">
        <f>IF('Raw Data'!Q422="",ROUND(AVERAGE('Raw Data'!$Q$2:$Q$1501),0),'Raw Data'!Q422)</f>
        <v>3</v>
      </c>
      <c r="R422" s="21">
        <f>'Raw Data'!R422</f>
        <v>4</v>
      </c>
      <c r="S422" s="21">
        <f>IF('Raw Data'!S422="",ROUND(AVERAGE('Raw Data'!$S$2:$S$1501),0),'Raw Data'!S422)</f>
        <v>2</v>
      </c>
      <c r="T422" s="21">
        <f>'Raw Data'!T422</f>
        <v>97.18</v>
      </c>
      <c r="U422" s="21" t="str">
        <f>INDEX('Lookup Tables'!$C$7:$C$9,MATCH(E422,'Lookup Tables'!$B$7:$B$9,0))</f>
        <v>Tier 3 (Semi-urban/Rural)</v>
      </c>
      <c r="V422" s="21" t="str">
        <f t="shared" si="18"/>
        <v>7-12 months</v>
      </c>
      <c r="W422" s="21" t="str">
        <f t="shared" si="19"/>
        <v>Medium Risk</v>
      </c>
      <c r="X422" s="21" t="str">
        <f t="shared" si="20"/>
        <v>No</v>
      </c>
    </row>
    <row r="423" spans="1:24" x14ac:dyDescent="0.3">
      <c r="A423" s="21">
        <f>'Raw Data'!A423</f>
        <v>50422</v>
      </c>
      <c r="B423" s="21">
        <f>'Raw Data'!B423</f>
        <v>0</v>
      </c>
      <c r="C423" s="21">
        <f>'Raw Data'!C423</f>
        <v>3</v>
      </c>
      <c r="D423" s="21" t="str">
        <f>'Raw Data'!D423</f>
        <v>Computer</v>
      </c>
      <c r="E423" s="21">
        <f>'Raw Data'!E423</f>
        <v>1</v>
      </c>
      <c r="F423" s="21">
        <f>IF('Raw Data'!F423="",ROUND(AVERAGE('Raw Data'!$F$2:$F$1501),1),'Raw Data'!F423)</f>
        <v>16</v>
      </c>
      <c r="G423" s="21" t="str">
        <f>'Raw Data'!G423</f>
        <v>Credit Card</v>
      </c>
      <c r="H423" s="21" t="str">
        <f>'Raw Data'!H423</f>
        <v>Male</v>
      </c>
      <c r="I423" s="21">
        <f>IF('Raw Data'!I423="",ROUND(AVERAGE('Raw Data'!$I$2:$I$1501),1),'Raw Data'!I423)</f>
        <v>2.6</v>
      </c>
      <c r="J423" s="21">
        <f>'Raw Data'!J423</f>
        <v>4</v>
      </c>
      <c r="K423" s="21" t="str">
        <f>'Raw Data'!K423</f>
        <v>Fashion</v>
      </c>
      <c r="L423" s="21">
        <f>'Raw Data'!L423</f>
        <v>4</v>
      </c>
      <c r="M423" s="21" t="str">
        <f>'Raw Data'!M423</f>
        <v>Single</v>
      </c>
      <c r="N423" s="21">
        <f>'Raw Data'!N423</f>
        <v>5</v>
      </c>
      <c r="O423" s="21">
        <f>'Raw Data'!O423</f>
        <v>1</v>
      </c>
      <c r="P423" s="21">
        <f>IF('Raw Data'!P423="",ROUND(AVERAGE('Raw Data'!$P$2:$P$1501),1),'Raw Data'!P423)</f>
        <v>14.9</v>
      </c>
      <c r="Q423" s="21">
        <f>IF('Raw Data'!Q423="",ROUND(AVERAGE('Raw Data'!$Q$2:$Q$1501),0),'Raw Data'!Q423)</f>
        <v>0</v>
      </c>
      <c r="R423" s="21">
        <f>'Raw Data'!R423</f>
        <v>3</v>
      </c>
      <c r="S423" s="21">
        <f>IF('Raw Data'!S423="",ROUND(AVERAGE('Raw Data'!$S$2:$S$1501),0),'Raw Data'!S423)</f>
        <v>8</v>
      </c>
      <c r="T423" s="21">
        <f>'Raw Data'!T423</f>
        <v>214.96</v>
      </c>
      <c r="U423" s="21" t="str">
        <f>INDEX('Lookup Tables'!$C$7:$C$9,MATCH(E423,'Lookup Tables'!$B$7:$B$9,0))</f>
        <v>Tier 1 (Metro)</v>
      </c>
      <c r="V423" s="21" t="str">
        <f t="shared" si="18"/>
        <v>0-6 months</v>
      </c>
      <c r="W423" s="21" t="str">
        <f t="shared" si="19"/>
        <v>Low Risk</v>
      </c>
      <c r="X423" s="21" t="str">
        <f t="shared" si="20"/>
        <v>No</v>
      </c>
    </row>
    <row r="424" spans="1:24" x14ac:dyDescent="0.3">
      <c r="A424" s="21">
        <f>'Raw Data'!A424</f>
        <v>50423</v>
      </c>
      <c r="B424" s="21">
        <f>'Raw Data'!B424</f>
        <v>0</v>
      </c>
      <c r="C424" s="21">
        <f>'Raw Data'!C424</f>
        <v>30</v>
      </c>
      <c r="D424" s="21" t="str">
        <f>'Raw Data'!D424</f>
        <v>Computer</v>
      </c>
      <c r="E424" s="21">
        <f>'Raw Data'!E424</f>
        <v>3</v>
      </c>
      <c r="F424" s="21">
        <f>IF('Raw Data'!F424="",ROUND(AVERAGE('Raw Data'!$F$2:$F$1501),1),'Raw Data'!F424)</f>
        <v>5</v>
      </c>
      <c r="G424" s="21" t="str">
        <f>'Raw Data'!G424</f>
        <v>Debit Card</v>
      </c>
      <c r="H424" s="21" t="str">
        <f>'Raw Data'!H424</f>
        <v>Female</v>
      </c>
      <c r="I424" s="21">
        <f>IF('Raw Data'!I424="",ROUND(AVERAGE('Raw Data'!$I$2:$I$1501),1),'Raw Data'!I424)</f>
        <v>3.3</v>
      </c>
      <c r="J424" s="21">
        <f>'Raw Data'!J424</f>
        <v>3</v>
      </c>
      <c r="K424" s="21" t="str">
        <f>'Raw Data'!K424</f>
        <v>Others</v>
      </c>
      <c r="L424" s="21">
        <f>'Raw Data'!L424</f>
        <v>4</v>
      </c>
      <c r="M424" s="21" t="str">
        <f>'Raw Data'!M424</f>
        <v>Married</v>
      </c>
      <c r="N424" s="21">
        <f>'Raw Data'!N424</f>
        <v>2</v>
      </c>
      <c r="O424" s="21">
        <f>'Raw Data'!O424</f>
        <v>1</v>
      </c>
      <c r="P424" s="21">
        <f>IF('Raw Data'!P424="",ROUND(AVERAGE('Raw Data'!$P$2:$P$1501),1),'Raw Data'!P424)</f>
        <v>13.8</v>
      </c>
      <c r="Q424" s="21">
        <f>IF('Raw Data'!Q424="",ROUND(AVERAGE('Raw Data'!$Q$2:$Q$1501),0),'Raw Data'!Q424)</f>
        <v>1</v>
      </c>
      <c r="R424" s="21">
        <f>'Raw Data'!R424</f>
        <v>2</v>
      </c>
      <c r="S424" s="21">
        <f>IF('Raw Data'!S424="",ROUND(AVERAGE('Raw Data'!$S$2:$S$1501),0),'Raw Data'!S424)</f>
        <v>8</v>
      </c>
      <c r="T424" s="21">
        <f>'Raw Data'!T424</f>
        <v>222.22</v>
      </c>
      <c r="U424" s="21" t="str">
        <f>INDEX('Lookup Tables'!$C$7:$C$9,MATCH(E424,'Lookup Tables'!$B$7:$B$9,0))</f>
        <v>Tier 3 (Semi-urban/Rural)</v>
      </c>
      <c r="V424" s="21" t="str">
        <f t="shared" si="18"/>
        <v>25+ months</v>
      </c>
      <c r="W424" s="21" t="str">
        <f t="shared" si="19"/>
        <v>Low Risk</v>
      </c>
      <c r="X424" s="21" t="str">
        <f t="shared" si="20"/>
        <v>No</v>
      </c>
    </row>
    <row r="425" spans="1:24" x14ac:dyDescent="0.3">
      <c r="A425" s="21">
        <f>'Raw Data'!A425</f>
        <v>50424</v>
      </c>
      <c r="B425" s="21">
        <f>'Raw Data'!B425</f>
        <v>0</v>
      </c>
      <c r="C425" s="21">
        <f>'Raw Data'!C425</f>
        <v>1</v>
      </c>
      <c r="D425" s="21" t="str">
        <f>'Raw Data'!D425</f>
        <v>Phone</v>
      </c>
      <c r="E425" s="21">
        <f>'Raw Data'!E425</f>
        <v>3</v>
      </c>
      <c r="F425" s="21">
        <f>IF('Raw Data'!F425="",ROUND(AVERAGE('Raw Data'!$F$2:$F$1501),1),'Raw Data'!F425)</f>
        <v>10</v>
      </c>
      <c r="G425" s="21" t="str">
        <f>'Raw Data'!G425</f>
        <v>E wallet</v>
      </c>
      <c r="H425" s="21" t="str">
        <f>'Raw Data'!H425</f>
        <v>Female</v>
      </c>
      <c r="I425" s="21">
        <f>IF('Raw Data'!I425="",ROUND(AVERAGE('Raw Data'!$I$2:$I$1501),1),'Raw Data'!I425)</f>
        <v>3.9</v>
      </c>
      <c r="J425" s="21">
        <f>'Raw Data'!J425</f>
        <v>3</v>
      </c>
      <c r="K425" s="21" t="str">
        <f>'Raw Data'!K425</f>
        <v>Laptop &amp; Accessory</v>
      </c>
      <c r="L425" s="21">
        <f>'Raw Data'!L425</f>
        <v>4</v>
      </c>
      <c r="M425" s="21" t="str">
        <f>'Raw Data'!M425</f>
        <v>Married</v>
      </c>
      <c r="N425" s="21">
        <f>'Raw Data'!N425</f>
        <v>18</v>
      </c>
      <c r="O425" s="21">
        <f>'Raw Data'!O425</f>
        <v>0</v>
      </c>
      <c r="P425" s="21">
        <f>IF('Raw Data'!P425="",ROUND(AVERAGE('Raw Data'!$P$2:$P$1501),1),'Raw Data'!P425)</f>
        <v>18.399999999999999</v>
      </c>
      <c r="Q425" s="21">
        <f>IF('Raw Data'!Q425="",ROUND(AVERAGE('Raw Data'!$Q$2:$Q$1501),0),'Raw Data'!Q425)</f>
        <v>0</v>
      </c>
      <c r="R425" s="21">
        <f>'Raw Data'!R425</f>
        <v>4</v>
      </c>
      <c r="S425" s="21">
        <f>IF('Raw Data'!S425="",ROUND(AVERAGE('Raw Data'!$S$2:$S$1501),0),'Raw Data'!S425)</f>
        <v>1</v>
      </c>
      <c r="T425" s="21">
        <f>'Raw Data'!T425</f>
        <v>146.41</v>
      </c>
      <c r="U425" s="21" t="str">
        <f>INDEX('Lookup Tables'!$C$7:$C$9,MATCH(E425,'Lookup Tables'!$B$7:$B$9,0))</f>
        <v>Tier 3 (Semi-urban/Rural)</v>
      </c>
      <c r="V425" s="21" t="str">
        <f t="shared" si="18"/>
        <v>0-6 months</v>
      </c>
      <c r="W425" s="21" t="str">
        <f t="shared" si="19"/>
        <v>Low Risk</v>
      </c>
      <c r="X425" s="21" t="str">
        <f t="shared" si="20"/>
        <v>No</v>
      </c>
    </row>
    <row r="426" spans="1:24" x14ac:dyDescent="0.3">
      <c r="A426" s="21">
        <f>'Raw Data'!A426</f>
        <v>50425</v>
      </c>
      <c r="B426" s="21">
        <f>'Raw Data'!B426</f>
        <v>0</v>
      </c>
      <c r="C426" s="21">
        <f>'Raw Data'!C426</f>
        <v>5</v>
      </c>
      <c r="D426" s="21" t="str">
        <f>'Raw Data'!D426</f>
        <v>Mobile Phone</v>
      </c>
      <c r="E426" s="21">
        <f>'Raw Data'!E426</f>
        <v>3</v>
      </c>
      <c r="F426" s="21">
        <f>IF('Raw Data'!F426="",ROUND(AVERAGE('Raw Data'!$F$2:$F$1501),1),'Raw Data'!F426)</f>
        <v>10</v>
      </c>
      <c r="G426" s="21" t="str">
        <f>'Raw Data'!G426</f>
        <v>Cash on Delivery</v>
      </c>
      <c r="H426" s="21" t="str">
        <f>'Raw Data'!H426</f>
        <v>Female</v>
      </c>
      <c r="I426" s="21">
        <f>IF('Raw Data'!I426="",ROUND(AVERAGE('Raw Data'!$I$2:$I$1501),1),'Raw Data'!I426)</f>
        <v>2.1</v>
      </c>
      <c r="J426" s="21">
        <f>'Raw Data'!J426</f>
        <v>3</v>
      </c>
      <c r="K426" s="21" t="str">
        <f>'Raw Data'!K426</f>
        <v>Others</v>
      </c>
      <c r="L426" s="21">
        <f>'Raw Data'!L426</f>
        <v>5</v>
      </c>
      <c r="M426" s="21" t="str">
        <f>'Raw Data'!M426</f>
        <v>Divorced</v>
      </c>
      <c r="N426" s="21">
        <f>'Raw Data'!N426</f>
        <v>2</v>
      </c>
      <c r="O426" s="21">
        <f>'Raw Data'!O426</f>
        <v>0</v>
      </c>
      <c r="P426" s="21">
        <f>IF('Raw Data'!P426="",ROUND(AVERAGE('Raw Data'!$P$2:$P$1501),1),'Raw Data'!P426)</f>
        <v>19</v>
      </c>
      <c r="Q426" s="21">
        <f>IF('Raw Data'!Q426="",ROUND(AVERAGE('Raw Data'!$Q$2:$Q$1501),0),'Raw Data'!Q426)</f>
        <v>3</v>
      </c>
      <c r="R426" s="21">
        <f>'Raw Data'!R426</f>
        <v>1</v>
      </c>
      <c r="S426" s="21">
        <f>IF('Raw Data'!S426="",ROUND(AVERAGE('Raw Data'!$S$2:$S$1501),0),'Raw Data'!S426)</f>
        <v>6</v>
      </c>
      <c r="T426" s="21">
        <f>'Raw Data'!T426</f>
        <v>173.58</v>
      </c>
      <c r="U426" s="21" t="str">
        <f>INDEX('Lookup Tables'!$C$7:$C$9,MATCH(E426,'Lookup Tables'!$B$7:$B$9,0))</f>
        <v>Tier 3 (Semi-urban/Rural)</v>
      </c>
      <c r="V426" s="21" t="str">
        <f t="shared" si="18"/>
        <v>0-6 months</v>
      </c>
      <c r="W426" s="21" t="str">
        <f t="shared" si="19"/>
        <v>Low Risk</v>
      </c>
      <c r="X426" s="21" t="str">
        <f t="shared" si="20"/>
        <v>No</v>
      </c>
    </row>
    <row r="427" spans="1:24" x14ac:dyDescent="0.3">
      <c r="A427" s="21">
        <f>'Raw Data'!A427</f>
        <v>50426</v>
      </c>
      <c r="B427" s="21">
        <f>'Raw Data'!B427</f>
        <v>0</v>
      </c>
      <c r="C427" s="21">
        <f>'Raw Data'!C427</f>
        <v>28</v>
      </c>
      <c r="D427" s="21" t="str">
        <f>'Raw Data'!D427</f>
        <v>Computer</v>
      </c>
      <c r="E427" s="21">
        <f>'Raw Data'!E427</f>
        <v>1</v>
      </c>
      <c r="F427" s="21">
        <f>IF('Raw Data'!F427="",ROUND(AVERAGE('Raw Data'!$F$2:$F$1501),1),'Raw Data'!F427)</f>
        <v>14</v>
      </c>
      <c r="G427" s="21" t="str">
        <f>'Raw Data'!G427</f>
        <v>Credit Card</v>
      </c>
      <c r="H427" s="21" t="str">
        <f>'Raw Data'!H427</f>
        <v>Female</v>
      </c>
      <c r="I427" s="21">
        <f>IF('Raw Data'!I427="",ROUND(AVERAGE('Raw Data'!$I$2:$I$1501),1),'Raw Data'!I427)</f>
        <v>2.9</v>
      </c>
      <c r="J427" s="21">
        <f>'Raw Data'!J427</f>
        <v>2</v>
      </c>
      <c r="K427" s="21" t="str">
        <f>'Raw Data'!K427</f>
        <v>Mobile Phone</v>
      </c>
      <c r="L427" s="21">
        <f>'Raw Data'!L427</f>
        <v>5</v>
      </c>
      <c r="M427" s="21" t="str">
        <f>'Raw Data'!M427</f>
        <v>Single</v>
      </c>
      <c r="N427" s="21">
        <f>'Raw Data'!N427</f>
        <v>1</v>
      </c>
      <c r="O427" s="21">
        <f>'Raw Data'!O427</f>
        <v>1</v>
      </c>
      <c r="P427" s="21">
        <f>IF('Raw Data'!P427="",ROUND(AVERAGE('Raw Data'!$P$2:$P$1501),1),'Raw Data'!P427)</f>
        <v>15.8</v>
      </c>
      <c r="Q427" s="21">
        <f>IF('Raw Data'!Q427="",ROUND(AVERAGE('Raw Data'!$Q$2:$Q$1501),0),'Raw Data'!Q427)</f>
        <v>0</v>
      </c>
      <c r="R427" s="21">
        <f>'Raw Data'!R427</f>
        <v>3</v>
      </c>
      <c r="S427" s="21">
        <f>IF('Raw Data'!S427="",ROUND(AVERAGE('Raw Data'!$S$2:$S$1501),0),'Raw Data'!S427)</f>
        <v>1</v>
      </c>
      <c r="T427" s="21">
        <f>'Raw Data'!T427</f>
        <v>63.87</v>
      </c>
      <c r="U427" s="21" t="str">
        <f>INDEX('Lookup Tables'!$C$7:$C$9,MATCH(E427,'Lookup Tables'!$B$7:$B$9,0))</f>
        <v>Tier 1 (Metro)</v>
      </c>
      <c r="V427" s="21" t="str">
        <f t="shared" si="18"/>
        <v>25+ months</v>
      </c>
      <c r="W427" s="21" t="str">
        <f t="shared" si="19"/>
        <v>Low Risk</v>
      </c>
      <c r="X427" s="21" t="str">
        <f t="shared" si="20"/>
        <v>No</v>
      </c>
    </row>
    <row r="428" spans="1:24" x14ac:dyDescent="0.3">
      <c r="A428" s="21">
        <f>'Raw Data'!A428</f>
        <v>50427</v>
      </c>
      <c r="B428" s="21">
        <f>'Raw Data'!B428</f>
        <v>0</v>
      </c>
      <c r="C428" s="21">
        <f>'Raw Data'!C428</f>
        <v>5</v>
      </c>
      <c r="D428" s="21" t="str">
        <f>'Raw Data'!D428</f>
        <v>Mobile Phone</v>
      </c>
      <c r="E428" s="21">
        <f>'Raw Data'!E428</f>
        <v>1</v>
      </c>
      <c r="F428" s="21">
        <f>IF('Raw Data'!F428="",ROUND(AVERAGE('Raw Data'!$F$2:$F$1501),1),'Raw Data'!F428)</f>
        <v>18</v>
      </c>
      <c r="G428" s="21" t="str">
        <f>'Raw Data'!G428</f>
        <v>UPI</v>
      </c>
      <c r="H428" s="21" t="str">
        <f>'Raw Data'!H428</f>
        <v>Female</v>
      </c>
      <c r="I428" s="21">
        <f>IF('Raw Data'!I428="",ROUND(AVERAGE('Raw Data'!$I$2:$I$1501),1),'Raw Data'!I428)</f>
        <v>2.8</v>
      </c>
      <c r="J428" s="21">
        <f>'Raw Data'!J428</f>
        <v>2</v>
      </c>
      <c r="K428" s="21" t="str">
        <f>'Raw Data'!K428</f>
        <v>Fashion</v>
      </c>
      <c r="L428" s="21">
        <f>'Raw Data'!L428</f>
        <v>2</v>
      </c>
      <c r="M428" s="21" t="str">
        <f>'Raw Data'!M428</f>
        <v>Single</v>
      </c>
      <c r="N428" s="21">
        <f>'Raw Data'!N428</f>
        <v>4</v>
      </c>
      <c r="O428" s="21">
        <f>'Raw Data'!O428</f>
        <v>0</v>
      </c>
      <c r="P428" s="21">
        <f>IF('Raw Data'!P428="",ROUND(AVERAGE('Raw Data'!$P$2:$P$1501),1),'Raw Data'!P428)</f>
        <v>11.2</v>
      </c>
      <c r="Q428" s="21">
        <f>IF('Raw Data'!Q428="",ROUND(AVERAGE('Raw Data'!$Q$2:$Q$1501),0),'Raw Data'!Q428)</f>
        <v>1</v>
      </c>
      <c r="R428" s="21">
        <f>'Raw Data'!R428</f>
        <v>5</v>
      </c>
      <c r="S428" s="21">
        <f>IF('Raw Data'!S428="",ROUND(AVERAGE('Raw Data'!$S$2:$S$1501),0),'Raw Data'!S428)</f>
        <v>0</v>
      </c>
      <c r="T428" s="21">
        <f>'Raw Data'!T428</f>
        <v>233.5</v>
      </c>
      <c r="U428" s="21" t="str">
        <f>INDEX('Lookup Tables'!$C$7:$C$9,MATCH(E428,'Lookup Tables'!$B$7:$B$9,0))</f>
        <v>Tier 1 (Metro)</v>
      </c>
      <c r="V428" s="21" t="str">
        <f t="shared" si="18"/>
        <v>0-6 months</v>
      </c>
      <c r="W428" s="21" t="str">
        <f t="shared" si="19"/>
        <v>Low Risk</v>
      </c>
      <c r="X428" s="21" t="str">
        <f t="shared" si="20"/>
        <v>No</v>
      </c>
    </row>
    <row r="429" spans="1:24" x14ac:dyDescent="0.3">
      <c r="A429" s="21">
        <f>'Raw Data'!A429</f>
        <v>50428</v>
      </c>
      <c r="B429" s="21">
        <f>'Raw Data'!B429</f>
        <v>0</v>
      </c>
      <c r="C429" s="21">
        <f>'Raw Data'!C429</f>
        <v>10</v>
      </c>
      <c r="D429" s="21" t="str">
        <f>'Raw Data'!D429</f>
        <v>Mobile Phone</v>
      </c>
      <c r="E429" s="21">
        <f>'Raw Data'!E429</f>
        <v>1</v>
      </c>
      <c r="F429" s="21">
        <f>IF('Raw Data'!F429="",ROUND(AVERAGE('Raw Data'!$F$2:$F$1501),1),'Raw Data'!F429)</f>
        <v>18</v>
      </c>
      <c r="G429" s="21" t="str">
        <f>'Raw Data'!G429</f>
        <v>Credit Card</v>
      </c>
      <c r="H429" s="21" t="str">
        <f>'Raw Data'!H429</f>
        <v>Male</v>
      </c>
      <c r="I429" s="21">
        <f>IF('Raw Data'!I429="",ROUND(AVERAGE('Raw Data'!$I$2:$I$1501),1),'Raw Data'!I429)</f>
        <v>4</v>
      </c>
      <c r="J429" s="21">
        <f>'Raw Data'!J429</f>
        <v>4</v>
      </c>
      <c r="K429" s="21" t="str">
        <f>'Raw Data'!K429</f>
        <v>Laptop &amp; Accessory</v>
      </c>
      <c r="L429" s="21">
        <f>'Raw Data'!L429</f>
        <v>3</v>
      </c>
      <c r="M429" s="21" t="str">
        <f>'Raw Data'!M429</f>
        <v>Divorced</v>
      </c>
      <c r="N429" s="21">
        <f>'Raw Data'!N429</f>
        <v>1</v>
      </c>
      <c r="O429" s="21">
        <f>'Raw Data'!O429</f>
        <v>0</v>
      </c>
      <c r="P429" s="21">
        <f>IF('Raw Data'!P429="",ROUND(AVERAGE('Raw Data'!$P$2:$P$1501),1),'Raw Data'!P429)</f>
        <v>17.399999999999999</v>
      </c>
      <c r="Q429" s="21">
        <f>IF('Raw Data'!Q429="",ROUND(AVERAGE('Raw Data'!$Q$2:$Q$1501),0),'Raw Data'!Q429)</f>
        <v>1</v>
      </c>
      <c r="R429" s="21">
        <f>'Raw Data'!R429</f>
        <v>2</v>
      </c>
      <c r="S429" s="21">
        <f>IF('Raw Data'!S429="",ROUND(AVERAGE('Raw Data'!$S$2:$S$1501),0),'Raw Data'!S429)</f>
        <v>4</v>
      </c>
      <c r="T429" s="21">
        <f>'Raw Data'!T429</f>
        <v>219.03</v>
      </c>
      <c r="U429" s="21" t="str">
        <f>INDEX('Lookup Tables'!$C$7:$C$9,MATCH(E429,'Lookup Tables'!$B$7:$B$9,0))</f>
        <v>Tier 1 (Metro)</v>
      </c>
      <c r="V429" s="21" t="str">
        <f t="shared" si="18"/>
        <v>7-12 months</v>
      </c>
      <c r="W429" s="21" t="str">
        <f t="shared" si="19"/>
        <v>Medium Risk</v>
      </c>
      <c r="X429" s="21" t="str">
        <f t="shared" si="20"/>
        <v>No</v>
      </c>
    </row>
    <row r="430" spans="1:24" x14ac:dyDescent="0.3">
      <c r="A430" s="21">
        <f>'Raw Data'!A430</f>
        <v>50429</v>
      </c>
      <c r="B430" s="21">
        <f>'Raw Data'!B430</f>
        <v>0</v>
      </c>
      <c r="C430" s="21">
        <f>'Raw Data'!C430</f>
        <v>5</v>
      </c>
      <c r="D430" s="21" t="str">
        <f>'Raw Data'!D430</f>
        <v>Mobile Phone</v>
      </c>
      <c r="E430" s="21">
        <f>'Raw Data'!E430</f>
        <v>1</v>
      </c>
      <c r="F430" s="21">
        <f>IF('Raw Data'!F430="",ROUND(AVERAGE('Raw Data'!$F$2:$F$1501),1),'Raw Data'!F430)</f>
        <v>5</v>
      </c>
      <c r="G430" s="21" t="str">
        <f>'Raw Data'!G430</f>
        <v>Debit Card</v>
      </c>
      <c r="H430" s="21" t="str">
        <f>'Raw Data'!H430</f>
        <v>Female</v>
      </c>
      <c r="I430" s="21">
        <f>IF('Raw Data'!I430="",ROUND(AVERAGE('Raw Data'!$I$2:$I$1501),1),'Raw Data'!I430)</f>
        <v>2.4</v>
      </c>
      <c r="J430" s="21">
        <f>'Raw Data'!J430</f>
        <v>4</v>
      </c>
      <c r="K430" s="21" t="str">
        <f>'Raw Data'!K430</f>
        <v>Mobile Phone</v>
      </c>
      <c r="L430" s="21">
        <f>'Raw Data'!L430</f>
        <v>1</v>
      </c>
      <c r="M430" s="21" t="str">
        <f>'Raw Data'!M430</f>
        <v>Single</v>
      </c>
      <c r="N430" s="21">
        <f>'Raw Data'!N430</f>
        <v>1</v>
      </c>
      <c r="O430" s="21">
        <f>'Raw Data'!O430</f>
        <v>1</v>
      </c>
      <c r="P430" s="21">
        <f>IF('Raw Data'!P430="",ROUND(AVERAGE('Raw Data'!$P$2:$P$1501),1),'Raw Data'!P430)</f>
        <v>17.5</v>
      </c>
      <c r="Q430" s="21">
        <f>IF('Raw Data'!Q430="",ROUND(AVERAGE('Raw Data'!$Q$2:$Q$1501),0),'Raw Data'!Q430)</f>
        <v>2</v>
      </c>
      <c r="R430" s="21">
        <f>'Raw Data'!R430</f>
        <v>1</v>
      </c>
      <c r="S430" s="21">
        <f>IF('Raw Data'!S430="",ROUND(AVERAGE('Raw Data'!$S$2:$S$1501),0),'Raw Data'!S430)</f>
        <v>11</v>
      </c>
      <c r="T430" s="21">
        <f>'Raw Data'!T430</f>
        <v>243.25</v>
      </c>
      <c r="U430" s="21" t="str">
        <f>INDEX('Lookup Tables'!$C$7:$C$9,MATCH(E430,'Lookup Tables'!$B$7:$B$9,0))</f>
        <v>Tier 1 (Metro)</v>
      </c>
      <c r="V430" s="21" t="str">
        <f t="shared" si="18"/>
        <v>0-6 months</v>
      </c>
      <c r="W430" s="21" t="str">
        <f t="shared" si="19"/>
        <v>High Risk</v>
      </c>
      <c r="X430" s="21" t="str">
        <f t="shared" si="20"/>
        <v>No</v>
      </c>
    </row>
    <row r="431" spans="1:24" x14ac:dyDescent="0.3">
      <c r="A431" s="21">
        <f>'Raw Data'!A431</f>
        <v>50430</v>
      </c>
      <c r="B431" s="21">
        <f>'Raw Data'!B431</f>
        <v>0</v>
      </c>
      <c r="C431" s="21">
        <f>'Raw Data'!C431</f>
        <v>3</v>
      </c>
      <c r="D431" s="21" t="str">
        <f>'Raw Data'!D431</f>
        <v>Phone</v>
      </c>
      <c r="E431" s="21">
        <f>'Raw Data'!E431</f>
        <v>1</v>
      </c>
      <c r="F431" s="21">
        <f>IF('Raw Data'!F431="",ROUND(AVERAGE('Raw Data'!$F$2:$F$1501),1),'Raw Data'!F431)</f>
        <v>23</v>
      </c>
      <c r="G431" s="21" t="str">
        <f>'Raw Data'!G431</f>
        <v>E wallet</v>
      </c>
      <c r="H431" s="21" t="str">
        <f>'Raw Data'!H431</f>
        <v>Female</v>
      </c>
      <c r="I431" s="21">
        <f>IF('Raw Data'!I431="",ROUND(AVERAGE('Raw Data'!$I$2:$I$1501),1),'Raw Data'!I431)</f>
        <v>2.5</v>
      </c>
      <c r="J431" s="21">
        <f>'Raw Data'!J431</f>
        <v>4</v>
      </c>
      <c r="K431" s="21" t="str">
        <f>'Raw Data'!K431</f>
        <v>Fashion</v>
      </c>
      <c r="L431" s="21">
        <f>'Raw Data'!L431</f>
        <v>5</v>
      </c>
      <c r="M431" s="21" t="str">
        <f>'Raw Data'!M431</f>
        <v>Single</v>
      </c>
      <c r="N431" s="21">
        <f>'Raw Data'!N431</f>
        <v>1</v>
      </c>
      <c r="O431" s="21">
        <f>'Raw Data'!O431</f>
        <v>0</v>
      </c>
      <c r="P431" s="21">
        <f>IF('Raw Data'!P431="",ROUND(AVERAGE('Raw Data'!$P$2:$P$1501),1),'Raw Data'!P431)</f>
        <v>15.2</v>
      </c>
      <c r="Q431" s="21">
        <f>IF('Raw Data'!Q431="",ROUND(AVERAGE('Raw Data'!$Q$2:$Q$1501),0),'Raw Data'!Q431)</f>
        <v>0</v>
      </c>
      <c r="R431" s="21">
        <f>'Raw Data'!R431</f>
        <v>1</v>
      </c>
      <c r="S431" s="21">
        <f>IF('Raw Data'!S431="",ROUND(AVERAGE('Raw Data'!$S$2:$S$1501),0),'Raw Data'!S431)</f>
        <v>0</v>
      </c>
      <c r="T431" s="21">
        <f>'Raw Data'!T431</f>
        <v>261.76</v>
      </c>
      <c r="U431" s="21" t="str">
        <f>INDEX('Lookup Tables'!$C$7:$C$9,MATCH(E431,'Lookup Tables'!$B$7:$B$9,0))</f>
        <v>Tier 1 (Metro)</v>
      </c>
      <c r="V431" s="21" t="str">
        <f t="shared" si="18"/>
        <v>0-6 months</v>
      </c>
      <c r="W431" s="21" t="str">
        <f t="shared" si="19"/>
        <v>Low Risk</v>
      </c>
      <c r="X431" s="21" t="str">
        <f t="shared" si="20"/>
        <v>No</v>
      </c>
    </row>
    <row r="432" spans="1:24" x14ac:dyDescent="0.3">
      <c r="A432" s="21">
        <f>'Raw Data'!A432</f>
        <v>50431</v>
      </c>
      <c r="B432" s="21">
        <f>'Raw Data'!B432</f>
        <v>0</v>
      </c>
      <c r="C432" s="21">
        <f>'Raw Data'!C432</f>
        <v>41</v>
      </c>
      <c r="D432" s="21" t="str">
        <f>'Raw Data'!D432</f>
        <v>Phone</v>
      </c>
      <c r="E432" s="21">
        <f>'Raw Data'!E432</f>
        <v>1</v>
      </c>
      <c r="F432" s="21">
        <f>IF('Raw Data'!F432="",ROUND(AVERAGE('Raw Data'!$F$2:$F$1501),1),'Raw Data'!F432)</f>
        <v>17</v>
      </c>
      <c r="G432" s="21" t="str">
        <f>'Raw Data'!G432</f>
        <v>Credit Card</v>
      </c>
      <c r="H432" s="21" t="str">
        <f>'Raw Data'!H432</f>
        <v>Male</v>
      </c>
      <c r="I432" s="21">
        <f>IF('Raw Data'!I432="",ROUND(AVERAGE('Raw Data'!$I$2:$I$1501),1),'Raw Data'!I432)</f>
        <v>3.2</v>
      </c>
      <c r="J432" s="21">
        <f>'Raw Data'!J432</f>
        <v>5</v>
      </c>
      <c r="K432" s="21" t="str">
        <f>'Raw Data'!K432</f>
        <v>Fashion</v>
      </c>
      <c r="L432" s="21">
        <f>'Raw Data'!L432</f>
        <v>2</v>
      </c>
      <c r="M432" s="21" t="str">
        <f>'Raw Data'!M432</f>
        <v>Single</v>
      </c>
      <c r="N432" s="21">
        <f>'Raw Data'!N432</f>
        <v>4</v>
      </c>
      <c r="O432" s="21">
        <f>'Raw Data'!O432</f>
        <v>0</v>
      </c>
      <c r="P432" s="21">
        <f>IF('Raw Data'!P432="",ROUND(AVERAGE('Raw Data'!$P$2:$P$1501),1),'Raw Data'!P432)</f>
        <v>22.5</v>
      </c>
      <c r="Q432" s="21">
        <f>IF('Raw Data'!Q432="",ROUND(AVERAGE('Raw Data'!$Q$2:$Q$1501),0),'Raw Data'!Q432)</f>
        <v>1</v>
      </c>
      <c r="R432" s="21">
        <f>'Raw Data'!R432</f>
        <v>5</v>
      </c>
      <c r="S432" s="21">
        <f>IF('Raw Data'!S432="",ROUND(AVERAGE('Raw Data'!$S$2:$S$1501),0),'Raw Data'!S432)</f>
        <v>8</v>
      </c>
      <c r="T432" s="21">
        <f>'Raw Data'!T432</f>
        <v>112.67</v>
      </c>
      <c r="U432" s="21" t="str">
        <f>INDEX('Lookup Tables'!$C$7:$C$9,MATCH(E432,'Lookup Tables'!$B$7:$B$9,0))</f>
        <v>Tier 1 (Metro)</v>
      </c>
      <c r="V432" s="21" t="str">
        <f t="shared" si="18"/>
        <v>25+ months</v>
      </c>
      <c r="W432" s="21" t="str">
        <f t="shared" si="19"/>
        <v>Low Risk</v>
      </c>
      <c r="X432" s="21" t="str">
        <f t="shared" si="20"/>
        <v>No</v>
      </c>
    </row>
    <row r="433" spans="1:24" x14ac:dyDescent="0.3">
      <c r="A433" s="21">
        <f>'Raw Data'!A433</f>
        <v>50432</v>
      </c>
      <c r="B433" s="21">
        <f>'Raw Data'!B433</f>
        <v>0</v>
      </c>
      <c r="C433" s="21">
        <f>'Raw Data'!C433</f>
        <v>5</v>
      </c>
      <c r="D433" s="21" t="str">
        <f>'Raw Data'!D433</f>
        <v>Computer</v>
      </c>
      <c r="E433" s="21">
        <f>'Raw Data'!E433</f>
        <v>1</v>
      </c>
      <c r="F433" s="21">
        <f>IF('Raw Data'!F433="",ROUND(AVERAGE('Raw Data'!$F$2:$F$1501),1),'Raw Data'!F433)</f>
        <v>26</v>
      </c>
      <c r="G433" s="21" t="str">
        <f>'Raw Data'!G433</f>
        <v>E wallet</v>
      </c>
      <c r="H433" s="21" t="str">
        <f>'Raw Data'!H433</f>
        <v>Female</v>
      </c>
      <c r="I433" s="21">
        <f>IF('Raw Data'!I433="",ROUND(AVERAGE('Raw Data'!$I$2:$I$1501),1),'Raw Data'!I433)</f>
        <v>2.5</v>
      </c>
      <c r="J433" s="21">
        <f>'Raw Data'!J433</f>
        <v>3</v>
      </c>
      <c r="K433" s="21" t="str">
        <f>'Raw Data'!K433</f>
        <v>Laptop &amp; Accessory</v>
      </c>
      <c r="L433" s="21">
        <f>'Raw Data'!L433</f>
        <v>5</v>
      </c>
      <c r="M433" s="21" t="str">
        <f>'Raw Data'!M433</f>
        <v>Single</v>
      </c>
      <c r="N433" s="21">
        <f>'Raw Data'!N433</f>
        <v>2</v>
      </c>
      <c r="O433" s="21">
        <f>'Raw Data'!O433</f>
        <v>0</v>
      </c>
      <c r="P433" s="21">
        <f>IF('Raw Data'!P433="",ROUND(AVERAGE('Raw Data'!$P$2:$P$1501),1),'Raw Data'!P433)</f>
        <v>11</v>
      </c>
      <c r="Q433" s="21">
        <f>IF('Raw Data'!Q433="",ROUND(AVERAGE('Raw Data'!$Q$2:$Q$1501),0),'Raw Data'!Q433)</f>
        <v>1</v>
      </c>
      <c r="R433" s="21">
        <f>'Raw Data'!R433</f>
        <v>2</v>
      </c>
      <c r="S433" s="21">
        <f>IF('Raw Data'!S433="",ROUND(AVERAGE('Raw Data'!$S$2:$S$1501),0),'Raw Data'!S433)</f>
        <v>3</v>
      </c>
      <c r="T433" s="21">
        <f>'Raw Data'!T433</f>
        <v>228.84</v>
      </c>
      <c r="U433" s="21" t="str">
        <f>INDEX('Lookup Tables'!$C$7:$C$9,MATCH(E433,'Lookup Tables'!$B$7:$B$9,0))</f>
        <v>Tier 1 (Metro)</v>
      </c>
      <c r="V433" s="21" t="str">
        <f t="shared" si="18"/>
        <v>0-6 months</v>
      </c>
      <c r="W433" s="21" t="str">
        <f t="shared" si="19"/>
        <v>Low Risk</v>
      </c>
      <c r="X433" s="21" t="str">
        <f t="shared" si="20"/>
        <v>No</v>
      </c>
    </row>
    <row r="434" spans="1:24" x14ac:dyDescent="0.3">
      <c r="A434" s="21">
        <f>'Raw Data'!A434</f>
        <v>50433</v>
      </c>
      <c r="B434" s="21">
        <f>'Raw Data'!B434</f>
        <v>0</v>
      </c>
      <c r="C434" s="21">
        <f>'Raw Data'!C434</f>
        <v>22</v>
      </c>
      <c r="D434" s="21" t="str">
        <f>'Raw Data'!D434</f>
        <v>Mobile Phone</v>
      </c>
      <c r="E434" s="21">
        <f>'Raw Data'!E434</f>
        <v>3</v>
      </c>
      <c r="F434" s="21">
        <f>IF('Raw Data'!F434="",ROUND(AVERAGE('Raw Data'!$F$2:$F$1501),1),'Raw Data'!F434)</f>
        <v>18</v>
      </c>
      <c r="G434" s="21" t="str">
        <f>'Raw Data'!G434</f>
        <v>UPI</v>
      </c>
      <c r="H434" s="21" t="str">
        <f>'Raw Data'!H434</f>
        <v>Male</v>
      </c>
      <c r="I434" s="21">
        <f>IF('Raw Data'!I434="",ROUND(AVERAGE('Raw Data'!$I$2:$I$1501),1),'Raw Data'!I434)</f>
        <v>3</v>
      </c>
      <c r="J434" s="21">
        <f>'Raw Data'!J434</f>
        <v>5</v>
      </c>
      <c r="K434" s="21" t="str">
        <f>'Raw Data'!K434</f>
        <v>Mobile Phone</v>
      </c>
      <c r="L434" s="21">
        <f>'Raw Data'!L434</f>
        <v>3</v>
      </c>
      <c r="M434" s="21" t="str">
        <f>'Raw Data'!M434</f>
        <v>Divorced</v>
      </c>
      <c r="N434" s="21">
        <f>'Raw Data'!N434</f>
        <v>1</v>
      </c>
      <c r="O434" s="21">
        <f>'Raw Data'!O434</f>
        <v>0</v>
      </c>
      <c r="P434" s="21">
        <f>IF('Raw Data'!P434="",ROUND(AVERAGE('Raw Data'!$P$2:$P$1501),1),'Raw Data'!P434)</f>
        <v>11</v>
      </c>
      <c r="Q434" s="21">
        <f>IF('Raw Data'!Q434="",ROUND(AVERAGE('Raw Data'!$Q$2:$Q$1501),0),'Raw Data'!Q434)</f>
        <v>2</v>
      </c>
      <c r="R434" s="21">
        <f>'Raw Data'!R434</f>
        <v>4</v>
      </c>
      <c r="S434" s="21">
        <f>IF('Raw Data'!S434="",ROUND(AVERAGE('Raw Data'!$S$2:$S$1501),0),'Raw Data'!S434)</f>
        <v>9</v>
      </c>
      <c r="T434" s="21">
        <f>'Raw Data'!T434</f>
        <v>261.36</v>
      </c>
      <c r="U434" s="21" t="str">
        <f>INDEX('Lookup Tables'!$C$7:$C$9,MATCH(E434,'Lookup Tables'!$B$7:$B$9,0))</f>
        <v>Tier 3 (Semi-urban/Rural)</v>
      </c>
      <c r="V434" s="21" t="str">
        <f t="shared" si="18"/>
        <v>13-24 months</v>
      </c>
      <c r="W434" s="21" t="str">
        <f t="shared" si="19"/>
        <v>Medium Risk</v>
      </c>
      <c r="X434" s="21" t="str">
        <f t="shared" si="20"/>
        <v>No</v>
      </c>
    </row>
    <row r="435" spans="1:24" x14ac:dyDescent="0.3">
      <c r="A435" s="21">
        <f>'Raw Data'!A435</f>
        <v>50434</v>
      </c>
      <c r="B435" s="21">
        <f>'Raw Data'!B435</f>
        <v>0</v>
      </c>
      <c r="C435" s="21">
        <f>'Raw Data'!C435</f>
        <v>2</v>
      </c>
      <c r="D435" s="21" t="str">
        <f>'Raw Data'!D435</f>
        <v>Mobile Phone</v>
      </c>
      <c r="E435" s="21">
        <f>'Raw Data'!E435</f>
        <v>1</v>
      </c>
      <c r="F435" s="21">
        <f>IF('Raw Data'!F435="",ROUND(AVERAGE('Raw Data'!$F$2:$F$1501),1),'Raw Data'!F435)</f>
        <v>23</v>
      </c>
      <c r="G435" s="21" t="str">
        <f>'Raw Data'!G435</f>
        <v>Credit Card</v>
      </c>
      <c r="H435" s="21" t="str">
        <f>'Raw Data'!H435</f>
        <v>Female</v>
      </c>
      <c r="I435" s="21">
        <f>IF('Raw Data'!I435="",ROUND(AVERAGE('Raw Data'!$I$2:$I$1501),1),'Raw Data'!I435)</f>
        <v>1.8</v>
      </c>
      <c r="J435" s="21">
        <f>'Raw Data'!J435</f>
        <v>2</v>
      </c>
      <c r="K435" s="21" t="str">
        <f>'Raw Data'!K435</f>
        <v>Laptop &amp; Accessory</v>
      </c>
      <c r="L435" s="21">
        <f>'Raw Data'!L435</f>
        <v>3</v>
      </c>
      <c r="M435" s="21" t="str">
        <f>'Raw Data'!M435</f>
        <v>Single</v>
      </c>
      <c r="N435" s="21">
        <f>'Raw Data'!N435</f>
        <v>3</v>
      </c>
      <c r="O435" s="21">
        <f>'Raw Data'!O435</f>
        <v>0</v>
      </c>
      <c r="P435" s="21">
        <f>IF('Raw Data'!P435="",ROUND(AVERAGE('Raw Data'!$P$2:$P$1501),1),'Raw Data'!P435)</f>
        <v>13.4</v>
      </c>
      <c r="Q435" s="21">
        <f>IF('Raw Data'!Q435="",ROUND(AVERAGE('Raw Data'!$Q$2:$Q$1501),0),'Raw Data'!Q435)</f>
        <v>0</v>
      </c>
      <c r="R435" s="21">
        <f>'Raw Data'!R435</f>
        <v>5</v>
      </c>
      <c r="S435" s="21">
        <f>IF('Raw Data'!S435="",ROUND(AVERAGE('Raw Data'!$S$2:$S$1501),0),'Raw Data'!S435)</f>
        <v>9</v>
      </c>
      <c r="T435" s="21">
        <f>'Raw Data'!T435</f>
        <v>97.8</v>
      </c>
      <c r="U435" s="21" t="str">
        <f>INDEX('Lookup Tables'!$C$7:$C$9,MATCH(E435,'Lookup Tables'!$B$7:$B$9,0))</f>
        <v>Tier 1 (Metro)</v>
      </c>
      <c r="V435" s="21" t="str">
        <f t="shared" si="18"/>
        <v>0-6 months</v>
      </c>
      <c r="W435" s="21" t="str">
        <f t="shared" si="19"/>
        <v>Medium Risk</v>
      </c>
      <c r="X435" s="21" t="str">
        <f t="shared" si="20"/>
        <v>No</v>
      </c>
    </row>
    <row r="436" spans="1:24" x14ac:dyDescent="0.3">
      <c r="A436" s="21">
        <f>'Raw Data'!A436</f>
        <v>50435</v>
      </c>
      <c r="B436" s="21">
        <f>'Raw Data'!B436</f>
        <v>0</v>
      </c>
      <c r="C436" s="21">
        <f>'Raw Data'!C436</f>
        <v>2</v>
      </c>
      <c r="D436" s="21" t="str">
        <f>'Raw Data'!D436</f>
        <v>Mobile Phone</v>
      </c>
      <c r="E436" s="21">
        <f>'Raw Data'!E436</f>
        <v>1</v>
      </c>
      <c r="F436" s="21">
        <f>IF('Raw Data'!F436="",ROUND(AVERAGE('Raw Data'!$F$2:$F$1501),1),'Raw Data'!F436)</f>
        <v>18</v>
      </c>
      <c r="G436" s="21" t="str">
        <f>'Raw Data'!G436</f>
        <v>Cash on Delivery</v>
      </c>
      <c r="H436" s="21" t="str">
        <f>'Raw Data'!H436</f>
        <v>Female</v>
      </c>
      <c r="I436" s="21">
        <f>IF('Raw Data'!I436="",ROUND(AVERAGE('Raw Data'!$I$2:$I$1501),1),'Raw Data'!I436)</f>
        <v>4.5</v>
      </c>
      <c r="J436" s="21">
        <f>'Raw Data'!J436</f>
        <v>2</v>
      </c>
      <c r="K436" s="21" t="str">
        <f>'Raw Data'!K436</f>
        <v>Others</v>
      </c>
      <c r="L436" s="21">
        <f>'Raw Data'!L436</f>
        <v>1</v>
      </c>
      <c r="M436" s="21" t="str">
        <f>'Raw Data'!M436</f>
        <v>Divorced</v>
      </c>
      <c r="N436" s="21">
        <f>'Raw Data'!N436</f>
        <v>1</v>
      </c>
      <c r="O436" s="21">
        <f>'Raw Data'!O436</f>
        <v>1</v>
      </c>
      <c r="P436" s="21">
        <f>IF('Raw Data'!P436="",ROUND(AVERAGE('Raw Data'!$P$2:$P$1501),1),'Raw Data'!P436)</f>
        <v>18.5</v>
      </c>
      <c r="Q436" s="21">
        <f>IF('Raw Data'!Q436="",ROUND(AVERAGE('Raw Data'!$Q$2:$Q$1501),0),'Raw Data'!Q436)</f>
        <v>1</v>
      </c>
      <c r="R436" s="21">
        <f>'Raw Data'!R436</f>
        <v>2</v>
      </c>
      <c r="S436" s="21">
        <f>IF('Raw Data'!S436="",ROUND(AVERAGE('Raw Data'!$S$2:$S$1501),0),'Raw Data'!S436)</f>
        <v>10</v>
      </c>
      <c r="T436" s="21">
        <f>'Raw Data'!T436</f>
        <v>170.58</v>
      </c>
      <c r="U436" s="21" t="str">
        <f>INDEX('Lookup Tables'!$C$7:$C$9,MATCH(E436,'Lookup Tables'!$B$7:$B$9,0))</f>
        <v>Tier 1 (Metro)</v>
      </c>
      <c r="V436" s="21" t="str">
        <f t="shared" si="18"/>
        <v>0-6 months</v>
      </c>
      <c r="W436" s="21" t="str">
        <f t="shared" si="19"/>
        <v>High Risk</v>
      </c>
      <c r="X436" s="21" t="str">
        <f t="shared" si="20"/>
        <v>No</v>
      </c>
    </row>
    <row r="437" spans="1:24" x14ac:dyDescent="0.3">
      <c r="A437" s="21">
        <f>'Raw Data'!A437</f>
        <v>50436</v>
      </c>
      <c r="B437" s="21">
        <f>'Raw Data'!B437</f>
        <v>0</v>
      </c>
      <c r="C437" s="21">
        <f>'Raw Data'!C437</f>
        <v>0</v>
      </c>
      <c r="D437" s="21" t="str">
        <f>'Raw Data'!D437</f>
        <v>Mobile Phone</v>
      </c>
      <c r="E437" s="21">
        <f>'Raw Data'!E437</f>
        <v>3</v>
      </c>
      <c r="F437" s="21">
        <f>IF('Raw Data'!F437="",ROUND(AVERAGE('Raw Data'!$F$2:$F$1501),1),'Raw Data'!F437)</f>
        <v>25</v>
      </c>
      <c r="G437" s="21" t="str">
        <f>'Raw Data'!G437</f>
        <v>UPI</v>
      </c>
      <c r="H437" s="21" t="str">
        <f>'Raw Data'!H437</f>
        <v>Female</v>
      </c>
      <c r="I437" s="21">
        <f>IF('Raw Data'!I437="",ROUND(AVERAGE('Raw Data'!$I$2:$I$1501),1),'Raw Data'!I437)</f>
        <v>2</v>
      </c>
      <c r="J437" s="21">
        <f>'Raw Data'!J437</f>
        <v>1</v>
      </c>
      <c r="K437" s="21" t="str">
        <f>'Raw Data'!K437</f>
        <v>Grocery</v>
      </c>
      <c r="L437" s="21">
        <f>'Raw Data'!L437</f>
        <v>3</v>
      </c>
      <c r="M437" s="21" t="str">
        <f>'Raw Data'!M437</f>
        <v>Divorced</v>
      </c>
      <c r="N437" s="21">
        <f>'Raw Data'!N437</f>
        <v>8</v>
      </c>
      <c r="O437" s="21">
        <f>'Raw Data'!O437</f>
        <v>0</v>
      </c>
      <c r="P437" s="21">
        <f>IF('Raw Data'!P437="",ROUND(AVERAGE('Raw Data'!$P$2:$P$1501),1),'Raw Data'!P437)</f>
        <v>12.3</v>
      </c>
      <c r="Q437" s="21">
        <f>IF('Raw Data'!Q437="",ROUND(AVERAGE('Raw Data'!$Q$2:$Q$1501),0),'Raw Data'!Q437)</f>
        <v>3</v>
      </c>
      <c r="R437" s="21">
        <f>'Raw Data'!R437</f>
        <v>4</v>
      </c>
      <c r="S437" s="21">
        <f>IF('Raw Data'!S437="",ROUND(AVERAGE('Raw Data'!$S$2:$S$1501),0),'Raw Data'!S437)</f>
        <v>7</v>
      </c>
      <c r="T437" s="21">
        <f>'Raw Data'!T437</f>
        <v>160.01</v>
      </c>
      <c r="U437" s="21" t="str">
        <f>INDEX('Lookup Tables'!$C$7:$C$9,MATCH(E437,'Lookup Tables'!$B$7:$B$9,0))</f>
        <v>Tier 3 (Semi-urban/Rural)</v>
      </c>
      <c r="V437" s="21" t="str">
        <f t="shared" si="18"/>
        <v>0-6 months</v>
      </c>
      <c r="W437" s="21" t="str">
        <f t="shared" si="19"/>
        <v>Medium Risk</v>
      </c>
      <c r="X437" s="21" t="str">
        <f t="shared" si="20"/>
        <v>No</v>
      </c>
    </row>
    <row r="438" spans="1:24" x14ac:dyDescent="0.3">
      <c r="A438" s="21">
        <f>'Raw Data'!A438</f>
        <v>50437</v>
      </c>
      <c r="B438" s="21">
        <f>'Raw Data'!B438</f>
        <v>0</v>
      </c>
      <c r="C438" s="21">
        <f>'Raw Data'!C438</f>
        <v>10</v>
      </c>
      <c r="D438" s="21" t="str">
        <f>'Raw Data'!D438</f>
        <v>Mobile Phone</v>
      </c>
      <c r="E438" s="21">
        <f>'Raw Data'!E438</f>
        <v>3</v>
      </c>
      <c r="F438" s="21">
        <f>IF('Raw Data'!F438="",ROUND(AVERAGE('Raw Data'!$F$2:$F$1501),1),'Raw Data'!F438)</f>
        <v>19</v>
      </c>
      <c r="G438" s="21" t="str">
        <f>'Raw Data'!G438</f>
        <v>Credit Card</v>
      </c>
      <c r="H438" s="21" t="str">
        <f>'Raw Data'!H438</f>
        <v>Male</v>
      </c>
      <c r="I438" s="21">
        <f>IF('Raw Data'!I438="",ROUND(AVERAGE('Raw Data'!$I$2:$I$1501),1),'Raw Data'!I438)</f>
        <v>2.7</v>
      </c>
      <c r="J438" s="21">
        <f>'Raw Data'!J438</f>
        <v>3</v>
      </c>
      <c r="K438" s="21" t="str">
        <f>'Raw Data'!K438</f>
        <v>Laptop &amp; Accessory</v>
      </c>
      <c r="L438" s="21">
        <f>'Raw Data'!L438</f>
        <v>5</v>
      </c>
      <c r="M438" s="21" t="str">
        <f>'Raw Data'!M438</f>
        <v>Married</v>
      </c>
      <c r="N438" s="21">
        <f>'Raw Data'!N438</f>
        <v>2</v>
      </c>
      <c r="O438" s="21">
        <f>'Raw Data'!O438</f>
        <v>0</v>
      </c>
      <c r="P438" s="21">
        <f>IF('Raw Data'!P438="",ROUND(AVERAGE('Raw Data'!$P$2:$P$1501),1),'Raw Data'!P438)</f>
        <v>12.6</v>
      </c>
      <c r="Q438" s="21">
        <f>IF('Raw Data'!Q438="",ROUND(AVERAGE('Raw Data'!$Q$2:$Q$1501),0),'Raw Data'!Q438)</f>
        <v>1</v>
      </c>
      <c r="R438" s="21">
        <f>'Raw Data'!R438</f>
        <v>3</v>
      </c>
      <c r="S438" s="21">
        <f>IF('Raw Data'!S438="",ROUND(AVERAGE('Raw Data'!$S$2:$S$1501),0),'Raw Data'!S438)</f>
        <v>9</v>
      </c>
      <c r="T438" s="21">
        <f>'Raw Data'!T438</f>
        <v>227.05</v>
      </c>
      <c r="U438" s="21" t="str">
        <f>INDEX('Lookup Tables'!$C$7:$C$9,MATCH(E438,'Lookup Tables'!$B$7:$B$9,0))</f>
        <v>Tier 3 (Semi-urban/Rural)</v>
      </c>
      <c r="V438" s="21" t="str">
        <f t="shared" si="18"/>
        <v>7-12 months</v>
      </c>
      <c r="W438" s="21" t="str">
        <f t="shared" si="19"/>
        <v>Low Risk</v>
      </c>
      <c r="X438" s="21" t="str">
        <f t="shared" si="20"/>
        <v>No</v>
      </c>
    </row>
    <row r="439" spans="1:24" x14ac:dyDescent="0.3">
      <c r="A439" s="21">
        <f>'Raw Data'!A439</f>
        <v>50438</v>
      </c>
      <c r="B439" s="21">
        <f>'Raw Data'!B439</f>
        <v>0</v>
      </c>
      <c r="C439" s="21">
        <f>'Raw Data'!C439</f>
        <v>4</v>
      </c>
      <c r="D439" s="21" t="str">
        <f>'Raw Data'!D439</f>
        <v>Computer</v>
      </c>
      <c r="E439" s="21">
        <f>'Raw Data'!E439</f>
        <v>3</v>
      </c>
      <c r="F439" s="21">
        <f>IF('Raw Data'!F439="",ROUND(AVERAGE('Raw Data'!$F$2:$F$1501),1),'Raw Data'!F439)</f>
        <v>14</v>
      </c>
      <c r="G439" s="21" t="str">
        <f>'Raw Data'!G439</f>
        <v>E wallet</v>
      </c>
      <c r="H439" s="21" t="str">
        <f>'Raw Data'!H439</f>
        <v>Female</v>
      </c>
      <c r="I439" s="21">
        <f>IF('Raw Data'!I439="",ROUND(AVERAGE('Raw Data'!$I$2:$I$1501),1),'Raw Data'!I439)</f>
        <v>2.9</v>
      </c>
      <c r="J439" s="21">
        <f>'Raw Data'!J439</f>
        <v>3</v>
      </c>
      <c r="K439" s="21" t="str">
        <f>'Raw Data'!K439</f>
        <v>Grocery</v>
      </c>
      <c r="L439" s="21">
        <f>'Raw Data'!L439</f>
        <v>1</v>
      </c>
      <c r="M439" s="21" t="str">
        <f>'Raw Data'!M439</f>
        <v>Single</v>
      </c>
      <c r="N439" s="21">
        <f>'Raw Data'!N439</f>
        <v>4</v>
      </c>
      <c r="O439" s="21">
        <f>'Raw Data'!O439</f>
        <v>1</v>
      </c>
      <c r="P439" s="21">
        <f>IF('Raw Data'!P439="",ROUND(AVERAGE('Raw Data'!$P$2:$P$1501),1),'Raw Data'!P439)</f>
        <v>19.3</v>
      </c>
      <c r="Q439" s="21">
        <f>IF('Raw Data'!Q439="",ROUND(AVERAGE('Raw Data'!$Q$2:$Q$1501),0),'Raw Data'!Q439)</f>
        <v>1</v>
      </c>
      <c r="R439" s="21">
        <f>'Raw Data'!R439</f>
        <v>4</v>
      </c>
      <c r="S439" s="21">
        <f>IF('Raw Data'!S439="",ROUND(AVERAGE('Raw Data'!$S$2:$S$1501),0),'Raw Data'!S439)</f>
        <v>0</v>
      </c>
      <c r="T439" s="21">
        <f>'Raw Data'!T439</f>
        <v>48.33</v>
      </c>
      <c r="U439" s="21" t="str">
        <f>INDEX('Lookup Tables'!$C$7:$C$9,MATCH(E439,'Lookup Tables'!$B$7:$B$9,0))</f>
        <v>Tier 3 (Semi-urban/Rural)</v>
      </c>
      <c r="V439" s="21" t="str">
        <f t="shared" si="18"/>
        <v>0-6 months</v>
      </c>
      <c r="W439" s="21" t="str">
        <f t="shared" si="19"/>
        <v>High Risk</v>
      </c>
      <c r="X439" s="21" t="str">
        <f t="shared" si="20"/>
        <v>No</v>
      </c>
    </row>
    <row r="440" spans="1:24" x14ac:dyDescent="0.3">
      <c r="A440" s="21">
        <f>'Raw Data'!A440</f>
        <v>50439</v>
      </c>
      <c r="B440" s="21">
        <f>'Raw Data'!B440</f>
        <v>0</v>
      </c>
      <c r="C440" s="21">
        <f>'Raw Data'!C440</f>
        <v>19</v>
      </c>
      <c r="D440" s="21" t="str">
        <f>'Raw Data'!D440</f>
        <v>Mobile Phone</v>
      </c>
      <c r="E440" s="21">
        <f>'Raw Data'!E440</f>
        <v>3</v>
      </c>
      <c r="F440" s="21">
        <f>IF('Raw Data'!F440="",ROUND(AVERAGE('Raw Data'!$F$2:$F$1501),1),'Raw Data'!F440)</f>
        <v>33</v>
      </c>
      <c r="G440" s="21" t="str">
        <f>'Raw Data'!G440</f>
        <v>Debit Card</v>
      </c>
      <c r="H440" s="21" t="str">
        <f>'Raw Data'!H440</f>
        <v>Male</v>
      </c>
      <c r="I440" s="21">
        <f>IF('Raw Data'!I440="",ROUND(AVERAGE('Raw Data'!$I$2:$I$1501),1),'Raw Data'!I440)</f>
        <v>4.2</v>
      </c>
      <c r="J440" s="21">
        <f>'Raw Data'!J440</f>
        <v>4</v>
      </c>
      <c r="K440" s="21" t="str">
        <f>'Raw Data'!K440</f>
        <v>Others</v>
      </c>
      <c r="L440" s="21">
        <f>'Raw Data'!L440</f>
        <v>3</v>
      </c>
      <c r="M440" s="21" t="str">
        <f>'Raw Data'!M440</f>
        <v>Single</v>
      </c>
      <c r="N440" s="21">
        <f>'Raw Data'!N440</f>
        <v>1</v>
      </c>
      <c r="O440" s="21">
        <f>'Raw Data'!O440</f>
        <v>0</v>
      </c>
      <c r="P440" s="21">
        <f>IF('Raw Data'!P440="",ROUND(AVERAGE('Raw Data'!$P$2:$P$1501),1),'Raw Data'!P440)</f>
        <v>16.3</v>
      </c>
      <c r="Q440" s="21">
        <f>IF('Raw Data'!Q440="",ROUND(AVERAGE('Raw Data'!$Q$2:$Q$1501),0),'Raw Data'!Q440)</f>
        <v>1</v>
      </c>
      <c r="R440" s="21">
        <f>'Raw Data'!R440</f>
        <v>3</v>
      </c>
      <c r="S440" s="21">
        <f>IF('Raw Data'!S440="",ROUND(AVERAGE('Raw Data'!$S$2:$S$1501),0),'Raw Data'!S440)</f>
        <v>1</v>
      </c>
      <c r="T440" s="21">
        <f>'Raw Data'!T440</f>
        <v>279.88</v>
      </c>
      <c r="U440" s="21" t="str">
        <f>INDEX('Lookup Tables'!$C$7:$C$9,MATCH(E440,'Lookup Tables'!$B$7:$B$9,0))</f>
        <v>Tier 3 (Semi-urban/Rural)</v>
      </c>
      <c r="V440" s="21" t="str">
        <f t="shared" si="18"/>
        <v>13-24 months</v>
      </c>
      <c r="W440" s="21" t="str">
        <f t="shared" si="19"/>
        <v>Medium Risk</v>
      </c>
      <c r="X440" s="21" t="str">
        <f t="shared" si="20"/>
        <v>No</v>
      </c>
    </row>
    <row r="441" spans="1:24" x14ac:dyDescent="0.3">
      <c r="A441" s="21">
        <f>'Raw Data'!A441</f>
        <v>50440</v>
      </c>
      <c r="B441" s="21">
        <f>'Raw Data'!B441</f>
        <v>0</v>
      </c>
      <c r="C441" s="21">
        <f>'Raw Data'!C441</f>
        <v>6</v>
      </c>
      <c r="D441" s="21" t="str">
        <f>'Raw Data'!D441</f>
        <v>Mobile Phone</v>
      </c>
      <c r="E441" s="21">
        <f>'Raw Data'!E441</f>
        <v>2</v>
      </c>
      <c r="F441" s="21">
        <f>IF('Raw Data'!F441="",ROUND(AVERAGE('Raw Data'!$F$2:$F$1501),1),'Raw Data'!F441)</f>
        <v>22</v>
      </c>
      <c r="G441" s="21" t="str">
        <f>'Raw Data'!G441</f>
        <v>Cash on Delivery</v>
      </c>
      <c r="H441" s="21" t="str">
        <f>'Raw Data'!H441</f>
        <v>Male</v>
      </c>
      <c r="I441" s="21">
        <f>IF('Raw Data'!I441="",ROUND(AVERAGE('Raw Data'!$I$2:$I$1501),1),'Raw Data'!I441)</f>
        <v>2</v>
      </c>
      <c r="J441" s="21">
        <f>'Raw Data'!J441</f>
        <v>3</v>
      </c>
      <c r="K441" s="21" t="str">
        <f>'Raw Data'!K441</f>
        <v>Mobile Phone</v>
      </c>
      <c r="L441" s="21">
        <f>'Raw Data'!L441</f>
        <v>1</v>
      </c>
      <c r="M441" s="21" t="str">
        <f>'Raw Data'!M441</f>
        <v>Married</v>
      </c>
      <c r="N441" s="21">
        <f>'Raw Data'!N441</f>
        <v>5</v>
      </c>
      <c r="O441" s="21">
        <f>'Raw Data'!O441</f>
        <v>0</v>
      </c>
      <c r="P441" s="21">
        <f>IF('Raw Data'!P441="",ROUND(AVERAGE('Raw Data'!$P$2:$P$1501),1),'Raw Data'!P441)</f>
        <v>17.3</v>
      </c>
      <c r="Q441" s="21">
        <f>IF('Raw Data'!Q441="",ROUND(AVERAGE('Raw Data'!$Q$2:$Q$1501),0),'Raw Data'!Q441)</f>
        <v>1</v>
      </c>
      <c r="R441" s="21">
        <f>'Raw Data'!R441</f>
        <v>3</v>
      </c>
      <c r="S441" s="21">
        <f>IF('Raw Data'!S441="",ROUND(AVERAGE('Raw Data'!$S$2:$S$1501),0),'Raw Data'!S441)</f>
        <v>1</v>
      </c>
      <c r="T441" s="21">
        <f>'Raw Data'!T441</f>
        <v>173.81</v>
      </c>
      <c r="U441" s="21" t="str">
        <f>INDEX('Lookup Tables'!$C$7:$C$9,MATCH(E441,'Lookup Tables'!$B$7:$B$9,0))</f>
        <v>Tier 2 (Urban)</v>
      </c>
      <c r="V441" s="21" t="str">
        <f t="shared" si="18"/>
        <v>0-6 months</v>
      </c>
      <c r="W441" s="21" t="str">
        <f t="shared" si="19"/>
        <v>Low Risk</v>
      </c>
      <c r="X441" s="21" t="str">
        <f t="shared" si="20"/>
        <v>No</v>
      </c>
    </row>
    <row r="442" spans="1:24" x14ac:dyDescent="0.3">
      <c r="A442" s="21">
        <f>'Raw Data'!A442</f>
        <v>50441</v>
      </c>
      <c r="B442" s="21">
        <f>'Raw Data'!B442</f>
        <v>0</v>
      </c>
      <c r="C442" s="21">
        <f>'Raw Data'!C442</f>
        <v>34</v>
      </c>
      <c r="D442" s="21" t="str">
        <f>'Raw Data'!D442</f>
        <v>Mobile Phone</v>
      </c>
      <c r="E442" s="21">
        <f>'Raw Data'!E442</f>
        <v>3</v>
      </c>
      <c r="F442" s="21">
        <f>IF('Raw Data'!F442="",ROUND(AVERAGE('Raw Data'!$F$2:$F$1501),1),'Raw Data'!F442)</f>
        <v>19</v>
      </c>
      <c r="G442" s="21" t="str">
        <f>'Raw Data'!G442</f>
        <v>E wallet</v>
      </c>
      <c r="H442" s="21" t="str">
        <f>'Raw Data'!H442</f>
        <v>Female</v>
      </c>
      <c r="I442" s="21">
        <f>IF('Raw Data'!I442="",ROUND(AVERAGE('Raw Data'!$I$2:$I$1501),1),'Raw Data'!I442)</f>
        <v>4.3</v>
      </c>
      <c r="J442" s="21">
        <f>'Raw Data'!J442</f>
        <v>2</v>
      </c>
      <c r="K442" s="21" t="str">
        <f>'Raw Data'!K442</f>
        <v>Fashion</v>
      </c>
      <c r="L442" s="21">
        <f>'Raw Data'!L442</f>
        <v>3</v>
      </c>
      <c r="M442" s="21" t="str">
        <f>'Raw Data'!M442</f>
        <v>Married</v>
      </c>
      <c r="N442" s="21">
        <f>'Raw Data'!N442</f>
        <v>4</v>
      </c>
      <c r="O442" s="21">
        <f>'Raw Data'!O442</f>
        <v>0</v>
      </c>
      <c r="P442" s="21">
        <f>IF('Raw Data'!P442="",ROUND(AVERAGE('Raw Data'!$P$2:$P$1501),1),'Raw Data'!P442)</f>
        <v>18.7</v>
      </c>
      <c r="Q442" s="21">
        <f>IF('Raw Data'!Q442="",ROUND(AVERAGE('Raw Data'!$Q$2:$Q$1501),0),'Raw Data'!Q442)</f>
        <v>2</v>
      </c>
      <c r="R442" s="21">
        <f>'Raw Data'!R442</f>
        <v>3</v>
      </c>
      <c r="S442" s="21">
        <f>IF('Raw Data'!S442="",ROUND(AVERAGE('Raw Data'!$S$2:$S$1501),0),'Raw Data'!S442)</f>
        <v>6</v>
      </c>
      <c r="T442" s="21">
        <f>'Raw Data'!T442</f>
        <v>230.39</v>
      </c>
      <c r="U442" s="21" t="str">
        <f>INDEX('Lookup Tables'!$C$7:$C$9,MATCH(E442,'Lookup Tables'!$B$7:$B$9,0))</f>
        <v>Tier 3 (Semi-urban/Rural)</v>
      </c>
      <c r="V442" s="21" t="str">
        <f t="shared" si="18"/>
        <v>25+ months</v>
      </c>
      <c r="W442" s="21" t="str">
        <f t="shared" si="19"/>
        <v>Medium Risk</v>
      </c>
      <c r="X442" s="21" t="str">
        <f t="shared" si="20"/>
        <v>No</v>
      </c>
    </row>
    <row r="443" spans="1:24" x14ac:dyDescent="0.3">
      <c r="A443" s="21">
        <f>'Raw Data'!A443</f>
        <v>50442</v>
      </c>
      <c r="B443" s="21">
        <f>'Raw Data'!B443</f>
        <v>0</v>
      </c>
      <c r="C443" s="21">
        <f>'Raw Data'!C443</f>
        <v>2</v>
      </c>
      <c r="D443" s="21" t="str">
        <f>'Raw Data'!D443</f>
        <v>Mobile Phone</v>
      </c>
      <c r="E443" s="21">
        <f>'Raw Data'!E443</f>
        <v>1</v>
      </c>
      <c r="F443" s="21">
        <f>IF('Raw Data'!F443="",ROUND(AVERAGE('Raw Data'!$F$2:$F$1501),1),'Raw Data'!F443)</f>
        <v>5</v>
      </c>
      <c r="G443" s="21" t="str">
        <f>'Raw Data'!G443</f>
        <v>Debit Card</v>
      </c>
      <c r="H443" s="21" t="str">
        <f>'Raw Data'!H443</f>
        <v>Male</v>
      </c>
      <c r="I443" s="21">
        <f>IF('Raw Data'!I443="",ROUND(AVERAGE('Raw Data'!$I$2:$I$1501),1),'Raw Data'!I443)</f>
        <v>3.4</v>
      </c>
      <c r="J443" s="21">
        <f>'Raw Data'!J443</f>
        <v>3</v>
      </c>
      <c r="K443" s="21" t="str">
        <f>'Raw Data'!K443</f>
        <v>Mobile Phone</v>
      </c>
      <c r="L443" s="21">
        <f>'Raw Data'!L443</f>
        <v>2</v>
      </c>
      <c r="M443" s="21" t="str">
        <f>'Raw Data'!M443</f>
        <v>Married</v>
      </c>
      <c r="N443" s="21">
        <f>'Raw Data'!N443</f>
        <v>8</v>
      </c>
      <c r="O443" s="21">
        <f>'Raw Data'!O443</f>
        <v>1</v>
      </c>
      <c r="P443" s="21">
        <f>IF('Raw Data'!P443="",ROUND(AVERAGE('Raw Data'!$P$2:$P$1501),1),'Raw Data'!P443)</f>
        <v>14.5</v>
      </c>
      <c r="Q443" s="21">
        <f>IF('Raw Data'!Q443="",ROUND(AVERAGE('Raw Data'!$Q$2:$Q$1501),0),'Raw Data'!Q443)</f>
        <v>0</v>
      </c>
      <c r="R443" s="21">
        <f>'Raw Data'!R443</f>
        <v>3</v>
      </c>
      <c r="S443" s="21">
        <f>IF('Raw Data'!S443="",ROUND(AVERAGE('Raw Data'!$S$2:$S$1501),0),'Raw Data'!S443)</f>
        <v>0</v>
      </c>
      <c r="T443" s="21">
        <f>'Raw Data'!T443</f>
        <v>176.69</v>
      </c>
      <c r="U443" s="21" t="str">
        <f>INDEX('Lookup Tables'!$C$7:$C$9,MATCH(E443,'Lookup Tables'!$B$7:$B$9,0))</f>
        <v>Tier 1 (Metro)</v>
      </c>
      <c r="V443" s="21" t="str">
        <f t="shared" si="18"/>
        <v>0-6 months</v>
      </c>
      <c r="W443" s="21" t="str">
        <f t="shared" si="19"/>
        <v>High Risk</v>
      </c>
      <c r="X443" s="21" t="str">
        <f t="shared" si="20"/>
        <v>No</v>
      </c>
    </row>
    <row r="444" spans="1:24" x14ac:dyDescent="0.3">
      <c r="A444" s="21">
        <f>'Raw Data'!A444</f>
        <v>50443</v>
      </c>
      <c r="B444" s="21">
        <f>'Raw Data'!B444</f>
        <v>0</v>
      </c>
      <c r="C444" s="21">
        <f>'Raw Data'!C444</f>
        <v>20</v>
      </c>
      <c r="D444" s="21" t="str">
        <f>'Raw Data'!D444</f>
        <v>Mobile Phone</v>
      </c>
      <c r="E444" s="21">
        <f>'Raw Data'!E444</f>
        <v>1</v>
      </c>
      <c r="F444" s="21">
        <f>IF('Raw Data'!F444="",ROUND(AVERAGE('Raw Data'!$F$2:$F$1501),1),'Raw Data'!F444)</f>
        <v>5</v>
      </c>
      <c r="G444" s="21" t="str">
        <f>'Raw Data'!G444</f>
        <v>Debit Card</v>
      </c>
      <c r="H444" s="21" t="str">
        <f>'Raw Data'!H444</f>
        <v>Female</v>
      </c>
      <c r="I444" s="21">
        <f>IF('Raw Data'!I444="",ROUND(AVERAGE('Raw Data'!$I$2:$I$1501),1),'Raw Data'!I444)</f>
        <v>3.2</v>
      </c>
      <c r="J444" s="21">
        <f>'Raw Data'!J444</f>
        <v>3</v>
      </c>
      <c r="K444" s="21" t="str">
        <f>'Raw Data'!K444</f>
        <v>Fashion</v>
      </c>
      <c r="L444" s="21">
        <f>'Raw Data'!L444</f>
        <v>3</v>
      </c>
      <c r="M444" s="21" t="str">
        <f>'Raw Data'!M444</f>
        <v>Married</v>
      </c>
      <c r="N444" s="21">
        <f>'Raw Data'!N444</f>
        <v>1</v>
      </c>
      <c r="O444" s="21">
        <f>'Raw Data'!O444</f>
        <v>0</v>
      </c>
      <c r="P444" s="21">
        <f>IF('Raw Data'!P444="",ROUND(AVERAGE('Raw Data'!$P$2:$P$1501),1),'Raw Data'!P444)</f>
        <v>14.7</v>
      </c>
      <c r="Q444" s="21">
        <f>IF('Raw Data'!Q444="",ROUND(AVERAGE('Raw Data'!$Q$2:$Q$1501),0),'Raw Data'!Q444)</f>
        <v>4</v>
      </c>
      <c r="R444" s="21">
        <f>'Raw Data'!R444</f>
        <v>5</v>
      </c>
      <c r="S444" s="21">
        <f>IF('Raw Data'!S444="",ROUND(AVERAGE('Raw Data'!$S$2:$S$1501),0),'Raw Data'!S444)</f>
        <v>1</v>
      </c>
      <c r="T444" s="21">
        <f>'Raw Data'!T444</f>
        <v>207.07</v>
      </c>
      <c r="U444" s="21" t="str">
        <f>INDEX('Lookup Tables'!$C$7:$C$9,MATCH(E444,'Lookup Tables'!$B$7:$B$9,0))</f>
        <v>Tier 1 (Metro)</v>
      </c>
      <c r="V444" s="21" t="str">
        <f t="shared" si="18"/>
        <v>13-24 months</v>
      </c>
      <c r="W444" s="21" t="str">
        <f t="shared" si="19"/>
        <v>Medium Risk</v>
      </c>
      <c r="X444" s="21" t="str">
        <f t="shared" si="20"/>
        <v>No</v>
      </c>
    </row>
    <row r="445" spans="1:24" x14ac:dyDescent="0.3">
      <c r="A445" s="21">
        <f>'Raw Data'!A445</f>
        <v>50444</v>
      </c>
      <c r="B445" s="21">
        <f>'Raw Data'!B445</f>
        <v>0</v>
      </c>
      <c r="C445" s="21">
        <f>'Raw Data'!C445</f>
        <v>14</v>
      </c>
      <c r="D445" s="21" t="str">
        <f>'Raw Data'!D445</f>
        <v>Phone</v>
      </c>
      <c r="E445" s="21">
        <f>'Raw Data'!E445</f>
        <v>1</v>
      </c>
      <c r="F445" s="21">
        <f>IF('Raw Data'!F445="",ROUND(AVERAGE('Raw Data'!$F$2:$F$1501),1),'Raw Data'!F445)</f>
        <v>17</v>
      </c>
      <c r="G445" s="21" t="str">
        <f>'Raw Data'!G445</f>
        <v>E wallet</v>
      </c>
      <c r="H445" s="21" t="str">
        <f>'Raw Data'!H445</f>
        <v>Male</v>
      </c>
      <c r="I445" s="21">
        <f>IF('Raw Data'!I445="",ROUND(AVERAGE('Raw Data'!$I$2:$I$1501),1),'Raw Data'!I445)</f>
        <v>2.2000000000000002</v>
      </c>
      <c r="J445" s="21">
        <f>'Raw Data'!J445</f>
        <v>1</v>
      </c>
      <c r="K445" s="21" t="str">
        <f>'Raw Data'!K445</f>
        <v>Mobile Phone</v>
      </c>
      <c r="L445" s="21">
        <f>'Raw Data'!L445</f>
        <v>5</v>
      </c>
      <c r="M445" s="21" t="str">
        <f>'Raw Data'!M445</f>
        <v>Divorced</v>
      </c>
      <c r="N445" s="21">
        <f>'Raw Data'!N445</f>
        <v>2</v>
      </c>
      <c r="O445" s="21">
        <f>'Raw Data'!O445</f>
        <v>0</v>
      </c>
      <c r="P445" s="21">
        <f>IF('Raw Data'!P445="",ROUND(AVERAGE('Raw Data'!$P$2:$P$1501),1),'Raw Data'!P445)</f>
        <v>18.8</v>
      </c>
      <c r="Q445" s="21">
        <f>IF('Raw Data'!Q445="",ROUND(AVERAGE('Raw Data'!$Q$2:$Q$1501),0),'Raw Data'!Q445)</f>
        <v>2</v>
      </c>
      <c r="R445" s="21">
        <f>'Raw Data'!R445</f>
        <v>4</v>
      </c>
      <c r="S445" s="21">
        <f>IF('Raw Data'!S445="",ROUND(AVERAGE('Raw Data'!$S$2:$S$1501),0),'Raw Data'!S445)</f>
        <v>10</v>
      </c>
      <c r="T445" s="21">
        <f>'Raw Data'!T445</f>
        <v>52.32</v>
      </c>
      <c r="U445" s="21" t="str">
        <f>INDEX('Lookup Tables'!$C$7:$C$9,MATCH(E445,'Lookup Tables'!$B$7:$B$9,0))</f>
        <v>Tier 1 (Metro)</v>
      </c>
      <c r="V445" s="21" t="str">
        <f t="shared" si="18"/>
        <v>13-24 months</v>
      </c>
      <c r="W445" s="21" t="str">
        <f t="shared" si="19"/>
        <v>Low Risk</v>
      </c>
      <c r="X445" s="21" t="str">
        <f t="shared" si="20"/>
        <v>No</v>
      </c>
    </row>
    <row r="446" spans="1:24" x14ac:dyDescent="0.3">
      <c r="A446" s="21">
        <f>'Raw Data'!A446</f>
        <v>50445</v>
      </c>
      <c r="B446" s="21">
        <f>'Raw Data'!B446</f>
        <v>0</v>
      </c>
      <c r="C446" s="21">
        <f>'Raw Data'!C446</f>
        <v>14</v>
      </c>
      <c r="D446" s="21" t="str">
        <f>'Raw Data'!D446</f>
        <v>Computer</v>
      </c>
      <c r="E446" s="21">
        <f>'Raw Data'!E446</f>
        <v>1</v>
      </c>
      <c r="F446" s="21">
        <f>IF('Raw Data'!F446="",ROUND(AVERAGE('Raw Data'!$F$2:$F$1501),1),'Raw Data'!F446)</f>
        <v>16</v>
      </c>
      <c r="G446" s="21" t="str">
        <f>'Raw Data'!G446</f>
        <v>Debit Card</v>
      </c>
      <c r="H446" s="21" t="str">
        <f>'Raw Data'!H446</f>
        <v>Male</v>
      </c>
      <c r="I446" s="21">
        <f>IF('Raw Data'!I446="",ROUND(AVERAGE('Raw Data'!$I$2:$I$1501),1),'Raw Data'!I446)</f>
        <v>3.3</v>
      </c>
      <c r="J446" s="21">
        <f>'Raw Data'!J446</f>
        <v>2</v>
      </c>
      <c r="K446" s="21" t="str">
        <f>'Raw Data'!K446</f>
        <v>Mobile Phone</v>
      </c>
      <c r="L446" s="21">
        <f>'Raw Data'!L446</f>
        <v>3</v>
      </c>
      <c r="M446" s="21" t="str">
        <f>'Raw Data'!M446</f>
        <v>Married</v>
      </c>
      <c r="N446" s="21">
        <f>'Raw Data'!N446</f>
        <v>3</v>
      </c>
      <c r="O446" s="21">
        <f>'Raw Data'!O446</f>
        <v>0</v>
      </c>
      <c r="P446" s="21">
        <f>IF('Raw Data'!P446="",ROUND(AVERAGE('Raw Data'!$P$2:$P$1501),1),'Raw Data'!P446)</f>
        <v>11.3</v>
      </c>
      <c r="Q446" s="21">
        <f>IF('Raw Data'!Q446="",ROUND(AVERAGE('Raw Data'!$Q$2:$Q$1501),0),'Raw Data'!Q446)</f>
        <v>2</v>
      </c>
      <c r="R446" s="21">
        <f>'Raw Data'!R446</f>
        <v>3</v>
      </c>
      <c r="S446" s="21">
        <f>IF('Raw Data'!S446="",ROUND(AVERAGE('Raw Data'!$S$2:$S$1501),0),'Raw Data'!S446)</f>
        <v>6</v>
      </c>
      <c r="T446" s="21">
        <f>'Raw Data'!T446</f>
        <v>158.83000000000001</v>
      </c>
      <c r="U446" s="21" t="str">
        <f>INDEX('Lookup Tables'!$C$7:$C$9,MATCH(E446,'Lookup Tables'!$B$7:$B$9,0))</f>
        <v>Tier 1 (Metro)</v>
      </c>
      <c r="V446" s="21" t="str">
        <f t="shared" si="18"/>
        <v>13-24 months</v>
      </c>
      <c r="W446" s="21" t="str">
        <f t="shared" si="19"/>
        <v>Medium Risk</v>
      </c>
      <c r="X446" s="21" t="str">
        <f t="shared" si="20"/>
        <v>No</v>
      </c>
    </row>
    <row r="447" spans="1:24" x14ac:dyDescent="0.3">
      <c r="A447" s="21">
        <f>'Raw Data'!A447</f>
        <v>50446</v>
      </c>
      <c r="B447" s="21">
        <f>'Raw Data'!B447</f>
        <v>0</v>
      </c>
      <c r="C447" s="21">
        <f>'Raw Data'!C447</f>
        <v>18</v>
      </c>
      <c r="D447" s="21" t="str">
        <f>'Raw Data'!D447</f>
        <v>Phone</v>
      </c>
      <c r="E447" s="21">
        <f>'Raw Data'!E447</f>
        <v>1</v>
      </c>
      <c r="F447" s="21">
        <f>IF('Raw Data'!F447="",ROUND(AVERAGE('Raw Data'!$F$2:$F$1501),1),'Raw Data'!F447)</f>
        <v>10</v>
      </c>
      <c r="G447" s="21" t="str">
        <f>'Raw Data'!G447</f>
        <v>Debit Card</v>
      </c>
      <c r="H447" s="21" t="str">
        <f>'Raw Data'!H447</f>
        <v>Female</v>
      </c>
      <c r="I447" s="21">
        <f>IF('Raw Data'!I447="",ROUND(AVERAGE('Raw Data'!$I$2:$I$1501),1),'Raw Data'!I447)</f>
        <v>2.4</v>
      </c>
      <c r="J447" s="21">
        <f>'Raw Data'!J447</f>
        <v>2</v>
      </c>
      <c r="K447" s="21" t="str">
        <f>'Raw Data'!K447</f>
        <v>Mobile Phone</v>
      </c>
      <c r="L447" s="21">
        <f>'Raw Data'!L447</f>
        <v>3</v>
      </c>
      <c r="M447" s="21" t="str">
        <f>'Raw Data'!M447</f>
        <v>Married</v>
      </c>
      <c r="N447" s="21">
        <f>'Raw Data'!N447</f>
        <v>1</v>
      </c>
      <c r="O447" s="21">
        <f>'Raw Data'!O447</f>
        <v>0</v>
      </c>
      <c r="P447" s="21">
        <f>IF('Raw Data'!P447="",ROUND(AVERAGE('Raw Data'!$P$2:$P$1501),1),'Raw Data'!P447)</f>
        <v>11</v>
      </c>
      <c r="Q447" s="21">
        <f>IF('Raw Data'!Q447="",ROUND(AVERAGE('Raw Data'!$Q$2:$Q$1501),0),'Raw Data'!Q447)</f>
        <v>2</v>
      </c>
      <c r="R447" s="21">
        <f>'Raw Data'!R447</f>
        <v>4</v>
      </c>
      <c r="S447" s="21">
        <f>IF('Raw Data'!S447="",ROUND(AVERAGE('Raw Data'!$S$2:$S$1501),0),'Raw Data'!S447)</f>
        <v>10</v>
      </c>
      <c r="T447" s="21">
        <f>'Raw Data'!T447</f>
        <v>226.63</v>
      </c>
      <c r="U447" s="21" t="str">
        <f>INDEX('Lookup Tables'!$C$7:$C$9,MATCH(E447,'Lookup Tables'!$B$7:$B$9,0))</f>
        <v>Tier 1 (Metro)</v>
      </c>
      <c r="V447" s="21" t="str">
        <f t="shared" si="18"/>
        <v>13-24 months</v>
      </c>
      <c r="W447" s="21" t="str">
        <f t="shared" si="19"/>
        <v>Medium Risk</v>
      </c>
      <c r="X447" s="21" t="str">
        <f t="shared" si="20"/>
        <v>No</v>
      </c>
    </row>
    <row r="448" spans="1:24" x14ac:dyDescent="0.3">
      <c r="A448" s="21">
        <f>'Raw Data'!A448</f>
        <v>50447</v>
      </c>
      <c r="B448" s="21">
        <f>'Raw Data'!B448</f>
        <v>0</v>
      </c>
      <c r="C448" s="21">
        <f>'Raw Data'!C448</f>
        <v>14</v>
      </c>
      <c r="D448" s="21" t="str">
        <f>'Raw Data'!D448</f>
        <v>Mobile Phone</v>
      </c>
      <c r="E448" s="21">
        <f>'Raw Data'!E448</f>
        <v>2</v>
      </c>
      <c r="F448" s="21">
        <f>IF('Raw Data'!F448="",ROUND(AVERAGE('Raw Data'!$F$2:$F$1501),1),'Raw Data'!F448)</f>
        <v>16</v>
      </c>
      <c r="G448" s="21" t="str">
        <f>'Raw Data'!G448</f>
        <v>Credit Card</v>
      </c>
      <c r="H448" s="21" t="str">
        <f>'Raw Data'!H448</f>
        <v>Male</v>
      </c>
      <c r="I448" s="21">
        <f>IF('Raw Data'!I448="",ROUND(AVERAGE('Raw Data'!$I$2:$I$1501),1),'Raw Data'!I448)</f>
        <v>3.8</v>
      </c>
      <c r="J448" s="21">
        <f>'Raw Data'!J448</f>
        <v>5</v>
      </c>
      <c r="K448" s="21" t="str">
        <f>'Raw Data'!K448</f>
        <v>Laptop &amp; Accessory</v>
      </c>
      <c r="L448" s="21">
        <f>'Raw Data'!L448</f>
        <v>4</v>
      </c>
      <c r="M448" s="21" t="str">
        <f>'Raw Data'!M448</f>
        <v>Divorced</v>
      </c>
      <c r="N448" s="21">
        <f>'Raw Data'!N448</f>
        <v>1</v>
      </c>
      <c r="O448" s="21">
        <f>'Raw Data'!O448</f>
        <v>0</v>
      </c>
      <c r="P448" s="21">
        <f>IF('Raw Data'!P448="",ROUND(AVERAGE('Raw Data'!$P$2:$P$1501),1),'Raw Data'!P448)</f>
        <v>14.5</v>
      </c>
      <c r="Q448" s="21">
        <f>IF('Raw Data'!Q448="",ROUND(AVERAGE('Raw Data'!$Q$2:$Q$1501),0),'Raw Data'!Q448)</f>
        <v>1</v>
      </c>
      <c r="R448" s="21">
        <f>'Raw Data'!R448</f>
        <v>5</v>
      </c>
      <c r="S448" s="21">
        <f>IF('Raw Data'!S448="",ROUND(AVERAGE('Raw Data'!$S$2:$S$1501),0),'Raw Data'!S448)</f>
        <v>0</v>
      </c>
      <c r="T448" s="21">
        <f>'Raw Data'!T448</f>
        <v>195.88</v>
      </c>
      <c r="U448" s="21" t="str">
        <f>INDEX('Lookup Tables'!$C$7:$C$9,MATCH(E448,'Lookup Tables'!$B$7:$B$9,0))</f>
        <v>Tier 2 (Urban)</v>
      </c>
      <c r="V448" s="21" t="str">
        <f t="shared" si="18"/>
        <v>13-24 months</v>
      </c>
      <c r="W448" s="21" t="str">
        <f t="shared" si="19"/>
        <v>Low Risk</v>
      </c>
      <c r="X448" s="21" t="str">
        <f t="shared" si="20"/>
        <v>No</v>
      </c>
    </row>
    <row r="449" spans="1:24" x14ac:dyDescent="0.3">
      <c r="A449" s="21">
        <f>'Raw Data'!A449</f>
        <v>50448</v>
      </c>
      <c r="B449" s="21">
        <f>'Raw Data'!B449</f>
        <v>0</v>
      </c>
      <c r="C449" s="21">
        <f>'Raw Data'!C449</f>
        <v>9</v>
      </c>
      <c r="D449" s="21" t="str">
        <f>'Raw Data'!D449</f>
        <v>Mobile Phone</v>
      </c>
      <c r="E449" s="21">
        <f>'Raw Data'!E449</f>
        <v>3</v>
      </c>
      <c r="F449" s="21">
        <f>IF('Raw Data'!F449="",ROUND(AVERAGE('Raw Data'!$F$2:$F$1501),1),'Raw Data'!F449)</f>
        <v>27</v>
      </c>
      <c r="G449" s="21" t="str">
        <f>'Raw Data'!G449</f>
        <v>Debit Card</v>
      </c>
      <c r="H449" s="21" t="str">
        <f>'Raw Data'!H449</f>
        <v>Male</v>
      </c>
      <c r="I449" s="21">
        <f>IF('Raw Data'!I449="",ROUND(AVERAGE('Raw Data'!$I$2:$I$1501),1),'Raw Data'!I449)</f>
        <v>2.2000000000000002</v>
      </c>
      <c r="J449" s="21">
        <f>'Raw Data'!J449</f>
        <v>3</v>
      </c>
      <c r="K449" s="21" t="str">
        <f>'Raw Data'!K449</f>
        <v>Grocery</v>
      </c>
      <c r="L449" s="21">
        <f>'Raw Data'!L449</f>
        <v>2</v>
      </c>
      <c r="M449" s="21" t="str">
        <f>'Raw Data'!M449</f>
        <v>Single</v>
      </c>
      <c r="N449" s="21">
        <f>'Raw Data'!N449</f>
        <v>9</v>
      </c>
      <c r="O449" s="21">
        <f>'Raw Data'!O449</f>
        <v>0</v>
      </c>
      <c r="P449" s="21">
        <f>IF('Raw Data'!P449="",ROUND(AVERAGE('Raw Data'!$P$2:$P$1501),1),'Raw Data'!P449)</f>
        <v>19.3</v>
      </c>
      <c r="Q449" s="21">
        <f>IF('Raw Data'!Q449="",ROUND(AVERAGE('Raw Data'!$Q$2:$Q$1501),0),'Raw Data'!Q449)</f>
        <v>4</v>
      </c>
      <c r="R449" s="21">
        <f>'Raw Data'!R449</f>
        <v>5</v>
      </c>
      <c r="S449" s="21">
        <f>IF('Raw Data'!S449="",ROUND(AVERAGE('Raw Data'!$S$2:$S$1501),0),'Raw Data'!S449)</f>
        <v>2</v>
      </c>
      <c r="T449" s="21">
        <f>'Raw Data'!T449</f>
        <v>89.97</v>
      </c>
      <c r="U449" s="21" t="str">
        <f>INDEX('Lookup Tables'!$C$7:$C$9,MATCH(E449,'Lookup Tables'!$B$7:$B$9,0))</f>
        <v>Tier 3 (Semi-urban/Rural)</v>
      </c>
      <c r="V449" s="21" t="str">
        <f t="shared" si="18"/>
        <v>7-12 months</v>
      </c>
      <c r="W449" s="21" t="str">
        <f t="shared" si="19"/>
        <v>Low Risk</v>
      </c>
      <c r="X449" s="21" t="str">
        <f t="shared" si="20"/>
        <v>No</v>
      </c>
    </row>
    <row r="450" spans="1:24" x14ac:dyDescent="0.3">
      <c r="A450" s="21">
        <f>'Raw Data'!A450</f>
        <v>50449</v>
      </c>
      <c r="B450" s="21">
        <f>'Raw Data'!B450</f>
        <v>0</v>
      </c>
      <c r="C450" s="21">
        <f>'Raw Data'!C450</f>
        <v>1</v>
      </c>
      <c r="D450" s="21" t="str">
        <f>'Raw Data'!D450</f>
        <v>Mobile Phone</v>
      </c>
      <c r="E450" s="21">
        <f>'Raw Data'!E450</f>
        <v>2</v>
      </c>
      <c r="F450" s="21">
        <f>IF('Raw Data'!F450="",ROUND(AVERAGE('Raw Data'!$F$2:$F$1501),1),'Raw Data'!F450)</f>
        <v>20</v>
      </c>
      <c r="G450" s="21" t="str">
        <f>'Raw Data'!G450</f>
        <v>Credit Card</v>
      </c>
      <c r="H450" s="21" t="str">
        <f>'Raw Data'!H450</f>
        <v>Female</v>
      </c>
      <c r="I450" s="21">
        <f>IF('Raw Data'!I450="",ROUND(AVERAGE('Raw Data'!$I$2:$I$1501),1),'Raw Data'!I450)</f>
        <v>2.8</v>
      </c>
      <c r="J450" s="21">
        <f>'Raw Data'!J450</f>
        <v>4</v>
      </c>
      <c r="K450" s="21" t="str">
        <f>'Raw Data'!K450</f>
        <v>Mobile Phone</v>
      </c>
      <c r="L450" s="21">
        <f>'Raw Data'!L450</f>
        <v>3</v>
      </c>
      <c r="M450" s="21" t="str">
        <f>'Raw Data'!M450</f>
        <v>Single</v>
      </c>
      <c r="N450" s="21">
        <f>'Raw Data'!N450</f>
        <v>2</v>
      </c>
      <c r="O450" s="21">
        <f>'Raw Data'!O450</f>
        <v>0</v>
      </c>
      <c r="P450" s="21">
        <f>IF('Raw Data'!P450="",ROUND(AVERAGE('Raw Data'!$P$2:$P$1501),1),'Raw Data'!P450)</f>
        <v>16.899999999999999</v>
      </c>
      <c r="Q450" s="21">
        <f>IF('Raw Data'!Q450="",ROUND(AVERAGE('Raw Data'!$Q$2:$Q$1501),0),'Raw Data'!Q450)</f>
        <v>2</v>
      </c>
      <c r="R450" s="21">
        <f>'Raw Data'!R450</f>
        <v>4</v>
      </c>
      <c r="S450" s="21">
        <f>IF('Raw Data'!S450="",ROUND(AVERAGE('Raw Data'!$S$2:$S$1501),0),'Raw Data'!S450)</f>
        <v>1</v>
      </c>
      <c r="T450" s="21">
        <f>'Raw Data'!T450</f>
        <v>183.38</v>
      </c>
      <c r="U450" s="21" t="str">
        <f>INDEX('Lookup Tables'!$C$7:$C$9,MATCH(E450,'Lookup Tables'!$B$7:$B$9,0))</f>
        <v>Tier 2 (Urban)</v>
      </c>
      <c r="V450" s="21" t="str">
        <f t="shared" ref="V450:V513" si="21">IF(C450&lt;=6,"0-6 months",IF(C450&lt;=12,"7-12 months",IF(C450&lt;=24,"13-24 months","25+ months")))</f>
        <v>0-6 months</v>
      </c>
      <c r="W450" s="21" t="str">
        <f t="shared" ref="W450:W513" si="22">IF(AND(O450=1,L450&lt;=2),"High Risk",IF(OR(L450=3,S450&gt;15),"Medium Risk","Low Risk"))</f>
        <v>Medium Risk</v>
      </c>
      <c r="X450" s="21" t="str">
        <f t="shared" ref="X450:X513" si="23">IF(B450=1,"Yes","No")</f>
        <v>No</v>
      </c>
    </row>
    <row r="451" spans="1:24" x14ac:dyDescent="0.3">
      <c r="A451" s="21">
        <f>'Raw Data'!A451</f>
        <v>50450</v>
      </c>
      <c r="B451" s="21">
        <f>'Raw Data'!B451</f>
        <v>0</v>
      </c>
      <c r="C451" s="21">
        <f>'Raw Data'!C451</f>
        <v>0</v>
      </c>
      <c r="D451" s="21" t="str">
        <f>'Raw Data'!D451</f>
        <v>Phone</v>
      </c>
      <c r="E451" s="21">
        <f>'Raw Data'!E451</f>
        <v>1</v>
      </c>
      <c r="F451" s="21">
        <f>IF('Raw Data'!F451="",ROUND(AVERAGE('Raw Data'!$F$2:$F$1501),1),'Raw Data'!F451)</f>
        <v>5</v>
      </c>
      <c r="G451" s="21" t="str">
        <f>'Raw Data'!G451</f>
        <v>Debit Card</v>
      </c>
      <c r="H451" s="21" t="str">
        <f>'Raw Data'!H451</f>
        <v>Male</v>
      </c>
      <c r="I451" s="21">
        <f>IF('Raw Data'!I451="",ROUND(AVERAGE('Raw Data'!$I$2:$I$1501),1),'Raw Data'!I451)</f>
        <v>2.5</v>
      </c>
      <c r="J451" s="21">
        <f>'Raw Data'!J451</f>
        <v>2</v>
      </c>
      <c r="K451" s="21" t="str">
        <f>'Raw Data'!K451</f>
        <v>Mobile Phone</v>
      </c>
      <c r="L451" s="21">
        <f>'Raw Data'!L451</f>
        <v>3</v>
      </c>
      <c r="M451" s="21" t="str">
        <f>'Raw Data'!M451</f>
        <v>Single</v>
      </c>
      <c r="N451" s="21">
        <f>'Raw Data'!N451</f>
        <v>14</v>
      </c>
      <c r="O451" s="21">
        <f>'Raw Data'!O451</f>
        <v>0</v>
      </c>
      <c r="P451" s="21">
        <f>IF('Raw Data'!P451="",ROUND(AVERAGE('Raw Data'!$P$2:$P$1501),1),'Raw Data'!P451)</f>
        <v>19</v>
      </c>
      <c r="Q451" s="21">
        <f>IF('Raw Data'!Q451="",ROUND(AVERAGE('Raw Data'!$Q$2:$Q$1501),0),'Raw Data'!Q451)</f>
        <v>1</v>
      </c>
      <c r="R451" s="21">
        <f>'Raw Data'!R451</f>
        <v>6</v>
      </c>
      <c r="S451" s="21">
        <f>IF('Raw Data'!S451="",ROUND(AVERAGE('Raw Data'!$S$2:$S$1501),0),'Raw Data'!S451)</f>
        <v>0</v>
      </c>
      <c r="T451" s="21">
        <f>'Raw Data'!T451</f>
        <v>134.97</v>
      </c>
      <c r="U451" s="21" t="str">
        <f>INDEX('Lookup Tables'!$C$7:$C$9,MATCH(E451,'Lookup Tables'!$B$7:$B$9,0))</f>
        <v>Tier 1 (Metro)</v>
      </c>
      <c r="V451" s="21" t="str">
        <f t="shared" si="21"/>
        <v>0-6 months</v>
      </c>
      <c r="W451" s="21" t="str">
        <f t="shared" si="22"/>
        <v>Medium Risk</v>
      </c>
      <c r="X451" s="21" t="str">
        <f t="shared" si="23"/>
        <v>No</v>
      </c>
    </row>
    <row r="452" spans="1:24" x14ac:dyDescent="0.3">
      <c r="A452" s="21">
        <f>'Raw Data'!A452</f>
        <v>50451</v>
      </c>
      <c r="B452" s="21">
        <f>'Raw Data'!B452</f>
        <v>0</v>
      </c>
      <c r="C452" s="21">
        <f>'Raw Data'!C452</f>
        <v>25</v>
      </c>
      <c r="D452" s="21" t="str">
        <f>'Raw Data'!D452</f>
        <v>Computer</v>
      </c>
      <c r="E452" s="21">
        <f>'Raw Data'!E452</f>
        <v>3</v>
      </c>
      <c r="F452" s="21">
        <f>IF('Raw Data'!F452="",ROUND(AVERAGE('Raw Data'!$F$2:$F$1501),1),'Raw Data'!F452)</f>
        <v>14</v>
      </c>
      <c r="G452" s="21" t="str">
        <f>'Raw Data'!G452</f>
        <v>Debit Card</v>
      </c>
      <c r="H452" s="21" t="str">
        <f>'Raw Data'!H452</f>
        <v>Female</v>
      </c>
      <c r="I452" s="21">
        <f>IF('Raw Data'!I452="",ROUND(AVERAGE('Raw Data'!$I$2:$I$1501),1),'Raw Data'!I452)</f>
        <v>2.2000000000000002</v>
      </c>
      <c r="J452" s="21">
        <f>'Raw Data'!J452</f>
        <v>4</v>
      </c>
      <c r="K452" s="21" t="str">
        <f>'Raw Data'!K452</f>
        <v>Grocery</v>
      </c>
      <c r="L452" s="21">
        <f>'Raw Data'!L452</f>
        <v>2</v>
      </c>
      <c r="M452" s="21" t="str">
        <f>'Raw Data'!M452</f>
        <v>Single</v>
      </c>
      <c r="N452" s="21">
        <f>'Raw Data'!N452</f>
        <v>1</v>
      </c>
      <c r="O452" s="21">
        <f>'Raw Data'!O452</f>
        <v>0</v>
      </c>
      <c r="P452" s="21">
        <f>IF('Raw Data'!P452="",ROUND(AVERAGE('Raw Data'!$P$2:$P$1501),1),'Raw Data'!P452)</f>
        <v>11</v>
      </c>
      <c r="Q452" s="21">
        <f>IF('Raw Data'!Q452="",ROUND(AVERAGE('Raw Data'!$Q$2:$Q$1501),0),'Raw Data'!Q452)</f>
        <v>3</v>
      </c>
      <c r="R452" s="21">
        <f>'Raw Data'!R452</f>
        <v>1</v>
      </c>
      <c r="S452" s="21">
        <f>IF('Raw Data'!S452="",ROUND(AVERAGE('Raw Data'!$S$2:$S$1501),0),'Raw Data'!S452)</f>
        <v>1</v>
      </c>
      <c r="T452" s="21">
        <f>'Raw Data'!T452</f>
        <v>130.19999999999999</v>
      </c>
      <c r="U452" s="21" t="str">
        <f>INDEX('Lookup Tables'!$C$7:$C$9,MATCH(E452,'Lookup Tables'!$B$7:$B$9,0))</f>
        <v>Tier 3 (Semi-urban/Rural)</v>
      </c>
      <c r="V452" s="21" t="str">
        <f t="shared" si="21"/>
        <v>25+ months</v>
      </c>
      <c r="W452" s="21" t="str">
        <f t="shared" si="22"/>
        <v>Low Risk</v>
      </c>
      <c r="X452" s="21" t="str">
        <f t="shared" si="23"/>
        <v>No</v>
      </c>
    </row>
    <row r="453" spans="1:24" x14ac:dyDescent="0.3">
      <c r="A453" s="21">
        <f>'Raw Data'!A453</f>
        <v>50452</v>
      </c>
      <c r="B453" s="21">
        <f>'Raw Data'!B453</f>
        <v>0</v>
      </c>
      <c r="C453" s="21">
        <f>'Raw Data'!C453</f>
        <v>9</v>
      </c>
      <c r="D453" s="21" t="str">
        <f>'Raw Data'!D453</f>
        <v>Mobile Phone</v>
      </c>
      <c r="E453" s="21">
        <f>'Raw Data'!E453</f>
        <v>2</v>
      </c>
      <c r="F453" s="21">
        <f>IF('Raw Data'!F453="",ROUND(AVERAGE('Raw Data'!$F$2:$F$1501),1),'Raw Data'!F453)</f>
        <v>8</v>
      </c>
      <c r="G453" s="21" t="str">
        <f>'Raw Data'!G453</f>
        <v>E wallet</v>
      </c>
      <c r="H453" s="21" t="str">
        <f>'Raw Data'!H453</f>
        <v>Male</v>
      </c>
      <c r="I453" s="21">
        <f>IF('Raw Data'!I453="",ROUND(AVERAGE('Raw Data'!$I$2:$I$1501),1),'Raw Data'!I453)</f>
        <v>3.4</v>
      </c>
      <c r="J453" s="21">
        <f>'Raw Data'!J453</f>
        <v>5</v>
      </c>
      <c r="K453" s="21" t="str">
        <f>'Raw Data'!K453</f>
        <v>Mobile Phone</v>
      </c>
      <c r="L453" s="21">
        <f>'Raw Data'!L453</f>
        <v>4</v>
      </c>
      <c r="M453" s="21" t="str">
        <f>'Raw Data'!M453</f>
        <v>Married</v>
      </c>
      <c r="N453" s="21">
        <f>'Raw Data'!N453</f>
        <v>4</v>
      </c>
      <c r="O453" s="21">
        <f>'Raw Data'!O453</f>
        <v>0</v>
      </c>
      <c r="P453" s="21">
        <f>IF('Raw Data'!P453="",ROUND(AVERAGE('Raw Data'!$P$2:$P$1501),1),'Raw Data'!P453)</f>
        <v>17.100000000000001</v>
      </c>
      <c r="Q453" s="21">
        <f>IF('Raw Data'!Q453="",ROUND(AVERAGE('Raw Data'!$Q$2:$Q$1501),0),'Raw Data'!Q453)</f>
        <v>2</v>
      </c>
      <c r="R453" s="21">
        <f>'Raw Data'!R453</f>
        <v>2</v>
      </c>
      <c r="S453" s="21">
        <f>IF('Raw Data'!S453="",ROUND(AVERAGE('Raw Data'!$S$2:$S$1501),0),'Raw Data'!S453)</f>
        <v>2</v>
      </c>
      <c r="T453" s="21">
        <f>'Raw Data'!T453</f>
        <v>96.36</v>
      </c>
      <c r="U453" s="21" t="str">
        <f>INDEX('Lookup Tables'!$C$7:$C$9,MATCH(E453,'Lookup Tables'!$B$7:$B$9,0))</f>
        <v>Tier 2 (Urban)</v>
      </c>
      <c r="V453" s="21" t="str">
        <f t="shared" si="21"/>
        <v>7-12 months</v>
      </c>
      <c r="W453" s="21" t="str">
        <f t="shared" si="22"/>
        <v>Low Risk</v>
      </c>
      <c r="X453" s="21" t="str">
        <f t="shared" si="23"/>
        <v>No</v>
      </c>
    </row>
    <row r="454" spans="1:24" x14ac:dyDescent="0.3">
      <c r="A454" s="21">
        <f>'Raw Data'!A454</f>
        <v>50453</v>
      </c>
      <c r="B454" s="21">
        <f>'Raw Data'!B454</f>
        <v>0</v>
      </c>
      <c r="C454" s="21">
        <f>'Raw Data'!C454</f>
        <v>15</v>
      </c>
      <c r="D454" s="21" t="str">
        <f>'Raw Data'!D454</f>
        <v>Mobile Phone</v>
      </c>
      <c r="E454" s="21">
        <f>'Raw Data'!E454</f>
        <v>1</v>
      </c>
      <c r="F454" s="21">
        <f>IF('Raw Data'!F454="",ROUND(AVERAGE('Raw Data'!$F$2:$F$1501),1),'Raw Data'!F454)</f>
        <v>11</v>
      </c>
      <c r="G454" s="21" t="str">
        <f>'Raw Data'!G454</f>
        <v>Credit Card</v>
      </c>
      <c r="H454" s="21" t="str">
        <f>'Raw Data'!H454</f>
        <v>Male</v>
      </c>
      <c r="I454" s="21">
        <f>IF('Raw Data'!I454="",ROUND(AVERAGE('Raw Data'!$I$2:$I$1501),1),'Raw Data'!I454)</f>
        <v>3.3</v>
      </c>
      <c r="J454" s="21">
        <f>'Raw Data'!J454</f>
        <v>1</v>
      </c>
      <c r="K454" s="21" t="str">
        <f>'Raw Data'!K454</f>
        <v>Mobile Phone</v>
      </c>
      <c r="L454" s="21">
        <f>'Raw Data'!L454</f>
        <v>3</v>
      </c>
      <c r="M454" s="21" t="str">
        <f>'Raw Data'!M454</f>
        <v>Single</v>
      </c>
      <c r="N454" s="21">
        <f>'Raw Data'!N454</f>
        <v>3</v>
      </c>
      <c r="O454" s="21">
        <f>'Raw Data'!O454</f>
        <v>0</v>
      </c>
      <c r="P454" s="21">
        <f>IF('Raw Data'!P454="",ROUND(AVERAGE('Raw Data'!$P$2:$P$1501),1),'Raw Data'!P454)</f>
        <v>18.3</v>
      </c>
      <c r="Q454" s="21">
        <f>IF('Raw Data'!Q454="",ROUND(AVERAGE('Raw Data'!$Q$2:$Q$1501),0),'Raw Data'!Q454)</f>
        <v>1</v>
      </c>
      <c r="R454" s="21">
        <f>'Raw Data'!R454</f>
        <v>3</v>
      </c>
      <c r="S454" s="21">
        <f>IF('Raw Data'!S454="",ROUND(AVERAGE('Raw Data'!$S$2:$S$1501),0),'Raw Data'!S454)</f>
        <v>0</v>
      </c>
      <c r="T454" s="21">
        <f>'Raw Data'!T454</f>
        <v>214.03</v>
      </c>
      <c r="U454" s="21" t="str">
        <f>INDEX('Lookup Tables'!$C$7:$C$9,MATCH(E454,'Lookup Tables'!$B$7:$B$9,0))</f>
        <v>Tier 1 (Metro)</v>
      </c>
      <c r="V454" s="21" t="str">
        <f t="shared" si="21"/>
        <v>13-24 months</v>
      </c>
      <c r="W454" s="21" t="str">
        <f t="shared" si="22"/>
        <v>Medium Risk</v>
      </c>
      <c r="X454" s="21" t="str">
        <f t="shared" si="23"/>
        <v>No</v>
      </c>
    </row>
    <row r="455" spans="1:24" x14ac:dyDescent="0.3">
      <c r="A455" s="21">
        <f>'Raw Data'!A455</f>
        <v>50454</v>
      </c>
      <c r="B455" s="21">
        <f>'Raw Data'!B455</f>
        <v>0</v>
      </c>
      <c r="C455" s="21">
        <f>'Raw Data'!C455</f>
        <v>6</v>
      </c>
      <c r="D455" s="21" t="str">
        <f>'Raw Data'!D455</f>
        <v>Mobile Phone</v>
      </c>
      <c r="E455" s="21">
        <f>'Raw Data'!E455</f>
        <v>2</v>
      </c>
      <c r="F455" s="21">
        <f>IF('Raw Data'!F455="",ROUND(AVERAGE('Raw Data'!$F$2:$F$1501),1),'Raw Data'!F455)</f>
        <v>11</v>
      </c>
      <c r="G455" s="21" t="str">
        <f>'Raw Data'!G455</f>
        <v>Debit Card</v>
      </c>
      <c r="H455" s="21" t="str">
        <f>'Raw Data'!H455</f>
        <v>Male</v>
      </c>
      <c r="I455" s="21">
        <f>IF('Raw Data'!I455="",ROUND(AVERAGE('Raw Data'!$I$2:$I$1501),1),'Raw Data'!I455)</f>
        <v>3.7</v>
      </c>
      <c r="J455" s="21">
        <f>'Raw Data'!J455</f>
        <v>2</v>
      </c>
      <c r="K455" s="21" t="str">
        <f>'Raw Data'!K455</f>
        <v>Others</v>
      </c>
      <c r="L455" s="21">
        <f>'Raw Data'!L455</f>
        <v>4</v>
      </c>
      <c r="M455" s="21" t="str">
        <f>'Raw Data'!M455</f>
        <v>Married</v>
      </c>
      <c r="N455" s="21">
        <f>'Raw Data'!N455</f>
        <v>2</v>
      </c>
      <c r="O455" s="21">
        <f>'Raw Data'!O455</f>
        <v>1</v>
      </c>
      <c r="P455" s="21">
        <f>IF('Raw Data'!P455="",ROUND(AVERAGE('Raw Data'!$P$2:$P$1501),1),'Raw Data'!P455)</f>
        <v>11.3</v>
      </c>
      <c r="Q455" s="21">
        <f>IF('Raw Data'!Q455="",ROUND(AVERAGE('Raw Data'!$Q$2:$Q$1501),0),'Raw Data'!Q455)</f>
        <v>3</v>
      </c>
      <c r="R455" s="21">
        <f>'Raw Data'!R455</f>
        <v>5</v>
      </c>
      <c r="S455" s="21">
        <f>IF('Raw Data'!S455="",ROUND(AVERAGE('Raw Data'!$S$2:$S$1501),0),'Raw Data'!S455)</f>
        <v>4</v>
      </c>
      <c r="T455" s="21">
        <f>'Raw Data'!T455</f>
        <v>241.22</v>
      </c>
      <c r="U455" s="21" t="str">
        <f>INDEX('Lookup Tables'!$C$7:$C$9,MATCH(E455,'Lookup Tables'!$B$7:$B$9,0))</f>
        <v>Tier 2 (Urban)</v>
      </c>
      <c r="V455" s="21" t="str">
        <f t="shared" si="21"/>
        <v>0-6 months</v>
      </c>
      <c r="W455" s="21" t="str">
        <f t="shared" si="22"/>
        <v>Low Risk</v>
      </c>
      <c r="X455" s="21" t="str">
        <f t="shared" si="23"/>
        <v>No</v>
      </c>
    </row>
    <row r="456" spans="1:24" x14ac:dyDescent="0.3">
      <c r="A456" s="21">
        <f>'Raw Data'!A456</f>
        <v>50455</v>
      </c>
      <c r="B456" s="21">
        <f>'Raw Data'!B456</f>
        <v>0</v>
      </c>
      <c r="C456" s="21">
        <f>'Raw Data'!C456</f>
        <v>1</v>
      </c>
      <c r="D456" s="21" t="str">
        <f>'Raw Data'!D456</f>
        <v>Computer</v>
      </c>
      <c r="E456" s="21">
        <f>'Raw Data'!E456</f>
        <v>1</v>
      </c>
      <c r="F456" s="21">
        <f>IF('Raw Data'!F456="",ROUND(AVERAGE('Raw Data'!$F$2:$F$1501),1),'Raw Data'!F456)</f>
        <v>11</v>
      </c>
      <c r="G456" s="21" t="str">
        <f>'Raw Data'!G456</f>
        <v>Debit Card</v>
      </c>
      <c r="H456" s="21" t="str">
        <f>'Raw Data'!H456</f>
        <v>Male</v>
      </c>
      <c r="I456" s="21">
        <f>IF('Raw Data'!I456="",ROUND(AVERAGE('Raw Data'!$I$2:$I$1501),1),'Raw Data'!I456)</f>
        <v>1.7</v>
      </c>
      <c r="J456" s="21">
        <f>'Raw Data'!J456</f>
        <v>4</v>
      </c>
      <c r="K456" s="21" t="str">
        <f>'Raw Data'!K456</f>
        <v>Grocery</v>
      </c>
      <c r="L456" s="21">
        <f>'Raw Data'!L456</f>
        <v>5</v>
      </c>
      <c r="M456" s="21" t="str">
        <f>'Raw Data'!M456</f>
        <v>Divorced</v>
      </c>
      <c r="N456" s="21">
        <f>'Raw Data'!N456</f>
        <v>12</v>
      </c>
      <c r="O456" s="21">
        <f>'Raw Data'!O456</f>
        <v>1</v>
      </c>
      <c r="P456" s="21">
        <f>IF('Raw Data'!P456="",ROUND(AVERAGE('Raw Data'!$P$2:$P$1501),1),'Raw Data'!P456)</f>
        <v>19</v>
      </c>
      <c r="Q456" s="21">
        <f>IF('Raw Data'!Q456="",ROUND(AVERAGE('Raw Data'!$Q$2:$Q$1501),0),'Raw Data'!Q456)</f>
        <v>5</v>
      </c>
      <c r="R456" s="21">
        <f>'Raw Data'!R456</f>
        <v>4</v>
      </c>
      <c r="S456" s="21">
        <f>IF('Raw Data'!S456="",ROUND(AVERAGE('Raw Data'!$S$2:$S$1501),0),'Raw Data'!S456)</f>
        <v>2</v>
      </c>
      <c r="T456" s="21">
        <f>'Raw Data'!T456</f>
        <v>296.61</v>
      </c>
      <c r="U456" s="21" t="str">
        <f>INDEX('Lookup Tables'!$C$7:$C$9,MATCH(E456,'Lookup Tables'!$B$7:$B$9,0))</f>
        <v>Tier 1 (Metro)</v>
      </c>
      <c r="V456" s="21" t="str">
        <f t="shared" si="21"/>
        <v>0-6 months</v>
      </c>
      <c r="W456" s="21" t="str">
        <f t="shared" si="22"/>
        <v>Low Risk</v>
      </c>
      <c r="X456" s="21" t="str">
        <f t="shared" si="23"/>
        <v>No</v>
      </c>
    </row>
    <row r="457" spans="1:24" x14ac:dyDescent="0.3">
      <c r="A457" s="21">
        <f>'Raw Data'!A457</f>
        <v>50456</v>
      </c>
      <c r="B457" s="21">
        <f>'Raw Data'!B457</f>
        <v>0</v>
      </c>
      <c r="C457" s="21">
        <f>'Raw Data'!C457</f>
        <v>1</v>
      </c>
      <c r="D457" s="21" t="str">
        <f>'Raw Data'!D457</f>
        <v>Phone</v>
      </c>
      <c r="E457" s="21">
        <f>'Raw Data'!E457</f>
        <v>1</v>
      </c>
      <c r="F457" s="21">
        <f>IF('Raw Data'!F457="",ROUND(AVERAGE('Raw Data'!$F$2:$F$1501),1),'Raw Data'!F457)</f>
        <v>5</v>
      </c>
      <c r="G457" s="21" t="str">
        <f>'Raw Data'!G457</f>
        <v>Credit Card</v>
      </c>
      <c r="H457" s="21" t="str">
        <f>'Raw Data'!H457</f>
        <v>Male</v>
      </c>
      <c r="I457" s="21">
        <f>IF('Raw Data'!I457="",ROUND(AVERAGE('Raw Data'!$I$2:$I$1501),1),'Raw Data'!I457)</f>
        <v>3.6</v>
      </c>
      <c r="J457" s="21">
        <f>'Raw Data'!J457</f>
        <v>4</v>
      </c>
      <c r="K457" s="21" t="str">
        <f>'Raw Data'!K457</f>
        <v>Laptop &amp; Accessory</v>
      </c>
      <c r="L457" s="21">
        <f>'Raw Data'!L457</f>
        <v>2</v>
      </c>
      <c r="M457" s="21" t="str">
        <f>'Raw Data'!M457</f>
        <v>Single</v>
      </c>
      <c r="N457" s="21">
        <f>'Raw Data'!N457</f>
        <v>1</v>
      </c>
      <c r="O457" s="21">
        <f>'Raw Data'!O457</f>
        <v>1</v>
      </c>
      <c r="P457" s="21">
        <f>IF('Raw Data'!P457="",ROUND(AVERAGE('Raw Data'!$P$2:$P$1501),1),'Raw Data'!P457)</f>
        <v>15.6</v>
      </c>
      <c r="Q457" s="21">
        <f>IF('Raw Data'!Q457="",ROUND(AVERAGE('Raw Data'!$Q$2:$Q$1501),0),'Raw Data'!Q457)</f>
        <v>4</v>
      </c>
      <c r="R457" s="21">
        <f>'Raw Data'!R457</f>
        <v>5</v>
      </c>
      <c r="S457" s="21">
        <f>IF('Raw Data'!S457="",ROUND(AVERAGE('Raw Data'!$S$2:$S$1501),0),'Raw Data'!S457)</f>
        <v>0</v>
      </c>
      <c r="T457" s="21">
        <f>'Raw Data'!T457</f>
        <v>98.93</v>
      </c>
      <c r="U457" s="21" t="str">
        <f>INDEX('Lookup Tables'!$C$7:$C$9,MATCH(E457,'Lookup Tables'!$B$7:$B$9,0))</f>
        <v>Tier 1 (Metro)</v>
      </c>
      <c r="V457" s="21" t="str">
        <f t="shared" si="21"/>
        <v>0-6 months</v>
      </c>
      <c r="W457" s="21" t="str">
        <f t="shared" si="22"/>
        <v>High Risk</v>
      </c>
      <c r="X457" s="21" t="str">
        <f t="shared" si="23"/>
        <v>No</v>
      </c>
    </row>
    <row r="458" spans="1:24" x14ac:dyDescent="0.3">
      <c r="A458" s="21">
        <f>'Raw Data'!A458</f>
        <v>50457</v>
      </c>
      <c r="B458" s="21">
        <f>'Raw Data'!B458</f>
        <v>0</v>
      </c>
      <c r="C458" s="21">
        <f>'Raw Data'!C458</f>
        <v>11</v>
      </c>
      <c r="D458" s="21" t="str">
        <f>'Raw Data'!D458</f>
        <v>Computer</v>
      </c>
      <c r="E458" s="21">
        <f>'Raw Data'!E458</f>
        <v>3</v>
      </c>
      <c r="F458" s="21">
        <f>IF('Raw Data'!F458="",ROUND(AVERAGE('Raw Data'!$F$2:$F$1501),1),'Raw Data'!F458)</f>
        <v>13</v>
      </c>
      <c r="G458" s="21" t="str">
        <f>'Raw Data'!G458</f>
        <v>Debit Card</v>
      </c>
      <c r="H458" s="21" t="str">
        <f>'Raw Data'!H458</f>
        <v>Male</v>
      </c>
      <c r="I458" s="21">
        <f>IF('Raw Data'!I458="",ROUND(AVERAGE('Raw Data'!$I$2:$I$1501),1),'Raw Data'!I458)</f>
        <v>4.7</v>
      </c>
      <c r="J458" s="21">
        <f>'Raw Data'!J458</f>
        <v>3</v>
      </c>
      <c r="K458" s="21" t="str">
        <f>'Raw Data'!K458</f>
        <v>Mobile Phone</v>
      </c>
      <c r="L458" s="21">
        <f>'Raw Data'!L458</f>
        <v>3</v>
      </c>
      <c r="M458" s="21" t="str">
        <f>'Raw Data'!M458</f>
        <v>Married</v>
      </c>
      <c r="N458" s="21">
        <f>'Raw Data'!N458</f>
        <v>7</v>
      </c>
      <c r="O458" s="21">
        <f>'Raw Data'!O458</f>
        <v>0</v>
      </c>
      <c r="P458" s="21">
        <f>IF('Raw Data'!P458="",ROUND(AVERAGE('Raw Data'!$P$2:$P$1501),1),'Raw Data'!P458)</f>
        <v>26</v>
      </c>
      <c r="Q458" s="21">
        <f>IF('Raw Data'!Q458="",ROUND(AVERAGE('Raw Data'!$Q$2:$Q$1501),0),'Raw Data'!Q458)</f>
        <v>0</v>
      </c>
      <c r="R458" s="21">
        <f>'Raw Data'!R458</f>
        <v>3</v>
      </c>
      <c r="S458" s="21">
        <f>IF('Raw Data'!S458="",ROUND(AVERAGE('Raw Data'!$S$2:$S$1501),0),'Raw Data'!S458)</f>
        <v>6</v>
      </c>
      <c r="T458" s="21">
        <f>'Raw Data'!T458</f>
        <v>222.21</v>
      </c>
      <c r="U458" s="21" t="str">
        <f>INDEX('Lookup Tables'!$C$7:$C$9,MATCH(E458,'Lookup Tables'!$B$7:$B$9,0))</f>
        <v>Tier 3 (Semi-urban/Rural)</v>
      </c>
      <c r="V458" s="21" t="str">
        <f t="shared" si="21"/>
        <v>7-12 months</v>
      </c>
      <c r="W458" s="21" t="str">
        <f t="shared" si="22"/>
        <v>Medium Risk</v>
      </c>
      <c r="X458" s="21" t="str">
        <f t="shared" si="23"/>
        <v>No</v>
      </c>
    </row>
    <row r="459" spans="1:24" x14ac:dyDescent="0.3">
      <c r="A459" s="21">
        <f>'Raw Data'!A459</f>
        <v>50458</v>
      </c>
      <c r="B459" s="21">
        <f>'Raw Data'!B459</f>
        <v>0</v>
      </c>
      <c r="C459" s="21">
        <f>'Raw Data'!C459</f>
        <v>5</v>
      </c>
      <c r="D459" s="21" t="str">
        <f>'Raw Data'!D459</f>
        <v>Mobile Phone</v>
      </c>
      <c r="E459" s="21">
        <f>'Raw Data'!E459</f>
        <v>1</v>
      </c>
      <c r="F459" s="21">
        <f>IF('Raw Data'!F459="",ROUND(AVERAGE('Raw Data'!$F$2:$F$1501),1),'Raw Data'!F459)</f>
        <v>10</v>
      </c>
      <c r="G459" s="21" t="str">
        <f>'Raw Data'!G459</f>
        <v>Debit Card</v>
      </c>
      <c r="H459" s="21" t="str">
        <f>'Raw Data'!H459</f>
        <v>Male</v>
      </c>
      <c r="I459" s="21">
        <f>IF('Raw Data'!I459="",ROUND(AVERAGE('Raw Data'!$I$2:$I$1501),1),'Raw Data'!I459)</f>
        <v>2.6</v>
      </c>
      <c r="J459" s="21">
        <f>'Raw Data'!J459</f>
        <v>3</v>
      </c>
      <c r="K459" s="21" t="str">
        <f>'Raw Data'!K459</f>
        <v>Others</v>
      </c>
      <c r="L459" s="21">
        <f>'Raw Data'!L459</f>
        <v>3</v>
      </c>
      <c r="M459" s="21" t="str">
        <f>'Raw Data'!M459</f>
        <v>Single</v>
      </c>
      <c r="N459" s="21">
        <f>'Raw Data'!N459</f>
        <v>4</v>
      </c>
      <c r="O459" s="21">
        <f>'Raw Data'!O459</f>
        <v>0</v>
      </c>
      <c r="P459" s="21">
        <f>IF('Raw Data'!P459="",ROUND(AVERAGE('Raw Data'!$P$2:$P$1501),1),'Raw Data'!P459)</f>
        <v>11</v>
      </c>
      <c r="Q459" s="21">
        <f>IF('Raw Data'!Q459="",ROUND(AVERAGE('Raw Data'!$Q$2:$Q$1501),0),'Raw Data'!Q459)</f>
        <v>1</v>
      </c>
      <c r="R459" s="21">
        <f>'Raw Data'!R459</f>
        <v>1</v>
      </c>
      <c r="S459" s="21">
        <f>IF('Raw Data'!S459="",ROUND(AVERAGE('Raw Data'!$S$2:$S$1501),0),'Raw Data'!S459)</f>
        <v>6</v>
      </c>
      <c r="T459" s="21">
        <f>'Raw Data'!T459</f>
        <v>225.82</v>
      </c>
      <c r="U459" s="21" t="str">
        <f>INDEX('Lookup Tables'!$C$7:$C$9,MATCH(E459,'Lookup Tables'!$B$7:$B$9,0))</f>
        <v>Tier 1 (Metro)</v>
      </c>
      <c r="V459" s="21" t="str">
        <f t="shared" si="21"/>
        <v>0-6 months</v>
      </c>
      <c r="W459" s="21" t="str">
        <f t="shared" si="22"/>
        <v>Medium Risk</v>
      </c>
      <c r="X459" s="21" t="str">
        <f t="shared" si="23"/>
        <v>No</v>
      </c>
    </row>
    <row r="460" spans="1:24" x14ac:dyDescent="0.3">
      <c r="A460" s="21">
        <f>'Raw Data'!A460</f>
        <v>50459</v>
      </c>
      <c r="B460" s="21">
        <f>'Raw Data'!B460</f>
        <v>0</v>
      </c>
      <c r="C460" s="21">
        <f>'Raw Data'!C460</f>
        <v>2</v>
      </c>
      <c r="D460" s="21" t="str">
        <f>'Raw Data'!D460</f>
        <v>Mobile Phone</v>
      </c>
      <c r="E460" s="21">
        <f>'Raw Data'!E460</f>
        <v>1</v>
      </c>
      <c r="F460" s="21">
        <f>IF('Raw Data'!F460="",ROUND(AVERAGE('Raw Data'!$F$2:$F$1501),1),'Raw Data'!F460)</f>
        <v>5</v>
      </c>
      <c r="G460" s="21" t="str">
        <f>'Raw Data'!G460</f>
        <v>Debit Card</v>
      </c>
      <c r="H460" s="21" t="str">
        <f>'Raw Data'!H460</f>
        <v>Male</v>
      </c>
      <c r="I460" s="21">
        <f>IF('Raw Data'!I460="",ROUND(AVERAGE('Raw Data'!$I$2:$I$1501),1),'Raw Data'!I460)</f>
        <v>4.2</v>
      </c>
      <c r="J460" s="21">
        <f>'Raw Data'!J460</f>
        <v>3</v>
      </c>
      <c r="K460" s="21" t="str">
        <f>'Raw Data'!K460</f>
        <v>Mobile Phone</v>
      </c>
      <c r="L460" s="21">
        <f>'Raw Data'!L460</f>
        <v>2</v>
      </c>
      <c r="M460" s="21" t="str">
        <f>'Raw Data'!M460</f>
        <v>Single</v>
      </c>
      <c r="N460" s="21">
        <f>'Raw Data'!N460</f>
        <v>1</v>
      </c>
      <c r="O460" s="21">
        <f>'Raw Data'!O460</f>
        <v>0</v>
      </c>
      <c r="P460" s="21">
        <f>IF('Raw Data'!P460="",ROUND(AVERAGE('Raw Data'!$P$2:$P$1501),1),'Raw Data'!P460)</f>
        <v>20.8</v>
      </c>
      <c r="Q460" s="21">
        <f>IF('Raw Data'!Q460="",ROUND(AVERAGE('Raw Data'!$Q$2:$Q$1501),0),'Raw Data'!Q460)</f>
        <v>1</v>
      </c>
      <c r="R460" s="21">
        <f>'Raw Data'!R460</f>
        <v>2</v>
      </c>
      <c r="S460" s="21">
        <f>IF('Raw Data'!S460="",ROUND(AVERAGE('Raw Data'!$S$2:$S$1501),0),'Raw Data'!S460)</f>
        <v>8</v>
      </c>
      <c r="T460" s="21">
        <f>'Raw Data'!T460</f>
        <v>148.07</v>
      </c>
      <c r="U460" s="21" t="str">
        <f>INDEX('Lookup Tables'!$C$7:$C$9,MATCH(E460,'Lookup Tables'!$B$7:$B$9,0))</f>
        <v>Tier 1 (Metro)</v>
      </c>
      <c r="V460" s="21" t="str">
        <f t="shared" si="21"/>
        <v>0-6 months</v>
      </c>
      <c r="W460" s="21" t="str">
        <f t="shared" si="22"/>
        <v>Low Risk</v>
      </c>
      <c r="X460" s="21" t="str">
        <f t="shared" si="23"/>
        <v>No</v>
      </c>
    </row>
    <row r="461" spans="1:24" x14ac:dyDescent="0.3">
      <c r="A461" s="21">
        <f>'Raw Data'!A461</f>
        <v>50460</v>
      </c>
      <c r="B461" s="21">
        <f>'Raw Data'!B461</f>
        <v>0</v>
      </c>
      <c r="C461" s="21">
        <f>'Raw Data'!C461</f>
        <v>6</v>
      </c>
      <c r="D461" s="21" t="str">
        <f>'Raw Data'!D461</f>
        <v>Mobile Phone</v>
      </c>
      <c r="E461" s="21">
        <f>'Raw Data'!E461</f>
        <v>3</v>
      </c>
      <c r="F461" s="21">
        <f>IF('Raw Data'!F461="",ROUND(AVERAGE('Raw Data'!$F$2:$F$1501),1),'Raw Data'!F461)</f>
        <v>31</v>
      </c>
      <c r="G461" s="21" t="str">
        <f>'Raw Data'!G461</f>
        <v>UPI</v>
      </c>
      <c r="H461" s="21" t="str">
        <f>'Raw Data'!H461</f>
        <v>Male</v>
      </c>
      <c r="I461" s="21">
        <f>IF('Raw Data'!I461="",ROUND(AVERAGE('Raw Data'!$I$2:$I$1501),1),'Raw Data'!I461)</f>
        <v>2.7</v>
      </c>
      <c r="J461" s="21">
        <f>'Raw Data'!J461</f>
        <v>3</v>
      </c>
      <c r="K461" s="21" t="str">
        <f>'Raw Data'!K461</f>
        <v>Mobile Phone</v>
      </c>
      <c r="L461" s="21">
        <f>'Raw Data'!L461</f>
        <v>4</v>
      </c>
      <c r="M461" s="21" t="str">
        <f>'Raw Data'!M461</f>
        <v>Married</v>
      </c>
      <c r="N461" s="21">
        <f>'Raw Data'!N461</f>
        <v>8</v>
      </c>
      <c r="O461" s="21">
        <f>'Raw Data'!O461</f>
        <v>0</v>
      </c>
      <c r="P461" s="21">
        <f>IF('Raw Data'!P461="",ROUND(AVERAGE('Raw Data'!$P$2:$P$1501),1),'Raw Data'!P461)</f>
        <v>14.6</v>
      </c>
      <c r="Q461" s="21">
        <f>IF('Raw Data'!Q461="",ROUND(AVERAGE('Raw Data'!$Q$2:$Q$1501),0),'Raw Data'!Q461)</f>
        <v>3</v>
      </c>
      <c r="R461" s="21">
        <f>'Raw Data'!R461</f>
        <v>5</v>
      </c>
      <c r="S461" s="21">
        <f>IF('Raw Data'!S461="",ROUND(AVERAGE('Raw Data'!$S$2:$S$1501),0),'Raw Data'!S461)</f>
        <v>3</v>
      </c>
      <c r="T461" s="21">
        <f>'Raw Data'!T461</f>
        <v>129.53</v>
      </c>
      <c r="U461" s="21" t="str">
        <f>INDEX('Lookup Tables'!$C$7:$C$9,MATCH(E461,'Lookup Tables'!$B$7:$B$9,0))</f>
        <v>Tier 3 (Semi-urban/Rural)</v>
      </c>
      <c r="V461" s="21" t="str">
        <f t="shared" si="21"/>
        <v>0-6 months</v>
      </c>
      <c r="W461" s="21" t="str">
        <f t="shared" si="22"/>
        <v>Low Risk</v>
      </c>
      <c r="X461" s="21" t="str">
        <f t="shared" si="23"/>
        <v>No</v>
      </c>
    </row>
    <row r="462" spans="1:24" x14ac:dyDescent="0.3">
      <c r="A462" s="21">
        <f>'Raw Data'!A462</f>
        <v>50461</v>
      </c>
      <c r="B462" s="21">
        <f>'Raw Data'!B462</f>
        <v>0</v>
      </c>
      <c r="C462" s="21">
        <f>'Raw Data'!C462</f>
        <v>0</v>
      </c>
      <c r="D462" s="21" t="str">
        <f>'Raw Data'!D462</f>
        <v>Mobile Phone</v>
      </c>
      <c r="E462" s="21">
        <f>'Raw Data'!E462</f>
        <v>3</v>
      </c>
      <c r="F462" s="21">
        <f>IF('Raw Data'!F462="",ROUND(AVERAGE('Raw Data'!$F$2:$F$1501),1),'Raw Data'!F462)</f>
        <v>23</v>
      </c>
      <c r="G462" s="21" t="str">
        <f>'Raw Data'!G462</f>
        <v>UPI</v>
      </c>
      <c r="H462" s="21" t="str">
        <f>'Raw Data'!H462</f>
        <v>Male</v>
      </c>
      <c r="I462" s="21">
        <f>IF('Raw Data'!I462="",ROUND(AVERAGE('Raw Data'!$I$2:$I$1501),1),'Raw Data'!I462)</f>
        <v>1.9</v>
      </c>
      <c r="J462" s="21">
        <f>'Raw Data'!J462</f>
        <v>4</v>
      </c>
      <c r="K462" s="21" t="str">
        <f>'Raw Data'!K462</f>
        <v>Laptop &amp; Accessory</v>
      </c>
      <c r="L462" s="21">
        <f>'Raw Data'!L462</f>
        <v>4</v>
      </c>
      <c r="M462" s="21" t="str">
        <f>'Raw Data'!M462</f>
        <v>Divorced</v>
      </c>
      <c r="N462" s="21">
        <f>'Raw Data'!N462</f>
        <v>1</v>
      </c>
      <c r="O462" s="21">
        <f>'Raw Data'!O462</f>
        <v>0</v>
      </c>
      <c r="P462" s="21">
        <f>IF('Raw Data'!P462="",ROUND(AVERAGE('Raw Data'!$P$2:$P$1501),1),'Raw Data'!P462)</f>
        <v>11</v>
      </c>
      <c r="Q462" s="21">
        <f>IF('Raw Data'!Q462="",ROUND(AVERAGE('Raw Data'!$Q$2:$Q$1501),0),'Raw Data'!Q462)</f>
        <v>1</v>
      </c>
      <c r="R462" s="21">
        <f>'Raw Data'!R462</f>
        <v>3</v>
      </c>
      <c r="S462" s="21">
        <f>IF('Raw Data'!S462="",ROUND(AVERAGE('Raw Data'!$S$2:$S$1501),0),'Raw Data'!S462)</f>
        <v>17</v>
      </c>
      <c r="T462" s="21">
        <f>'Raw Data'!T462</f>
        <v>120.28</v>
      </c>
      <c r="U462" s="21" t="str">
        <f>INDEX('Lookup Tables'!$C$7:$C$9,MATCH(E462,'Lookup Tables'!$B$7:$B$9,0))</f>
        <v>Tier 3 (Semi-urban/Rural)</v>
      </c>
      <c r="V462" s="21" t="str">
        <f t="shared" si="21"/>
        <v>0-6 months</v>
      </c>
      <c r="W462" s="21" t="str">
        <f t="shared" si="22"/>
        <v>Medium Risk</v>
      </c>
      <c r="X462" s="21" t="str">
        <f t="shared" si="23"/>
        <v>No</v>
      </c>
    </row>
    <row r="463" spans="1:24" x14ac:dyDescent="0.3">
      <c r="A463" s="21">
        <f>'Raw Data'!A463</f>
        <v>50462</v>
      </c>
      <c r="B463" s="21">
        <f>'Raw Data'!B463</f>
        <v>0</v>
      </c>
      <c r="C463" s="21">
        <f>'Raw Data'!C463</f>
        <v>8</v>
      </c>
      <c r="D463" s="21" t="str">
        <f>'Raw Data'!D463</f>
        <v>Mobile Phone</v>
      </c>
      <c r="E463" s="21">
        <f>'Raw Data'!E463</f>
        <v>1</v>
      </c>
      <c r="F463" s="21">
        <f>IF('Raw Data'!F463="",ROUND(AVERAGE('Raw Data'!$F$2:$F$1501),1),'Raw Data'!F463)</f>
        <v>14.8</v>
      </c>
      <c r="G463" s="21" t="str">
        <f>'Raw Data'!G463</f>
        <v>UPI</v>
      </c>
      <c r="H463" s="21" t="str">
        <f>'Raw Data'!H463</f>
        <v>Male</v>
      </c>
      <c r="I463" s="21">
        <f>IF('Raw Data'!I463="",ROUND(AVERAGE('Raw Data'!$I$2:$I$1501),1),'Raw Data'!I463)</f>
        <v>2.7</v>
      </c>
      <c r="J463" s="21">
        <f>'Raw Data'!J463</f>
        <v>2</v>
      </c>
      <c r="K463" s="21" t="str">
        <f>'Raw Data'!K463</f>
        <v>Laptop &amp; Accessory</v>
      </c>
      <c r="L463" s="21">
        <f>'Raw Data'!L463</f>
        <v>3</v>
      </c>
      <c r="M463" s="21" t="str">
        <f>'Raw Data'!M463</f>
        <v>Single</v>
      </c>
      <c r="N463" s="21">
        <f>'Raw Data'!N463</f>
        <v>5</v>
      </c>
      <c r="O463" s="21">
        <f>'Raw Data'!O463</f>
        <v>0</v>
      </c>
      <c r="P463" s="21">
        <f>IF('Raw Data'!P463="",ROUND(AVERAGE('Raw Data'!$P$2:$P$1501),1),'Raw Data'!P463)</f>
        <v>14.2</v>
      </c>
      <c r="Q463" s="21">
        <f>IF('Raw Data'!Q463="",ROUND(AVERAGE('Raw Data'!$Q$2:$Q$1501),0),'Raw Data'!Q463)</f>
        <v>3</v>
      </c>
      <c r="R463" s="21">
        <f>'Raw Data'!R463</f>
        <v>4</v>
      </c>
      <c r="S463" s="21">
        <f>IF('Raw Data'!S463="",ROUND(AVERAGE('Raw Data'!$S$2:$S$1501),0),'Raw Data'!S463)</f>
        <v>12</v>
      </c>
      <c r="T463" s="21">
        <f>'Raw Data'!T463</f>
        <v>151</v>
      </c>
      <c r="U463" s="21" t="str">
        <f>INDEX('Lookup Tables'!$C$7:$C$9,MATCH(E463,'Lookup Tables'!$B$7:$B$9,0))</f>
        <v>Tier 1 (Metro)</v>
      </c>
      <c r="V463" s="21" t="str">
        <f t="shared" si="21"/>
        <v>7-12 months</v>
      </c>
      <c r="W463" s="21" t="str">
        <f t="shared" si="22"/>
        <v>Medium Risk</v>
      </c>
      <c r="X463" s="21" t="str">
        <f t="shared" si="23"/>
        <v>No</v>
      </c>
    </row>
    <row r="464" spans="1:24" x14ac:dyDescent="0.3">
      <c r="A464" s="21">
        <f>'Raw Data'!A464</f>
        <v>50463</v>
      </c>
      <c r="B464" s="21">
        <f>'Raw Data'!B464</f>
        <v>0</v>
      </c>
      <c r="C464" s="21">
        <f>'Raw Data'!C464</f>
        <v>3</v>
      </c>
      <c r="D464" s="21" t="str">
        <f>'Raw Data'!D464</f>
        <v>Computer</v>
      </c>
      <c r="E464" s="21">
        <f>'Raw Data'!E464</f>
        <v>1</v>
      </c>
      <c r="F464" s="21">
        <f>IF('Raw Data'!F464="",ROUND(AVERAGE('Raw Data'!$F$2:$F$1501),1),'Raw Data'!F464)</f>
        <v>15</v>
      </c>
      <c r="G464" s="21" t="str">
        <f>'Raw Data'!G464</f>
        <v>E wallet</v>
      </c>
      <c r="H464" s="21" t="str">
        <f>'Raw Data'!H464</f>
        <v>Female</v>
      </c>
      <c r="I464" s="21">
        <f>IF('Raw Data'!I464="",ROUND(AVERAGE('Raw Data'!$I$2:$I$1501),1),'Raw Data'!I464)</f>
        <v>3.6</v>
      </c>
      <c r="J464" s="21">
        <f>'Raw Data'!J464</f>
        <v>4</v>
      </c>
      <c r="K464" s="21" t="str">
        <f>'Raw Data'!K464</f>
        <v>Fashion</v>
      </c>
      <c r="L464" s="21">
        <f>'Raw Data'!L464</f>
        <v>3</v>
      </c>
      <c r="M464" s="21" t="str">
        <f>'Raw Data'!M464</f>
        <v>Single</v>
      </c>
      <c r="N464" s="21">
        <f>'Raw Data'!N464</f>
        <v>1</v>
      </c>
      <c r="O464" s="21">
        <f>'Raw Data'!O464</f>
        <v>0</v>
      </c>
      <c r="P464" s="21">
        <f>IF('Raw Data'!P464="",ROUND(AVERAGE('Raw Data'!$P$2:$P$1501),1),'Raw Data'!P464)</f>
        <v>17</v>
      </c>
      <c r="Q464" s="21">
        <f>IF('Raw Data'!Q464="",ROUND(AVERAGE('Raw Data'!$Q$2:$Q$1501),0),'Raw Data'!Q464)</f>
        <v>3</v>
      </c>
      <c r="R464" s="21">
        <f>'Raw Data'!R464</f>
        <v>7</v>
      </c>
      <c r="S464" s="21">
        <f>IF('Raw Data'!S464="",ROUND(AVERAGE('Raw Data'!$S$2:$S$1501),0),'Raw Data'!S464)</f>
        <v>4</v>
      </c>
      <c r="T464" s="21">
        <f>'Raw Data'!T464</f>
        <v>191.14</v>
      </c>
      <c r="U464" s="21" t="str">
        <f>INDEX('Lookup Tables'!$C$7:$C$9,MATCH(E464,'Lookup Tables'!$B$7:$B$9,0))</f>
        <v>Tier 1 (Metro)</v>
      </c>
      <c r="V464" s="21" t="str">
        <f t="shared" si="21"/>
        <v>0-6 months</v>
      </c>
      <c r="W464" s="21" t="str">
        <f t="shared" si="22"/>
        <v>Medium Risk</v>
      </c>
      <c r="X464" s="21" t="str">
        <f t="shared" si="23"/>
        <v>No</v>
      </c>
    </row>
    <row r="465" spans="1:24" x14ac:dyDescent="0.3">
      <c r="A465" s="21">
        <f>'Raw Data'!A465</f>
        <v>50464</v>
      </c>
      <c r="B465" s="21">
        <f>'Raw Data'!B465</f>
        <v>0</v>
      </c>
      <c r="C465" s="21">
        <f>'Raw Data'!C465</f>
        <v>15</v>
      </c>
      <c r="D465" s="21" t="str">
        <f>'Raw Data'!D465</f>
        <v>Computer</v>
      </c>
      <c r="E465" s="21">
        <f>'Raw Data'!E465</f>
        <v>1</v>
      </c>
      <c r="F465" s="21">
        <f>IF('Raw Data'!F465="",ROUND(AVERAGE('Raw Data'!$F$2:$F$1501),1),'Raw Data'!F465)</f>
        <v>5</v>
      </c>
      <c r="G465" s="21" t="str">
        <f>'Raw Data'!G465</f>
        <v>E wallet</v>
      </c>
      <c r="H465" s="21" t="str">
        <f>'Raw Data'!H465</f>
        <v>Female</v>
      </c>
      <c r="I465" s="21">
        <f>IF('Raw Data'!I465="",ROUND(AVERAGE('Raw Data'!$I$2:$I$1501),1),'Raw Data'!I465)</f>
        <v>2.2999999999999998</v>
      </c>
      <c r="J465" s="21">
        <f>'Raw Data'!J465</f>
        <v>2</v>
      </c>
      <c r="K465" s="21" t="str">
        <f>'Raw Data'!K465</f>
        <v>Fashion</v>
      </c>
      <c r="L465" s="21">
        <f>'Raw Data'!L465</f>
        <v>1</v>
      </c>
      <c r="M465" s="21" t="str">
        <f>'Raw Data'!M465</f>
        <v>Single</v>
      </c>
      <c r="N465" s="21">
        <f>'Raw Data'!N465</f>
        <v>6</v>
      </c>
      <c r="O465" s="21">
        <f>'Raw Data'!O465</f>
        <v>0</v>
      </c>
      <c r="P465" s="21">
        <f>IF('Raw Data'!P465="",ROUND(AVERAGE('Raw Data'!$P$2:$P$1501),1),'Raw Data'!P465)</f>
        <v>19.600000000000001</v>
      </c>
      <c r="Q465" s="21">
        <f>IF('Raw Data'!Q465="",ROUND(AVERAGE('Raw Data'!$Q$2:$Q$1501),0),'Raw Data'!Q465)</f>
        <v>1</v>
      </c>
      <c r="R465" s="21">
        <f>'Raw Data'!R465</f>
        <v>4</v>
      </c>
      <c r="S465" s="21">
        <f>IF('Raw Data'!S465="",ROUND(AVERAGE('Raw Data'!$S$2:$S$1501),0),'Raw Data'!S465)</f>
        <v>2</v>
      </c>
      <c r="T465" s="21">
        <f>'Raw Data'!T465</f>
        <v>254.81</v>
      </c>
      <c r="U465" s="21" t="str">
        <f>INDEX('Lookup Tables'!$C$7:$C$9,MATCH(E465,'Lookup Tables'!$B$7:$B$9,0))</f>
        <v>Tier 1 (Metro)</v>
      </c>
      <c r="V465" s="21" t="str">
        <f t="shared" si="21"/>
        <v>13-24 months</v>
      </c>
      <c r="W465" s="21" t="str">
        <f t="shared" si="22"/>
        <v>Low Risk</v>
      </c>
      <c r="X465" s="21" t="str">
        <f t="shared" si="23"/>
        <v>No</v>
      </c>
    </row>
    <row r="466" spans="1:24" x14ac:dyDescent="0.3">
      <c r="A466" s="21">
        <f>'Raw Data'!A466</f>
        <v>50465</v>
      </c>
      <c r="B466" s="21">
        <f>'Raw Data'!B466</f>
        <v>0</v>
      </c>
      <c r="C466" s="21">
        <f>'Raw Data'!C466</f>
        <v>3</v>
      </c>
      <c r="D466" s="21" t="str">
        <f>'Raw Data'!D466</f>
        <v>Mobile Phone</v>
      </c>
      <c r="E466" s="21">
        <f>'Raw Data'!E466</f>
        <v>2</v>
      </c>
      <c r="F466" s="21">
        <f>IF('Raw Data'!F466="",ROUND(AVERAGE('Raw Data'!$F$2:$F$1501),1),'Raw Data'!F466)</f>
        <v>28</v>
      </c>
      <c r="G466" s="21" t="str">
        <f>'Raw Data'!G466</f>
        <v>Credit Card</v>
      </c>
      <c r="H466" s="21" t="str">
        <f>'Raw Data'!H466</f>
        <v>Female</v>
      </c>
      <c r="I466" s="21">
        <f>IF('Raw Data'!I466="",ROUND(AVERAGE('Raw Data'!$I$2:$I$1501),1),'Raw Data'!I466)</f>
        <v>2.5</v>
      </c>
      <c r="J466" s="21">
        <f>'Raw Data'!J466</f>
        <v>2</v>
      </c>
      <c r="K466" s="21" t="str">
        <f>'Raw Data'!K466</f>
        <v>Others</v>
      </c>
      <c r="L466" s="21">
        <f>'Raw Data'!L466</f>
        <v>4</v>
      </c>
      <c r="M466" s="21" t="str">
        <f>'Raw Data'!M466</f>
        <v>Single</v>
      </c>
      <c r="N466" s="21">
        <f>'Raw Data'!N466</f>
        <v>3</v>
      </c>
      <c r="O466" s="21">
        <f>'Raw Data'!O466</f>
        <v>0</v>
      </c>
      <c r="P466" s="21">
        <f>IF('Raw Data'!P466="",ROUND(AVERAGE('Raw Data'!$P$2:$P$1501),1),'Raw Data'!P466)</f>
        <v>22</v>
      </c>
      <c r="Q466" s="21">
        <f>IF('Raw Data'!Q466="",ROUND(AVERAGE('Raw Data'!$Q$2:$Q$1501),0),'Raw Data'!Q466)</f>
        <v>1</v>
      </c>
      <c r="R466" s="21">
        <f>'Raw Data'!R466</f>
        <v>3</v>
      </c>
      <c r="S466" s="21">
        <f>IF('Raw Data'!S466="",ROUND(AVERAGE('Raw Data'!$S$2:$S$1501),0),'Raw Data'!S466)</f>
        <v>0</v>
      </c>
      <c r="T466" s="21">
        <f>'Raw Data'!T466</f>
        <v>240.79</v>
      </c>
      <c r="U466" s="21" t="str">
        <f>INDEX('Lookup Tables'!$C$7:$C$9,MATCH(E466,'Lookup Tables'!$B$7:$B$9,0))</f>
        <v>Tier 2 (Urban)</v>
      </c>
      <c r="V466" s="21" t="str">
        <f t="shared" si="21"/>
        <v>0-6 months</v>
      </c>
      <c r="W466" s="21" t="str">
        <f t="shared" si="22"/>
        <v>Low Risk</v>
      </c>
      <c r="X466" s="21" t="str">
        <f t="shared" si="23"/>
        <v>No</v>
      </c>
    </row>
    <row r="467" spans="1:24" x14ac:dyDescent="0.3">
      <c r="A467" s="21">
        <f>'Raw Data'!A467</f>
        <v>50466</v>
      </c>
      <c r="B467" s="21">
        <f>'Raw Data'!B467</f>
        <v>0</v>
      </c>
      <c r="C467" s="21">
        <f>'Raw Data'!C467</f>
        <v>6</v>
      </c>
      <c r="D467" s="21" t="str">
        <f>'Raw Data'!D467</f>
        <v>Phone</v>
      </c>
      <c r="E467" s="21">
        <f>'Raw Data'!E467</f>
        <v>1</v>
      </c>
      <c r="F467" s="21">
        <f>IF('Raw Data'!F467="",ROUND(AVERAGE('Raw Data'!$F$2:$F$1501),1),'Raw Data'!F467)</f>
        <v>30</v>
      </c>
      <c r="G467" s="21" t="str">
        <f>'Raw Data'!G467</f>
        <v>E wallet</v>
      </c>
      <c r="H467" s="21" t="str">
        <f>'Raw Data'!H467</f>
        <v>Male</v>
      </c>
      <c r="I467" s="21">
        <f>IF('Raw Data'!I467="",ROUND(AVERAGE('Raw Data'!$I$2:$I$1501),1),'Raw Data'!I467)</f>
        <v>3.3</v>
      </c>
      <c r="J467" s="21">
        <f>'Raw Data'!J467</f>
        <v>4</v>
      </c>
      <c r="K467" s="21" t="str">
        <f>'Raw Data'!K467</f>
        <v>Fashion</v>
      </c>
      <c r="L467" s="21">
        <f>'Raw Data'!L467</f>
        <v>4</v>
      </c>
      <c r="M467" s="21" t="str">
        <f>'Raw Data'!M467</f>
        <v>Single</v>
      </c>
      <c r="N467" s="21">
        <f>'Raw Data'!N467</f>
        <v>1</v>
      </c>
      <c r="O467" s="21">
        <f>'Raw Data'!O467</f>
        <v>0</v>
      </c>
      <c r="P467" s="21">
        <f>IF('Raw Data'!P467="",ROUND(AVERAGE('Raw Data'!$P$2:$P$1501),1),'Raw Data'!P467)</f>
        <v>21</v>
      </c>
      <c r="Q467" s="21">
        <f>IF('Raw Data'!Q467="",ROUND(AVERAGE('Raw Data'!$Q$2:$Q$1501),0),'Raw Data'!Q467)</f>
        <v>1</v>
      </c>
      <c r="R467" s="21">
        <f>'Raw Data'!R467</f>
        <v>3</v>
      </c>
      <c r="S467" s="21">
        <f>IF('Raw Data'!S467="",ROUND(AVERAGE('Raw Data'!$S$2:$S$1501),0),'Raw Data'!S467)</f>
        <v>6</v>
      </c>
      <c r="T467" s="21">
        <f>'Raw Data'!T467</f>
        <v>91.15</v>
      </c>
      <c r="U467" s="21" t="str">
        <f>INDEX('Lookup Tables'!$C$7:$C$9,MATCH(E467,'Lookup Tables'!$B$7:$B$9,0))</f>
        <v>Tier 1 (Metro)</v>
      </c>
      <c r="V467" s="21" t="str">
        <f t="shared" si="21"/>
        <v>0-6 months</v>
      </c>
      <c r="W467" s="21" t="str">
        <f t="shared" si="22"/>
        <v>Low Risk</v>
      </c>
      <c r="X467" s="21" t="str">
        <f t="shared" si="23"/>
        <v>No</v>
      </c>
    </row>
    <row r="468" spans="1:24" x14ac:dyDescent="0.3">
      <c r="A468" s="21">
        <f>'Raw Data'!A468</f>
        <v>50467</v>
      </c>
      <c r="B468" s="21">
        <f>'Raw Data'!B468</f>
        <v>0</v>
      </c>
      <c r="C468" s="21">
        <f>'Raw Data'!C468</f>
        <v>0</v>
      </c>
      <c r="D468" s="21" t="str">
        <f>'Raw Data'!D468</f>
        <v>Mobile Phone</v>
      </c>
      <c r="E468" s="21">
        <f>'Raw Data'!E468</f>
        <v>1</v>
      </c>
      <c r="F468" s="21">
        <f>IF('Raw Data'!F468="",ROUND(AVERAGE('Raw Data'!$F$2:$F$1501),1),'Raw Data'!F468)</f>
        <v>16</v>
      </c>
      <c r="G468" s="21" t="str">
        <f>'Raw Data'!G468</f>
        <v>Debit Card</v>
      </c>
      <c r="H468" s="21" t="str">
        <f>'Raw Data'!H468</f>
        <v>Female</v>
      </c>
      <c r="I468" s="21">
        <f>IF('Raw Data'!I468="",ROUND(AVERAGE('Raw Data'!$I$2:$I$1501),1),'Raw Data'!I468)</f>
        <v>2.9</v>
      </c>
      <c r="J468" s="21">
        <f>'Raw Data'!J468</f>
        <v>4</v>
      </c>
      <c r="K468" s="21" t="str">
        <f>'Raw Data'!K468</f>
        <v>Laptop &amp; Accessory</v>
      </c>
      <c r="L468" s="21">
        <f>'Raw Data'!L468</f>
        <v>4</v>
      </c>
      <c r="M468" s="21" t="str">
        <f>'Raw Data'!M468</f>
        <v>Married</v>
      </c>
      <c r="N468" s="21">
        <f>'Raw Data'!N468</f>
        <v>3</v>
      </c>
      <c r="O468" s="21">
        <f>'Raw Data'!O468</f>
        <v>0</v>
      </c>
      <c r="P468" s="21">
        <f>IF('Raw Data'!P468="",ROUND(AVERAGE('Raw Data'!$P$2:$P$1501),1),'Raw Data'!P468)</f>
        <v>12.6</v>
      </c>
      <c r="Q468" s="21">
        <f>IF('Raw Data'!Q468="",ROUND(AVERAGE('Raw Data'!$Q$2:$Q$1501),0),'Raw Data'!Q468)</f>
        <v>4</v>
      </c>
      <c r="R468" s="21">
        <f>'Raw Data'!R468</f>
        <v>3</v>
      </c>
      <c r="S468" s="21">
        <f>IF('Raw Data'!S468="",ROUND(AVERAGE('Raw Data'!$S$2:$S$1501),0),'Raw Data'!S468)</f>
        <v>4</v>
      </c>
      <c r="T468" s="21">
        <f>'Raw Data'!T468</f>
        <v>136.61000000000001</v>
      </c>
      <c r="U468" s="21" t="str">
        <f>INDEX('Lookup Tables'!$C$7:$C$9,MATCH(E468,'Lookup Tables'!$B$7:$B$9,0))</f>
        <v>Tier 1 (Metro)</v>
      </c>
      <c r="V468" s="21" t="str">
        <f t="shared" si="21"/>
        <v>0-6 months</v>
      </c>
      <c r="W468" s="21" t="str">
        <f t="shared" si="22"/>
        <v>Low Risk</v>
      </c>
      <c r="X468" s="21" t="str">
        <f t="shared" si="23"/>
        <v>No</v>
      </c>
    </row>
    <row r="469" spans="1:24" x14ac:dyDescent="0.3">
      <c r="A469" s="21">
        <f>'Raw Data'!A469</f>
        <v>50468</v>
      </c>
      <c r="B469" s="21">
        <f>'Raw Data'!B469</f>
        <v>1</v>
      </c>
      <c r="C469" s="21">
        <f>'Raw Data'!C469</f>
        <v>0</v>
      </c>
      <c r="D469" s="21" t="str">
        <f>'Raw Data'!D469</f>
        <v>Mobile Phone</v>
      </c>
      <c r="E469" s="21">
        <f>'Raw Data'!E469</f>
        <v>3</v>
      </c>
      <c r="F469" s="21">
        <f>IF('Raw Data'!F469="",ROUND(AVERAGE('Raw Data'!$F$2:$F$1501),1),'Raw Data'!F469)</f>
        <v>23</v>
      </c>
      <c r="G469" s="21" t="str">
        <f>'Raw Data'!G469</f>
        <v>E wallet</v>
      </c>
      <c r="H469" s="21" t="str">
        <f>'Raw Data'!H469</f>
        <v>Female</v>
      </c>
      <c r="I469" s="21">
        <f>IF('Raw Data'!I469="",ROUND(AVERAGE('Raw Data'!$I$2:$I$1501),1),'Raw Data'!I469)</f>
        <v>3.3</v>
      </c>
      <c r="J469" s="21">
        <f>'Raw Data'!J469</f>
        <v>4</v>
      </c>
      <c r="K469" s="21" t="str">
        <f>'Raw Data'!K469</f>
        <v>Laptop &amp; Accessory</v>
      </c>
      <c r="L469" s="21">
        <f>'Raw Data'!L469</f>
        <v>3</v>
      </c>
      <c r="M469" s="21" t="str">
        <f>'Raw Data'!M469</f>
        <v>Single</v>
      </c>
      <c r="N469" s="21">
        <f>'Raw Data'!N469</f>
        <v>1</v>
      </c>
      <c r="O469" s="21">
        <f>'Raw Data'!O469</f>
        <v>0</v>
      </c>
      <c r="P469" s="21">
        <f>IF('Raw Data'!P469="",ROUND(AVERAGE('Raw Data'!$P$2:$P$1501),1),'Raw Data'!P469)</f>
        <v>20</v>
      </c>
      <c r="Q469" s="21">
        <f>IF('Raw Data'!Q469="",ROUND(AVERAGE('Raw Data'!$Q$2:$Q$1501),0),'Raw Data'!Q469)</f>
        <v>1</v>
      </c>
      <c r="R469" s="21">
        <f>'Raw Data'!R469</f>
        <v>6</v>
      </c>
      <c r="S469" s="21">
        <f>IF('Raw Data'!S469="",ROUND(AVERAGE('Raw Data'!$S$2:$S$1501),0),'Raw Data'!S469)</f>
        <v>4</v>
      </c>
      <c r="T469" s="21">
        <f>'Raw Data'!T469</f>
        <v>251.48</v>
      </c>
      <c r="U469" s="21" t="str">
        <f>INDEX('Lookup Tables'!$C$7:$C$9,MATCH(E469,'Lookup Tables'!$B$7:$B$9,0))</f>
        <v>Tier 3 (Semi-urban/Rural)</v>
      </c>
      <c r="V469" s="21" t="str">
        <f t="shared" si="21"/>
        <v>0-6 months</v>
      </c>
      <c r="W469" s="21" t="str">
        <f t="shared" si="22"/>
        <v>Medium Risk</v>
      </c>
      <c r="X469" s="21" t="str">
        <f t="shared" si="23"/>
        <v>Yes</v>
      </c>
    </row>
    <row r="470" spans="1:24" x14ac:dyDescent="0.3">
      <c r="A470" s="21">
        <f>'Raw Data'!A470</f>
        <v>50469</v>
      </c>
      <c r="B470" s="21">
        <f>'Raw Data'!B470</f>
        <v>0</v>
      </c>
      <c r="C470" s="21">
        <f>'Raw Data'!C470</f>
        <v>4</v>
      </c>
      <c r="D470" s="21" t="str">
        <f>'Raw Data'!D470</f>
        <v>Mobile Phone</v>
      </c>
      <c r="E470" s="21">
        <f>'Raw Data'!E470</f>
        <v>2</v>
      </c>
      <c r="F470" s="21">
        <f>IF('Raw Data'!F470="",ROUND(AVERAGE('Raw Data'!$F$2:$F$1501),1),'Raw Data'!F470)</f>
        <v>16</v>
      </c>
      <c r="G470" s="21" t="str">
        <f>'Raw Data'!G470</f>
        <v>UPI</v>
      </c>
      <c r="H470" s="21" t="str">
        <f>'Raw Data'!H470</f>
        <v>Female</v>
      </c>
      <c r="I470" s="21">
        <f>IF('Raw Data'!I470="",ROUND(AVERAGE('Raw Data'!$I$2:$I$1501),1),'Raw Data'!I470)</f>
        <v>3.1</v>
      </c>
      <c r="J470" s="21">
        <f>'Raw Data'!J470</f>
        <v>2</v>
      </c>
      <c r="K470" s="21" t="str">
        <f>'Raw Data'!K470</f>
        <v>Others</v>
      </c>
      <c r="L470" s="21">
        <f>'Raw Data'!L470</f>
        <v>4</v>
      </c>
      <c r="M470" s="21" t="str">
        <f>'Raw Data'!M470</f>
        <v>Married</v>
      </c>
      <c r="N470" s="21">
        <f>'Raw Data'!N470</f>
        <v>1</v>
      </c>
      <c r="O470" s="21">
        <f>'Raw Data'!O470</f>
        <v>1</v>
      </c>
      <c r="P470" s="21">
        <f>IF('Raw Data'!P470="",ROUND(AVERAGE('Raw Data'!$P$2:$P$1501),1),'Raw Data'!P470)</f>
        <v>17.399999999999999</v>
      </c>
      <c r="Q470" s="21">
        <f>IF('Raw Data'!Q470="",ROUND(AVERAGE('Raw Data'!$Q$2:$Q$1501),0),'Raw Data'!Q470)</f>
        <v>3</v>
      </c>
      <c r="R470" s="21">
        <f>'Raw Data'!R470</f>
        <v>4</v>
      </c>
      <c r="S470" s="21">
        <f>IF('Raw Data'!S470="",ROUND(AVERAGE('Raw Data'!$S$2:$S$1501),0),'Raw Data'!S470)</f>
        <v>4</v>
      </c>
      <c r="T470" s="21">
        <f>'Raw Data'!T470</f>
        <v>139.79</v>
      </c>
      <c r="U470" s="21" t="str">
        <f>INDEX('Lookup Tables'!$C$7:$C$9,MATCH(E470,'Lookup Tables'!$B$7:$B$9,0))</f>
        <v>Tier 2 (Urban)</v>
      </c>
      <c r="V470" s="21" t="str">
        <f t="shared" si="21"/>
        <v>0-6 months</v>
      </c>
      <c r="W470" s="21" t="str">
        <f t="shared" si="22"/>
        <v>Low Risk</v>
      </c>
      <c r="X470" s="21" t="str">
        <f t="shared" si="23"/>
        <v>No</v>
      </c>
    </row>
    <row r="471" spans="1:24" x14ac:dyDescent="0.3">
      <c r="A471" s="21">
        <f>'Raw Data'!A471</f>
        <v>50470</v>
      </c>
      <c r="B471" s="21">
        <f>'Raw Data'!B471</f>
        <v>1</v>
      </c>
      <c r="C471" s="21">
        <f>'Raw Data'!C471</f>
        <v>6</v>
      </c>
      <c r="D471" s="21" t="str">
        <f>'Raw Data'!D471</f>
        <v>Mobile Phone</v>
      </c>
      <c r="E471" s="21">
        <f>'Raw Data'!E471</f>
        <v>1</v>
      </c>
      <c r="F471" s="21">
        <f>IF('Raw Data'!F471="",ROUND(AVERAGE('Raw Data'!$F$2:$F$1501),1),'Raw Data'!F471)</f>
        <v>5</v>
      </c>
      <c r="G471" s="21" t="str">
        <f>'Raw Data'!G471</f>
        <v>Credit Card</v>
      </c>
      <c r="H471" s="21" t="str">
        <f>'Raw Data'!H471</f>
        <v>Male</v>
      </c>
      <c r="I471" s="21">
        <f>IF('Raw Data'!I471="",ROUND(AVERAGE('Raw Data'!$I$2:$I$1501),1),'Raw Data'!I471)</f>
        <v>3.2</v>
      </c>
      <c r="J471" s="21">
        <f>'Raw Data'!J471</f>
        <v>3</v>
      </c>
      <c r="K471" s="21" t="str">
        <f>'Raw Data'!K471</f>
        <v>Mobile Phone</v>
      </c>
      <c r="L471" s="21">
        <f>'Raw Data'!L471</f>
        <v>3</v>
      </c>
      <c r="M471" s="21" t="str">
        <f>'Raw Data'!M471</f>
        <v>Married</v>
      </c>
      <c r="N471" s="21">
        <f>'Raw Data'!N471</f>
        <v>1</v>
      </c>
      <c r="O471" s="21">
        <f>'Raw Data'!O471</f>
        <v>0</v>
      </c>
      <c r="P471" s="21">
        <f>IF('Raw Data'!P471="",ROUND(AVERAGE('Raw Data'!$P$2:$P$1501),1),'Raw Data'!P471)</f>
        <v>13.7</v>
      </c>
      <c r="Q471" s="21">
        <f>IF('Raw Data'!Q471="",ROUND(AVERAGE('Raw Data'!$Q$2:$Q$1501),0),'Raw Data'!Q471)</f>
        <v>4</v>
      </c>
      <c r="R471" s="21">
        <f>'Raw Data'!R471</f>
        <v>2</v>
      </c>
      <c r="S471" s="21">
        <f>IF('Raw Data'!S471="",ROUND(AVERAGE('Raw Data'!$S$2:$S$1501),0),'Raw Data'!S471)</f>
        <v>24</v>
      </c>
      <c r="T471" s="21">
        <f>'Raw Data'!T471</f>
        <v>176.87</v>
      </c>
      <c r="U471" s="21" t="str">
        <f>INDEX('Lookup Tables'!$C$7:$C$9,MATCH(E471,'Lookup Tables'!$B$7:$B$9,0))</f>
        <v>Tier 1 (Metro)</v>
      </c>
      <c r="V471" s="21" t="str">
        <f t="shared" si="21"/>
        <v>0-6 months</v>
      </c>
      <c r="W471" s="21" t="str">
        <f t="shared" si="22"/>
        <v>Medium Risk</v>
      </c>
      <c r="X471" s="21" t="str">
        <f t="shared" si="23"/>
        <v>Yes</v>
      </c>
    </row>
    <row r="472" spans="1:24" x14ac:dyDescent="0.3">
      <c r="A472" s="21">
        <f>'Raw Data'!A472</f>
        <v>50471</v>
      </c>
      <c r="B472" s="21">
        <f>'Raw Data'!B472</f>
        <v>0</v>
      </c>
      <c r="C472" s="21">
        <f>'Raw Data'!C472</f>
        <v>9</v>
      </c>
      <c r="D472" s="21" t="str">
        <f>'Raw Data'!D472</f>
        <v>Mobile Phone</v>
      </c>
      <c r="E472" s="21">
        <f>'Raw Data'!E472</f>
        <v>2</v>
      </c>
      <c r="F472" s="21">
        <f>IF('Raw Data'!F472="",ROUND(AVERAGE('Raw Data'!$F$2:$F$1501),1),'Raw Data'!F472)</f>
        <v>11</v>
      </c>
      <c r="G472" s="21" t="str">
        <f>'Raw Data'!G472</f>
        <v>Credit Card</v>
      </c>
      <c r="H472" s="21" t="str">
        <f>'Raw Data'!H472</f>
        <v>Female</v>
      </c>
      <c r="I472" s="21">
        <f>IF('Raw Data'!I472="",ROUND(AVERAGE('Raw Data'!$I$2:$I$1501),1),'Raw Data'!I472)</f>
        <v>2.6</v>
      </c>
      <c r="J472" s="21">
        <f>'Raw Data'!J472</f>
        <v>4</v>
      </c>
      <c r="K472" s="21" t="str">
        <f>'Raw Data'!K472</f>
        <v>Laptop &amp; Accessory</v>
      </c>
      <c r="L472" s="21">
        <f>'Raw Data'!L472</f>
        <v>3</v>
      </c>
      <c r="M472" s="21" t="str">
        <f>'Raw Data'!M472</f>
        <v>Married</v>
      </c>
      <c r="N472" s="21">
        <f>'Raw Data'!N472</f>
        <v>1</v>
      </c>
      <c r="O472" s="21">
        <f>'Raw Data'!O472</f>
        <v>0</v>
      </c>
      <c r="P472" s="21">
        <f>IF('Raw Data'!P472="",ROUND(AVERAGE('Raw Data'!$P$2:$P$1501),1),'Raw Data'!P472)</f>
        <v>15.3</v>
      </c>
      <c r="Q472" s="21">
        <f>IF('Raw Data'!Q472="",ROUND(AVERAGE('Raw Data'!$Q$2:$Q$1501),0),'Raw Data'!Q472)</f>
        <v>1</v>
      </c>
      <c r="R472" s="21">
        <f>'Raw Data'!R472</f>
        <v>6</v>
      </c>
      <c r="S472" s="21">
        <f>IF('Raw Data'!S472="",ROUND(AVERAGE('Raw Data'!$S$2:$S$1501),0),'Raw Data'!S472)</f>
        <v>9</v>
      </c>
      <c r="T472" s="21">
        <f>'Raw Data'!T472</f>
        <v>86.21</v>
      </c>
      <c r="U472" s="21" t="str">
        <f>INDEX('Lookup Tables'!$C$7:$C$9,MATCH(E472,'Lookup Tables'!$B$7:$B$9,0))</f>
        <v>Tier 2 (Urban)</v>
      </c>
      <c r="V472" s="21" t="str">
        <f t="shared" si="21"/>
        <v>7-12 months</v>
      </c>
      <c r="W472" s="21" t="str">
        <f t="shared" si="22"/>
        <v>Medium Risk</v>
      </c>
      <c r="X472" s="21" t="str">
        <f t="shared" si="23"/>
        <v>No</v>
      </c>
    </row>
    <row r="473" spans="1:24" x14ac:dyDescent="0.3">
      <c r="A473" s="21">
        <f>'Raw Data'!A473</f>
        <v>50472</v>
      </c>
      <c r="B473" s="21">
        <f>'Raw Data'!B473</f>
        <v>0</v>
      </c>
      <c r="C473" s="21">
        <f>'Raw Data'!C473</f>
        <v>3</v>
      </c>
      <c r="D473" s="21" t="str">
        <f>'Raw Data'!D473</f>
        <v>Mobile Phone</v>
      </c>
      <c r="E473" s="21">
        <f>'Raw Data'!E473</f>
        <v>2</v>
      </c>
      <c r="F473" s="21">
        <f>IF('Raw Data'!F473="",ROUND(AVERAGE('Raw Data'!$F$2:$F$1501),1),'Raw Data'!F473)</f>
        <v>16</v>
      </c>
      <c r="G473" s="21" t="str">
        <f>'Raw Data'!G473</f>
        <v>Debit Card</v>
      </c>
      <c r="H473" s="21" t="str">
        <f>'Raw Data'!H473</f>
        <v>Female</v>
      </c>
      <c r="I473" s="21">
        <f>IF('Raw Data'!I473="",ROUND(AVERAGE('Raw Data'!$I$2:$I$1501),1),'Raw Data'!I473)</f>
        <v>3.1</v>
      </c>
      <c r="J473" s="21">
        <f>'Raw Data'!J473</f>
        <v>3</v>
      </c>
      <c r="K473" s="21" t="str">
        <f>'Raw Data'!K473</f>
        <v>Others</v>
      </c>
      <c r="L473" s="21">
        <f>'Raw Data'!L473</f>
        <v>3</v>
      </c>
      <c r="M473" s="21" t="str">
        <f>'Raw Data'!M473</f>
        <v>Single</v>
      </c>
      <c r="N473" s="21">
        <f>'Raw Data'!N473</f>
        <v>1</v>
      </c>
      <c r="O473" s="21">
        <f>'Raw Data'!O473</f>
        <v>1</v>
      </c>
      <c r="P473" s="21">
        <f>IF('Raw Data'!P473="",ROUND(AVERAGE('Raw Data'!$P$2:$P$1501),1),'Raw Data'!P473)</f>
        <v>13.5</v>
      </c>
      <c r="Q473" s="21">
        <f>IF('Raw Data'!Q473="",ROUND(AVERAGE('Raw Data'!$Q$2:$Q$1501),0),'Raw Data'!Q473)</f>
        <v>2</v>
      </c>
      <c r="R473" s="21">
        <f>'Raw Data'!R473</f>
        <v>4</v>
      </c>
      <c r="S473" s="21">
        <f>IF('Raw Data'!S473="",ROUND(AVERAGE('Raw Data'!$S$2:$S$1501),0),'Raw Data'!S473)</f>
        <v>15</v>
      </c>
      <c r="T473" s="21">
        <f>'Raw Data'!T473</f>
        <v>243.42</v>
      </c>
      <c r="U473" s="21" t="str">
        <f>INDEX('Lookup Tables'!$C$7:$C$9,MATCH(E473,'Lookup Tables'!$B$7:$B$9,0))</f>
        <v>Tier 2 (Urban)</v>
      </c>
      <c r="V473" s="21" t="str">
        <f t="shared" si="21"/>
        <v>0-6 months</v>
      </c>
      <c r="W473" s="21" t="str">
        <f t="shared" si="22"/>
        <v>Medium Risk</v>
      </c>
      <c r="X473" s="21" t="str">
        <f t="shared" si="23"/>
        <v>No</v>
      </c>
    </row>
    <row r="474" spans="1:24" x14ac:dyDescent="0.3">
      <c r="A474" s="21">
        <f>'Raw Data'!A474</f>
        <v>50473</v>
      </c>
      <c r="B474" s="21">
        <f>'Raw Data'!B474</f>
        <v>1</v>
      </c>
      <c r="C474" s="21">
        <f>'Raw Data'!C474</f>
        <v>11</v>
      </c>
      <c r="D474" s="21" t="str">
        <f>'Raw Data'!D474</f>
        <v>Mobile Phone</v>
      </c>
      <c r="E474" s="21">
        <f>'Raw Data'!E474</f>
        <v>1</v>
      </c>
      <c r="F474" s="21">
        <f>IF('Raw Data'!F474="",ROUND(AVERAGE('Raw Data'!$F$2:$F$1501),1),'Raw Data'!F474)</f>
        <v>11</v>
      </c>
      <c r="G474" s="21" t="str">
        <f>'Raw Data'!G474</f>
        <v>E wallet</v>
      </c>
      <c r="H474" s="21" t="str">
        <f>'Raw Data'!H474</f>
        <v>Female</v>
      </c>
      <c r="I474" s="21">
        <f>IF('Raw Data'!I474="",ROUND(AVERAGE('Raw Data'!$I$2:$I$1501),1),'Raw Data'!I474)</f>
        <v>2.2999999999999998</v>
      </c>
      <c r="J474" s="21">
        <f>'Raw Data'!J474</f>
        <v>2</v>
      </c>
      <c r="K474" s="21" t="str">
        <f>'Raw Data'!K474</f>
        <v>Mobile Phone</v>
      </c>
      <c r="L474" s="21">
        <f>'Raw Data'!L474</f>
        <v>3</v>
      </c>
      <c r="M474" s="21" t="str">
        <f>'Raw Data'!M474</f>
        <v>Divorced</v>
      </c>
      <c r="N474" s="21">
        <f>'Raw Data'!N474</f>
        <v>2</v>
      </c>
      <c r="O474" s="21">
        <f>'Raw Data'!O474</f>
        <v>0</v>
      </c>
      <c r="P474" s="21">
        <f>IF('Raw Data'!P474="",ROUND(AVERAGE('Raw Data'!$P$2:$P$1501),1),'Raw Data'!P474)</f>
        <v>16.100000000000001</v>
      </c>
      <c r="Q474" s="21">
        <f>IF('Raw Data'!Q474="",ROUND(AVERAGE('Raw Data'!$Q$2:$Q$1501),0),'Raw Data'!Q474)</f>
        <v>0</v>
      </c>
      <c r="R474" s="21">
        <f>'Raw Data'!R474</f>
        <v>4</v>
      </c>
      <c r="S474" s="21">
        <f>IF('Raw Data'!S474="",ROUND(AVERAGE('Raw Data'!$S$2:$S$1501),0),'Raw Data'!S474)</f>
        <v>1</v>
      </c>
      <c r="T474" s="21">
        <f>'Raw Data'!T474</f>
        <v>74.8</v>
      </c>
      <c r="U474" s="21" t="str">
        <f>INDEX('Lookup Tables'!$C$7:$C$9,MATCH(E474,'Lookup Tables'!$B$7:$B$9,0))</f>
        <v>Tier 1 (Metro)</v>
      </c>
      <c r="V474" s="21" t="str">
        <f t="shared" si="21"/>
        <v>7-12 months</v>
      </c>
      <c r="W474" s="21" t="str">
        <f t="shared" si="22"/>
        <v>Medium Risk</v>
      </c>
      <c r="X474" s="21" t="str">
        <f t="shared" si="23"/>
        <v>Yes</v>
      </c>
    </row>
    <row r="475" spans="1:24" x14ac:dyDescent="0.3">
      <c r="A475" s="21">
        <f>'Raw Data'!A475</f>
        <v>50474</v>
      </c>
      <c r="B475" s="21">
        <f>'Raw Data'!B475</f>
        <v>0</v>
      </c>
      <c r="C475" s="21">
        <f>'Raw Data'!C475</f>
        <v>19</v>
      </c>
      <c r="D475" s="21" t="str">
        <f>'Raw Data'!D475</f>
        <v>Phone</v>
      </c>
      <c r="E475" s="21">
        <f>'Raw Data'!E475</f>
        <v>1</v>
      </c>
      <c r="F475" s="21">
        <f>IF('Raw Data'!F475="",ROUND(AVERAGE('Raw Data'!$F$2:$F$1501),1),'Raw Data'!F475)</f>
        <v>13</v>
      </c>
      <c r="G475" s="21" t="str">
        <f>'Raw Data'!G475</f>
        <v>E wallet</v>
      </c>
      <c r="H475" s="21" t="str">
        <f>'Raw Data'!H475</f>
        <v>Male</v>
      </c>
      <c r="I475" s="21">
        <f>IF('Raw Data'!I475="",ROUND(AVERAGE('Raw Data'!$I$2:$I$1501),1),'Raw Data'!I475)</f>
        <v>3.8</v>
      </c>
      <c r="J475" s="21">
        <f>'Raw Data'!J475</f>
        <v>4</v>
      </c>
      <c r="K475" s="21" t="str">
        <f>'Raw Data'!K475</f>
        <v>Laptop &amp; Accessory</v>
      </c>
      <c r="L475" s="21">
        <f>'Raw Data'!L475</f>
        <v>4</v>
      </c>
      <c r="M475" s="21" t="str">
        <f>'Raw Data'!M475</f>
        <v>Single</v>
      </c>
      <c r="N475" s="21">
        <f>'Raw Data'!N475</f>
        <v>2</v>
      </c>
      <c r="O475" s="21">
        <f>'Raw Data'!O475</f>
        <v>0</v>
      </c>
      <c r="P475" s="21">
        <f>IF('Raw Data'!P475="",ROUND(AVERAGE('Raw Data'!$P$2:$P$1501),1),'Raw Data'!P475)</f>
        <v>13.4</v>
      </c>
      <c r="Q475" s="21">
        <f>IF('Raw Data'!Q475="",ROUND(AVERAGE('Raw Data'!$Q$2:$Q$1501),0),'Raw Data'!Q475)</f>
        <v>0</v>
      </c>
      <c r="R475" s="21">
        <f>'Raw Data'!R475</f>
        <v>3</v>
      </c>
      <c r="S475" s="21">
        <f>IF('Raw Data'!S475="",ROUND(AVERAGE('Raw Data'!$S$2:$S$1501),0),'Raw Data'!S475)</f>
        <v>0</v>
      </c>
      <c r="T475" s="21">
        <f>'Raw Data'!T475</f>
        <v>89.65</v>
      </c>
      <c r="U475" s="21" t="str">
        <f>INDEX('Lookup Tables'!$C$7:$C$9,MATCH(E475,'Lookup Tables'!$B$7:$B$9,0))</f>
        <v>Tier 1 (Metro)</v>
      </c>
      <c r="V475" s="21" t="str">
        <f t="shared" si="21"/>
        <v>13-24 months</v>
      </c>
      <c r="W475" s="21" t="str">
        <f t="shared" si="22"/>
        <v>Low Risk</v>
      </c>
      <c r="X475" s="21" t="str">
        <f t="shared" si="23"/>
        <v>No</v>
      </c>
    </row>
    <row r="476" spans="1:24" x14ac:dyDescent="0.3">
      <c r="A476" s="21">
        <f>'Raw Data'!A476</f>
        <v>50475</v>
      </c>
      <c r="B476" s="21">
        <f>'Raw Data'!B476</f>
        <v>0</v>
      </c>
      <c r="C476" s="21">
        <f>'Raw Data'!C476</f>
        <v>15</v>
      </c>
      <c r="D476" s="21" t="str">
        <f>'Raw Data'!D476</f>
        <v>Mobile Phone</v>
      </c>
      <c r="E476" s="21">
        <f>'Raw Data'!E476</f>
        <v>3</v>
      </c>
      <c r="F476" s="21">
        <f>IF('Raw Data'!F476="",ROUND(AVERAGE('Raw Data'!$F$2:$F$1501),1),'Raw Data'!F476)</f>
        <v>14</v>
      </c>
      <c r="G476" s="21" t="str">
        <f>'Raw Data'!G476</f>
        <v>UPI</v>
      </c>
      <c r="H476" s="21" t="str">
        <f>'Raw Data'!H476</f>
        <v>Male</v>
      </c>
      <c r="I476" s="21">
        <f>IF('Raw Data'!I476="",ROUND(AVERAGE('Raw Data'!$I$2:$I$1501),1),'Raw Data'!I476)</f>
        <v>2.5</v>
      </c>
      <c r="J476" s="21">
        <f>'Raw Data'!J476</f>
        <v>2</v>
      </c>
      <c r="K476" s="21" t="str">
        <f>'Raw Data'!K476</f>
        <v>Grocery</v>
      </c>
      <c r="L476" s="21">
        <f>'Raw Data'!L476</f>
        <v>5</v>
      </c>
      <c r="M476" s="21" t="str">
        <f>'Raw Data'!M476</f>
        <v>Married</v>
      </c>
      <c r="N476" s="21">
        <f>'Raw Data'!N476</f>
        <v>2</v>
      </c>
      <c r="O476" s="21">
        <f>'Raw Data'!O476</f>
        <v>0</v>
      </c>
      <c r="P476" s="21">
        <f>IF('Raw Data'!P476="",ROUND(AVERAGE('Raw Data'!$P$2:$P$1501),1),'Raw Data'!P476)</f>
        <v>12.4</v>
      </c>
      <c r="Q476" s="21">
        <f>IF('Raw Data'!Q476="",ROUND(AVERAGE('Raw Data'!$Q$2:$Q$1501),0),'Raw Data'!Q476)</f>
        <v>2</v>
      </c>
      <c r="R476" s="21">
        <f>'Raw Data'!R476</f>
        <v>3</v>
      </c>
      <c r="S476" s="21">
        <f>IF('Raw Data'!S476="",ROUND(AVERAGE('Raw Data'!$S$2:$S$1501),0),'Raw Data'!S476)</f>
        <v>7</v>
      </c>
      <c r="T476" s="21">
        <f>'Raw Data'!T476</f>
        <v>237.79</v>
      </c>
      <c r="U476" s="21" t="str">
        <f>INDEX('Lookup Tables'!$C$7:$C$9,MATCH(E476,'Lookup Tables'!$B$7:$B$9,0))</f>
        <v>Tier 3 (Semi-urban/Rural)</v>
      </c>
      <c r="V476" s="21" t="str">
        <f t="shared" si="21"/>
        <v>13-24 months</v>
      </c>
      <c r="W476" s="21" t="str">
        <f t="shared" si="22"/>
        <v>Low Risk</v>
      </c>
      <c r="X476" s="21" t="str">
        <f t="shared" si="23"/>
        <v>No</v>
      </c>
    </row>
    <row r="477" spans="1:24" x14ac:dyDescent="0.3">
      <c r="A477" s="21">
        <f>'Raw Data'!A477</f>
        <v>50476</v>
      </c>
      <c r="B477" s="21">
        <f>'Raw Data'!B477</f>
        <v>0</v>
      </c>
      <c r="C477" s="21">
        <f>'Raw Data'!C477</f>
        <v>0</v>
      </c>
      <c r="D477" s="21" t="str">
        <f>'Raw Data'!D477</f>
        <v>Mobile Phone</v>
      </c>
      <c r="E477" s="21">
        <f>'Raw Data'!E477</f>
        <v>1</v>
      </c>
      <c r="F477" s="21">
        <f>IF('Raw Data'!F477="",ROUND(AVERAGE('Raw Data'!$F$2:$F$1501),1),'Raw Data'!F477)</f>
        <v>14.8</v>
      </c>
      <c r="G477" s="21" t="str">
        <f>'Raw Data'!G477</f>
        <v>Debit Card</v>
      </c>
      <c r="H477" s="21" t="str">
        <f>'Raw Data'!H477</f>
        <v>Male</v>
      </c>
      <c r="I477" s="21">
        <f>IF('Raw Data'!I477="",ROUND(AVERAGE('Raw Data'!$I$2:$I$1501),1),'Raw Data'!I477)</f>
        <v>3.7</v>
      </c>
      <c r="J477" s="21">
        <f>'Raw Data'!J477</f>
        <v>5</v>
      </c>
      <c r="K477" s="21" t="str">
        <f>'Raw Data'!K477</f>
        <v>Others</v>
      </c>
      <c r="L477" s="21">
        <f>'Raw Data'!L477</f>
        <v>1</v>
      </c>
      <c r="M477" s="21" t="str">
        <f>'Raw Data'!M477</f>
        <v>Single</v>
      </c>
      <c r="N477" s="21">
        <f>'Raw Data'!N477</f>
        <v>1</v>
      </c>
      <c r="O477" s="21">
        <f>'Raw Data'!O477</f>
        <v>0</v>
      </c>
      <c r="P477" s="21">
        <f>IF('Raw Data'!P477="",ROUND(AVERAGE('Raw Data'!$P$2:$P$1501),1),'Raw Data'!P477)</f>
        <v>17.7</v>
      </c>
      <c r="Q477" s="21">
        <f>IF('Raw Data'!Q477="",ROUND(AVERAGE('Raw Data'!$Q$2:$Q$1501),0),'Raw Data'!Q477)</f>
        <v>1</v>
      </c>
      <c r="R477" s="21">
        <f>'Raw Data'!R477</f>
        <v>5</v>
      </c>
      <c r="S477" s="21">
        <f>IF('Raw Data'!S477="",ROUND(AVERAGE('Raw Data'!$S$2:$S$1501),0),'Raw Data'!S477)</f>
        <v>7</v>
      </c>
      <c r="T477" s="21">
        <f>'Raw Data'!T477</f>
        <v>285.60000000000002</v>
      </c>
      <c r="U477" s="21" t="str">
        <f>INDEX('Lookup Tables'!$C$7:$C$9,MATCH(E477,'Lookup Tables'!$B$7:$B$9,0))</f>
        <v>Tier 1 (Metro)</v>
      </c>
      <c r="V477" s="21" t="str">
        <f t="shared" si="21"/>
        <v>0-6 months</v>
      </c>
      <c r="W477" s="21" t="str">
        <f t="shared" si="22"/>
        <v>Low Risk</v>
      </c>
      <c r="X477" s="21" t="str">
        <f t="shared" si="23"/>
        <v>No</v>
      </c>
    </row>
    <row r="478" spans="1:24" x14ac:dyDescent="0.3">
      <c r="A478" s="21">
        <f>'Raw Data'!A478</f>
        <v>50477</v>
      </c>
      <c r="B478" s="21">
        <f>'Raw Data'!B478</f>
        <v>0</v>
      </c>
      <c r="C478" s="21">
        <f>'Raw Data'!C478</f>
        <v>6</v>
      </c>
      <c r="D478" s="21" t="str">
        <f>'Raw Data'!D478</f>
        <v>Mobile Phone</v>
      </c>
      <c r="E478" s="21">
        <f>'Raw Data'!E478</f>
        <v>2</v>
      </c>
      <c r="F478" s="21">
        <f>IF('Raw Data'!F478="",ROUND(AVERAGE('Raw Data'!$F$2:$F$1501),1),'Raw Data'!F478)</f>
        <v>15</v>
      </c>
      <c r="G478" s="21" t="str">
        <f>'Raw Data'!G478</f>
        <v>UPI</v>
      </c>
      <c r="H478" s="21" t="str">
        <f>'Raw Data'!H478</f>
        <v>Male</v>
      </c>
      <c r="I478" s="21">
        <f>IF('Raw Data'!I478="",ROUND(AVERAGE('Raw Data'!$I$2:$I$1501),1),'Raw Data'!I478)</f>
        <v>2.9</v>
      </c>
      <c r="J478" s="21">
        <f>'Raw Data'!J478</f>
        <v>5</v>
      </c>
      <c r="K478" s="21" t="str">
        <f>'Raw Data'!K478</f>
        <v>Laptop &amp; Accessory</v>
      </c>
      <c r="L478" s="21">
        <f>'Raw Data'!L478</f>
        <v>5</v>
      </c>
      <c r="M478" s="21" t="str">
        <f>'Raw Data'!M478</f>
        <v>Married</v>
      </c>
      <c r="N478" s="21">
        <f>'Raw Data'!N478</f>
        <v>4</v>
      </c>
      <c r="O478" s="21">
        <f>'Raw Data'!O478</f>
        <v>0</v>
      </c>
      <c r="P478" s="21">
        <f>IF('Raw Data'!P478="",ROUND(AVERAGE('Raw Data'!$P$2:$P$1501),1),'Raw Data'!P478)</f>
        <v>18.2</v>
      </c>
      <c r="Q478" s="21">
        <f>IF('Raw Data'!Q478="",ROUND(AVERAGE('Raw Data'!$Q$2:$Q$1501),0),'Raw Data'!Q478)</f>
        <v>2</v>
      </c>
      <c r="R478" s="21">
        <f>'Raw Data'!R478</f>
        <v>4</v>
      </c>
      <c r="S478" s="21">
        <f>IF('Raw Data'!S478="",ROUND(AVERAGE('Raw Data'!$S$2:$S$1501),0),'Raw Data'!S478)</f>
        <v>1</v>
      </c>
      <c r="T478" s="21">
        <f>'Raw Data'!T478</f>
        <v>164.02</v>
      </c>
      <c r="U478" s="21" t="str">
        <f>INDEX('Lookup Tables'!$C$7:$C$9,MATCH(E478,'Lookup Tables'!$B$7:$B$9,0))</f>
        <v>Tier 2 (Urban)</v>
      </c>
      <c r="V478" s="21" t="str">
        <f t="shared" si="21"/>
        <v>0-6 months</v>
      </c>
      <c r="W478" s="21" t="str">
        <f t="shared" si="22"/>
        <v>Low Risk</v>
      </c>
      <c r="X478" s="21" t="str">
        <f t="shared" si="23"/>
        <v>No</v>
      </c>
    </row>
    <row r="479" spans="1:24" x14ac:dyDescent="0.3">
      <c r="A479" s="21">
        <f>'Raw Data'!A479</f>
        <v>50478</v>
      </c>
      <c r="B479" s="21">
        <f>'Raw Data'!B479</f>
        <v>0</v>
      </c>
      <c r="C479" s="21">
        <f>'Raw Data'!C479</f>
        <v>1</v>
      </c>
      <c r="D479" s="21" t="str">
        <f>'Raw Data'!D479</f>
        <v>Computer</v>
      </c>
      <c r="E479" s="21">
        <f>'Raw Data'!E479</f>
        <v>1</v>
      </c>
      <c r="F479" s="21">
        <f>IF('Raw Data'!F479="",ROUND(AVERAGE('Raw Data'!$F$2:$F$1501),1),'Raw Data'!F479)</f>
        <v>6</v>
      </c>
      <c r="G479" s="21" t="str">
        <f>'Raw Data'!G479</f>
        <v>Credit Card</v>
      </c>
      <c r="H479" s="21" t="str">
        <f>'Raw Data'!H479</f>
        <v>Female</v>
      </c>
      <c r="I479" s="21">
        <f>IF('Raw Data'!I479="",ROUND(AVERAGE('Raw Data'!$I$2:$I$1501),1),'Raw Data'!I479)</f>
        <v>3</v>
      </c>
      <c r="J479" s="21">
        <f>'Raw Data'!J479</f>
        <v>4</v>
      </c>
      <c r="K479" s="21" t="str">
        <f>'Raw Data'!K479</f>
        <v>Grocery</v>
      </c>
      <c r="L479" s="21">
        <f>'Raw Data'!L479</f>
        <v>3</v>
      </c>
      <c r="M479" s="21" t="str">
        <f>'Raw Data'!M479</f>
        <v>Single</v>
      </c>
      <c r="N479" s="21">
        <f>'Raw Data'!N479</f>
        <v>4</v>
      </c>
      <c r="O479" s="21">
        <f>'Raw Data'!O479</f>
        <v>0</v>
      </c>
      <c r="P479" s="21">
        <f>IF('Raw Data'!P479="",ROUND(AVERAGE('Raw Data'!$P$2:$P$1501),1),'Raw Data'!P479)</f>
        <v>15.3</v>
      </c>
      <c r="Q479" s="21">
        <f>IF('Raw Data'!Q479="",ROUND(AVERAGE('Raw Data'!$Q$2:$Q$1501),0),'Raw Data'!Q479)</f>
        <v>3</v>
      </c>
      <c r="R479" s="21">
        <f>'Raw Data'!R479</f>
        <v>7</v>
      </c>
      <c r="S479" s="21">
        <f>IF('Raw Data'!S479="",ROUND(AVERAGE('Raw Data'!$S$2:$S$1501),0),'Raw Data'!S479)</f>
        <v>7</v>
      </c>
      <c r="T479" s="21">
        <f>'Raw Data'!T479</f>
        <v>177.42</v>
      </c>
      <c r="U479" s="21" t="str">
        <f>INDEX('Lookup Tables'!$C$7:$C$9,MATCH(E479,'Lookup Tables'!$B$7:$B$9,0))</f>
        <v>Tier 1 (Metro)</v>
      </c>
      <c r="V479" s="21" t="str">
        <f t="shared" si="21"/>
        <v>0-6 months</v>
      </c>
      <c r="W479" s="21" t="str">
        <f t="shared" si="22"/>
        <v>Medium Risk</v>
      </c>
      <c r="X479" s="21" t="str">
        <f t="shared" si="23"/>
        <v>No</v>
      </c>
    </row>
    <row r="480" spans="1:24" x14ac:dyDescent="0.3">
      <c r="A480" s="21">
        <f>'Raw Data'!A480</f>
        <v>50479</v>
      </c>
      <c r="B480" s="21">
        <f>'Raw Data'!B480</f>
        <v>0</v>
      </c>
      <c r="C480" s="21">
        <f>'Raw Data'!C480</f>
        <v>2</v>
      </c>
      <c r="D480" s="21" t="str">
        <f>'Raw Data'!D480</f>
        <v>Mobile Phone</v>
      </c>
      <c r="E480" s="21">
        <f>'Raw Data'!E480</f>
        <v>1</v>
      </c>
      <c r="F480" s="21">
        <f>IF('Raw Data'!F480="",ROUND(AVERAGE('Raw Data'!$F$2:$F$1501),1),'Raw Data'!F480)</f>
        <v>9</v>
      </c>
      <c r="G480" s="21" t="str">
        <f>'Raw Data'!G480</f>
        <v>UPI</v>
      </c>
      <c r="H480" s="21" t="str">
        <f>'Raw Data'!H480</f>
        <v>Male</v>
      </c>
      <c r="I480" s="21">
        <f>IF('Raw Data'!I480="",ROUND(AVERAGE('Raw Data'!$I$2:$I$1501),1),'Raw Data'!I480)</f>
        <v>2.6</v>
      </c>
      <c r="J480" s="21">
        <f>'Raw Data'!J480</f>
        <v>5</v>
      </c>
      <c r="K480" s="21" t="str">
        <f>'Raw Data'!K480</f>
        <v>Mobile Phone</v>
      </c>
      <c r="L480" s="21">
        <f>'Raw Data'!L480</f>
        <v>4</v>
      </c>
      <c r="M480" s="21" t="str">
        <f>'Raw Data'!M480</f>
        <v>Single</v>
      </c>
      <c r="N480" s="21">
        <f>'Raw Data'!N480</f>
        <v>1</v>
      </c>
      <c r="O480" s="21">
        <f>'Raw Data'!O480</f>
        <v>0</v>
      </c>
      <c r="P480" s="21">
        <f>IF('Raw Data'!P480="",ROUND(AVERAGE('Raw Data'!$P$2:$P$1501),1),'Raw Data'!P480)</f>
        <v>20.8</v>
      </c>
      <c r="Q480" s="21">
        <f>IF('Raw Data'!Q480="",ROUND(AVERAGE('Raw Data'!$Q$2:$Q$1501),0),'Raw Data'!Q480)</f>
        <v>0</v>
      </c>
      <c r="R480" s="21">
        <f>'Raw Data'!R480</f>
        <v>1</v>
      </c>
      <c r="S480" s="21">
        <f>IF('Raw Data'!S480="",ROUND(AVERAGE('Raw Data'!$S$2:$S$1501),0),'Raw Data'!S480)</f>
        <v>4</v>
      </c>
      <c r="T480" s="21">
        <f>'Raw Data'!T480</f>
        <v>229.96</v>
      </c>
      <c r="U480" s="21" t="str">
        <f>INDEX('Lookup Tables'!$C$7:$C$9,MATCH(E480,'Lookup Tables'!$B$7:$B$9,0))</f>
        <v>Tier 1 (Metro)</v>
      </c>
      <c r="V480" s="21" t="str">
        <f t="shared" si="21"/>
        <v>0-6 months</v>
      </c>
      <c r="W480" s="21" t="str">
        <f t="shared" si="22"/>
        <v>Low Risk</v>
      </c>
      <c r="X480" s="21" t="str">
        <f t="shared" si="23"/>
        <v>No</v>
      </c>
    </row>
    <row r="481" spans="1:24" x14ac:dyDescent="0.3">
      <c r="A481" s="21">
        <f>'Raw Data'!A481</f>
        <v>50480</v>
      </c>
      <c r="B481" s="21">
        <f>'Raw Data'!B481</f>
        <v>1</v>
      </c>
      <c r="C481" s="21">
        <f>'Raw Data'!C481</f>
        <v>43</v>
      </c>
      <c r="D481" s="21" t="str">
        <f>'Raw Data'!D481</f>
        <v>Phone</v>
      </c>
      <c r="E481" s="21">
        <f>'Raw Data'!E481</f>
        <v>1</v>
      </c>
      <c r="F481" s="21">
        <f>IF('Raw Data'!F481="",ROUND(AVERAGE('Raw Data'!$F$2:$F$1501),1),'Raw Data'!F481)</f>
        <v>5</v>
      </c>
      <c r="G481" s="21" t="str">
        <f>'Raw Data'!G481</f>
        <v>Credit Card</v>
      </c>
      <c r="H481" s="21" t="str">
        <f>'Raw Data'!H481</f>
        <v>Male</v>
      </c>
      <c r="I481" s="21">
        <f>IF('Raw Data'!I481="",ROUND(AVERAGE('Raw Data'!$I$2:$I$1501),1),'Raw Data'!I481)</f>
        <v>2.2000000000000002</v>
      </c>
      <c r="J481" s="21">
        <f>'Raw Data'!J481</f>
        <v>3</v>
      </c>
      <c r="K481" s="21" t="str">
        <f>'Raw Data'!K481</f>
        <v>Mobile Phone</v>
      </c>
      <c r="L481" s="21">
        <f>'Raw Data'!L481</f>
        <v>5</v>
      </c>
      <c r="M481" s="21" t="str">
        <f>'Raw Data'!M481</f>
        <v>Single</v>
      </c>
      <c r="N481" s="21">
        <f>'Raw Data'!N481</f>
        <v>7</v>
      </c>
      <c r="O481" s="21">
        <f>'Raw Data'!O481</f>
        <v>1</v>
      </c>
      <c r="P481" s="21">
        <f>IF('Raw Data'!P481="",ROUND(AVERAGE('Raw Data'!$P$2:$P$1501),1),'Raw Data'!P481)</f>
        <v>15.1</v>
      </c>
      <c r="Q481" s="21">
        <f>IF('Raw Data'!Q481="",ROUND(AVERAGE('Raw Data'!$Q$2:$Q$1501),0),'Raw Data'!Q481)</f>
        <v>1</v>
      </c>
      <c r="R481" s="21">
        <f>'Raw Data'!R481</f>
        <v>4</v>
      </c>
      <c r="S481" s="21">
        <f>IF('Raw Data'!S481="",ROUND(AVERAGE('Raw Data'!$S$2:$S$1501),0),'Raw Data'!S481)</f>
        <v>0</v>
      </c>
      <c r="T481" s="21">
        <f>'Raw Data'!T481</f>
        <v>195.92</v>
      </c>
      <c r="U481" s="21" t="str">
        <f>INDEX('Lookup Tables'!$C$7:$C$9,MATCH(E481,'Lookup Tables'!$B$7:$B$9,0))</f>
        <v>Tier 1 (Metro)</v>
      </c>
      <c r="V481" s="21" t="str">
        <f t="shared" si="21"/>
        <v>25+ months</v>
      </c>
      <c r="W481" s="21" t="str">
        <f t="shared" si="22"/>
        <v>Low Risk</v>
      </c>
      <c r="X481" s="21" t="str">
        <f t="shared" si="23"/>
        <v>Yes</v>
      </c>
    </row>
    <row r="482" spans="1:24" x14ac:dyDescent="0.3">
      <c r="A482" s="21">
        <f>'Raw Data'!A482</f>
        <v>50481</v>
      </c>
      <c r="B482" s="21">
        <f>'Raw Data'!B482</f>
        <v>1</v>
      </c>
      <c r="C482" s="21">
        <f>'Raw Data'!C482</f>
        <v>1</v>
      </c>
      <c r="D482" s="21" t="str">
        <f>'Raw Data'!D482</f>
        <v>Mobile Phone</v>
      </c>
      <c r="E482" s="21">
        <f>'Raw Data'!E482</f>
        <v>1</v>
      </c>
      <c r="F482" s="21">
        <f>IF('Raw Data'!F482="",ROUND(AVERAGE('Raw Data'!$F$2:$F$1501),1),'Raw Data'!F482)</f>
        <v>22</v>
      </c>
      <c r="G482" s="21" t="str">
        <f>'Raw Data'!G482</f>
        <v>Credit Card</v>
      </c>
      <c r="H482" s="21" t="str">
        <f>'Raw Data'!H482</f>
        <v>Male</v>
      </c>
      <c r="I482" s="21">
        <f>IF('Raw Data'!I482="",ROUND(AVERAGE('Raw Data'!$I$2:$I$1501),1),'Raw Data'!I482)</f>
        <v>1.7</v>
      </c>
      <c r="J482" s="21">
        <f>'Raw Data'!J482</f>
        <v>4</v>
      </c>
      <c r="K482" s="21" t="str">
        <f>'Raw Data'!K482</f>
        <v>Others</v>
      </c>
      <c r="L482" s="21">
        <f>'Raw Data'!L482</f>
        <v>3</v>
      </c>
      <c r="M482" s="21" t="str">
        <f>'Raw Data'!M482</f>
        <v>Single</v>
      </c>
      <c r="N482" s="21">
        <f>'Raw Data'!N482</f>
        <v>3</v>
      </c>
      <c r="O482" s="21">
        <f>'Raw Data'!O482</f>
        <v>0</v>
      </c>
      <c r="P482" s="21">
        <f>IF('Raw Data'!P482="",ROUND(AVERAGE('Raw Data'!$P$2:$P$1501),1),'Raw Data'!P482)</f>
        <v>14.9</v>
      </c>
      <c r="Q482" s="21">
        <f>IF('Raw Data'!Q482="",ROUND(AVERAGE('Raw Data'!$Q$2:$Q$1501),0),'Raw Data'!Q482)</f>
        <v>0</v>
      </c>
      <c r="R482" s="21">
        <f>'Raw Data'!R482</f>
        <v>5</v>
      </c>
      <c r="S482" s="21">
        <f>IF('Raw Data'!S482="",ROUND(AVERAGE('Raw Data'!$S$2:$S$1501),0),'Raw Data'!S482)</f>
        <v>3</v>
      </c>
      <c r="T482" s="21">
        <f>'Raw Data'!T482</f>
        <v>159.47</v>
      </c>
      <c r="U482" s="21" t="str">
        <f>INDEX('Lookup Tables'!$C$7:$C$9,MATCH(E482,'Lookup Tables'!$B$7:$B$9,0))</f>
        <v>Tier 1 (Metro)</v>
      </c>
      <c r="V482" s="21" t="str">
        <f t="shared" si="21"/>
        <v>0-6 months</v>
      </c>
      <c r="W482" s="21" t="str">
        <f t="shared" si="22"/>
        <v>Medium Risk</v>
      </c>
      <c r="X482" s="21" t="str">
        <f t="shared" si="23"/>
        <v>Yes</v>
      </c>
    </row>
    <row r="483" spans="1:24" x14ac:dyDescent="0.3">
      <c r="A483" s="21">
        <f>'Raw Data'!A483</f>
        <v>50482</v>
      </c>
      <c r="B483" s="21">
        <f>'Raw Data'!B483</f>
        <v>0</v>
      </c>
      <c r="C483" s="21">
        <f>'Raw Data'!C483</f>
        <v>6</v>
      </c>
      <c r="D483" s="21" t="str">
        <f>'Raw Data'!D483</f>
        <v>Mobile Phone</v>
      </c>
      <c r="E483" s="21">
        <f>'Raw Data'!E483</f>
        <v>1</v>
      </c>
      <c r="F483" s="21">
        <f>IF('Raw Data'!F483="",ROUND(AVERAGE('Raw Data'!$F$2:$F$1501),1),'Raw Data'!F483)</f>
        <v>5</v>
      </c>
      <c r="G483" s="21" t="str">
        <f>'Raw Data'!G483</f>
        <v>Credit Card</v>
      </c>
      <c r="H483" s="21" t="str">
        <f>'Raw Data'!H483</f>
        <v>Male</v>
      </c>
      <c r="I483" s="21">
        <f>IF('Raw Data'!I483="",ROUND(AVERAGE('Raw Data'!$I$2:$I$1501),1),'Raw Data'!I483)</f>
        <v>2.2000000000000002</v>
      </c>
      <c r="J483" s="21">
        <f>'Raw Data'!J483</f>
        <v>5</v>
      </c>
      <c r="K483" s="21" t="str">
        <f>'Raw Data'!K483</f>
        <v>Others</v>
      </c>
      <c r="L483" s="21">
        <f>'Raw Data'!L483</f>
        <v>5</v>
      </c>
      <c r="M483" s="21" t="str">
        <f>'Raw Data'!M483</f>
        <v>Divorced</v>
      </c>
      <c r="N483" s="21">
        <f>'Raw Data'!N483</f>
        <v>4</v>
      </c>
      <c r="O483" s="21">
        <f>'Raw Data'!O483</f>
        <v>0</v>
      </c>
      <c r="P483" s="21">
        <f>IF('Raw Data'!P483="",ROUND(AVERAGE('Raw Data'!$P$2:$P$1501),1),'Raw Data'!P483)</f>
        <v>18.3</v>
      </c>
      <c r="Q483" s="21">
        <f>IF('Raw Data'!Q483="",ROUND(AVERAGE('Raw Data'!$Q$2:$Q$1501),0),'Raw Data'!Q483)</f>
        <v>2</v>
      </c>
      <c r="R483" s="21">
        <f>'Raw Data'!R483</f>
        <v>3</v>
      </c>
      <c r="S483" s="21">
        <f>IF('Raw Data'!S483="",ROUND(AVERAGE('Raw Data'!$S$2:$S$1501),0),'Raw Data'!S483)</f>
        <v>13</v>
      </c>
      <c r="T483" s="21">
        <f>'Raw Data'!T483</f>
        <v>153.30000000000001</v>
      </c>
      <c r="U483" s="21" t="str">
        <f>INDEX('Lookup Tables'!$C$7:$C$9,MATCH(E483,'Lookup Tables'!$B$7:$B$9,0))</f>
        <v>Tier 1 (Metro)</v>
      </c>
      <c r="V483" s="21" t="str">
        <f t="shared" si="21"/>
        <v>0-6 months</v>
      </c>
      <c r="W483" s="21" t="str">
        <f t="shared" si="22"/>
        <v>Low Risk</v>
      </c>
      <c r="X483" s="21" t="str">
        <f t="shared" si="23"/>
        <v>No</v>
      </c>
    </row>
    <row r="484" spans="1:24" x14ac:dyDescent="0.3">
      <c r="A484" s="21">
        <f>'Raw Data'!A484</f>
        <v>50483</v>
      </c>
      <c r="B484" s="21">
        <f>'Raw Data'!B484</f>
        <v>1</v>
      </c>
      <c r="C484" s="21">
        <f>'Raw Data'!C484</f>
        <v>9</v>
      </c>
      <c r="D484" s="21" t="str">
        <f>'Raw Data'!D484</f>
        <v>Computer</v>
      </c>
      <c r="E484" s="21">
        <f>'Raw Data'!E484</f>
        <v>1</v>
      </c>
      <c r="F484" s="21">
        <f>IF('Raw Data'!F484="",ROUND(AVERAGE('Raw Data'!$F$2:$F$1501),1),'Raw Data'!F484)</f>
        <v>24</v>
      </c>
      <c r="G484" s="21" t="str">
        <f>'Raw Data'!G484</f>
        <v>E wallet</v>
      </c>
      <c r="H484" s="21" t="str">
        <f>'Raw Data'!H484</f>
        <v>Male</v>
      </c>
      <c r="I484" s="21">
        <f>IF('Raw Data'!I484="",ROUND(AVERAGE('Raw Data'!$I$2:$I$1501),1),'Raw Data'!I484)</f>
        <v>2.7</v>
      </c>
      <c r="J484" s="21">
        <f>'Raw Data'!J484</f>
        <v>3</v>
      </c>
      <c r="K484" s="21" t="str">
        <f>'Raw Data'!K484</f>
        <v>Laptop &amp; Accessory</v>
      </c>
      <c r="L484" s="21">
        <f>'Raw Data'!L484</f>
        <v>2</v>
      </c>
      <c r="M484" s="21" t="str">
        <f>'Raw Data'!M484</f>
        <v>Married</v>
      </c>
      <c r="N484" s="21">
        <f>'Raw Data'!N484</f>
        <v>1</v>
      </c>
      <c r="O484" s="21">
        <f>'Raw Data'!O484</f>
        <v>0</v>
      </c>
      <c r="P484" s="21">
        <f>IF('Raw Data'!P484="",ROUND(AVERAGE('Raw Data'!$P$2:$P$1501),1),'Raw Data'!P484)</f>
        <v>15.5</v>
      </c>
      <c r="Q484" s="21">
        <f>IF('Raw Data'!Q484="",ROUND(AVERAGE('Raw Data'!$Q$2:$Q$1501),0),'Raw Data'!Q484)</f>
        <v>3</v>
      </c>
      <c r="R484" s="21">
        <f>'Raw Data'!R484</f>
        <v>3</v>
      </c>
      <c r="S484" s="21">
        <f>IF('Raw Data'!S484="",ROUND(AVERAGE('Raw Data'!$S$2:$S$1501),0),'Raw Data'!S484)</f>
        <v>3</v>
      </c>
      <c r="T484" s="21">
        <f>'Raw Data'!T484</f>
        <v>93.83</v>
      </c>
      <c r="U484" s="21" t="str">
        <f>INDEX('Lookup Tables'!$C$7:$C$9,MATCH(E484,'Lookup Tables'!$B$7:$B$9,0))</f>
        <v>Tier 1 (Metro)</v>
      </c>
      <c r="V484" s="21" t="str">
        <f t="shared" si="21"/>
        <v>7-12 months</v>
      </c>
      <c r="W484" s="21" t="str">
        <f t="shared" si="22"/>
        <v>Low Risk</v>
      </c>
      <c r="X484" s="21" t="str">
        <f t="shared" si="23"/>
        <v>Yes</v>
      </c>
    </row>
    <row r="485" spans="1:24" x14ac:dyDescent="0.3">
      <c r="A485" s="21">
        <f>'Raw Data'!A485</f>
        <v>50484</v>
      </c>
      <c r="B485" s="21">
        <f>'Raw Data'!B485</f>
        <v>1</v>
      </c>
      <c r="C485" s="21">
        <f>'Raw Data'!C485</f>
        <v>12</v>
      </c>
      <c r="D485" s="21" t="str">
        <f>'Raw Data'!D485</f>
        <v>Mobile Phone</v>
      </c>
      <c r="E485" s="21">
        <f>'Raw Data'!E485</f>
        <v>3</v>
      </c>
      <c r="F485" s="21">
        <f>IF('Raw Data'!F485="",ROUND(AVERAGE('Raw Data'!$F$2:$F$1501),1),'Raw Data'!F485)</f>
        <v>26</v>
      </c>
      <c r="G485" s="21" t="str">
        <f>'Raw Data'!G485</f>
        <v>Cash on Delivery</v>
      </c>
      <c r="H485" s="21" t="str">
        <f>'Raw Data'!H485</f>
        <v>Female</v>
      </c>
      <c r="I485" s="21">
        <f>IF('Raw Data'!I485="",ROUND(AVERAGE('Raw Data'!$I$2:$I$1501),1),'Raw Data'!I485)</f>
        <v>3</v>
      </c>
      <c r="J485" s="21">
        <f>'Raw Data'!J485</f>
        <v>3</v>
      </c>
      <c r="K485" s="21" t="str">
        <f>'Raw Data'!K485</f>
        <v>Laptop &amp; Accessory</v>
      </c>
      <c r="L485" s="21">
        <f>'Raw Data'!L485</f>
        <v>2</v>
      </c>
      <c r="M485" s="21" t="str">
        <f>'Raw Data'!M485</f>
        <v>Single</v>
      </c>
      <c r="N485" s="21">
        <f>'Raw Data'!N485</f>
        <v>1</v>
      </c>
      <c r="O485" s="21">
        <f>'Raw Data'!O485</f>
        <v>0</v>
      </c>
      <c r="P485" s="21">
        <f>IF('Raw Data'!P485="",ROUND(AVERAGE('Raw Data'!$P$2:$P$1501),1),'Raw Data'!P485)</f>
        <v>16.3</v>
      </c>
      <c r="Q485" s="21">
        <f>IF('Raw Data'!Q485="",ROUND(AVERAGE('Raw Data'!$Q$2:$Q$1501),0),'Raw Data'!Q485)</f>
        <v>1</v>
      </c>
      <c r="R485" s="21">
        <f>'Raw Data'!R485</f>
        <v>3</v>
      </c>
      <c r="S485" s="21">
        <f>IF('Raw Data'!S485="",ROUND(AVERAGE('Raw Data'!$S$2:$S$1501),0),'Raw Data'!S485)</f>
        <v>7</v>
      </c>
      <c r="T485" s="21">
        <f>'Raw Data'!T485</f>
        <v>192.81</v>
      </c>
      <c r="U485" s="21" t="str">
        <f>INDEX('Lookup Tables'!$C$7:$C$9,MATCH(E485,'Lookup Tables'!$B$7:$B$9,0))</f>
        <v>Tier 3 (Semi-urban/Rural)</v>
      </c>
      <c r="V485" s="21" t="str">
        <f t="shared" si="21"/>
        <v>7-12 months</v>
      </c>
      <c r="W485" s="21" t="str">
        <f t="shared" si="22"/>
        <v>Low Risk</v>
      </c>
      <c r="X485" s="21" t="str">
        <f t="shared" si="23"/>
        <v>Yes</v>
      </c>
    </row>
    <row r="486" spans="1:24" x14ac:dyDescent="0.3">
      <c r="A486" s="21">
        <f>'Raw Data'!A486</f>
        <v>50485</v>
      </c>
      <c r="B486" s="21">
        <f>'Raw Data'!B486</f>
        <v>0</v>
      </c>
      <c r="C486" s="21">
        <f>'Raw Data'!C486</f>
        <v>8</v>
      </c>
      <c r="D486" s="21" t="str">
        <f>'Raw Data'!D486</f>
        <v>Mobile Phone</v>
      </c>
      <c r="E486" s="21">
        <f>'Raw Data'!E486</f>
        <v>3</v>
      </c>
      <c r="F486" s="21">
        <f>IF('Raw Data'!F486="",ROUND(AVERAGE('Raw Data'!$F$2:$F$1501),1),'Raw Data'!F486)</f>
        <v>12</v>
      </c>
      <c r="G486" s="21" t="str">
        <f>'Raw Data'!G486</f>
        <v>Debit Card</v>
      </c>
      <c r="H486" s="21" t="str">
        <f>'Raw Data'!H486</f>
        <v>Male</v>
      </c>
      <c r="I486" s="21">
        <f>IF('Raw Data'!I486="",ROUND(AVERAGE('Raw Data'!$I$2:$I$1501),1),'Raw Data'!I486)</f>
        <v>2.9</v>
      </c>
      <c r="J486" s="21">
        <f>'Raw Data'!J486</f>
        <v>1</v>
      </c>
      <c r="K486" s="21" t="str">
        <f>'Raw Data'!K486</f>
        <v>Laptop &amp; Accessory</v>
      </c>
      <c r="L486" s="21">
        <f>'Raw Data'!L486</f>
        <v>4</v>
      </c>
      <c r="M486" s="21" t="str">
        <f>'Raw Data'!M486</f>
        <v>Married</v>
      </c>
      <c r="N486" s="21">
        <f>'Raw Data'!N486</f>
        <v>7</v>
      </c>
      <c r="O486" s="21">
        <f>'Raw Data'!O486</f>
        <v>1</v>
      </c>
      <c r="P486" s="21">
        <f>IF('Raw Data'!P486="",ROUND(AVERAGE('Raw Data'!$P$2:$P$1501),1),'Raw Data'!P486)</f>
        <v>11</v>
      </c>
      <c r="Q486" s="21">
        <f>IF('Raw Data'!Q486="",ROUND(AVERAGE('Raw Data'!$Q$2:$Q$1501),0),'Raw Data'!Q486)</f>
        <v>2</v>
      </c>
      <c r="R486" s="21">
        <f>'Raw Data'!R486</f>
        <v>3</v>
      </c>
      <c r="S486" s="21">
        <f>IF('Raw Data'!S486="",ROUND(AVERAGE('Raw Data'!$S$2:$S$1501),0),'Raw Data'!S486)</f>
        <v>0</v>
      </c>
      <c r="T486" s="21">
        <f>'Raw Data'!T486</f>
        <v>174.94</v>
      </c>
      <c r="U486" s="21" t="str">
        <f>INDEX('Lookup Tables'!$C$7:$C$9,MATCH(E486,'Lookup Tables'!$B$7:$B$9,0))</f>
        <v>Tier 3 (Semi-urban/Rural)</v>
      </c>
      <c r="V486" s="21" t="str">
        <f t="shared" si="21"/>
        <v>7-12 months</v>
      </c>
      <c r="W486" s="21" t="str">
        <f t="shared" si="22"/>
        <v>Low Risk</v>
      </c>
      <c r="X486" s="21" t="str">
        <f t="shared" si="23"/>
        <v>No</v>
      </c>
    </row>
    <row r="487" spans="1:24" x14ac:dyDescent="0.3">
      <c r="A487" s="21">
        <f>'Raw Data'!A487</f>
        <v>50486</v>
      </c>
      <c r="B487" s="21">
        <f>'Raw Data'!B487</f>
        <v>0</v>
      </c>
      <c r="C487" s="21">
        <f>'Raw Data'!C487</f>
        <v>0</v>
      </c>
      <c r="D487" s="21" t="str">
        <f>'Raw Data'!D487</f>
        <v>Mobile Phone</v>
      </c>
      <c r="E487" s="21">
        <f>'Raw Data'!E487</f>
        <v>3</v>
      </c>
      <c r="F487" s="21">
        <f>IF('Raw Data'!F487="",ROUND(AVERAGE('Raw Data'!$F$2:$F$1501),1),'Raw Data'!F487)</f>
        <v>5</v>
      </c>
      <c r="G487" s="21" t="str">
        <f>'Raw Data'!G487</f>
        <v>Debit Card</v>
      </c>
      <c r="H487" s="21" t="str">
        <f>'Raw Data'!H487</f>
        <v>Male</v>
      </c>
      <c r="I487" s="21">
        <f>IF('Raw Data'!I487="",ROUND(AVERAGE('Raw Data'!$I$2:$I$1501),1),'Raw Data'!I487)</f>
        <v>2.6</v>
      </c>
      <c r="J487" s="21">
        <f>'Raw Data'!J487</f>
        <v>3</v>
      </c>
      <c r="K487" s="21" t="str">
        <f>'Raw Data'!K487</f>
        <v>Mobile Phone</v>
      </c>
      <c r="L487" s="21">
        <f>'Raw Data'!L487</f>
        <v>5</v>
      </c>
      <c r="M487" s="21" t="str">
        <f>'Raw Data'!M487</f>
        <v>Divorced</v>
      </c>
      <c r="N487" s="21">
        <f>'Raw Data'!N487</f>
        <v>6</v>
      </c>
      <c r="O487" s="21">
        <f>'Raw Data'!O487</f>
        <v>0</v>
      </c>
      <c r="P487" s="21">
        <f>IF('Raw Data'!P487="",ROUND(AVERAGE('Raw Data'!$P$2:$P$1501),1),'Raw Data'!P487)</f>
        <v>16.100000000000001</v>
      </c>
      <c r="Q487" s="21">
        <f>IF('Raw Data'!Q487="",ROUND(AVERAGE('Raw Data'!$Q$2:$Q$1501),0),'Raw Data'!Q487)</f>
        <v>1</v>
      </c>
      <c r="R487" s="21">
        <f>'Raw Data'!R487</f>
        <v>2</v>
      </c>
      <c r="S487" s="21">
        <f>IF('Raw Data'!S487="",ROUND(AVERAGE('Raw Data'!$S$2:$S$1501),0),'Raw Data'!S487)</f>
        <v>6</v>
      </c>
      <c r="T487" s="21">
        <f>'Raw Data'!T487</f>
        <v>155.91999999999999</v>
      </c>
      <c r="U487" s="21" t="str">
        <f>INDEX('Lookup Tables'!$C$7:$C$9,MATCH(E487,'Lookup Tables'!$B$7:$B$9,0))</f>
        <v>Tier 3 (Semi-urban/Rural)</v>
      </c>
      <c r="V487" s="21" t="str">
        <f t="shared" si="21"/>
        <v>0-6 months</v>
      </c>
      <c r="W487" s="21" t="str">
        <f t="shared" si="22"/>
        <v>Low Risk</v>
      </c>
      <c r="X487" s="21" t="str">
        <f t="shared" si="23"/>
        <v>No</v>
      </c>
    </row>
    <row r="488" spans="1:24" x14ac:dyDescent="0.3">
      <c r="A488" s="21">
        <f>'Raw Data'!A488</f>
        <v>50487</v>
      </c>
      <c r="B488" s="21">
        <f>'Raw Data'!B488</f>
        <v>0</v>
      </c>
      <c r="C488" s="21">
        <f>'Raw Data'!C488</f>
        <v>3</v>
      </c>
      <c r="D488" s="21" t="str">
        <f>'Raw Data'!D488</f>
        <v>Computer</v>
      </c>
      <c r="E488" s="21">
        <f>'Raw Data'!E488</f>
        <v>3</v>
      </c>
      <c r="F488" s="21">
        <f>IF('Raw Data'!F488="",ROUND(AVERAGE('Raw Data'!$F$2:$F$1501),1),'Raw Data'!F488)</f>
        <v>12</v>
      </c>
      <c r="G488" s="21" t="str">
        <f>'Raw Data'!G488</f>
        <v>Cash on Delivery</v>
      </c>
      <c r="H488" s="21" t="str">
        <f>'Raw Data'!H488</f>
        <v>Male</v>
      </c>
      <c r="I488" s="21">
        <f>IF('Raw Data'!I488="",ROUND(AVERAGE('Raw Data'!$I$2:$I$1501),1),'Raw Data'!I488)</f>
        <v>2.2999999999999998</v>
      </c>
      <c r="J488" s="21">
        <f>'Raw Data'!J488</f>
        <v>4</v>
      </c>
      <c r="K488" s="21" t="str">
        <f>'Raw Data'!K488</f>
        <v>Laptop &amp; Accessory</v>
      </c>
      <c r="L488" s="21">
        <f>'Raw Data'!L488</f>
        <v>5</v>
      </c>
      <c r="M488" s="21" t="str">
        <f>'Raw Data'!M488</f>
        <v>Married</v>
      </c>
      <c r="N488" s="21">
        <f>'Raw Data'!N488</f>
        <v>1</v>
      </c>
      <c r="O488" s="21">
        <f>'Raw Data'!O488</f>
        <v>1</v>
      </c>
      <c r="P488" s="21">
        <f>IF('Raw Data'!P488="",ROUND(AVERAGE('Raw Data'!$P$2:$P$1501),1),'Raw Data'!P488)</f>
        <v>11</v>
      </c>
      <c r="Q488" s="21">
        <f>IF('Raw Data'!Q488="",ROUND(AVERAGE('Raw Data'!$Q$2:$Q$1501),0),'Raw Data'!Q488)</f>
        <v>1</v>
      </c>
      <c r="R488" s="21">
        <f>'Raw Data'!R488</f>
        <v>6</v>
      </c>
      <c r="S488" s="21">
        <f>IF('Raw Data'!S488="",ROUND(AVERAGE('Raw Data'!$S$2:$S$1501),0),'Raw Data'!S488)</f>
        <v>14</v>
      </c>
      <c r="T488" s="21">
        <f>'Raw Data'!T488</f>
        <v>124.9</v>
      </c>
      <c r="U488" s="21" t="str">
        <f>INDEX('Lookup Tables'!$C$7:$C$9,MATCH(E488,'Lookup Tables'!$B$7:$B$9,0))</f>
        <v>Tier 3 (Semi-urban/Rural)</v>
      </c>
      <c r="V488" s="21" t="str">
        <f t="shared" si="21"/>
        <v>0-6 months</v>
      </c>
      <c r="W488" s="21" t="str">
        <f t="shared" si="22"/>
        <v>Low Risk</v>
      </c>
      <c r="X488" s="21" t="str">
        <f t="shared" si="23"/>
        <v>No</v>
      </c>
    </row>
    <row r="489" spans="1:24" x14ac:dyDescent="0.3">
      <c r="A489" s="21">
        <f>'Raw Data'!A489</f>
        <v>50488</v>
      </c>
      <c r="B489" s="21">
        <f>'Raw Data'!B489</f>
        <v>0</v>
      </c>
      <c r="C489" s="21">
        <f>'Raw Data'!C489</f>
        <v>7</v>
      </c>
      <c r="D489" s="21" t="str">
        <f>'Raw Data'!D489</f>
        <v>Mobile Phone</v>
      </c>
      <c r="E489" s="21">
        <f>'Raw Data'!E489</f>
        <v>1</v>
      </c>
      <c r="F489" s="21">
        <f>IF('Raw Data'!F489="",ROUND(AVERAGE('Raw Data'!$F$2:$F$1501),1),'Raw Data'!F489)</f>
        <v>14</v>
      </c>
      <c r="G489" s="21" t="str">
        <f>'Raw Data'!G489</f>
        <v>Credit Card</v>
      </c>
      <c r="H489" s="21" t="str">
        <f>'Raw Data'!H489</f>
        <v>Male</v>
      </c>
      <c r="I489" s="21">
        <f>IF('Raw Data'!I489="",ROUND(AVERAGE('Raw Data'!$I$2:$I$1501),1),'Raw Data'!I489)</f>
        <v>1.9</v>
      </c>
      <c r="J489" s="21">
        <f>'Raw Data'!J489</f>
        <v>4</v>
      </c>
      <c r="K489" s="21" t="str">
        <f>'Raw Data'!K489</f>
        <v>Mobile Phone</v>
      </c>
      <c r="L489" s="21">
        <f>'Raw Data'!L489</f>
        <v>4</v>
      </c>
      <c r="M489" s="21" t="str">
        <f>'Raw Data'!M489</f>
        <v>Single</v>
      </c>
      <c r="N489" s="21">
        <f>'Raw Data'!N489</f>
        <v>1</v>
      </c>
      <c r="O489" s="21">
        <f>'Raw Data'!O489</f>
        <v>0</v>
      </c>
      <c r="P489" s="21">
        <f>IF('Raw Data'!P489="",ROUND(AVERAGE('Raw Data'!$P$2:$P$1501),1),'Raw Data'!P489)</f>
        <v>11.7</v>
      </c>
      <c r="Q489" s="21">
        <f>IF('Raw Data'!Q489="",ROUND(AVERAGE('Raw Data'!$Q$2:$Q$1501),0),'Raw Data'!Q489)</f>
        <v>3</v>
      </c>
      <c r="R489" s="21">
        <f>'Raw Data'!R489</f>
        <v>3</v>
      </c>
      <c r="S489" s="21">
        <f>IF('Raw Data'!S489="",ROUND(AVERAGE('Raw Data'!$S$2:$S$1501),0),'Raw Data'!S489)</f>
        <v>3</v>
      </c>
      <c r="T489" s="21">
        <f>'Raw Data'!T489</f>
        <v>130.47</v>
      </c>
      <c r="U489" s="21" t="str">
        <f>INDEX('Lookup Tables'!$C$7:$C$9,MATCH(E489,'Lookup Tables'!$B$7:$B$9,0))</f>
        <v>Tier 1 (Metro)</v>
      </c>
      <c r="V489" s="21" t="str">
        <f t="shared" si="21"/>
        <v>7-12 months</v>
      </c>
      <c r="W489" s="21" t="str">
        <f t="shared" si="22"/>
        <v>Low Risk</v>
      </c>
      <c r="X489" s="21" t="str">
        <f t="shared" si="23"/>
        <v>No</v>
      </c>
    </row>
    <row r="490" spans="1:24" x14ac:dyDescent="0.3">
      <c r="A490" s="21">
        <f>'Raw Data'!A490</f>
        <v>50489</v>
      </c>
      <c r="B490" s="21">
        <f>'Raw Data'!B490</f>
        <v>1</v>
      </c>
      <c r="C490" s="21">
        <f>'Raw Data'!C490</f>
        <v>0</v>
      </c>
      <c r="D490" s="21" t="str">
        <f>'Raw Data'!D490</f>
        <v>Mobile Phone</v>
      </c>
      <c r="E490" s="21">
        <f>'Raw Data'!E490</f>
        <v>3</v>
      </c>
      <c r="F490" s="21">
        <f>IF('Raw Data'!F490="",ROUND(AVERAGE('Raw Data'!$F$2:$F$1501),1),'Raw Data'!F490)</f>
        <v>6</v>
      </c>
      <c r="G490" s="21" t="str">
        <f>'Raw Data'!G490</f>
        <v>E wallet</v>
      </c>
      <c r="H490" s="21" t="str">
        <f>'Raw Data'!H490</f>
        <v>Male</v>
      </c>
      <c r="I490" s="21">
        <f>IF('Raw Data'!I490="",ROUND(AVERAGE('Raw Data'!$I$2:$I$1501),1),'Raw Data'!I490)</f>
        <v>3.2</v>
      </c>
      <c r="J490" s="21">
        <f>'Raw Data'!J490</f>
        <v>4</v>
      </c>
      <c r="K490" s="21" t="str">
        <f>'Raw Data'!K490</f>
        <v>Laptop &amp; Accessory</v>
      </c>
      <c r="L490" s="21">
        <f>'Raw Data'!L490</f>
        <v>3</v>
      </c>
      <c r="M490" s="21" t="str">
        <f>'Raw Data'!M490</f>
        <v>Married</v>
      </c>
      <c r="N490" s="21">
        <f>'Raw Data'!N490</f>
        <v>3</v>
      </c>
      <c r="O490" s="21">
        <f>'Raw Data'!O490</f>
        <v>1</v>
      </c>
      <c r="P490" s="21">
        <f>IF('Raw Data'!P490="",ROUND(AVERAGE('Raw Data'!$P$2:$P$1501),1),'Raw Data'!P490)</f>
        <v>11.3</v>
      </c>
      <c r="Q490" s="21">
        <f>IF('Raw Data'!Q490="",ROUND(AVERAGE('Raw Data'!$Q$2:$Q$1501),0),'Raw Data'!Q490)</f>
        <v>8</v>
      </c>
      <c r="R490" s="21">
        <f>'Raw Data'!R490</f>
        <v>3</v>
      </c>
      <c r="S490" s="21">
        <f>IF('Raw Data'!S490="",ROUND(AVERAGE('Raw Data'!$S$2:$S$1501),0),'Raw Data'!S490)</f>
        <v>2</v>
      </c>
      <c r="T490" s="21">
        <f>'Raw Data'!T490</f>
        <v>214.01</v>
      </c>
      <c r="U490" s="21" t="str">
        <f>INDEX('Lookup Tables'!$C$7:$C$9,MATCH(E490,'Lookup Tables'!$B$7:$B$9,0))</f>
        <v>Tier 3 (Semi-urban/Rural)</v>
      </c>
      <c r="V490" s="21" t="str">
        <f t="shared" si="21"/>
        <v>0-6 months</v>
      </c>
      <c r="W490" s="21" t="str">
        <f t="shared" si="22"/>
        <v>Medium Risk</v>
      </c>
      <c r="X490" s="21" t="str">
        <f t="shared" si="23"/>
        <v>Yes</v>
      </c>
    </row>
    <row r="491" spans="1:24" x14ac:dyDescent="0.3">
      <c r="A491" s="21">
        <f>'Raw Data'!A491</f>
        <v>50490</v>
      </c>
      <c r="B491" s="21">
        <f>'Raw Data'!B491</f>
        <v>0</v>
      </c>
      <c r="C491" s="21">
        <f>'Raw Data'!C491</f>
        <v>4</v>
      </c>
      <c r="D491" s="21" t="str">
        <f>'Raw Data'!D491</f>
        <v>Phone</v>
      </c>
      <c r="E491" s="21">
        <f>'Raw Data'!E491</f>
        <v>1</v>
      </c>
      <c r="F491" s="21">
        <f>IF('Raw Data'!F491="",ROUND(AVERAGE('Raw Data'!$F$2:$F$1501),1),'Raw Data'!F491)</f>
        <v>10</v>
      </c>
      <c r="G491" s="21" t="str">
        <f>'Raw Data'!G491</f>
        <v>Credit Card</v>
      </c>
      <c r="H491" s="21" t="str">
        <f>'Raw Data'!H491</f>
        <v>Female</v>
      </c>
      <c r="I491" s="21">
        <f>IF('Raw Data'!I491="",ROUND(AVERAGE('Raw Data'!$I$2:$I$1501),1),'Raw Data'!I491)</f>
        <v>3.9</v>
      </c>
      <c r="J491" s="21">
        <f>'Raw Data'!J491</f>
        <v>3</v>
      </c>
      <c r="K491" s="21" t="str">
        <f>'Raw Data'!K491</f>
        <v>Mobile Phone</v>
      </c>
      <c r="L491" s="21">
        <f>'Raw Data'!L491</f>
        <v>3</v>
      </c>
      <c r="M491" s="21" t="str">
        <f>'Raw Data'!M491</f>
        <v>Single</v>
      </c>
      <c r="N491" s="21">
        <f>'Raw Data'!N491</f>
        <v>3</v>
      </c>
      <c r="O491" s="21">
        <f>'Raw Data'!O491</f>
        <v>0</v>
      </c>
      <c r="P491" s="21">
        <f>IF('Raw Data'!P491="",ROUND(AVERAGE('Raw Data'!$P$2:$P$1501),1),'Raw Data'!P491)</f>
        <v>12.4</v>
      </c>
      <c r="Q491" s="21">
        <f>IF('Raw Data'!Q491="",ROUND(AVERAGE('Raw Data'!$Q$2:$Q$1501),0),'Raw Data'!Q491)</f>
        <v>2</v>
      </c>
      <c r="R491" s="21">
        <f>'Raw Data'!R491</f>
        <v>2</v>
      </c>
      <c r="S491" s="21">
        <f>IF('Raw Data'!S491="",ROUND(AVERAGE('Raw Data'!$S$2:$S$1501),0),'Raw Data'!S491)</f>
        <v>5</v>
      </c>
      <c r="T491" s="21">
        <f>'Raw Data'!T491</f>
        <v>228.49</v>
      </c>
      <c r="U491" s="21" t="str">
        <f>INDEX('Lookup Tables'!$C$7:$C$9,MATCH(E491,'Lookup Tables'!$B$7:$B$9,0))</f>
        <v>Tier 1 (Metro)</v>
      </c>
      <c r="V491" s="21" t="str">
        <f t="shared" si="21"/>
        <v>0-6 months</v>
      </c>
      <c r="W491" s="21" t="str">
        <f t="shared" si="22"/>
        <v>Medium Risk</v>
      </c>
      <c r="X491" s="21" t="str">
        <f t="shared" si="23"/>
        <v>No</v>
      </c>
    </row>
    <row r="492" spans="1:24" x14ac:dyDescent="0.3">
      <c r="A492" s="21">
        <f>'Raw Data'!A492</f>
        <v>50491</v>
      </c>
      <c r="B492" s="21">
        <f>'Raw Data'!B492</f>
        <v>1</v>
      </c>
      <c r="C492" s="21">
        <f>'Raw Data'!C492</f>
        <v>0</v>
      </c>
      <c r="D492" s="21" t="str">
        <f>'Raw Data'!D492</f>
        <v>Mobile Phone</v>
      </c>
      <c r="E492" s="21">
        <f>'Raw Data'!E492</f>
        <v>3</v>
      </c>
      <c r="F492" s="21">
        <f>IF('Raw Data'!F492="",ROUND(AVERAGE('Raw Data'!$F$2:$F$1501),1),'Raw Data'!F492)</f>
        <v>27</v>
      </c>
      <c r="G492" s="21" t="str">
        <f>'Raw Data'!G492</f>
        <v>Debit Card</v>
      </c>
      <c r="H492" s="21" t="str">
        <f>'Raw Data'!H492</f>
        <v>Female</v>
      </c>
      <c r="I492" s="21">
        <f>IF('Raw Data'!I492="",ROUND(AVERAGE('Raw Data'!$I$2:$I$1501),1),'Raw Data'!I492)</f>
        <v>3.8</v>
      </c>
      <c r="J492" s="21">
        <f>'Raw Data'!J492</f>
        <v>1</v>
      </c>
      <c r="K492" s="21" t="str">
        <f>'Raw Data'!K492</f>
        <v>Laptop &amp; Accessory</v>
      </c>
      <c r="L492" s="21">
        <f>'Raw Data'!L492</f>
        <v>5</v>
      </c>
      <c r="M492" s="21" t="str">
        <f>'Raw Data'!M492</f>
        <v>Married</v>
      </c>
      <c r="N492" s="21">
        <f>'Raw Data'!N492</f>
        <v>6</v>
      </c>
      <c r="O492" s="21">
        <f>'Raw Data'!O492</f>
        <v>0</v>
      </c>
      <c r="P492" s="21">
        <f>IF('Raw Data'!P492="",ROUND(AVERAGE('Raw Data'!$P$2:$P$1501),1),'Raw Data'!P492)</f>
        <v>14.1</v>
      </c>
      <c r="Q492" s="21">
        <f>IF('Raw Data'!Q492="",ROUND(AVERAGE('Raw Data'!$Q$2:$Q$1501),0),'Raw Data'!Q492)</f>
        <v>2</v>
      </c>
      <c r="R492" s="21">
        <f>'Raw Data'!R492</f>
        <v>7</v>
      </c>
      <c r="S492" s="21">
        <f>IF('Raw Data'!S492="",ROUND(AVERAGE('Raw Data'!$S$2:$S$1501),0),'Raw Data'!S492)</f>
        <v>12</v>
      </c>
      <c r="T492" s="21">
        <f>'Raw Data'!T492</f>
        <v>162.01</v>
      </c>
      <c r="U492" s="21" t="str">
        <f>INDEX('Lookup Tables'!$C$7:$C$9,MATCH(E492,'Lookup Tables'!$B$7:$B$9,0))</f>
        <v>Tier 3 (Semi-urban/Rural)</v>
      </c>
      <c r="V492" s="21" t="str">
        <f t="shared" si="21"/>
        <v>0-6 months</v>
      </c>
      <c r="W492" s="21" t="str">
        <f t="shared" si="22"/>
        <v>Low Risk</v>
      </c>
      <c r="X492" s="21" t="str">
        <f t="shared" si="23"/>
        <v>Yes</v>
      </c>
    </row>
    <row r="493" spans="1:24" x14ac:dyDescent="0.3">
      <c r="A493" s="21">
        <f>'Raw Data'!A493</f>
        <v>50492</v>
      </c>
      <c r="B493" s="21">
        <f>'Raw Data'!B493</f>
        <v>1</v>
      </c>
      <c r="C493" s="21">
        <f>'Raw Data'!C493</f>
        <v>0</v>
      </c>
      <c r="D493" s="21" t="str">
        <f>'Raw Data'!D493</f>
        <v>Phone</v>
      </c>
      <c r="E493" s="21">
        <f>'Raw Data'!E493</f>
        <v>3</v>
      </c>
      <c r="F493" s="21">
        <f>IF('Raw Data'!F493="",ROUND(AVERAGE('Raw Data'!$F$2:$F$1501),1),'Raw Data'!F493)</f>
        <v>20</v>
      </c>
      <c r="G493" s="21" t="str">
        <f>'Raw Data'!G493</f>
        <v>UPI</v>
      </c>
      <c r="H493" s="21" t="str">
        <f>'Raw Data'!H493</f>
        <v>Female</v>
      </c>
      <c r="I493" s="21">
        <f>IF('Raw Data'!I493="",ROUND(AVERAGE('Raw Data'!$I$2:$I$1501),1),'Raw Data'!I493)</f>
        <v>3.4</v>
      </c>
      <c r="J493" s="21">
        <f>'Raw Data'!J493</f>
        <v>3</v>
      </c>
      <c r="K493" s="21" t="str">
        <f>'Raw Data'!K493</f>
        <v>Grocery</v>
      </c>
      <c r="L493" s="21">
        <f>'Raw Data'!L493</f>
        <v>3</v>
      </c>
      <c r="M493" s="21" t="str">
        <f>'Raw Data'!M493</f>
        <v>Married</v>
      </c>
      <c r="N493" s="21">
        <f>'Raw Data'!N493</f>
        <v>1</v>
      </c>
      <c r="O493" s="21">
        <f>'Raw Data'!O493</f>
        <v>1</v>
      </c>
      <c r="P493" s="21">
        <f>IF('Raw Data'!P493="",ROUND(AVERAGE('Raw Data'!$P$2:$P$1501),1),'Raw Data'!P493)</f>
        <v>14.3</v>
      </c>
      <c r="Q493" s="21">
        <f>IF('Raw Data'!Q493="",ROUND(AVERAGE('Raw Data'!$Q$2:$Q$1501),0),'Raw Data'!Q493)</f>
        <v>2</v>
      </c>
      <c r="R493" s="21">
        <f>'Raw Data'!R493</f>
        <v>3</v>
      </c>
      <c r="S493" s="21">
        <f>IF('Raw Data'!S493="",ROUND(AVERAGE('Raw Data'!$S$2:$S$1501),0),'Raw Data'!S493)</f>
        <v>0</v>
      </c>
      <c r="T493" s="21">
        <f>'Raw Data'!T493</f>
        <v>156.21</v>
      </c>
      <c r="U493" s="21" t="str">
        <f>INDEX('Lookup Tables'!$C$7:$C$9,MATCH(E493,'Lookup Tables'!$B$7:$B$9,0))</f>
        <v>Tier 3 (Semi-urban/Rural)</v>
      </c>
      <c r="V493" s="21" t="str">
        <f t="shared" si="21"/>
        <v>0-6 months</v>
      </c>
      <c r="W493" s="21" t="str">
        <f t="shared" si="22"/>
        <v>Medium Risk</v>
      </c>
      <c r="X493" s="21" t="str">
        <f t="shared" si="23"/>
        <v>Yes</v>
      </c>
    </row>
    <row r="494" spans="1:24" x14ac:dyDescent="0.3">
      <c r="A494" s="21">
        <f>'Raw Data'!A494</f>
        <v>50493</v>
      </c>
      <c r="B494" s="21">
        <f>'Raw Data'!B494</f>
        <v>0</v>
      </c>
      <c r="C494" s="21">
        <f>'Raw Data'!C494</f>
        <v>5</v>
      </c>
      <c r="D494" s="21" t="str">
        <f>'Raw Data'!D494</f>
        <v>Computer</v>
      </c>
      <c r="E494" s="21">
        <f>'Raw Data'!E494</f>
        <v>3</v>
      </c>
      <c r="F494" s="21">
        <f>IF('Raw Data'!F494="",ROUND(AVERAGE('Raw Data'!$F$2:$F$1501),1),'Raw Data'!F494)</f>
        <v>7</v>
      </c>
      <c r="G494" s="21" t="str">
        <f>'Raw Data'!G494</f>
        <v>E wallet</v>
      </c>
      <c r="H494" s="21" t="str">
        <f>'Raw Data'!H494</f>
        <v>Female</v>
      </c>
      <c r="I494" s="21">
        <f>IF('Raw Data'!I494="",ROUND(AVERAGE('Raw Data'!$I$2:$I$1501),1),'Raw Data'!I494)</f>
        <v>3.3</v>
      </c>
      <c r="J494" s="21">
        <f>'Raw Data'!J494</f>
        <v>3</v>
      </c>
      <c r="K494" s="21" t="str">
        <f>'Raw Data'!K494</f>
        <v>Laptop &amp; Accessory</v>
      </c>
      <c r="L494" s="21">
        <f>'Raw Data'!L494</f>
        <v>4</v>
      </c>
      <c r="M494" s="21" t="str">
        <f>'Raw Data'!M494</f>
        <v>Married</v>
      </c>
      <c r="N494" s="21">
        <f>'Raw Data'!N494</f>
        <v>1</v>
      </c>
      <c r="O494" s="21">
        <f>'Raw Data'!O494</f>
        <v>1</v>
      </c>
      <c r="P494" s="21">
        <f>IF('Raw Data'!P494="",ROUND(AVERAGE('Raw Data'!$P$2:$P$1501),1),'Raw Data'!P494)</f>
        <v>18.3</v>
      </c>
      <c r="Q494" s="21">
        <f>IF('Raw Data'!Q494="",ROUND(AVERAGE('Raw Data'!$Q$2:$Q$1501),0),'Raw Data'!Q494)</f>
        <v>3</v>
      </c>
      <c r="R494" s="21">
        <f>'Raw Data'!R494</f>
        <v>3</v>
      </c>
      <c r="S494" s="21">
        <f>IF('Raw Data'!S494="",ROUND(AVERAGE('Raw Data'!$S$2:$S$1501),0),'Raw Data'!S494)</f>
        <v>2</v>
      </c>
      <c r="T494" s="21">
        <f>'Raw Data'!T494</f>
        <v>133.05000000000001</v>
      </c>
      <c r="U494" s="21" t="str">
        <f>INDEX('Lookup Tables'!$C$7:$C$9,MATCH(E494,'Lookup Tables'!$B$7:$B$9,0))</f>
        <v>Tier 3 (Semi-urban/Rural)</v>
      </c>
      <c r="V494" s="21" t="str">
        <f t="shared" si="21"/>
        <v>0-6 months</v>
      </c>
      <c r="W494" s="21" t="str">
        <f t="shared" si="22"/>
        <v>Low Risk</v>
      </c>
      <c r="X494" s="21" t="str">
        <f t="shared" si="23"/>
        <v>No</v>
      </c>
    </row>
    <row r="495" spans="1:24" x14ac:dyDescent="0.3">
      <c r="A495" s="21">
        <f>'Raw Data'!A495</f>
        <v>50494</v>
      </c>
      <c r="B495" s="21">
        <f>'Raw Data'!B495</f>
        <v>1</v>
      </c>
      <c r="C495" s="21">
        <f>'Raw Data'!C495</f>
        <v>1</v>
      </c>
      <c r="D495" s="21" t="str">
        <f>'Raw Data'!D495</f>
        <v>Mobile Phone</v>
      </c>
      <c r="E495" s="21">
        <f>'Raw Data'!E495</f>
        <v>3</v>
      </c>
      <c r="F495" s="21">
        <f>IF('Raw Data'!F495="",ROUND(AVERAGE('Raw Data'!$F$2:$F$1501),1),'Raw Data'!F495)</f>
        <v>5</v>
      </c>
      <c r="G495" s="21" t="str">
        <f>'Raw Data'!G495</f>
        <v>Debit Card</v>
      </c>
      <c r="H495" s="21" t="str">
        <f>'Raw Data'!H495</f>
        <v>Male</v>
      </c>
      <c r="I495" s="21">
        <f>IF('Raw Data'!I495="",ROUND(AVERAGE('Raw Data'!$I$2:$I$1501),1),'Raw Data'!I495)</f>
        <v>4.0999999999999996</v>
      </c>
      <c r="J495" s="21">
        <f>'Raw Data'!J495</f>
        <v>3</v>
      </c>
      <c r="K495" s="21" t="str">
        <f>'Raw Data'!K495</f>
        <v>Mobile Phone</v>
      </c>
      <c r="L495" s="21">
        <f>'Raw Data'!L495</f>
        <v>3</v>
      </c>
      <c r="M495" s="21" t="str">
        <f>'Raw Data'!M495</f>
        <v>Divorced</v>
      </c>
      <c r="N495" s="21">
        <f>'Raw Data'!N495</f>
        <v>1</v>
      </c>
      <c r="O495" s="21">
        <f>'Raw Data'!O495</f>
        <v>0</v>
      </c>
      <c r="P495" s="21">
        <f>IF('Raw Data'!P495="",ROUND(AVERAGE('Raw Data'!$P$2:$P$1501),1),'Raw Data'!P495)</f>
        <v>16.8</v>
      </c>
      <c r="Q495" s="21">
        <f>IF('Raw Data'!Q495="",ROUND(AVERAGE('Raw Data'!$Q$2:$Q$1501),0),'Raw Data'!Q495)</f>
        <v>2</v>
      </c>
      <c r="R495" s="21">
        <f>'Raw Data'!R495</f>
        <v>4</v>
      </c>
      <c r="S495" s="21">
        <f>IF('Raw Data'!S495="",ROUND(AVERAGE('Raw Data'!$S$2:$S$1501),0),'Raw Data'!S495)</f>
        <v>0</v>
      </c>
      <c r="T495" s="21">
        <f>'Raw Data'!T495</f>
        <v>231.53</v>
      </c>
      <c r="U495" s="21" t="str">
        <f>INDEX('Lookup Tables'!$C$7:$C$9,MATCH(E495,'Lookup Tables'!$B$7:$B$9,0))</f>
        <v>Tier 3 (Semi-urban/Rural)</v>
      </c>
      <c r="V495" s="21" t="str">
        <f t="shared" si="21"/>
        <v>0-6 months</v>
      </c>
      <c r="W495" s="21" t="str">
        <f t="shared" si="22"/>
        <v>Medium Risk</v>
      </c>
      <c r="X495" s="21" t="str">
        <f t="shared" si="23"/>
        <v>Yes</v>
      </c>
    </row>
    <row r="496" spans="1:24" x14ac:dyDescent="0.3">
      <c r="A496" s="21">
        <f>'Raw Data'!A496</f>
        <v>50495</v>
      </c>
      <c r="B496" s="21">
        <f>'Raw Data'!B496</f>
        <v>0</v>
      </c>
      <c r="C496" s="21">
        <f>'Raw Data'!C496</f>
        <v>8</v>
      </c>
      <c r="D496" s="21" t="str">
        <f>'Raw Data'!D496</f>
        <v>Mobile Phone</v>
      </c>
      <c r="E496" s="21">
        <f>'Raw Data'!E496</f>
        <v>2</v>
      </c>
      <c r="F496" s="21">
        <f>IF('Raw Data'!F496="",ROUND(AVERAGE('Raw Data'!$F$2:$F$1501),1),'Raw Data'!F496)</f>
        <v>12</v>
      </c>
      <c r="G496" s="21" t="str">
        <f>'Raw Data'!G496</f>
        <v>Debit Card</v>
      </c>
      <c r="H496" s="21" t="str">
        <f>'Raw Data'!H496</f>
        <v>Female</v>
      </c>
      <c r="I496" s="21">
        <f>IF('Raw Data'!I496="",ROUND(AVERAGE('Raw Data'!$I$2:$I$1501),1),'Raw Data'!I496)</f>
        <v>3.1</v>
      </c>
      <c r="J496" s="21">
        <f>'Raw Data'!J496</f>
        <v>4</v>
      </c>
      <c r="K496" s="21" t="str">
        <f>'Raw Data'!K496</f>
        <v>Grocery</v>
      </c>
      <c r="L496" s="21">
        <f>'Raw Data'!L496</f>
        <v>4</v>
      </c>
      <c r="M496" s="21" t="str">
        <f>'Raw Data'!M496</f>
        <v>Divorced</v>
      </c>
      <c r="N496" s="21">
        <f>'Raw Data'!N496</f>
        <v>1</v>
      </c>
      <c r="O496" s="21">
        <f>'Raw Data'!O496</f>
        <v>1</v>
      </c>
      <c r="P496" s="21">
        <f>IF('Raw Data'!P496="",ROUND(AVERAGE('Raw Data'!$P$2:$P$1501),1),'Raw Data'!P496)</f>
        <v>11</v>
      </c>
      <c r="Q496" s="21">
        <f>IF('Raw Data'!Q496="",ROUND(AVERAGE('Raw Data'!$Q$2:$Q$1501),0),'Raw Data'!Q496)</f>
        <v>0</v>
      </c>
      <c r="R496" s="21">
        <f>'Raw Data'!R496</f>
        <v>6</v>
      </c>
      <c r="S496" s="21">
        <f>IF('Raw Data'!S496="",ROUND(AVERAGE('Raw Data'!$S$2:$S$1501),0),'Raw Data'!S496)</f>
        <v>3</v>
      </c>
      <c r="T496" s="21">
        <f>'Raw Data'!T496</f>
        <v>181.7</v>
      </c>
      <c r="U496" s="21" t="str">
        <f>INDEX('Lookup Tables'!$C$7:$C$9,MATCH(E496,'Lookup Tables'!$B$7:$B$9,0))</f>
        <v>Tier 2 (Urban)</v>
      </c>
      <c r="V496" s="21" t="str">
        <f t="shared" si="21"/>
        <v>7-12 months</v>
      </c>
      <c r="W496" s="21" t="str">
        <f t="shared" si="22"/>
        <v>Low Risk</v>
      </c>
      <c r="X496" s="21" t="str">
        <f t="shared" si="23"/>
        <v>No</v>
      </c>
    </row>
    <row r="497" spans="1:24" x14ac:dyDescent="0.3">
      <c r="A497" s="21">
        <f>'Raw Data'!A497</f>
        <v>50496</v>
      </c>
      <c r="B497" s="21">
        <f>'Raw Data'!B497</f>
        <v>0</v>
      </c>
      <c r="C497" s="21">
        <f>'Raw Data'!C497</f>
        <v>11</v>
      </c>
      <c r="D497" s="21" t="str">
        <f>'Raw Data'!D497</f>
        <v>Mobile Phone</v>
      </c>
      <c r="E497" s="21">
        <f>'Raw Data'!E497</f>
        <v>1</v>
      </c>
      <c r="F497" s="21">
        <f>IF('Raw Data'!F497="",ROUND(AVERAGE('Raw Data'!$F$2:$F$1501),1),'Raw Data'!F497)</f>
        <v>14.8</v>
      </c>
      <c r="G497" s="21" t="str">
        <f>'Raw Data'!G497</f>
        <v>UPI</v>
      </c>
      <c r="H497" s="21" t="str">
        <f>'Raw Data'!H497</f>
        <v>Female</v>
      </c>
      <c r="I497" s="21">
        <f>IF('Raw Data'!I497="",ROUND(AVERAGE('Raw Data'!$I$2:$I$1501),1),'Raw Data'!I497)</f>
        <v>3.4</v>
      </c>
      <c r="J497" s="21">
        <f>'Raw Data'!J497</f>
        <v>5</v>
      </c>
      <c r="K497" s="21" t="str">
        <f>'Raw Data'!K497</f>
        <v>Fashion</v>
      </c>
      <c r="L497" s="21">
        <f>'Raw Data'!L497</f>
        <v>3</v>
      </c>
      <c r="M497" s="21" t="str">
        <f>'Raw Data'!M497</f>
        <v>Single</v>
      </c>
      <c r="N497" s="21">
        <f>'Raw Data'!N497</f>
        <v>1</v>
      </c>
      <c r="O497" s="21">
        <f>'Raw Data'!O497</f>
        <v>0</v>
      </c>
      <c r="P497" s="21">
        <f>IF('Raw Data'!P497="",ROUND(AVERAGE('Raw Data'!$P$2:$P$1501),1),'Raw Data'!P497)</f>
        <v>16.3</v>
      </c>
      <c r="Q497" s="21">
        <f>IF('Raw Data'!Q497="",ROUND(AVERAGE('Raw Data'!$Q$2:$Q$1501),0),'Raw Data'!Q497)</f>
        <v>1</v>
      </c>
      <c r="R497" s="21">
        <f>'Raw Data'!R497</f>
        <v>2</v>
      </c>
      <c r="S497" s="21">
        <f>IF('Raw Data'!S497="",ROUND(AVERAGE('Raw Data'!$S$2:$S$1501),0),'Raw Data'!S497)</f>
        <v>3</v>
      </c>
      <c r="T497" s="21">
        <f>'Raw Data'!T497</f>
        <v>200.23</v>
      </c>
      <c r="U497" s="21" t="str">
        <f>INDEX('Lookup Tables'!$C$7:$C$9,MATCH(E497,'Lookup Tables'!$B$7:$B$9,0))</f>
        <v>Tier 1 (Metro)</v>
      </c>
      <c r="V497" s="21" t="str">
        <f t="shared" si="21"/>
        <v>7-12 months</v>
      </c>
      <c r="W497" s="21" t="str">
        <f t="shared" si="22"/>
        <v>Medium Risk</v>
      </c>
      <c r="X497" s="21" t="str">
        <f t="shared" si="23"/>
        <v>No</v>
      </c>
    </row>
    <row r="498" spans="1:24" x14ac:dyDescent="0.3">
      <c r="A498" s="21">
        <f>'Raw Data'!A498</f>
        <v>50497</v>
      </c>
      <c r="B498" s="21">
        <f>'Raw Data'!B498</f>
        <v>0</v>
      </c>
      <c r="C498" s="21">
        <f>'Raw Data'!C498</f>
        <v>16</v>
      </c>
      <c r="D498" s="21" t="str">
        <f>'Raw Data'!D498</f>
        <v>Computer</v>
      </c>
      <c r="E498" s="21">
        <f>'Raw Data'!E498</f>
        <v>1</v>
      </c>
      <c r="F498" s="21">
        <f>IF('Raw Data'!F498="",ROUND(AVERAGE('Raw Data'!$F$2:$F$1501),1),'Raw Data'!F498)</f>
        <v>18</v>
      </c>
      <c r="G498" s="21" t="str">
        <f>'Raw Data'!G498</f>
        <v>Debit Card</v>
      </c>
      <c r="H498" s="21" t="str">
        <f>'Raw Data'!H498</f>
        <v>Female</v>
      </c>
      <c r="I498" s="21">
        <f>IF('Raw Data'!I498="",ROUND(AVERAGE('Raw Data'!$I$2:$I$1501),1),'Raw Data'!I498)</f>
        <v>2.7</v>
      </c>
      <c r="J498" s="21">
        <f>'Raw Data'!J498</f>
        <v>3</v>
      </c>
      <c r="K498" s="21" t="str">
        <f>'Raw Data'!K498</f>
        <v>Laptop &amp; Accessory</v>
      </c>
      <c r="L498" s="21">
        <f>'Raw Data'!L498</f>
        <v>5</v>
      </c>
      <c r="M498" s="21" t="str">
        <f>'Raw Data'!M498</f>
        <v>Divorced</v>
      </c>
      <c r="N498" s="21">
        <f>'Raw Data'!N498</f>
        <v>7</v>
      </c>
      <c r="O498" s="21">
        <f>'Raw Data'!O498</f>
        <v>0</v>
      </c>
      <c r="P498" s="21">
        <f>IF('Raw Data'!P498="",ROUND(AVERAGE('Raw Data'!$P$2:$P$1501),1),'Raw Data'!P498)</f>
        <v>17.100000000000001</v>
      </c>
      <c r="Q498" s="21">
        <f>IF('Raw Data'!Q498="",ROUND(AVERAGE('Raw Data'!$Q$2:$Q$1501),0),'Raw Data'!Q498)</f>
        <v>2</v>
      </c>
      <c r="R498" s="21">
        <f>'Raw Data'!R498</f>
        <v>7</v>
      </c>
      <c r="S498" s="21">
        <f>IF('Raw Data'!S498="",ROUND(AVERAGE('Raw Data'!$S$2:$S$1501),0),'Raw Data'!S498)</f>
        <v>14</v>
      </c>
      <c r="T498" s="21">
        <f>'Raw Data'!T498</f>
        <v>199.72</v>
      </c>
      <c r="U498" s="21" t="str">
        <f>INDEX('Lookup Tables'!$C$7:$C$9,MATCH(E498,'Lookup Tables'!$B$7:$B$9,0))</f>
        <v>Tier 1 (Metro)</v>
      </c>
      <c r="V498" s="21" t="str">
        <f t="shared" si="21"/>
        <v>13-24 months</v>
      </c>
      <c r="W498" s="21" t="str">
        <f t="shared" si="22"/>
        <v>Low Risk</v>
      </c>
      <c r="X498" s="21" t="str">
        <f t="shared" si="23"/>
        <v>No</v>
      </c>
    </row>
    <row r="499" spans="1:24" x14ac:dyDescent="0.3">
      <c r="A499" s="21">
        <f>'Raw Data'!A499</f>
        <v>50498</v>
      </c>
      <c r="B499" s="21">
        <f>'Raw Data'!B499</f>
        <v>1</v>
      </c>
      <c r="C499" s="21">
        <f>'Raw Data'!C499</f>
        <v>2</v>
      </c>
      <c r="D499" s="21" t="str">
        <f>'Raw Data'!D499</f>
        <v>Computer</v>
      </c>
      <c r="E499" s="21">
        <f>'Raw Data'!E499</f>
        <v>2</v>
      </c>
      <c r="F499" s="21">
        <f>IF('Raw Data'!F499="",ROUND(AVERAGE('Raw Data'!$F$2:$F$1501),1),'Raw Data'!F499)</f>
        <v>10</v>
      </c>
      <c r="G499" s="21" t="str">
        <f>'Raw Data'!G499</f>
        <v>UPI</v>
      </c>
      <c r="H499" s="21" t="str">
        <f>'Raw Data'!H499</f>
        <v>Male</v>
      </c>
      <c r="I499" s="21">
        <f>IF('Raw Data'!I499="",ROUND(AVERAGE('Raw Data'!$I$2:$I$1501),1),'Raw Data'!I499)</f>
        <v>1.9</v>
      </c>
      <c r="J499" s="21">
        <f>'Raw Data'!J499</f>
        <v>3</v>
      </c>
      <c r="K499" s="21" t="str">
        <f>'Raw Data'!K499</f>
        <v>Laptop &amp; Accessory</v>
      </c>
      <c r="L499" s="21">
        <f>'Raw Data'!L499</f>
        <v>4</v>
      </c>
      <c r="M499" s="21" t="str">
        <f>'Raw Data'!M499</f>
        <v>Single</v>
      </c>
      <c r="N499" s="21">
        <f>'Raw Data'!N499</f>
        <v>2</v>
      </c>
      <c r="O499" s="21">
        <f>'Raw Data'!O499</f>
        <v>0</v>
      </c>
      <c r="P499" s="21">
        <f>IF('Raw Data'!P499="",ROUND(AVERAGE('Raw Data'!$P$2:$P$1501),1),'Raw Data'!P499)</f>
        <v>14.9</v>
      </c>
      <c r="Q499" s="21">
        <f>IF('Raw Data'!Q499="",ROUND(AVERAGE('Raw Data'!$Q$2:$Q$1501),0),'Raw Data'!Q499)</f>
        <v>0</v>
      </c>
      <c r="R499" s="21">
        <f>'Raw Data'!R499</f>
        <v>6</v>
      </c>
      <c r="S499" s="21">
        <f>IF('Raw Data'!S499="",ROUND(AVERAGE('Raw Data'!$S$2:$S$1501),0),'Raw Data'!S499)</f>
        <v>2</v>
      </c>
      <c r="T499" s="21">
        <f>'Raw Data'!T499</f>
        <v>163.08000000000001</v>
      </c>
      <c r="U499" s="21" t="str">
        <f>INDEX('Lookup Tables'!$C$7:$C$9,MATCH(E499,'Lookup Tables'!$B$7:$B$9,0))</f>
        <v>Tier 2 (Urban)</v>
      </c>
      <c r="V499" s="21" t="str">
        <f t="shared" si="21"/>
        <v>0-6 months</v>
      </c>
      <c r="W499" s="21" t="str">
        <f t="shared" si="22"/>
        <v>Low Risk</v>
      </c>
      <c r="X499" s="21" t="str">
        <f t="shared" si="23"/>
        <v>Yes</v>
      </c>
    </row>
    <row r="500" spans="1:24" x14ac:dyDescent="0.3">
      <c r="A500" s="21">
        <f>'Raw Data'!A500</f>
        <v>50499</v>
      </c>
      <c r="B500" s="21">
        <f>'Raw Data'!B500</f>
        <v>0</v>
      </c>
      <c r="C500" s="21">
        <f>'Raw Data'!C500</f>
        <v>1</v>
      </c>
      <c r="D500" s="21" t="str">
        <f>'Raw Data'!D500</f>
        <v>Computer</v>
      </c>
      <c r="E500" s="21">
        <f>'Raw Data'!E500</f>
        <v>1</v>
      </c>
      <c r="F500" s="21">
        <f>IF('Raw Data'!F500="",ROUND(AVERAGE('Raw Data'!$F$2:$F$1501),1),'Raw Data'!F500)</f>
        <v>19</v>
      </c>
      <c r="G500" s="21" t="str">
        <f>'Raw Data'!G500</f>
        <v>Debit Card</v>
      </c>
      <c r="H500" s="21" t="str">
        <f>'Raw Data'!H500</f>
        <v>Female</v>
      </c>
      <c r="I500" s="21">
        <f>IF('Raw Data'!I500="",ROUND(AVERAGE('Raw Data'!$I$2:$I$1501),1),'Raw Data'!I500)</f>
        <v>2.4</v>
      </c>
      <c r="J500" s="21">
        <f>'Raw Data'!J500</f>
        <v>3</v>
      </c>
      <c r="K500" s="21" t="str">
        <f>'Raw Data'!K500</f>
        <v>Fashion</v>
      </c>
      <c r="L500" s="21">
        <f>'Raw Data'!L500</f>
        <v>5</v>
      </c>
      <c r="M500" s="21" t="str">
        <f>'Raw Data'!M500</f>
        <v>Single</v>
      </c>
      <c r="N500" s="21">
        <f>'Raw Data'!N500</f>
        <v>6</v>
      </c>
      <c r="O500" s="21">
        <f>'Raw Data'!O500</f>
        <v>1</v>
      </c>
      <c r="P500" s="21">
        <f>IF('Raw Data'!P500="",ROUND(AVERAGE('Raw Data'!$P$2:$P$1501),1),'Raw Data'!P500)</f>
        <v>15.8</v>
      </c>
      <c r="Q500" s="21">
        <f>IF('Raw Data'!Q500="",ROUND(AVERAGE('Raw Data'!$Q$2:$Q$1501),0),'Raw Data'!Q500)</f>
        <v>2</v>
      </c>
      <c r="R500" s="21">
        <f>'Raw Data'!R500</f>
        <v>7</v>
      </c>
      <c r="S500" s="21">
        <f>IF('Raw Data'!S500="",ROUND(AVERAGE('Raw Data'!$S$2:$S$1501),0),'Raw Data'!S500)</f>
        <v>4</v>
      </c>
      <c r="T500" s="21">
        <f>'Raw Data'!T500</f>
        <v>115.91</v>
      </c>
      <c r="U500" s="21" t="str">
        <f>INDEX('Lookup Tables'!$C$7:$C$9,MATCH(E500,'Lookup Tables'!$B$7:$B$9,0))</f>
        <v>Tier 1 (Metro)</v>
      </c>
      <c r="V500" s="21" t="str">
        <f t="shared" si="21"/>
        <v>0-6 months</v>
      </c>
      <c r="W500" s="21" t="str">
        <f t="shared" si="22"/>
        <v>Low Risk</v>
      </c>
      <c r="X500" s="21" t="str">
        <f t="shared" si="23"/>
        <v>No</v>
      </c>
    </row>
    <row r="501" spans="1:24" x14ac:dyDescent="0.3">
      <c r="A501" s="21">
        <f>'Raw Data'!A501</f>
        <v>50500</v>
      </c>
      <c r="B501" s="21">
        <f>'Raw Data'!B501</f>
        <v>0</v>
      </c>
      <c r="C501" s="21">
        <f>'Raw Data'!C501</f>
        <v>1</v>
      </c>
      <c r="D501" s="21" t="str">
        <f>'Raw Data'!D501</f>
        <v>Phone</v>
      </c>
      <c r="E501" s="21">
        <f>'Raw Data'!E501</f>
        <v>2</v>
      </c>
      <c r="F501" s="21">
        <f>IF('Raw Data'!F501="",ROUND(AVERAGE('Raw Data'!$F$2:$F$1501),1),'Raw Data'!F501)</f>
        <v>30</v>
      </c>
      <c r="G501" s="21" t="str">
        <f>'Raw Data'!G501</f>
        <v>Credit Card</v>
      </c>
      <c r="H501" s="21" t="str">
        <f>'Raw Data'!H501</f>
        <v>Female</v>
      </c>
      <c r="I501" s="21">
        <f>IF('Raw Data'!I501="",ROUND(AVERAGE('Raw Data'!$I$2:$I$1501),1),'Raw Data'!I501)</f>
        <v>2.9</v>
      </c>
      <c r="J501" s="21">
        <f>'Raw Data'!J501</f>
        <v>3</v>
      </c>
      <c r="K501" s="21" t="str">
        <f>'Raw Data'!K501</f>
        <v>Mobile Phone</v>
      </c>
      <c r="L501" s="21">
        <f>'Raw Data'!L501</f>
        <v>1</v>
      </c>
      <c r="M501" s="21" t="str">
        <f>'Raw Data'!M501</f>
        <v>Married</v>
      </c>
      <c r="N501" s="21">
        <f>'Raw Data'!N501</f>
        <v>1</v>
      </c>
      <c r="O501" s="21">
        <f>'Raw Data'!O501</f>
        <v>1</v>
      </c>
      <c r="P501" s="21">
        <f>IF('Raw Data'!P501="",ROUND(AVERAGE('Raw Data'!$P$2:$P$1501),1),'Raw Data'!P501)</f>
        <v>16.7</v>
      </c>
      <c r="Q501" s="21">
        <f>IF('Raw Data'!Q501="",ROUND(AVERAGE('Raw Data'!$Q$2:$Q$1501),0),'Raw Data'!Q501)</f>
        <v>4</v>
      </c>
      <c r="R501" s="21">
        <f>'Raw Data'!R501</f>
        <v>6</v>
      </c>
      <c r="S501" s="21">
        <f>IF('Raw Data'!S501="",ROUND(AVERAGE('Raw Data'!$S$2:$S$1501),0),'Raw Data'!S501)</f>
        <v>10</v>
      </c>
      <c r="T501" s="21">
        <f>'Raw Data'!T501</f>
        <v>125.21</v>
      </c>
      <c r="U501" s="21" t="str">
        <f>INDEX('Lookup Tables'!$C$7:$C$9,MATCH(E501,'Lookup Tables'!$B$7:$B$9,0))</f>
        <v>Tier 2 (Urban)</v>
      </c>
      <c r="V501" s="21" t="str">
        <f t="shared" si="21"/>
        <v>0-6 months</v>
      </c>
      <c r="W501" s="21" t="str">
        <f t="shared" si="22"/>
        <v>High Risk</v>
      </c>
      <c r="X501" s="21" t="str">
        <f t="shared" si="23"/>
        <v>No</v>
      </c>
    </row>
    <row r="502" spans="1:24" x14ac:dyDescent="0.3">
      <c r="A502" s="21">
        <f>'Raw Data'!A502</f>
        <v>50501</v>
      </c>
      <c r="B502" s="21">
        <f>'Raw Data'!B502</f>
        <v>0</v>
      </c>
      <c r="C502" s="21">
        <f>'Raw Data'!C502</f>
        <v>10</v>
      </c>
      <c r="D502" s="21" t="str">
        <f>'Raw Data'!D502</f>
        <v>Computer</v>
      </c>
      <c r="E502" s="21">
        <f>'Raw Data'!E502</f>
        <v>3</v>
      </c>
      <c r="F502" s="21">
        <f>IF('Raw Data'!F502="",ROUND(AVERAGE('Raw Data'!$F$2:$F$1501),1),'Raw Data'!F502)</f>
        <v>21</v>
      </c>
      <c r="G502" s="21" t="str">
        <f>'Raw Data'!G502</f>
        <v>Cash on Delivery</v>
      </c>
      <c r="H502" s="21" t="str">
        <f>'Raw Data'!H502</f>
        <v>Female</v>
      </c>
      <c r="I502" s="21">
        <f>IF('Raw Data'!I502="",ROUND(AVERAGE('Raw Data'!$I$2:$I$1501),1),'Raw Data'!I502)</f>
        <v>2.9</v>
      </c>
      <c r="J502" s="21">
        <f>'Raw Data'!J502</f>
        <v>2</v>
      </c>
      <c r="K502" s="21" t="str">
        <f>'Raw Data'!K502</f>
        <v>Fashion</v>
      </c>
      <c r="L502" s="21">
        <f>'Raw Data'!L502</f>
        <v>4</v>
      </c>
      <c r="M502" s="21" t="str">
        <f>'Raw Data'!M502</f>
        <v>Married</v>
      </c>
      <c r="N502" s="21">
        <f>'Raw Data'!N502</f>
        <v>1</v>
      </c>
      <c r="O502" s="21">
        <f>'Raw Data'!O502</f>
        <v>0</v>
      </c>
      <c r="P502" s="21">
        <f>IF('Raw Data'!P502="",ROUND(AVERAGE('Raw Data'!$P$2:$P$1501),1),'Raw Data'!P502)</f>
        <v>18.7</v>
      </c>
      <c r="Q502" s="21">
        <f>IF('Raw Data'!Q502="",ROUND(AVERAGE('Raw Data'!$Q$2:$Q$1501),0),'Raw Data'!Q502)</f>
        <v>4</v>
      </c>
      <c r="R502" s="21">
        <f>'Raw Data'!R502</f>
        <v>4</v>
      </c>
      <c r="S502" s="21">
        <f>IF('Raw Data'!S502="",ROUND(AVERAGE('Raw Data'!$S$2:$S$1501),0),'Raw Data'!S502)</f>
        <v>1</v>
      </c>
      <c r="T502" s="21">
        <f>'Raw Data'!T502</f>
        <v>242.03</v>
      </c>
      <c r="U502" s="21" t="str">
        <f>INDEX('Lookup Tables'!$C$7:$C$9,MATCH(E502,'Lookup Tables'!$B$7:$B$9,0))</f>
        <v>Tier 3 (Semi-urban/Rural)</v>
      </c>
      <c r="V502" s="21" t="str">
        <f t="shared" si="21"/>
        <v>7-12 months</v>
      </c>
      <c r="W502" s="21" t="str">
        <f t="shared" si="22"/>
        <v>Low Risk</v>
      </c>
      <c r="X502" s="21" t="str">
        <f t="shared" si="23"/>
        <v>No</v>
      </c>
    </row>
    <row r="503" spans="1:24" x14ac:dyDescent="0.3">
      <c r="A503" s="21">
        <f>'Raw Data'!A503</f>
        <v>50502</v>
      </c>
      <c r="B503" s="21">
        <f>'Raw Data'!B503</f>
        <v>0</v>
      </c>
      <c r="C503" s="21">
        <f>'Raw Data'!C503</f>
        <v>12</v>
      </c>
      <c r="D503" s="21" t="str">
        <f>'Raw Data'!D503</f>
        <v>Mobile Phone</v>
      </c>
      <c r="E503" s="21">
        <f>'Raw Data'!E503</f>
        <v>1</v>
      </c>
      <c r="F503" s="21">
        <f>IF('Raw Data'!F503="",ROUND(AVERAGE('Raw Data'!$F$2:$F$1501),1),'Raw Data'!F503)</f>
        <v>14</v>
      </c>
      <c r="G503" s="21" t="str">
        <f>'Raw Data'!G503</f>
        <v>E wallet</v>
      </c>
      <c r="H503" s="21" t="str">
        <f>'Raw Data'!H503</f>
        <v>Male</v>
      </c>
      <c r="I503" s="21">
        <f>IF('Raw Data'!I503="",ROUND(AVERAGE('Raw Data'!$I$2:$I$1501),1),'Raw Data'!I503)</f>
        <v>4.2</v>
      </c>
      <c r="J503" s="21">
        <f>'Raw Data'!J503</f>
        <v>3</v>
      </c>
      <c r="K503" s="21" t="str">
        <f>'Raw Data'!K503</f>
        <v>Mobile Phone</v>
      </c>
      <c r="L503" s="21">
        <f>'Raw Data'!L503</f>
        <v>4</v>
      </c>
      <c r="M503" s="21" t="str">
        <f>'Raw Data'!M503</f>
        <v>Married</v>
      </c>
      <c r="N503" s="21">
        <f>'Raw Data'!N503</f>
        <v>1</v>
      </c>
      <c r="O503" s="21">
        <f>'Raw Data'!O503</f>
        <v>0</v>
      </c>
      <c r="P503" s="21">
        <f>IF('Raw Data'!P503="",ROUND(AVERAGE('Raw Data'!$P$2:$P$1501),1),'Raw Data'!P503)</f>
        <v>11</v>
      </c>
      <c r="Q503" s="21">
        <f>IF('Raw Data'!Q503="",ROUND(AVERAGE('Raw Data'!$Q$2:$Q$1501),0),'Raw Data'!Q503)</f>
        <v>2</v>
      </c>
      <c r="R503" s="21">
        <f>'Raw Data'!R503</f>
        <v>4</v>
      </c>
      <c r="S503" s="21">
        <f>IF('Raw Data'!S503="",ROUND(AVERAGE('Raw Data'!$S$2:$S$1501),0),'Raw Data'!S503)</f>
        <v>5</v>
      </c>
      <c r="T503" s="21">
        <f>'Raw Data'!T503</f>
        <v>140.09</v>
      </c>
      <c r="U503" s="21" t="str">
        <f>INDEX('Lookup Tables'!$C$7:$C$9,MATCH(E503,'Lookup Tables'!$B$7:$B$9,0))</f>
        <v>Tier 1 (Metro)</v>
      </c>
      <c r="V503" s="21" t="str">
        <f t="shared" si="21"/>
        <v>7-12 months</v>
      </c>
      <c r="W503" s="21" t="str">
        <f t="shared" si="22"/>
        <v>Low Risk</v>
      </c>
      <c r="X503" s="21" t="str">
        <f t="shared" si="23"/>
        <v>No</v>
      </c>
    </row>
    <row r="504" spans="1:24" x14ac:dyDescent="0.3">
      <c r="A504" s="21">
        <f>'Raw Data'!A504</f>
        <v>50503</v>
      </c>
      <c r="B504" s="21">
        <f>'Raw Data'!B504</f>
        <v>0</v>
      </c>
      <c r="C504" s="21">
        <f>'Raw Data'!C504</f>
        <v>0</v>
      </c>
      <c r="D504" s="21" t="str">
        <f>'Raw Data'!D504</f>
        <v>Mobile Phone</v>
      </c>
      <c r="E504" s="21">
        <f>'Raw Data'!E504</f>
        <v>3</v>
      </c>
      <c r="F504" s="21">
        <f>IF('Raw Data'!F504="",ROUND(AVERAGE('Raw Data'!$F$2:$F$1501),1),'Raw Data'!F504)</f>
        <v>13</v>
      </c>
      <c r="G504" s="21" t="str">
        <f>'Raw Data'!G504</f>
        <v>Credit Card</v>
      </c>
      <c r="H504" s="21" t="str">
        <f>'Raw Data'!H504</f>
        <v>Female</v>
      </c>
      <c r="I504" s="21">
        <f>IF('Raw Data'!I504="",ROUND(AVERAGE('Raw Data'!$I$2:$I$1501),1),'Raw Data'!I504)</f>
        <v>3</v>
      </c>
      <c r="J504" s="21">
        <f>'Raw Data'!J504</f>
        <v>4</v>
      </c>
      <c r="K504" s="21" t="str">
        <f>'Raw Data'!K504</f>
        <v>Mobile Phone</v>
      </c>
      <c r="L504" s="21">
        <f>'Raw Data'!L504</f>
        <v>4</v>
      </c>
      <c r="M504" s="21" t="str">
        <f>'Raw Data'!M504</f>
        <v>Married</v>
      </c>
      <c r="N504" s="21">
        <f>'Raw Data'!N504</f>
        <v>1</v>
      </c>
      <c r="O504" s="21">
        <f>'Raw Data'!O504</f>
        <v>0</v>
      </c>
      <c r="P504" s="21">
        <f>IF('Raw Data'!P504="",ROUND(AVERAGE('Raw Data'!$P$2:$P$1501),1),'Raw Data'!P504)</f>
        <v>15.1</v>
      </c>
      <c r="Q504" s="21">
        <f>IF('Raw Data'!Q504="",ROUND(AVERAGE('Raw Data'!$Q$2:$Q$1501),0),'Raw Data'!Q504)</f>
        <v>0</v>
      </c>
      <c r="R504" s="21">
        <f>'Raw Data'!R504</f>
        <v>3</v>
      </c>
      <c r="S504" s="21">
        <f>IF('Raw Data'!S504="",ROUND(AVERAGE('Raw Data'!$S$2:$S$1501),0),'Raw Data'!S504)</f>
        <v>7</v>
      </c>
      <c r="T504" s="21">
        <f>'Raw Data'!T504</f>
        <v>157.43</v>
      </c>
      <c r="U504" s="21" t="str">
        <f>INDEX('Lookup Tables'!$C$7:$C$9,MATCH(E504,'Lookup Tables'!$B$7:$B$9,0))</f>
        <v>Tier 3 (Semi-urban/Rural)</v>
      </c>
      <c r="V504" s="21" t="str">
        <f t="shared" si="21"/>
        <v>0-6 months</v>
      </c>
      <c r="W504" s="21" t="str">
        <f t="shared" si="22"/>
        <v>Low Risk</v>
      </c>
      <c r="X504" s="21" t="str">
        <f t="shared" si="23"/>
        <v>No</v>
      </c>
    </row>
    <row r="505" spans="1:24" x14ac:dyDescent="0.3">
      <c r="A505" s="21">
        <f>'Raw Data'!A505</f>
        <v>50504</v>
      </c>
      <c r="B505" s="21">
        <f>'Raw Data'!B505</f>
        <v>0</v>
      </c>
      <c r="C505" s="21">
        <f>'Raw Data'!C505</f>
        <v>27</v>
      </c>
      <c r="D505" s="21" t="str">
        <f>'Raw Data'!D505</f>
        <v>Phone</v>
      </c>
      <c r="E505" s="21">
        <f>'Raw Data'!E505</f>
        <v>3</v>
      </c>
      <c r="F505" s="21">
        <f>IF('Raw Data'!F505="",ROUND(AVERAGE('Raw Data'!$F$2:$F$1501),1),'Raw Data'!F505)</f>
        <v>12</v>
      </c>
      <c r="G505" s="21" t="str">
        <f>'Raw Data'!G505</f>
        <v>E wallet</v>
      </c>
      <c r="H505" s="21" t="str">
        <f>'Raw Data'!H505</f>
        <v>Female</v>
      </c>
      <c r="I505" s="21">
        <f>IF('Raw Data'!I505="",ROUND(AVERAGE('Raw Data'!$I$2:$I$1501),1),'Raw Data'!I505)</f>
        <v>3.7</v>
      </c>
      <c r="J505" s="21">
        <f>'Raw Data'!J505</f>
        <v>3</v>
      </c>
      <c r="K505" s="21" t="str">
        <f>'Raw Data'!K505</f>
        <v>Mobile Phone</v>
      </c>
      <c r="L505" s="21">
        <f>'Raw Data'!L505</f>
        <v>5</v>
      </c>
      <c r="M505" s="21" t="str">
        <f>'Raw Data'!M505</f>
        <v>Divorced</v>
      </c>
      <c r="N505" s="21">
        <f>'Raw Data'!N505</f>
        <v>5</v>
      </c>
      <c r="O505" s="21">
        <f>'Raw Data'!O505</f>
        <v>0</v>
      </c>
      <c r="P505" s="21">
        <f>IF('Raw Data'!P505="",ROUND(AVERAGE('Raw Data'!$P$2:$P$1501),1),'Raw Data'!P505)</f>
        <v>21.3</v>
      </c>
      <c r="Q505" s="21">
        <f>IF('Raw Data'!Q505="",ROUND(AVERAGE('Raw Data'!$Q$2:$Q$1501),0),'Raw Data'!Q505)</f>
        <v>2</v>
      </c>
      <c r="R505" s="21">
        <f>'Raw Data'!R505</f>
        <v>4</v>
      </c>
      <c r="S505" s="21">
        <f>IF('Raw Data'!S505="",ROUND(AVERAGE('Raw Data'!$S$2:$S$1501),0),'Raw Data'!S505)</f>
        <v>2</v>
      </c>
      <c r="T505" s="21">
        <f>'Raw Data'!T505</f>
        <v>117.61</v>
      </c>
      <c r="U505" s="21" t="str">
        <f>INDEX('Lookup Tables'!$C$7:$C$9,MATCH(E505,'Lookup Tables'!$B$7:$B$9,0))</f>
        <v>Tier 3 (Semi-urban/Rural)</v>
      </c>
      <c r="V505" s="21" t="str">
        <f t="shared" si="21"/>
        <v>25+ months</v>
      </c>
      <c r="W505" s="21" t="str">
        <f t="shared" si="22"/>
        <v>Low Risk</v>
      </c>
      <c r="X505" s="21" t="str">
        <f t="shared" si="23"/>
        <v>No</v>
      </c>
    </row>
    <row r="506" spans="1:24" x14ac:dyDescent="0.3">
      <c r="A506" s="21">
        <f>'Raw Data'!A506</f>
        <v>50505</v>
      </c>
      <c r="B506" s="21">
        <f>'Raw Data'!B506</f>
        <v>0</v>
      </c>
      <c r="C506" s="21">
        <f>'Raw Data'!C506</f>
        <v>0</v>
      </c>
      <c r="D506" s="21" t="str">
        <f>'Raw Data'!D506</f>
        <v>Mobile Phone</v>
      </c>
      <c r="E506" s="21">
        <f>'Raw Data'!E506</f>
        <v>3</v>
      </c>
      <c r="F506" s="21">
        <f>IF('Raw Data'!F506="",ROUND(AVERAGE('Raw Data'!$F$2:$F$1501),1),'Raw Data'!F506)</f>
        <v>24</v>
      </c>
      <c r="G506" s="21" t="str">
        <f>'Raw Data'!G506</f>
        <v>Debit Card</v>
      </c>
      <c r="H506" s="21" t="str">
        <f>'Raw Data'!H506</f>
        <v>Female</v>
      </c>
      <c r="I506" s="21">
        <f>IF('Raw Data'!I506="",ROUND(AVERAGE('Raw Data'!$I$2:$I$1501),1),'Raw Data'!I506)</f>
        <v>2.6</v>
      </c>
      <c r="J506" s="21">
        <f>'Raw Data'!J506</f>
        <v>4</v>
      </c>
      <c r="K506" s="21" t="str">
        <f>'Raw Data'!K506</f>
        <v>Fashion</v>
      </c>
      <c r="L506" s="21">
        <f>'Raw Data'!L506</f>
        <v>1</v>
      </c>
      <c r="M506" s="21" t="str">
        <f>'Raw Data'!M506</f>
        <v>Single</v>
      </c>
      <c r="N506" s="21">
        <f>'Raw Data'!N506</f>
        <v>1</v>
      </c>
      <c r="O506" s="21">
        <f>'Raw Data'!O506</f>
        <v>0</v>
      </c>
      <c r="P506" s="21">
        <f>IF('Raw Data'!P506="",ROUND(AVERAGE('Raw Data'!$P$2:$P$1501),1),'Raw Data'!P506)</f>
        <v>21</v>
      </c>
      <c r="Q506" s="21">
        <f>IF('Raw Data'!Q506="",ROUND(AVERAGE('Raw Data'!$Q$2:$Q$1501),0),'Raw Data'!Q506)</f>
        <v>0</v>
      </c>
      <c r="R506" s="21">
        <f>'Raw Data'!R506</f>
        <v>7</v>
      </c>
      <c r="S506" s="21">
        <f>IF('Raw Data'!S506="",ROUND(AVERAGE('Raw Data'!$S$2:$S$1501),0),'Raw Data'!S506)</f>
        <v>0</v>
      </c>
      <c r="T506" s="21">
        <f>'Raw Data'!T506</f>
        <v>113.12</v>
      </c>
      <c r="U506" s="21" t="str">
        <f>INDEX('Lookup Tables'!$C$7:$C$9,MATCH(E506,'Lookup Tables'!$B$7:$B$9,0))</f>
        <v>Tier 3 (Semi-urban/Rural)</v>
      </c>
      <c r="V506" s="21" t="str">
        <f t="shared" si="21"/>
        <v>0-6 months</v>
      </c>
      <c r="W506" s="21" t="str">
        <f t="shared" si="22"/>
        <v>Low Risk</v>
      </c>
      <c r="X506" s="21" t="str">
        <f t="shared" si="23"/>
        <v>No</v>
      </c>
    </row>
    <row r="507" spans="1:24" x14ac:dyDescent="0.3">
      <c r="A507" s="21">
        <f>'Raw Data'!A507</f>
        <v>50506</v>
      </c>
      <c r="B507" s="21">
        <f>'Raw Data'!B507</f>
        <v>0</v>
      </c>
      <c r="C507" s="21">
        <f>'Raw Data'!C507</f>
        <v>7</v>
      </c>
      <c r="D507" s="21" t="str">
        <f>'Raw Data'!D507</f>
        <v>Mobile Phone</v>
      </c>
      <c r="E507" s="21">
        <f>'Raw Data'!E507</f>
        <v>3</v>
      </c>
      <c r="F507" s="21">
        <f>IF('Raw Data'!F507="",ROUND(AVERAGE('Raw Data'!$F$2:$F$1501),1),'Raw Data'!F507)</f>
        <v>9</v>
      </c>
      <c r="G507" s="21" t="str">
        <f>'Raw Data'!G507</f>
        <v>Debit Card</v>
      </c>
      <c r="H507" s="21" t="str">
        <f>'Raw Data'!H507</f>
        <v>Male</v>
      </c>
      <c r="I507" s="21">
        <f>IF('Raw Data'!I507="",ROUND(AVERAGE('Raw Data'!$I$2:$I$1501),1),'Raw Data'!I507)</f>
        <v>2.7</v>
      </c>
      <c r="J507" s="21">
        <f>'Raw Data'!J507</f>
        <v>4</v>
      </c>
      <c r="K507" s="21" t="str">
        <f>'Raw Data'!K507</f>
        <v>Others</v>
      </c>
      <c r="L507" s="21">
        <f>'Raw Data'!L507</f>
        <v>1</v>
      </c>
      <c r="M507" s="21" t="str">
        <f>'Raw Data'!M507</f>
        <v>Single</v>
      </c>
      <c r="N507" s="21">
        <f>'Raw Data'!N507</f>
        <v>1</v>
      </c>
      <c r="O507" s="21">
        <f>'Raw Data'!O507</f>
        <v>0</v>
      </c>
      <c r="P507" s="21">
        <f>IF('Raw Data'!P507="",ROUND(AVERAGE('Raw Data'!$P$2:$P$1501),1),'Raw Data'!P507)</f>
        <v>19</v>
      </c>
      <c r="Q507" s="21">
        <f>IF('Raw Data'!Q507="",ROUND(AVERAGE('Raw Data'!$Q$2:$Q$1501),0),'Raw Data'!Q507)</f>
        <v>3</v>
      </c>
      <c r="R507" s="21">
        <f>'Raw Data'!R507</f>
        <v>6</v>
      </c>
      <c r="S507" s="21">
        <f>IF('Raw Data'!S507="",ROUND(AVERAGE('Raw Data'!$S$2:$S$1501),0),'Raw Data'!S507)</f>
        <v>3</v>
      </c>
      <c r="T507" s="21">
        <f>'Raw Data'!T507</f>
        <v>137.69999999999999</v>
      </c>
      <c r="U507" s="21" t="str">
        <f>INDEX('Lookup Tables'!$C$7:$C$9,MATCH(E507,'Lookup Tables'!$B$7:$B$9,0))</f>
        <v>Tier 3 (Semi-urban/Rural)</v>
      </c>
      <c r="V507" s="21" t="str">
        <f t="shared" si="21"/>
        <v>7-12 months</v>
      </c>
      <c r="W507" s="21" t="str">
        <f t="shared" si="22"/>
        <v>Low Risk</v>
      </c>
      <c r="X507" s="21" t="str">
        <f t="shared" si="23"/>
        <v>No</v>
      </c>
    </row>
    <row r="508" spans="1:24" x14ac:dyDescent="0.3">
      <c r="A508" s="21">
        <f>'Raw Data'!A508</f>
        <v>50507</v>
      </c>
      <c r="B508" s="21">
        <f>'Raw Data'!B508</f>
        <v>0</v>
      </c>
      <c r="C508" s="21">
        <f>'Raw Data'!C508</f>
        <v>12</v>
      </c>
      <c r="D508" s="21" t="str">
        <f>'Raw Data'!D508</f>
        <v>Computer</v>
      </c>
      <c r="E508" s="21">
        <f>'Raw Data'!E508</f>
        <v>2</v>
      </c>
      <c r="F508" s="21">
        <f>IF('Raw Data'!F508="",ROUND(AVERAGE('Raw Data'!$F$2:$F$1501),1),'Raw Data'!F508)</f>
        <v>15</v>
      </c>
      <c r="G508" s="21" t="str">
        <f>'Raw Data'!G508</f>
        <v>Cash on Delivery</v>
      </c>
      <c r="H508" s="21" t="str">
        <f>'Raw Data'!H508</f>
        <v>Female</v>
      </c>
      <c r="I508" s="21">
        <f>IF('Raw Data'!I508="",ROUND(AVERAGE('Raw Data'!$I$2:$I$1501),1),'Raw Data'!I508)</f>
        <v>2.9</v>
      </c>
      <c r="J508" s="21">
        <f>'Raw Data'!J508</f>
        <v>1</v>
      </c>
      <c r="K508" s="21" t="str">
        <f>'Raw Data'!K508</f>
        <v>Laptop &amp; Accessory</v>
      </c>
      <c r="L508" s="21">
        <f>'Raw Data'!L508</f>
        <v>3</v>
      </c>
      <c r="M508" s="21" t="str">
        <f>'Raw Data'!M508</f>
        <v>Divorced</v>
      </c>
      <c r="N508" s="21">
        <f>'Raw Data'!N508</f>
        <v>1</v>
      </c>
      <c r="O508" s="21">
        <f>'Raw Data'!O508</f>
        <v>0</v>
      </c>
      <c r="P508" s="21">
        <f>IF('Raw Data'!P508="",ROUND(AVERAGE('Raw Data'!$P$2:$P$1501),1),'Raw Data'!P508)</f>
        <v>17.899999999999999</v>
      </c>
      <c r="Q508" s="21">
        <f>IF('Raw Data'!Q508="",ROUND(AVERAGE('Raw Data'!$Q$2:$Q$1501),0),'Raw Data'!Q508)</f>
        <v>2</v>
      </c>
      <c r="R508" s="21">
        <f>'Raw Data'!R508</f>
        <v>3</v>
      </c>
      <c r="S508" s="21">
        <f>IF('Raw Data'!S508="",ROUND(AVERAGE('Raw Data'!$S$2:$S$1501),0),'Raw Data'!S508)</f>
        <v>2</v>
      </c>
      <c r="T508" s="21">
        <f>'Raw Data'!T508</f>
        <v>272.86</v>
      </c>
      <c r="U508" s="21" t="str">
        <f>INDEX('Lookup Tables'!$C$7:$C$9,MATCH(E508,'Lookup Tables'!$B$7:$B$9,0))</f>
        <v>Tier 2 (Urban)</v>
      </c>
      <c r="V508" s="21" t="str">
        <f t="shared" si="21"/>
        <v>7-12 months</v>
      </c>
      <c r="W508" s="21" t="str">
        <f t="shared" si="22"/>
        <v>Medium Risk</v>
      </c>
      <c r="X508" s="21" t="str">
        <f t="shared" si="23"/>
        <v>No</v>
      </c>
    </row>
    <row r="509" spans="1:24" x14ac:dyDescent="0.3">
      <c r="A509" s="21">
        <f>'Raw Data'!A509</f>
        <v>50508</v>
      </c>
      <c r="B509" s="21">
        <f>'Raw Data'!B509</f>
        <v>0</v>
      </c>
      <c r="C509" s="21">
        <f>'Raw Data'!C509</f>
        <v>20</v>
      </c>
      <c r="D509" s="21" t="str">
        <f>'Raw Data'!D509</f>
        <v>Mobile Phone</v>
      </c>
      <c r="E509" s="21">
        <f>'Raw Data'!E509</f>
        <v>3</v>
      </c>
      <c r="F509" s="21">
        <f>IF('Raw Data'!F509="",ROUND(AVERAGE('Raw Data'!$F$2:$F$1501),1),'Raw Data'!F509)</f>
        <v>15</v>
      </c>
      <c r="G509" s="21" t="str">
        <f>'Raw Data'!G509</f>
        <v>UPI</v>
      </c>
      <c r="H509" s="21" t="str">
        <f>'Raw Data'!H509</f>
        <v>Male</v>
      </c>
      <c r="I509" s="21">
        <f>IF('Raw Data'!I509="",ROUND(AVERAGE('Raw Data'!$I$2:$I$1501),1),'Raw Data'!I509)</f>
        <v>2.4</v>
      </c>
      <c r="J509" s="21">
        <f>'Raw Data'!J509</f>
        <v>4</v>
      </c>
      <c r="K509" s="21" t="str">
        <f>'Raw Data'!K509</f>
        <v>Mobile Phone</v>
      </c>
      <c r="L509" s="21">
        <f>'Raw Data'!L509</f>
        <v>1</v>
      </c>
      <c r="M509" s="21" t="str">
        <f>'Raw Data'!M509</f>
        <v>Single</v>
      </c>
      <c r="N509" s="21">
        <f>'Raw Data'!N509</f>
        <v>1</v>
      </c>
      <c r="O509" s="21">
        <f>'Raw Data'!O509</f>
        <v>0</v>
      </c>
      <c r="P509" s="21">
        <f>IF('Raw Data'!P509="",ROUND(AVERAGE('Raw Data'!$P$2:$P$1501),1),'Raw Data'!P509)</f>
        <v>21.8</v>
      </c>
      <c r="Q509" s="21">
        <f>IF('Raw Data'!Q509="",ROUND(AVERAGE('Raw Data'!$Q$2:$Q$1501),0),'Raw Data'!Q509)</f>
        <v>1</v>
      </c>
      <c r="R509" s="21">
        <f>'Raw Data'!R509</f>
        <v>2</v>
      </c>
      <c r="S509" s="21">
        <f>IF('Raw Data'!S509="",ROUND(AVERAGE('Raw Data'!$S$2:$S$1501),0),'Raw Data'!S509)</f>
        <v>1</v>
      </c>
      <c r="T509" s="21">
        <f>'Raw Data'!T509</f>
        <v>216.19</v>
      </c>
      <c r="U509" s="21" t="str">
        <f>INDEX('Lookup Tables'!$C$7:$C$9,MATCH(E509,'Lookup Tables'!$B$7:$B$9,0))</f>
        <v>Tier 3 (Semi-urban/Rural)</v>
      </c>
      <c r="V509" s="21" t="str">
        <f t="shared" si="21"/>
        <v>13-24 months</v>
      </c>
      <c r="W509" s="21" t="str">
        <f t="shared" si="22"/>
        <v>Low Risk</v>
      </c>
      <c r="X509" s="21" t="str">
        <f t="shared" si="23"/>
        <v>No</v>
      </c>
    </row>
    <row r="510" spans="1:24" x14ac:dyDescent="0.3">
      <c r="A510" s="21">
        <f>'Raw Data'!A510</f>
        <v>50509</v>
      </c>
      <c r="B510" s="21">
        <f>'Raw Data'!B510</f>
        <v>0</v>
      </c>
      <c r="C510" s="21">
        <f>'Raw Data'!C510</f>
        <v>12</v>
      </c>
      <c r="D510" s="21" t="str">
        <f>'Raw Data'!D510</f>
        <v>Phone</v>
      </c>
      <c r="E510" s="21">
        <f>'Raw Data'!E510</f>
        <v>3</v>
      </c>
      <c r="F510" s="21">
        <f>IF('Raw Data'!F510="",ROUND(AVERAGE('Raw Data'!$F$2:$F$1501),1),'Raw Data'!F510)</f>
        <v>10</v>
      </c>
      <c r="G510" s="21" t="str">
        <f>'Raw Data'!G510</f>
        <v>E wallet</v>
      </c>
      <c r="H510" s="21" t="str">
        <f>'Raw Data'!H510</f>
        <v>Male</v>
      </c>
      <c r="I510" s="21">
        <f>IF('Raw Data'!I510="",ROUND(AVERAGE('Raw Data'!$I$2:$I$1501),1),'Raw Data'!I510)</f>
        <v>3.3</v>
      </c>
      <c r="J510" s="21">
        <f>'Raw Data'!J510</f>
        <v>3</v>
      </c>
      <c r="K510" s="21" t="str">
        <f>'Raw Data'!K510</f>
        <v>Laptop &amp; Accessory</v>
      </c>
      <c r="L510" s="21">
        <f>'Raw Data'!L510</f>
        <v>5</v>
      </c>
      <c r="M510" s="21" t="str">
        <f>'Raw Data'!M510</f>
        <v>Married</v>
      </c>
      <c r="N510" s="21">
        <f>'Raw Data'!N510</f>
        <v>4</v>
      </c>
      <c r="O510" s="21">
        <f>'Raw Data'!O510</f>
        <v>0</v>
      </c>
      <c r="P510" s="21">
        <f>IF('Raw Data'!P510="",ROUND(AVERAGE('Raw Data'!$P$2:$P$1501),1),'Raw Data'!P510)</f>
        <v>22.7</v>
      </c>
      <c r="Q510" s="21">
        <f>IF('Raw Data'!Q510="",ROUND(AVERAGE('Raw Data'!$Q$2:$Q$1501),0),'Raw Data'!Q510)</f>
        <v>2</v>
      </c>
      <c r="R510" s="21">
        <f>'Raw Data'!R510</f>
        <v>8</v>
      </c>
      <c r="S510" s="21">
        <f>IF('Raw Data'!S510="",ROUND(AVERAGE('Raw Data'!$S$2:$S$1501),0),'Raw Data'!S510)</f>
        <v>18</v>
      </c>
      <c r="T510" s="21">
        <f>'Raw Data'!T510</f>
        <v>151.03</v>
      </c>
      <c r="U510" s="21" t="str">
        <f>INDEX('Lookup Tables'!$C$7:$C$9,MATCH(E510,'Lookup Tables'!$B$7:$B$9,0))</f>
        <v>Tier 3 (Semi-urban/Rural)</v>
      </c>
      <c r="V510" s="21" t="str">
        <f t="shared" si="21"/>
        <v>7-12 months</v>
      </c>
      <c r="W510" s="21" t="str">
        <f t="shared" si="22"/>
        <v>Medium Risk</v>
      </c>
      <c r="X510" s="21" t="str">
        <f t="shared" si="23"/>
        <v>No</v>
      </c>
    </row>
    <row r="511" spans="1:24" x14ac:dyDescent="0.3">
      <c r="A511" s="21">
        <f>'Raw Data'!A511</f>
        <v>50510</v>
      </c>
      <c r="B511" s="21">
        <f>'Raw Data'!B511</f>
        <v>0</v>
      </c>
      <c r="C511" s="21">
        <f>'Raw Data'!C511</f>
        <v>16</v>
      </c>
      <c r="D511" s="21" t="str">
        <f>'Raw Data'!D511</f>
        <v>Computer</v>
      </c>
      <c r="E511" s="21">
        <f>'Raw Data'!E511</f>
        <v>1</v>
      </c>
      <c r="F511" s="21">
        <f>IF('Raw Data'!F511="",ROUND(AVERAGE('Raw Data'!$F$2:$F$1501),1),'Raw Data'!F511)</f>
        <v>5</v>
      </c>
      <c r="G511" s="21" t="str">
        <f>'Raw Data'!G511</f>
        <v>Credit Card</v>
      </c>
      <c r="H511" s="21" t="str">
        <f>'Raw Data'!H511</f>
        <v>Male</v>
      </c>
      <c r="I511" s="21">
        <f>IF('Raw Data'!I511="",ROUND(AVERAGE('Raw Data'!$I$2:$I$1501),1),'Raw Data'!I511)</f>
        <v>2.9</v>
      </c>
      <c r="J511" s="21">
        <f>'Raw Data'!J511</f>
        <v>2</v>
      </c>
      <c r="K511" s="21" t="str">
        <f>'Raw Data'!K511</f>
        <v>Mobile Phone</v>
      </c>
      <c r="L511" s="21">
        <f>'Raw Data'!L511</f>
        <v>2</v>
      </c>
      <c r="M511" s="21" t="str">
        <f>'Raw Data'!M511</f>
        <v>Married</v>
      </c>
      <c r="N511" s="21">
        <f>'Raw Data'!N511</f>
        <v>2</v>
      </c>
      <c r="O511" s="21">
        <f>'Raw Data'!O511</f>
        <v>0</v>
      </c>
      <c r="P511" s="21">
        <f>IF('Raw Data'!P511="",ROUND(AVERAGE('Raw Data'!$P$2:$P$1501),1),'Raw Data'!P511)</f>
        <v>15.5</v>
      </c>
      <c r="Q511" s="21">
        <f>IF('Raw Data'!Q511="",ROUND(AVERAGE('Raw Data'!$Q$2:$Q$1501),0),'Raw Data'!Q511)</f>
        <v>3</v>
      </c>
      <c r="R511" s="21">
        <f>'Raw Data'!R511</f>
        <v>5</v>
      </c>
      <c r="S511" s="21">
        <f>IF('Raw Data'!S511="",ROUND(AVERAGE('Raw Data'!$S$2:$S$1501),0),'Raw Data'!S511)</f>
        <v>3</v>
      </c>
      <c r="T511" s="21">
        <f>'Raw Data'!T511</f>
        <v>239.56</v>
      </c>
      <c r="U511" s="21" t="str">
        <f>INDEX('Lookup Tables'!$C$7:$C$9,MATCH(E511,'Lookup Tables'!$B$7:$B$9,0))</f>
        <v>Tier 1 (Metro)</v>
      </c>
      <c r="V511" s="21" t="str">
        <f t="shared" si="21"/>
        <v>13-24 months</v>
      </c>
      <c r="W511" s="21" t="str">
        <f t="shared" si="22"/>
        <v>Low Risk</v>
      </c>
      <c r="X511" s="21" t="str">
        <f t="shared" si="23"/>
        <v>No</v>
      </c>
    </row>
    <row r="512" spans="1:24" x14ac:dyDescent="0.3">
      <c r="A512" s="21">
        <f>'Raw Data'!A512</f>
        <v>50511</v>
      </c>
      <c r="B512" s="21">
        <f>'Raw Data'!B512</f>
        <v>0</v>
      </c>
      <c r="C512" s="21">
        <f>'Raw Data'!C512</f>
        <v>4</v>
      </c>
      <c r="D512" s="21" t="str">
        <f>'Raw Data'!D512</f>
        <v>Mobile Phone</v>
      </c>
      <c r="E512" s="21">
        <f>'Raw Data'!E512</f>
        <v>1</v>
      </c>
      <c r="F512" s="21">
        <f>IF('Raw Data'!F512="",ROUND(AVERAGE('Raw Data'!$F$2:$F$1501),1),'Raw Data'!F512)</f>
        <v>17</v>
      </c>
      <c r="G512" s="21" t="str">
        <f>'Raw Data'!G512</f>
        <v>Debit Card</v>
      </c>
      <c r="H512" s="21" t="str">
        <f>'Raw Data'!H512</f>
        <v>Female</v>
      </c>
      <c r="I512" s="21">
        <f>IF('Raw Data'!I512="",ROUND(AVERAGE('Raw Data'!$I$2:$I$1501),1),'Raw Data'!I512)</f>
        <v>3.6</v>
      </c>
      <c r="J512" s="21">
        <f>'Raw Data'!J512</f>
        <v>2</v>
      </c>
      <c r="K512" s="21" t="str">
        <f>'Raw Data'!K512</f>
        <v>Grocery</v>
      </c>
      <c r="L512" s="21">
        <f>'Raw Data'!L512</f>
        <v>3</v>
      </c>
      <c r="M512" s="21" t="str">
        <f>'Raw Data'!M512</f>
        <v>Married</v>
      </c>
      <c r="N512" s="21">
        <f>'Raw Data'!N512</f>
        <v>4</v>
      </c>
      <c r="O512" s="21">
        <f>'Raw Data'!O512</f>
        <v>0</v>
      </c>
      <c r="P512" s="21">
        <f>IF('Raw Data'!P512="",ROUND(AVERAGE('Raw Data'!$P$2:$P$1501),1),'Raw Data'!P512)</f>
        <v>16.3</v>
      </c>
      <c r="Q512" s="21">
        <f>IF('Raw Data'!Q512="",ROUND(AVERAGE('Raw Data'!$Q$2:$Q$1501),0),'Raw Data'!Q512)</f>
        <v>2</v>
      </c>
      <c r="R512" s="21">
        <f>'Raw Data'!R512</f>
        <v>3</v>
      </c>
      <c r="S512" s="21">
        <f>IF('Raw Data'!S512="",ROUND(AVERAGE('Raw Data'!$S$2:$S$1501),0),'Raw Data'!S512)</f>
        <v>9</v>
      </c>
      <c r="T512" s="21">
        <f>'Raw Data'!T512</f>
        <v>171.62</v>
      </c>
      <c r="U512" s="21" t="str">
        <f>INDEX('Lookup Tables'!$C$7:$C$9,MATCH(E512,'Lookup Tables'!$B$7:$B$9,0))</f>
        <v>Tier 1 (Metro)</v>
      </c>
      <c r="V512" s="21" t="str">
        <f t="shared" si="21"/>
        <v>0-6 months</v>
      </c>
      <c r="W512" s="21" t="str">
        <f t="shared" si="22"/>
        <v>Medium Risk</v>
      </c>
      <c r="X512" s="21" t="str">
        <f t="shared" si="23"/>
        <v>No</v>
      </c>
    </row>
    <row r="513" spans="1:24" x14ac:dyDescent="0.3">
      <c r="A513" s="21">
        <f>'Raw Data'!A513</f>
        <v>50512</v>
      </c>
      <c r="B513" s="21">
        <f>'Raw Data'!B513</f>
        <v>0</v>
      </c>
      <c r="C513" s="21">
        <f>'Raw Data'!C513</f>
        <v>16</v>
      </c>
      <c r="D513" s="21" t="str">
        <f>'Raw Data'!D513</f>
        <v>Phone</v>
      </c>
      <c r="E513" s="21">
        <f>'Raw Data'!E513</f>
        <v>3</v>
      </c>
      <c r="F513" s="21">
        <f>IF('Raw Data'!F513="",ROUND(AVERAGE('Raw Data'!$F$2:$F$1501),1),'Raw Data'!F513)</f>
        <v>14</v>
      </c>
      <c r="G513" s="21" t="str">
        <f>'Raw Data'!G513</f>
        <v>Debit Card</v>
      </c>
      <c r="H513" s="21" t="str">
        <f>'Raw Data'!H513</f>
        <v>Male</v>
      </c>
      <c r="I513" s="21">
        <f>IF('Raw Data'!I513="",ROUND(AVERAGE('Raw Data'!$I$2:$I$1501),1),'Raw Data'!I513)</f>
        <v>3</v>
      </c>
      <c r="J513" s="21">
        <f>'Raw Data'!J513</f>
        <v>4</v>
      </c>
      <c r="K513" s="21" t="str">
        <f>'Raw Data'!K513</f>
        <v>Mobile Phone</v>
      </c>
      <c r="L513" s="21">
        <f>'Raw Data'!L513</f>
        <v>1</v>
      </c>
      <c r="M513" s="21" t="str">
        <f>'Raw Data'!M513</f>
        <v>Married</v>
      </c>
      <c r="N513" s="21">
        <f>'Raw Data'!N513</f>
        <v>4</v>
      </c>
      <c r="O513" s="21">
        <f>'Raw Data'!O513</f>
        <v>0</v>
      </c>
      <c r="P513" s="21">
        <f>IF('Raw Data'!P513="",ROUND(AVERAGE('Raw Data'!$P$2:$P$1501),1),'Raw Data'!P513)</f>
        <v>15.1</v>
      </c>
      <c r="Q513" s="21">
        <f>IF('Raw Data'!Q513="",ROUND(AVERAGE('Raw Data'!$Q$2:$Q$1501),0),'Raw Data'!Q513)</f>
        <v>2</v>
      </c>
      <c r="R513" s="21">
        <f>'Raw Data'!R513</f>
        <v>4</v>
      </c>
      <c r="S513" s="21">
        <f>IF('Raw Data'!S513="",ROUND(AVERAGE('Raw Data'!$S$2:$S$1501),0),'Raw Data'!S513)</f>
        <v>1</v>
      </c>
      <c r="T513" s="21">
        <f>'Raw Data'!T513</f>
        <v>254.49</v>
      </c>
      <c r="U513" s="21" t="str">
        <f>INDEX('Lookup Tables'!$C$7:$C$9,MATCH(E513,'Lookup Tables'!$B$7:$B$9,0))</f>
        <v>Tier 3 (Semi-urban/Rural)</v>
      </c>
      <c r="V513" s="21" t="str">
        <f t="shared" si="21"/>
        <v>13-24 months</v>
      </c>
      <c r="W513" s="21" t="str">
        <f t="shared" si="22"/>
        <v>Low Risk</v>
      </c>
      <c r="X513" s="21" t="str">
        <f t="shared" si="23"/>
        <v>No</v>
      </c>
    </row>
    <row r="514" spans="1:24" x14ac:dyDescent="0.3">
      <c r="A514" s="21">
        <f>'Raw Data'!A514</f>
        <v>50513</v>
      </c>
      <c r="B514" s="21">
        <f>'Raw Data'!B514</f>
        <v>1</v>
      </c>
      <c r="C514" s="21">
        <f>'Raw Data'!C514</f>
        <v>0</v>
      </c>
      <c r="D514" s="21" t="str">
        <f>'Raw Data'!D514</f>
        <v>Mobile Phone</v>
      </c>
      <c r="E514" s="21">
        <f>'Raw Data'!E514</f>
        <v>1</v>
      </c>
      <c r="F514" s="21">
        <f>IF('Raw Data'!F514="",ROUND(AVERAGE('Raw Data'!$F$2:$F$1501),1),'Raw Data'!F514)</f>
        <v>14.8</v>
      </c>
      <c r="G514" s="21" t="str">
        <f>'Raw Data'!G514</f>
        <v>Credit Card</v>
      </c>
      <c r="H514" s="21" t="str">
        <f>'Raw Data'!H514</f>
        <v>Male</v>
      </c>
      <c r="I514" s="21">
        <f>IF('Raw Data'!I514="",ROUND(AVERAGE('Raw Data'!$I$2:$I$1501),1),'Raw Data'!I514)</f>
        <v>2.7</v>
      </c>
      <c r="J514" s="21">
        <f>'Raw Data'!J514</f>
        <v>3</v>
      </c>
      <c r="K514" s="21" t="str">
        <f>'Raw Data'!K514</f>
        <v>Others</v>
      </c>
      <c r="L514" s="21">
        <f>'Raw Data'!L514</f>
        <v>3</v>
      </c>
      <c r="M514" s="21" t="str">
        <f>'Raw Data'!M514</f>
        <v>Single</v>
      </c>
      <c r="N514" s="21">
        <f>'Raw Data'!N514</f>
        <v>1</v>
      </c>
      <c r="O514" s="21">
        <f>'Raw Data'!O514</f>
        <v>0</v>
      </c>
      <c r="P514" s="21">
        <f>IF('Raw Data'!P514="",ROUND(AVERAGE('Raw Data'!$P$2:$P$1501),1),'Raw Data'!P514)</f>
        <v>26</v>
      </c>
      <c r="Q514" s="21">
        <f>IF('Raw Data'!Q514="",ROUND(AVERAGE('Raw Data'!$Q$2:$Q$1501),0),'Raw Data'!Q514)</f>
        <v>1</v>
      </c>
      <c r="R514" s="21">
        <f>'Raw Data'!R514</f>
        <v>6</v>
      </c>
      <c r="S514" s="21">
        <f>IF('Raw Data'!S514="",ROUND(AVERAGE('Raw Data'!$S$2:$S$1501),0),'Raw Data'!S514)</f>
        <v>14</v>
      </c>
      <c r="T514" s="21">
        <f>'Raw Data'!T514</f>
        <v>301.64999999999998</v>
      </c>
      <c r="U514" s="21" t="str">
        <f>INDEX('Lookup Tables'!$C$7:$C$9,MATCH(E514,'Lookup Tables'!$B$7:$B$9,0))</f>
        <v>Tier 1 (Metro)</v>
      </c>
      <c r="V514" s="21" t="str">
        <f t="shared" ref="V514:V577" si="24">IF(C514&lt;=6,"0-6 months",IF(C514&lt;=12,"7-12 months",IF(C514&lt;=24,"13-24 months","25+ months")))</f>
        <v>0-6 months</v>
      </c>
      <c r="W514" s="21" t="str">
        <f t="shared" ref="W514:W577" si="25">IF(AND(O514=1,L514&lt;=2),"High Risk",IF(OR(L514=3,S514&gt;15),"Medium Risk","Low Risk"))</f>
        <v>Medium Risk</v>
      </c>
      <c r="X514" s="21" t="str">
        <f t="shared" ref="X514:X577" si="26">IF(B514=1,"Yes","No")</f>
        <v>Yes</v>
      </c>
    </row>
    <row r="515" spans="1:24" x14ac:dyDescent="0.3">
      <c r="A515" s="21">
        <f>'Raw Data'!A515</f>
        <v>50514</v>
      </c>
      <c r="B515" s="21">
        <f>'Raw Data'!B515</f>
        <v>0</v>
      </c>
      <c r="C515" s="21">
        <f>'Raw Data'!C515</f>
        <v>22</v>
      </c>
      <c r="D515" s="21" t="str">
        <f>'Raw Data'!D515</f>
        <v>Mobile Phone</v>
      </c>
      <c r="E515" s="21">
        <f>'Raw Data'!E515</f>
        <v>2</v>
      </c>
      <c r="F515" s="21">
        <f>IF('Raw Data'!F515="",ROUND(AVERAGE('Raw Data'!$F$2:$F$1501),1),'Raw Data'!F515)</f>
        <v>10</v>
      </c>
      <c r="G515" s="21" t="str">
        <f>'Raw Data'!G515</f>
        <v>UPI</v>
      </c>
      <c r="H515" s="21" t="str">
        <f>'Raw Data'!H515</f>
        <v>Female</v>
      </c>
      <c r="I515" s="21">
        <f>IF('Raw Data'!I515="",ROUND(AVERAGE('Raw Data'!$I$2:$I$1501),1),'Raw Data'!I515)</f>
        <v>4.4000000000000004</v>
      </c>
      <c r="J515" s="21">
        <f>'Raw Data'!J515</f>
        <v>2</v>
      </c>
      <c r="K515" s="21" t="str">
        <f>'Raw Data'!K515</f>
        <v>Fashion</v>
      </c>
      <c r="L515" s="21">
        <f>'Raw Data'!L515</f>
        <v>3</v>
      </c>
      <c r="M515" s="21" t="str">
        <f>'Raw Data'!M515</f>
        <v>Married</v>
      </c>
      <c r="N515" s="21">
        <f>'Raw Data'!N515</f>
        <v>1</v>
      </c>
      <c r="O515" s="21">
        <f>'Raw Data'!O515</f>
        <v>0</v>
      </c>
      <c r="P515" s="21">
        <f>IF('Raw Data'!P515="",ROUND(AVERAGE('Raw Data'!$P$2:$P$1501),1),'Raw Data'!P515)</f>
        <v>11</v>
      </c>
      <c r="Q515" s="21">
        <f>IF('Raw Data'!Q515="",ROUND(AVERAGE('Raw Data'!$Q$2:$Q$1501),0),'Raw Data'!Q515)</f>
        <v>1</v>
      </c>
      <c r="R515" s="21">
        <f>'Raw Data'!R515</f>
        <v>3</v>
      </c>
      <c r="S515" s="21">
        <f>IF('Raw Data'!S515="",ROUND(AVERAGE('Raw Data'!$S$2:$S$1501),0),'Raw Data'!S515)</f>
        <v>7</v>
      </c>
      <c r="T515" s="21">
        <f>'Raw Data'!T515</f>
        <v>236.55</v>
      </c>
      <c r="U515" s="21" t="str">
        <f>INDEX('Lookup Tables'!$C$7:$C$9,MATCH(E515,'Lookup Tables'!$B$7:$B$9,0))</f>
        <v>Tier 2 (Urban)</v>
      </c>
      <c r="V515" s="21" t="str">
        <f t="shared" si="24"/>
        <v>13-24 months</v>
      </c>
      <c r="W515" s="21" t="str">
        <f t="shared" si="25"/>
        <v>Medium Risk</v>
      </c>
      <c r="X515" s="21" t="str">
        <f t="shared" si="26"/>
        <v>No</v>
      </c>
    </row>
    <row r="516" spans="1:24" x14ac:dyDescent="0.3">
      <c r="A516" s="21">
        <f>'Raw Data'!A516</f>
        <v>50515</v>
      </c>
      <c r="B516" s="21">
        <f>'Raw Data'!B516</f>
        <v>0</v>
      </c>
      <c r="C516" s="21">
        <f>'Raw Data'!C516</f>
        <v>7</v>
      </c>
      <c r="D516" s="21" t="str">
        <f>'Raw Data'!D516</f>
        <v>Mobile Phone</v>
      </c>
      <c r="E516" s="21">
        <f>'Raw Data'!E516</f>
        <v>2</v>
      </c>
      <c r="F516" s="21">
        <f>IF('Raw Data'!F516="",ROUND(AVERAGE('Raw Data'!$F$2:$F$1501),1),'Raw Data'!F516)</f>
        <v>24</v>
      </c>
      <c r="G516" s="21" t="str">
        <f>'Raw Data'!G516</f>
        <v>Credit Card</v>
      </c>
      <c r="H516" s="21" t="str">
        <f>'Raw Data'!H516</f>
        <v>Female</v>
      </c>
      <c r="I516" s="21">
        <f>IF('Raw Data'!I516="",ROUND(AVERAGE('Raw Data'!$I$2:$I$1501),1),'Raw Data'!I516)</f>
        <v>2.8</v>
      </c>
      <c r="J516" s="21">
        <f>'Raw Data'!J516</f>
        <v>4</v>
      </c>
      <c r="K516" s="21" t="str">
        <f>'Raw Data'!K516</f>
        <v>Others</v>
      </c>
      <c r="L516" s="21">
        <f>'Raw Data'!L516</f>
        <v>1</v>
      </c>
      <c r="M516" s="21" t="str">
        <f>'Raw Data'!M516</f>
        <v>Single</v>
      </c>
      <c r="N516" s="21">
        <f>'Raw Data'!N516</f>
        <v>4</v>
      </c>
      <c r="O516" s="21">
        <f>'Raw Data'!O516</f>
        <v>0</v>
      </c>
      <c r="P516" s="21">
        <f>IF('Raw Data'!P516="",ROUND(AVERAGE('Raw Data'!$P$2:$P$1501),1),'Raw Data'!P516)</f>
        <v>14.4</v>
      </c>
      <c r="Q516" s="21">
        <f>IF('Raw Data'!Q516="",ROUND(AVERAGE('Raw Data'!$Q$2:$Q$1501),0),'Raw Data'!Q516)</f>
        <v>2</v>
      </c>
      <c r="R516" s="21">
        <f>'Raw Data'!R516</f>
        <v>3</v>
      </c>
      <c r="S516" s="21">
        <f>IF('Raw Data'!S516="",ROUND(AVERAGE('Raw Data'!$S$2:$S$1501),0),'Raw Data'!S516)</f>
        <v>8</v>
      </c>
      <c r="T516" s="21">
        <f>'Raw Data'!T516</f>
        <v>185.2</v>
      </c>
      <c r="U516" s="21" t="str">
        <f>INDEX('Lookup Tables'!$C$7:$C$9,MATCH(E516,'Lookup Tables'!$B$7:$B$9,0))</f>
        <v>Tier 2 (Urban)</v>
      </c>
      <c r="V516" s="21" t="str">
        <f t="shared" si="24"/>
        <v>7-12 months</v>
      </c>
      <c r="W516" s="21" t="str">
        <f t="shared" si="25"/>
        <v>Low Risk</v>
      </c>
      <c r="X516" s="21" t="str">
        <f t="shared" si="26"/>
        <v>No</v>
      </c>
    </row>
    <row r="517" spans="1:24" x14ac:dyDescent="0.3">
      <c r="A517" s="21">
        <f>'Raw Data'!A517</f>
        <v>50516</v>
      </c>
      <c r="B517" s="21">
        <f>'Raw Data'!B517</f>
        <v>0</v>
      </c>
      <c r="C517" s="21">
        <f>'Raw Data'!C517</f>
        <v>16</v>
      </c>
      <c r="D517" s="21" t="str">
        <f>'Raw Data'!D517</f>
        <v>Mobile Phone</v>
      </c>
      <c r="E517" s="21">
        <f>'Raw Data'!E517</f>
        <v>1</v>
      </c>
      <c r="F517" s="21">
        <f>IF('Raw Data'!F517="",ROUND(AVERAGE('Raw Data'!$F$2:$F$1501),1),'Raw Data'!F517)</f>
        <v>7</v>
      </c>
      <c r="G517" s="21" t="str">
        <f>'Raw Data'!G517</f>
        <v>UPI</v>
      </c>
      <c r="H517" s="21" t="str">
        <f>'Raw Data'!H517</f>
        <v>Male</v>
      </c>
      <c r="I517" s="21">
        <f>IF('Raw Data'!I517="",ROUND(AVERAGE('Raw Data'!$I$2:$I$1501),1),'Raw Data'!I517)</f>
        <v>3.7</v>
      </c>
      <c r="J517" s="21">
        <f>'Raw Data'!J517</f>
        <v>2</v>
      </c>
      <c r="K517" s="21" t="str">
        <f>'Raw Data'!K517</f>
        <v>Fashion</v>
      </c>
      <c r="L517" s="21">
        <f>'Raw Data'!L517</f>
        <v>3</v>
      </c>
      <c r="M517" s="21" t="str">
        <f>'Raw Data'!M517</f>
        <v>Married</v>
      </c>
      <c r="N517" s="21">
        <f>'Raw Data'!N517</f>
        <v>4</v>
      </c>
      <c r="O517" s="21">
        <f>'Raw Data'!O517</f>
        <v>0</v>
      </c>
      <c r="P517" s="21">
        <f>IF('Raw Data'!P517="",ROUND(AVERAGE('Raw Data'!$P$2:$P$1501),1),'Raw Data'!P517)</f>
        <v>11.1</v>
      </c>
      <c r="Q517" s="21">
        <f>IF('Raw Data'!Q517="",ROUND(AVERAGE('Raw Data'!$Q$2:$Q$1501),0),'Raw Data'!Q517)</f>
        <v>1</v>
      </c>
      <c r="R517" s="21">
        <f>'Raw Data'!R517</f>
        <v>4</v>
      </c>
      <c r="S517" s="21">
        <f>IF('Raw Data'!S517="",ROUND(AVERAGE('Raw Data'!$S$2:$S$1501),0),'Raw Data'!S517)</f>
        <v>4</v>
      </c>
      <c r="T517" s="21">
        <f>'Raw Data'!T517</f>
        <v>218.46</v>
      </c>
      <c r="U517" s="21" t="str">
        <f>INDEX('Lookup Tables'!$C$7:$C$9,MATCH(E517,'Lookup Tables'!$B$7:$B$9,0))</f>
        <v>Tier 1 (Metro)</v>
      </c>
      <c r="V517" s="21" t="str">
        <f t="shared" si="24"/>
        <v>13-24 months</v>
      </c>
      <c r="W517" s="21" t="str">
        <f t="shared" si="25"/>
        <v>Medium Risk</v>
      </c>
      <c r="X517" s="21" t="str">
        <f t="shared" si="26"/>
        <v>No</v>
      </c>
    </row>
    <row r="518" spans="1:24" x14ac:dyDescent="0.3">
      <c r="A518" s="21">
        <f>'Raw Data'!A518</f>
        <v>50517</v>
      </c>
      <c r="B518" s="21">
        <f>'Raw Data'!B518</f>
        <v>1</v>
      </c>
      <c r="C518" s="21">
        <f>'Raw Data'!C518</f>
        <v>6</v>
      </c>
      <c r="D518" s="21" t="str">
        <f>'Raw Data'!D518</f>
        <v>Mobile Phone</v>
      </c>
      <c r="E518" s="21">
        <f>'Raw Data'!E518</f>
        <v>2</v>
      </c>
      <c r="F518" s="21">
        <f>IF('Raw Data'!F518="",ROUND(AVERAGE('Raw Data'!$F$2:$F$1501),1),'Raw Data'!F518)</f>
        <v>28</v>
      </c>
      <c r="G518" s="21" t="str">
        <f>'Raw Data'!G518</f>
        <v>Debit Card</v>
      </c>
      <c r="H518" s="21" t="str">
        <f>'Raw Data'!H518</f>
        <v>Female</v>
      </c>
      <c r="I518" s="21">
        <f>IF('Raw Data'!I518="",ROUND(AVERAGE('Raw Data'!$I$2:$I$1501),1),'Raw Data'!I518)</f>
        <v>2.6</v>
      </c>
      <c r="J518" s="21">
        <f>'Raw Data'!J518</f>
        <v>3</v>
      </c>
      <c r="K518" s="21" t="str">
        <f>'Raw Data'!K518</f>
        <v>Laptop &amp; Accessory</v>
      </c>
      <c r="L518" s="21">
        <f>'Raw Data'!L518</f>
        <v>3</v>
      </c>
      <c r="M518" s="21" t="str">
        <f>'Raw Data'!M518</f>
        <v>Single</v>
      </c>
      <c r="N518" s="21">
        <f>'Raw Data'!N518</f>
        <v>1</v>
      </c>
      <c r="O518" s="21">
        <f>'Raw Data'!O518</f>
        <v>1</v>
      </c>
      <c r="P518" s="21">
        <f>IF('Raw Data'!P518="",ROUND(AVERAGE('Raw Data'!$P$2:$P$1501),1),'Raw Data'!P518)</f>
        <v>16.3</v>
      </c>
      <c r="Q518" s="21">
        <f>IF('Raw Data'!Q518="",ROUND(AVERAGE('Raw Data'!$Q$2:$Q$1501),0),'Raw Data'!Q518)</f>
        <v>1</v>
      </c>
      <c r="R518" s="21">
        <f>'Raw Data'!R518</f>
        <v>6</v>
      </c>
      <c r="S518" s="21">
        <f>IF('Raw Data'!S518="",ROUND(AVERAGE('Raw Data'!$S$2:$S$1501),0),'Raw Data'!S518)</f>
        <v>3</v>
      </c>
      <c r="T518" s="21">
        <f>'Raw Data'!T518</f>
        <v>180.83</v>
      </c>
      <c r="U518" s="21" t="str">
        <f>INDEX('Lookup Tables'!$C$7:$C$9,MATCH(E518,'Lookup Tables'!$B$7:$B$9,0))</f>
        <v>Tier 2 (Urban)</v>
      </c>
      <c r="V518" s="21" t="str">
        <f t="shared" si="24"/>
        <v>0-6 months</v>
      </c>
      <c r="W518" s="21" t="str">
        <f t="shared" si="25"/>
        <v>Medium Risk</v>
      </c>
      <c r="X518" s="21" t="str">
        <f t="shared" si="26"/>
        <v>Yes</v>
      </c>
    </row>
    <row r="519" spans="1:24" x14ac:dyDescent="0.3">
      <c r="A519" s="21">
        <f>'Raw Data'!A519</f>
        <v>50518</v>
      </c>
      <c r="B519" s="21">
        <f>'Raw Data'!B519</f>
        <v>0</v>
      </c>
      <c r="C519" s="21">
        <f>'Raw Data'!C519</f>
        <v>10</v>
      </c>
      <c r="D519" s="21" t="str">
        <f>'Raw Data'!D519</f>
        <v>Mobile Phone</v>
      </c>
      <c r="E519" s="21">
        <f>'Raw Data'!E519</f>
        <v>3</v>
      </c>
      <c r="F519" s="21">
        <f>IF('Raw Data'!F519="",ROUND(AVERAGE('Raw Data'!$F$2:$F$1501),1),'Raw Data'!F519)</f>
        <v>5</v>
      </c>
      <c r="G519" s="21" t="str">
        <f>'Raw Data'!G519</f>
        <v>Credit Card</v>
      </c>
      <c r="H519" s="21" t="str">
        <f>'Raw Data'!H519</f>
        <v>Female</v>
      </c>
      <c r="I519" s="21">
        <f>IF('Raw Data'!I519="",ROUND(AVERAGE('Raw Data'!$I$2:$I$1501),1),'Raw Data'!I519)</f>
        <v>3.4</v>
      </c>
      <c r="J519" s="21">
        <f>'Raw Data'!J519</f>
        <v>3</v>
      </c>
      <c r="K519" s="21" t="str">
        <f>'Raw Data'!K519</f>
        <v>Laptop &amp; Accessory</v>
      </c>
      <c r="L519" s="21">
        <f>'Raw Data'!L519</f>
        <v>5</v>
      </c>
      <c r="M519" s="21" t="str">
        <f>'Raw Data'!M519</f>
        <v>Married</v>
      </c>
      <c r="N519" s="21">
        <f>'Raw Data'!N519</f>
        <v>1</v>
      </c>
      <c r="O519" s="21">
        <f>'Raw Data'!O519</f>
        <v>0</v>
      </c>
      <c r="P519" s="21">
        <f>IF('Raw Data'!P519="",ROUND(AVERAGE('Raw Data'!$P$2:$P$1501),1),'Raw Data'!P519)</f>
        <v>11.8</v>
      </c>
      <c r="Q519" s="21">
        <f>IF('Raw Data'!Q519="",ROUND(AVERAGE('Raw Data'!$Q$2:$Q$1501),0),'Raw Data'!Q519)</f>
        <v>0</v>
      </c>
      <c r="R519" s="21">
        <f>'Raw Data'!R519</f>
        <v>4</v>
      </c>
      <c r="S519" s="21">
        <f>IF('Raw Data'!S519="",ROUND(AVERAGE('Raw Data'!$S$2:$S$1501),0),'Raw Data'!S519)</f>
        <v>4</v>
      </c>
      <c r="T519" s="21">
        <f>'Raw Data'!T519</f>
        <v>79.02</v>
      </c>
      <c r="U519" s="21" t="str">
        <f>INDEX('Lookup Tables'!$C$7:$C$9,MATCH(E519,'Lookup Tables'!$B$7:$B$9,0))</f>
        <v>Tier 3 (Semi-urban/Rural)</v>
      </c>
      <c r="V519" s="21" t="str">
        <f t="shared" si="24"/>
        <v>7-12 months</v>
      </c>
      <c r="W519" s="21" t="str">
        <f t="shared" si="25"/>
        <v>Low Risk</v>
      </c>
      <c r="X519" s="21" t="str">
        <f t="shared" si="26"/>
        <v>No</v>
      </c>
    </row>
    <row r="520" spans="1:24" x14ac:dyDescent="0.3">
      <c r="A520" s="21">
        <f>'Raw Data'!A520</f>
        <v>50519</v>
      </c>
      <c r="B520" s="21">
        <f>'Raw Data'!B520</f>
        <v>1</v>
      </c>
      <c r="C520" s="21">
        <f>'Raw Data'!C520</f>
        <v>7</v>
      </c>
      <c r="D520" s="21" t="str">
        <f>'Raw Data'!D520</f>
        <v>Mobile Phone</v>
      </c>
      <c r="E520" s="21">
        <f>'Raw Data'!E520</f>
        <v>1</v>
      </c>
      <c r="F520" s="21">
        <f>IF('Raw Data'!F520="",ROUND(AVERAGE('Raw Data'!$F$2:$F$1501),1),'Raw Data'!F520)</f>
        <v>18</v>
      </c>
      <c r="G520" s="21" t="str">
        <f>'Raw Data'!G520</f>
        <v>Debit Card</v>
      </c>
      <c r="H520" s="21" t="str">
        <f>'Raw Data'!H520</f>
        <v>Male</v>
      </c>
      <c r="I520" s="21">
        <f>IF('Raw Data'!I520="",ROUND(AVERAGE('Raw Data'!$I$2:$I$1501),1),'Raw Data'!I520)</f>
        <v>3.5</v>
      </c>
      <c r="J520" s="21">
        <f>'Raw Data'!J520</f>
        <v>4</v>
      </c>
      <c r="K520" s="21" t="str">
        <f>'Raw Data'!K520</f>
        <v>Mobile Phone</v>
      </c>
      <c r="L520" s="21">
        <f>'Raw Data'!L520</f>
        <v>2</v>
      </c>
      <c r="M520" s="21" t="str">
        <f>'Raw Data'!M520</f>
        <v>Married</v>
      </c>
      <c r="N520" s="21">
        <f>'Raw Data'!N520</f>
        <v>1</v>
      </c>
      <c r="O520" s="21">
        <f>'Raw Data'!O520</f>
        <v>0</v>
      </c>
      <c r="P520" s="21">
        <f>IF('Raw Data'!P520="",ROUND(AVERAGE('Raw Data'!$P$2:$P$1501),1),'Raw Data'!P520)</f>
        <v>15.6</v>
      </c>
      <c r="Q520" s="21">
        <f>IF('Raw Data'!Q520="",ROUND(AVERAGE('Raw Data'!$Q$2:$Q$1501),0),'Raw Data'!Q520)</f>
        <v>2</v>
      </c>
      <c r="R520" s="21">
        <f>'Raw Data'!R520</f>
        <v>4</v>
      </c>
      <c r="S520" s="21">
        <f>IF('Raw Data'!S520="",ROUND(AVERAGE('Raw Data'!$S$2:$S$1501),0),'Raw Data'!S520)</f>
        <v>7</v>
      </c>
      <c r="T520" s="21">
        <f>'Raw Data'!T520</f>
        <v>144</v>
      </c>
      <c r="U520" s="21" t="str">
        <f>INDEX('Lookup Tables'!$C$7:$C$9,MATCH(E520,'Lookup Tables'!$B$7:$B$9,0))</f>
        <v>Tier 1 (Metro)</v>
      </c>
      <c r="V520" s="21" t="str">
        <f t="shared" si="24"/>
        <v>7-12 months</v>
      </c>
      <c r="W520" s="21" t="str">
        <f t="shared" si="25"/>
        <v>Low Risk</v>
      </c>
      <c r="X520" s="21" t="str">
        <f t="shared" si="26"/>
        <v>Yes</v>
      </c>
    </row>
    <row r="521" spans="1:24" x14ac:dyDescent="0.3">
      <c r="A521" s="21">
        <f>'Raw Data'!A521</f>
        <v>50520</v>
      </c>
      <c r="B521" s="21">
        <f>'Raw Data'!B521</f>
        <v>0</v>
      </c>
      <c r="C521" s="21">
        <f>'Raw Data'!C521</f>
        <v>13</v>
      </c>
      <c r="D521" s="21" t="str">
        <f>'Raw Data'!D521</f>
        <v>Mobile Phone</v>
      </c>
      <c r="E521" s="21">
        <f>'Raw Data'!E521</f>
        <v>1</v>
      </c>
      <c r="F521" s="21">
        <f>IF('Raw Data'!F521="",ROUND(AVERAGE('Raw Data'!$F$2:$F$1501),1),'Raw Data'!F521)</f>
        <v>18</v>
      </c>
      <c r="G521" s="21" t="str">
        <f>'Raw Data'!G521</f>
        <v>Credit Card</v>
      </c>
      <c r="H521" s="21" t="str">
        <f>'Raw Data'!H521</f>
        <v>Male</v>
      </c>
      <c r="I521" s="21">
        <f>IF('Raw Data'!I521="",ROUND(AVERAGE('Raw Data'!$I$2:$I$1501),1),'Raw Data'!I521)</f>
        <v>3</v>
      </c>
      <c r="J521" s="21">
        <f>'Raw Data'!J521</f>
        <v>5</v>
      </c>
      <c r="K521" s="21" t="str">
        <f>'Raw Data'!K521</f>
        <v>Laptop &amp; Accessory</v>
      </c>
      <c r="L521" s="21">
        <f>'Raw Data'!L521</f>
        <v>3</v>
      </c>
      <c r="M521" s="21" t="str">
        <f>'Raw Data'!M521</f>
        <v>Divorced</v>
      </c>
      <c r="N521" s="21">
        <f>'Raw Data'!N521</f>
        <v>1</v>
      </c>
      <c r="O521" s="21">
        <f>'Raw Data'!O521</f>
        <v>0</v>
      </c>
      <c r="P521" s="21">
        <f>IF('Raw Data'!P521="",ROUND(AVERAGE('Raw Data'!$P$2:$P$1501),1),'Raw Data'!P521)</f>
        <v>11</v>
      </c>
      <c r="Q521" s="21">
        <f>IF('Raw Data'!Q521="",ROUND(AVERAGE('Raw Data'!$Q$2:$Q$1501),0),'Raw Data'!Q521)</f>
        <v>1</v>
      </c>
      <c r="R521" s="21">
        <f>'Raw Data'!R521</f>
        <v>3</v>
      </c>
      <c r="S521" s="21">
        <f>IF('Raw Data'!S521="",ROUND(AVERAGE('Raw Data'!$S$2:$S$1501),0),'Raw Data'!S521)</f>
        <v>9</v>
      </c>
      <c r="T521" s="21">
        <f>'Raw Data'!T521</f>
        <v>127.66</v>
      </c>
      <c r="U521" s="21" t="str">
        <f>INDEX('Lookup Tables'!$C$7:$C$9,MATCH(E521,'Lookup Tables'!$B$7:$B$9,0))</f>
        <v>Tier 1 (Metro)</v>
      </c>
      <c r="V521" s="21" t="str">
        <f t="shared" si="24"/>
        <v>13-24 months</v>
      </c>
      <c r="W521" s="21" t="str">
        <f t="shared" si="25"/>
        <v>Medium Risk</v>
      </c>
      <c r="X521" s="21" t="str">
        <f t="shared" si="26"/>
        <v>No</v>
      </c>
    </row>
    <row r="522" spans="1:24" x14ac:dyDescent="0.3">
      <c r="A522" s="21">
        <f>'Raw Data'!A522</f>
        <v>50521</v>
      </c>
      <c r="B522" s="21">
        <f>'Raw Data'!B522</f>
        <v>0</v>
      </c>
      <c r="C522" s="21">
        <f>'Raw Data'!C522</f>
        <v>0</v>
      </c>
      <c r="D522" s="21" t="str">
        <f>'Raw Data'!D522</f>
        <v>Computer</v>
      </c>
      <c r="E522" s="21">
        <f>'Raw Data'!E522</f>
        <v>1</v>
      </c>
      <c r="F522" s="21">
        <f>IF('Raw Data'!F522="",ROUND(AVERAGE('Raw Data'!$F$2:$F$1501),1),'Raw Data'!F522)</f>
        <v>8</v>
      </c>
      <c r="G522" s="21" t="str">
        <f>'Raw Data'!G522</f>
        <v>Debit Card</v>
      </c>
      <c r="H522" s="21" t="str">
        <f>'Raw Data'!H522</f>
        <v>Male</v>
      </c>
      <c r="I522" s="21">
        <f>IF('Raw Data'!I522="",ROUND(AVERAGE('Raw Data'!$I$2:$I$1501),1),'Raw Data'!I522)</f>
        <v>1.3</v>
      </c>
      <c r="J522" s="21">
        <f>'Raw Data'!J522</f>
        <v>2</v>
      </c>
      <c r="K522" s="21" t="str">
        <f>'Raw Data'!K522</f>
        <v>Mobile Phone</v>
      </c>
      <c r="L522" s="21">
        <f>'Raw Data'!L522</f>
        <v>5</v>
      </c>
      <c r="M522" s="21" t="str">
        <f>'Raw Data'!M522</f>
        <v>Married</v>
      </c>
      <c r="N522" s="21">
        <f>'Raw Data'!N522</f>
        <v>1</v>
      </c>
      <c r="O522" s="21">
        <f>'Raw Data'!O522</f>
        <v>0</v>
      </c>
      <c r="P522" s="21">
        <f>IF('Raw Data'!P522="",ROUND(AVERAGE('Raw Data'!$P$2:$P$1501),1),'Raw Data'!P522)</f>
        <v>18.2</v>
      </c>
      <c r="Q522" s="21">
        <f>IF('Raw Data'!Q522="",ROUND(AVERAGE('Raw Data'!$Q$2:$Q$1501),0),'Raw Data'!Q522)</f>
        <v>4</v>
      </c>
      <c r="R522" s="21">
        <f>'Raw Data'!R522</f>
        <v>5</v>
      </c>
      <c r="S522" s="21">
        <f>IF('Raw Data'!S522="",ROUND(AVERAGE('Raw Data'!$S$2:$S$1501),0),'Raw Data'!S522)</f>
        <v>0</v>
      </c>
      <c r="T522" s="21">
        <f>'Raw Data'!T522</f>
        <v>142.78</v>
      </c>
      <c r="U522" s="21" t="str">
        <f>INDEX('Lookup Tables'!$C$7:$C$9,MATCH(E522,'Lookup Tables'!$B$7:$B$9,0))</f>
        <v>Tier 1 (Metro)</v>
      </c>
      <c r="V522" s="21" t="str">
        <f t="shared" si="24"/>
        <v>0-6 months</v>
      </c>
      <c r="W522" s="21" t="str">
        <f t="shared" si="25"/>
        <v>Low Risk</v>
      </c>
      <c r="X522" s="21" t="str">
        <f t="shared" si="26"/>
        <v>No</v>
      </c>
    </row>
    <row r="523" spans="1:24" x14ac:dyDescent="0.3">
      <c r="A523" s="21">
        <f>'Raw Data'!A523</f>
        <v>50522</v>
      </c>
      <c r="B523" s="21">
        <f>'Raw Data'!B523</f>
        <v>0</v>
      </c>
      <c r="C523" s="21">
        <f>'Raw Data'!C523</f>
        <v>0</v>
      </c>
      <c r="D523" s="21" t="str">
        <f>'Raw Data'!D523</f>
        <v>Phone</v>
      </c>
      <c r="E523" s="21">
        <f>'Raw Data'!E523</f>
        <v>1</v>
      </c>
      <c r="F523" s="21">
        <f>IF('Raw Data'!F523="",ROUND(AVERAGE('Raw Data'!$F$2:$F$1501),1),'Raw Data'!F523)</f>
        <v>18</v>
      </c>
      <c r="G523" s="21" t="str">
        <f>'Raw Data'!G523</f>
        <v>Cash on Delivery</v>
      </c>
      <c r="H523" s="21" t="str">
        <f>'Raw Data'!H523</f>
        <v>Male</v>
      </c>
      <c r="I523" s="21">
        <f>IF('Raw Data'!I523="",ROUND(AVERAGE('Raw Data'!$I$2:$I$1501),1),'Raw Data'!I523)</f>
        <v>2.9</v>
      </c>
      <c r="J523" s="21">
        <f>'Raw Data'!J523</f>
        <v>3</v>
      </c>
      <c r="K523" s="21" t="str">
        <f>'Raw Data'!K523</f>
        <v>Mobile Phone</v>
      </c>
      <c r="L523" s="21">
        <f>'Raw Data'!L523</f>
        <v>4</v>
      </c>
      <c r="M523" s="21" t="str">
        <f>'Raw Data'!M523</f>
        <v>Married</v>
      </c>
      <c r="N523" s="21">
        <f>'Raw Data'!N523</f>
        <v>1</v>
      </c>
      <c r="O523" s="21">
        <f>'Raw Data'!O523</f>
        <v>1</v>
      </c>
      <c r="P523" s="21">
        <f>IF('Raw Data'!P523="",ROUND(AVERAGE('Raw Data'!$P$2:$P$1501),1),'Raw Data'!P523)</f>
        <v>20.3</v>
      </c>
      <c r="Q523" s="21">
        <f>IF('Raw Data'!Q523="",ROUND(AVERAGE('Raw Data'!$Q$2:$Q$1501),0),'Raw Data'!Q523)</f>
        <v>1</v>
      </c>
      <c r="R523" s="21">
        <f>'Raw Data'!R523</f>
        <v>8</v>
      </c>
      <c r="S523" s="21">
        <f>IF('Raw Data'!S523="",ROUND(AVERAGE('Raw Data'!$S$2:$S$1501),0),'Raw Data'!S523)</f>
        <v>11</v>
      </c>
      <c r="T523" s="21">
        <f>'Raw Data'!T523</f>
        <v>278.64999999999998</v>
      </c>
      <c r="U523" s="21" t="str">
        <f>INDEX('Lookup Tables'!$C$7:$C$9,MATCH(E523,'Lookup Tables'!$B$7:$B$9,0))</f>
        <v>Tier 1 (Metro)</v>
      </c>
      <c r="V523" s="21" t="str">
        <f t="shared" si="24"/>
        <v>0-6 months</v>
      </c>
      <c r="W523" s="21" t="str">
        <f t="shared" si="25"/>
        <v>Low Risk</v>
      </c>
      <c r="X523" s="21" t="str">
        <f t="shared" si="26"/>
        <v>No</v>
      </c>
    </row>
    <row r="524" spans="1:24" x14ac:dyDescent="0.3">
      <c r="A524" s="21">
        <f>'Raw Data'!A524</f>
        <v>50523</v>
      </c>
      <c r="B524" s="21">
        <f>'Raw Data'!B524</f>
        <v>0</v>
      </c>
      <c r="C524" s="21">
        <f>'Raw Data'!C524</f>
        <v>2</v>
      </c>
      <c r="D524" s="21" t="str">
        <f>'Raw Data'!D524</f>
        <v>Mobile Phone</v>
      </c>
      <c r="E524" s="21">
        <f>'Raw Data'!E524</f>
        <v>3</v>
      </c>
      <c r="F524" s="21">
        <f>IF('Raw Data'!F524="",ROUND(AVERAGE('Raw Data'!$F$2:$F$1501),1),'Raw Data'!F524)</f>
        <v>25</v>
      </c>
      <c r="G524" s="21" t="str">
        <f>'Raw Data'!G524</f>
        <v>Debit Card</v>
      </c>
      <c r="H524" s="21" t="str">
        <f>'Raw Data'!H524</f>
        <v>Male</v>
      </c>
      <c r="I524" s="21">
        <f>IF('Raw Data'!I524="",ROUND(AVERAGE('Raw Data'!$I$2:$I$1501),1),'Raw Data'!I524)</f>
        <v>3.8</v>
      </c>
      <c r="J524" s="21">
        <f>'Raw Data'!J524</f>
        <v>3</v>
      </c>
      <c r="K524" s="21" t="str">
        <f>'Raw Data'!K524</f>
        <v>Others</v>
      </c>
      <c r="L524" s="21">
        <f>'Raw Data'!L524</f>
        <v>5</v>
      </c>
      <c r="M524" s="21" t="str">
        <f>'Raw Data'!M524</f>
        <v>Divorced</v>
      </c>
      <c r="N524" s="21">
        <f>'Raw Data'!N524</f>
        <v>1</v>
      </c>
      <c r="O524" s="21">
        <f>'Raw Data'!O524</f>
        <v>1</v>
      </c>
      <c r="P524" s="21">
        <f>IF('Raw Data'!P524="",ROUND(AVERAGE('Raw Data'!$P$2:$P$1501),1),'Raw Data'!P524)</f>
        <v>14.7</v>
      </c>
      <c r="Q524" s="21">
        <f>IF('Raw Data'!Q524="",ROUND(AVERAGE('Raw Data'!$Q$2:$Q$1501),0),'Raw Data'!Q524)</f>
        <v>2</v>
      </c>
      <c r="R524" s="21">
        <f>'Raw Data'!R524</f>
        <v>2</v>
      </c>
      <c r="S524" s="21">
        <f>IF('Raw Data'!S524="",ROUND(AVERAGE('Raw Data'!$S$2:$S$1501),0),'Raw Data'!S524)</f>
        <v>13</v>
      </c>
      <c r="T524" s="21">
        <f>'Raw Data'!T524</f>
        <v>241.72</v>
      </c>
      <c r="U524" s="21" t="str">
        <f>INDEX('Lookup Tables'!$C$7:$C$9,MATCH(E524,'Lookup Tables'!$B$7:$B$9,0))</f>
        <v>Tier 3 (Semi-urban/Rural)</v>
      </c>
      <c r="V524" s="21" t="str">
        <f t="shared" si="24"/>
        <v>0-6 months</v>
      </c>
      <c r="W524" s="21" t="str">
        <f t="shared" si="25"/>
        <v>Low Risk</v>
      </c>
      <c r="X524" s="21" t="str">
        <f t="shared" si="26"/>
        <v>No</v>
      </c>
    </row>
    <row r="525" spans="1:24" x14ac:dyDescent="0.3">
      <c r="A525" s="21">
        <f>'Raw Data'!A525</f>
        <v>50524</v>
      </c>
      <c r="B525" s="21">
        <f>'Raw Data'!B525</f>
        <v>0</v>
      </c>
      <c r="C525" s="21">
        <f>'Raw Data'!C525</f>
        <v>1</v>
      </c>
      <c r="D525" s="21" t="str">
        <f>'Raw Data'!D525</f>
        <v>Mobile Phone</v>
      </c>
      <c r="E525" s="21">
        <f>'Raw Data'!E525</f>
        <v>1</v>
      </c>
      <c r="F525" s="21">
        <f>IF('Raw Data'!F525="",ROUND(AVERAGE('Raw Data'!$F$2:$F$1501),1),'Raw Data'!F525)</f>
        <v>5</v>
      </c>
      <c r="G525" s="21" t="str">
        <f>'Raw Data'!G525</f>
        <v>Cash on Delivery</v>
      </c>
      <c r="H525" s="21" t="str">
        <f>'Raw Data'!H525</f>
        <v>Female</v>
      </c>
      <c r="I525" s="21">
        <f>IF('Raw Data'!I525="",ROUND(AVERAGE('Raw Data'!$I$2:$I$1501),1),'Raw Data'!I525)</f>
        <v>3.3</v>
      </c>
      <c r="J525" s="21">
        <f>'Raw Data'!J525</f>
        <v>4</v>
      </c>
      <c r="K525" s="21" t="str">
        <f>'Raw Data'!K525</f>
        <v>Mobile Phone</v>
      </c>
      <c r="L525" s="21">
        <f>'Raw Data'!L525</f>
        <v>5</v>
      </c>
      <c r="M525" s="21" t="str">
        <f>'Raw Data'!M525</f>
        <v>Married</v>
      </c>
      <c r="N525" s="21">
        <f>'Raw Data'!N525</f>
        <v>1</v>
      </c>
      <c r="O525" s="21">
        <f>'Raw Data'!O525</f>
        <v>0</v>
      </c>
      <c r="P525" s="21">
        <f>IF('Raw Data'!P525="",ROUND(AVERAGE('Raw Data'!$P$2:$P$1501),1),'Raw Data'!P525)</f>
        <v>15.5</v>
      </c>
      <c r="Q525" s="21">
        <f>IF('Raw Data'!Q525="",ROUND(AVERAGE('Raw Data'!$Q$2:$Q$1501),0),'Raw Data'!Q525)</f>
        <v>0</v>
      </c>
      <c r="R525" s="21">
        <f>'Raw Data'!R525</f>
        <v>4</v>
      </c>
      <c r="S525" s="21">
        <f>IF('Raw Data'!S525="",ROUND(AVERAGE('Raw Data'!$S$2:$S$1501),0),'Raw Data'!S525)</f>
        <v>4</v>
      </c>
      <c r="T525" s="21">
        <f>'Raw Data'!T525</f>
        <v>204.25</v>
      </c>
      <c r="U525" s="21" t="str">
        <f>INDEX('Lookup Tables'!$C$7:$C$9,MATCH(E525,'Lookup Tables'!$B$7:$B$9,0))</f>
        <v>Tier 1 (Metro)</v>
      </c>
      <c r="V525" s="21" t="str">
        <f t="shared" si="24"/>
        <v>0-6 months</v>
      </c>
      <c r="W525" s="21" t="str">
        <f t="shared" si="25"/>
        <v>Low Risk</v>
      </c>
      <c r="X525" s="21" t="str">
        <f t="shared" si="26"/>
        <v>No</v>
      </c>
    </row>
    <row r="526" spans="1:24" x14ac:dyDescent="0.3">
      <c r="A526" s="21">
        <f>'Raw Data'!A526</f>
        <v>50525</v>
      </c>
      <c r="B526" s="21">
        <f>'Raw Data'!B526</f>
        <v>1</v>
      </c>
      <c r="C526" s="21">
        <f>'Raw Data'!C526</f>
        <v>20</v>
      </c>
      <c r="D526" s="21" t="str">
        <f>'Raw Data'!D526</f>
        <v>Mobile Phone</v>
      </c>
      <c r="E526" s="21">
        <f>'Raw Data'!E526</f>
        <v>2</v>
      </c>
      <c r="F526" s="21">
        <f>IF('Raw Data'!F526="",ROUND(AVERAGE('Raw Data'!$F$2:$F$1501),1),'Raw Data'!F526)</f>
        <v>19</v>
      </c>
      <c r="G526" s="21" t="str">
        <f>'Raw Data'!G526</f>
        <v>Credit Card</v>
      </c>
      <c r="H526" s="21" t="str">
        <f>'Raw Data'!H526</f>
        <v>Female</v>
      </c>
      <c r="I526" s="21">
        <f>IF('Raw Data'!I526="",ROUND(AVERAGE('Raw Data'!$I$2:$I$1501),1),'Raw Data'!I526)</f>
        <v>3.2</v>
      </c>
      <c r="J526" s="21">
        <f>'Raw Data'!J526</f>
        <v>3</v>
      </c>
      <c r="K526" s="21" t="str">
        <f>'Raw Data'!K526</f>
        <v>Grocery</v>
      </c>
      <c r="L526" s="21">
        <f>'Raw Data'!L526</f>
        <v>3</v>
      </c>
      <c r="M526" s="21" t="str">
        <f>'Raw Data'!M526</f>
        <v>Married</v>
      </c>
      <c r="N526" s="21">
        <f>'Raw Data'!N526</f>
        <v>1</v>
      </c>
      <c r="O526" s="21">
        <f>'Raw Data'!O526</f>
        <v>0</v>
      </c>
      <c r="P526" s="21">
        <f>IF('Raw Data'!P526="",ROUND(AVERAGE('Raw Data'!$P$2:$P$1501),1),'Raw Data'!P526)</f>
        <v>15.4</v>
      </c>
      <c r="Q526" s="21">
        <f>IF('Raw Data'!Q526="",ROUND(AVERAGE('Raw Data'!$Q$2:$Q$1501),0),'Raw Data'!Q526)</f>
        <v>0</v>
      </c>
      <c r="R526" s="21">
        <f>'Raw Data'!R526</f>
        <v>4</v>
      </c>
      <c r="S526" s="21">
        <f>IF('Raw Data'!S526="",ROUND(AVERAGE('Raw Data'!$S$2:$S$1501),0),'Raw Data'!S526)</f>
        <v>1</v>
      </c>
      <c r="T526" s="21">
        <f>'Raw Data'!T526</f>
        <v>224.68</v>
      </c>
      <c r="U526" s="21" t="str">
        <f>INDEX('Lookup Tables'!$C$7:$C$9,MATCH(E526,'Lookup Tables'!$B$7:$B$9,0))</f>
        <v>Tier 2 (Urban)</v>
      </c>
      <c r="V526" s="21" t="str">
        <f t="shared" si="24"/>
        <v>13-24 months</v>
      </c>
      <c r="W526" s="21" t="str">
        <f t="shared" si="25"/>
        <v>Medium Risk</v>
      </c>
      <c r="X526" s="21" t="str">
        <f t="shared" si="26"/>
        <v>Yes</v>
      </c>
    </row>
    <row r="527" spans="1:24" x14ac:dyDescent="0.3">
      <c r="A527" s="21">
        <f>'Raw Data'!A527</f>
        <v>50526</v>
      </c>
      <c r="B527" s="21">
        <f>'Raw Data'!B527</f>
        <v>0</v>
      </c>
      <c r="C527" s="21">
        <f>'Raw Data'!C527</f>
        <v>2</v>
      </c>
      <c r="D527" s="21" t="str">
        <f>'Raw Data'!D527</f>
        <v>Mobile Phone</v>
      </c>
      <c r="E527" s="21">
        <f>'Raw Data'!E527</f>
        <v>1</v>
      </c>
      <c r="F527" s="21">
        <f>IF('Raw Data'!F527="",ROUND(AVERAGE('Raw Data'!$F$2:$F$1501),1),'Raw Data'!F527)</f>
        <v>5</v>
      </c>
      <c r="G527" s="21" t="str">
        <f>'Raw Data'!G527</f>
        <v>Cash on Delivery</v>
      </c>
      <c r="H527" s="21" t="str">
        <f>'Raw Data'!H527</f>
        <v>Male</v>
      </c>
      <c r="I527" s="21">
        <f>IF('Raw Data'!I527="",ROUND(AVERAGE('Raw Data'!$I$2:$I$1501),1),'Raw Data'!I527)</f>
        <v>1.7</v>
      </c>
      <c r="J527" s="21">
        <f>'Raw Data'!J527</f>
        <v>3</v>
      </c>
      <c r="K527" s="21" t="str">
        <f>'Raw Data'!K527</f>
        <v>Others</v>
      </c>
      <c r="L527" s="21">
        <f>'Raw Data'!L527</f>
        <v>4</v>
      </c>
      <c r="M527" s="21" t="str">
        <f>'Raw Data'!M527</f>
        <v>Married</v>
      </c>
      <c r="N527" s="21">
        <f>'Raw Data'!N527</f>
        <v>7</v>
      </c>
      <c r="O527" s="21">
        <f>'Raw Data'!O527</f>
        <v>1</v>
      </c>
      <c r="P527" s="21">
        <f>IF('Raw Data'!P527="",ROUND(AVERAGE('Raw Data'!$P$2:$P$1501),1),'Raw Data'!P527)</f>
        <v>16.600000000000001</v>
      </c>
      <c r="Q527" s="21">
        <f>IF('Raw Data'!Q527="",ROUND(AVERAGE('Raw Data'!$Q$2:$Q$1501),0),'Raw Data'!Q527)</f>
        <v>2</v>
      </c>
      <c r="R527" s="21">
        <f>'Raw Data'!R527</f>
        <v>4</v>
      </c>
      <c r="S527" s="21">
        <f>IF('Raw Data'!S527="",ROUND(AVERAGE('Raw Data'!$S$2:$S$1501),0),'Raw Data'!S527)</f>
        <v>8</v>
      </c>
      <c r="T527" s="21">
        <f>'Raw Data'!T527</f>
        <v>75.930000000000007</v>
      </c>
      <c r="U527" s="21" t="str">
        <f>INDEX('Lookup Tables'!$C$7:$C$9,MATCH(E527,'Lookup Tables'!$B$7:$B$9,0))</f>
        <v>Tier 1 (Metro)</v>
      </c>
      <c r="V527" s="21" t="str">
        <f t="shared" si="24"/>
        <v>0-6 months</v>
      </c>
      <c r="W527" s="21" t="str">
        <f t="shared" si="25"/>
        <v>Low Risk</v>
      </c>
      <c r="X527" s="21" t="str">
        <f t="shared" si="26"/>
        <v>No</v>
      </c>
    </row>
    <row r="528" spans="1:24" x14ac:dyDescent="0.3">
      <c r="A528" s="21">
        <f>'Raw Data'!A528</f>
        <v>50527</v>
      </c>
      <c r="B528" s="21">
        <f>'Raw Data'!B528</f>
        <v>0</v>
      </c>
      <c r="C528" s="21">
        <f>'Raw Data'!C528</f>
        <v>37</v>
      </c>
      <c r="D528" s="21" t="str">
        <f>'Raw Data'!D528</f>
        <v>Computer</v>
      </c>
      <c r="E528" s="21">
        <f>'Raw Data'!E528</f>
        <v>1</v>
      </c>
      <c r="F528" s="21">
        <f>IF('Raw Data'!F528="",ROUND(AVERAGE('Raw Data'!$F$2:$F$1501),1),'Raw Data'!F528)</f>
        <v>14.8</v>
      </c>
      <c r="G528" s="21" t="str">
        <f>'Raw Data'!G528</f>
        <v>Credit Card</v>
      </c>
      <c r="H528" s="21" t="str">
        <f>'Raw Data'!H528</f>
        <v>Male</v>
      </c>
      <c r="I528" s="21">
        <f>IF('Raw Data'!I528="",ROUND(AVERAGE('Raw Data'!$I$2:$I$1501),1),'Raw Data'!I528)</f>
        <v>2.4</v>
      </c>
      <c r="J528" s="21">
        <f>'Raw Data'!J528</f>
        <v>3</v>
      </c>
      <c r="K528" s="21" t="str">
        <f>'Raw Data'!K528</f>
        <v>Grocery</v>
      </c>
      <c r="L528" s="21">
        <f>'Raw Data'!L528</f>
        <v>2</v>
      </c>
      <c r="M528" s="21" t="str">
        <f>'Raw Data'!M528</f>
        <v>Married</v>
      </c>
      <c r="N528" s="21">
        <f>'Raw Data'!N528</f>
        <v>3</v>
      </c>
      <c r="O528" s="21">
        <f>'Raw Data'!O528</f>
        <v>0</v>
      </c>
      <c r="P528" s="21">
        <f>IF('Raw Data'!P528="",ROUND(AVERAGE('Raw Data'!$P$2:$P$1501),1),'Raw Data'!P528)</f>
        <v>15.9</v>
      </c>
      <c r="Q528" s="21">
        <f>IF('Raw Data'!Q528="",ROUND(AVERAGE('Raw Data'!$Q$2:$Q$1501),0),'Raw Data'!Q528)</f>
        <v>0</v>
      </c>
      <c r="R528" s="21">
        <f>'Raw Data'!R528</f>
        <v>3</v>
      </c>
      <c r="S528" s="21">
        <f>IF('Raw Data'!S528="",ROUND(AVERAGE('Raw Data'!$S$2:$S$1501),0),'Raw Data'!S528)</f>
        <v>3</v>
      </c>
      <c r="T528" s="21">
        <f>'Raw Data'!T528</f>
        <v>220.05</v>
      </c>
      <c r="U528" s="21" t="str">
        <f>INDEX('Lookup Tables'!$C$7:$C$9,MATCH(E528,'Lookup Tables'!$B$7:$B$9,0))</f>
        <v>Tier 1 (Metro)</v>
      </c>
      <c r="V528" s="21" t="str">
        <f t="shared" si="24"/>
        <v>25+ months</v>
      </c>
      <c r="W528" s="21" t="str">
        <f t="shared" si="25"/>
        <v>Low Risk</v>
      </c>
      <c r="X528" s="21" t="str">
        <f t="shared" si="26"/>
        <v>No</v>
      </c>
    </row>
    <row r="529" spans="1:24" x14ac:dyDescent="0.3">
      <c r="A529" s="21">
        <f>'Raw Data'!A529</f>
        <v>50528</v>
      </c>
      <c r="B529" s="21">
        <f>'Raw Data'!B529</f>
        <v>0</v>
      </c>
      <c r="C529" s="21">
        <f>'Raw Data'!C529</f>
        <v>4</v>
      </c>
      <c r="D529" s="21" t="str">
        <f>'Raw Data'!D529</f>
        <v>Computer</v>
      </c>
      <c r="E529" s="21">
        <f>'Raw Data'!E529</f>
        <v>3</v>
      </c>
      <c r="F529" s="21">
        <f>IF('Raw Data'!F529="",ROUND(AVERAGE('Raw Data'!$F$2:$F$1501),1),'Raw Data'!F529)</f>
        <v>28</v>
      </c>
      <c r="G529" s="21" t="str">
        <f>'Raw Data'!G529</f>
        <v>Cash on Delivery</v>
      </c>
      <c r="H529" s="21" t="str">
        <f>'Raw Data'!H529</f>
        <v>Male</v>
      </c>
      <c r="I529" s="21">
        <f>IF('Raw Data'!I529="",ROUND(AVERAGE('Raw Data'!$I$2:$I$1501),1),'Raw Data'!I529)</f>
        <v>3.2</v>
      </c>
      <c r="J529" s="21">
        <f>'Raw Data'!J529</f>
        <v>2</v>
      </c>
      <c r="K529" s="21" t="str">
        <f>'Raw Data'!K529</f>
        <v>Laptop &amp; Accessory</v>
      </c>
      <c r="L529" s="21">
        <f>'Raw Data'!L529</f>
        <v>3</v>
      </c>
      <c r="M529" s="21" t="str">
        <f>'Raw Data'!M529</f>
        <v>Married</v>
      </c>
      <c r="N529" s="21">
        <f>'Raw Data'!N529</f>
        <v>9</v>
      </c>
      <c r="O529" s="21">
        <f>'Raw Data'!O529</f>
        <v>1</v>
      </c>
      <c r="P529" s="21">
        <f>IF('Raw Data'!P529="",ROUND(AVERAGE('Raw Data'!$P$2:$P$1501),1),'Raw Data'!P529)</f>
        <v>18.7</v>
      </c>
      <c r="Q529" s="21">
        <f>IF('Raw Data'!Q529="",ROUND(AVERAGE('Raw Data'!$Q$2:$Q$1501),0),'Raw Data'!Q529)</f>
        <v>4</v>
      </c>
      <c r="R529" s="21">
        <f>'Raw Data'!R529</f>
        <v>2</v>
      </c>
      <c r="S529" s="21">
        <f>IF('Raw Data'!S529="",ROUND(AVERAGE('Raw Data'!$S$2:$S$1501),0),'Raw Data'!S529)</f>
        <v>8</v>
      </c>
      <c r="T529" s="21">
        <f>'Raw Data'!T529</f>
        <v>231.68</v>
      </c>
      <c r="U529" s="21" t="str">
        <f>INDEX('Lookup Tables'!$C$7:$C$9,MATCH(E529,'Lookup Tables'!$B$7:$B$9,0))</f>
        <v>Tier 3 (Semi-urban/Rural)</v>
      </c>
      <c r="V529" s="21" t="str">
        <f t="shared" si="24"/>
        <v>0-6 months</v>
      </c>
      <c r="W529" s="21" t="str">
        <f t="shared" si="25"/>
        <v>Medium Risk</v>
      </c>
      <c r="X529" s="21" t="str">
        <f t="shared" si="26"/>
        <v>No</v>
      </c>
    </row>
    <row r="530" spans="1:24" x14ac:dyDescent="0.3">
      <c r="A530" s="21">
        <f>'Raw Data'!A530</f>
        <v>50529</v>
      </c>
      <c r="B530" s="21">
        <f>'Raw Data'!B530</f>
        <v>0</v>
      </c>
      <c r="C530" s="21">
        <f>'Raw Data'!C530</f>
        <v>2</v>
      </c>
      <c r="D530" s="21" t="str">
        <f>'Raw Data'!D530</f>
        <v>Mobile Phone</v>
      </c>
      <c r="E530" s="21">
        <f>'Raw Data'!E530</f>
        <v>3</v>
      </c>
      <c r="F530" s="21">
        <f>IF('Raw Data'!F530="",ROUND(AVERAGE('Raw Data'!$F$2:$F$1501),1),'Raw Data'!F530)</f>
        <v>10</v>
      </c>
      <c r="G530" s="21" t="str">
        <f>'Raw Data'!G530</f>
        <v>Debit Card</v>
      </c>
      <c r="H530" s="21" t="str">
        <f>'Raw Data'!H530</f>
        <v>Male</v>
      </c>
      <c r="I530" s="21">
        <f>IF('Raw Data'!I530="",ROUND(AVERAGE('Raw Data'!$I$2:$I$1501),1),'Raw Data'!I530)</f>
        <v>2.9</v>
      </c>
      <c r="J530" s="21">
        <f>'Raw Data'!J530</f>
        <v>4</v>
      </c>
      <c r="K530" s="21" t="str">
        <f>'Raw Data'!K530</f>
        <v>Mobile Phone</v>
      </c>
      <c r="L530" s="21">
        <f>'Raw Data'!L530</f>
        <v>4</v>
      </c>
      <c r="M530" s="21" t="str">
        <f>'Raw Data'!M530</f>
        <v>Single</v>
      </c>
      <c r="N530" s="21">
        <f>'Raw Data'!N530</f>
        <v>1</v>
      </c>
      <c r="O530" s="21">
        <f>'Raw Data'!O530</f>
        <v>1</v>
      </c>
      <c r="P530" s="21">
        <f>IF('Raw Data'!P530="",ROUND(AVERAGE('Raw Data'!$P$2:$P$1501),1),'Raw Data'!P530)</f>
        <v>20.3</v>
      </c>
      <c r="Q530" s="21">
        <f>IF('Raw Data'!Q530="",ROUND(AVERAGE('Raw Data'!$Q$2:$Q$1501),0),'Raw Data'!Q530)</f>
        <v>1</v>
      </c>
      <c r="R530" s="21">
        <f>'Raw Data'!R530</f>
        <v>5</v>
      </c>
      <c r="S530" s="21">
        <f>IF('Raw Data'!S530="",ROUND(AVERAGE('Raw Data'!$S$2:$S$1501),0),'Raw Data'!S530)</f>
        <v>8</v>
      </c>
      <c r="T530" s="21">
        <f>'Raw Data'!T530</f>
        <v>56.81</v>
      </c>
      <c r="U530" s="21" t="str">
        <f>INDEX('Lookup Tables'!$C$7:$C$9,MATCH(E530,'Lookup Tables'!$B$7:$B$9,0))</f>
        <v>Tier 3 (Semi-urban/Rural)</v>
      </c>
      <c r="V530" s="21" t="str">
        <f t="shared" si="24"/>
        <v>0-6 months</v>
      </c>
      <c r="W530" s="21" t="str">
        <f t="shared" si="25"/>
        <v>Low Risk</v>
      </c>
      <c r="X530" s="21" t="str">
        <f t="shared" si="26"/>
        <v>No</v>
      </c>
    </row>
    <row r="531" spans="1:24" x14ac:dyDescent="0.3">
      <c r="A531" s="21">
        <f>'Raw Data'!A531</f>
        <v>50530</v>
      </c>
      <c r="B531" s="21">
        <f>'Raw Data'!B531</f>
        <v>0</v>
      </c>
      <c r="C531" s="21">
        <f>'Raw Data'!C531</f>
        <v>15</v>
      </c>
      <c r="D531" s="21" t="str">
        <f>'Raw Data'!D531</f>
        <v>Mobile Phone</v>
      </c>
      <c r="E531" s="21">
        <f>'Raw Data'!E531</f>
        <v>1</v>
      </c>
      <c r="F531" s="21">
        <f>IF('Raw Data'!F531="",ROUND(AVERAGE('Raw Data'!$F$2:$F$1501),1),'Raw Data'!F531)</f>
        <v>5</v>
      </c>
      <c r="G531" s="21" t="str">
        <f>'Raw Data'!G531</f>
        <v>E wallet</v>
      </c>
      <c r="H531" s="21" t="str">
        <f>'Raw Data'!H531</f>
        <v>Male</v>
      </c>
      <c r="I531" s="21">
        <f>IF('Raw Data'!I531="",ROUND(AVERAGE('Raw Data'!$I$2:$I$1501),1),'Raw Data'!I531)</f>
        <v>3.8</v>
      </c>
      <c r="J531" s="21">
        <f>'Raw Data'!J531</f>
        <v>4</v>
      </c>
      <c r="K531" s="21" t="str">
        <f>'Raw Data'!K531</f>
        <v>Mobile Phone</v>
      </c>
      <c r="L531" s="21">
        <f>'Raw Data'!L531</f>
        <v>3</v>
      </c>
      <c r="M531" s="21" t="str">
        <f>'Raw Data'!M531</f>
        <v>Married</v>
      </c>
      <c r="N531" s="21">
        <f>'Raw Data'!N531</f>
        <v>3</v>
      </c>
      <c r="O531" s="21">
        <f>'Raw Data'!O531</f>
        <v>0</v>
      </c>
      <c r="P531" s="21">
        <f>IF('Raw Data'!P531="",ROUND(AVERAGE('Raw Data'!$P$2:$P$1501),1),'Raw Data'!P531)</f>
        <v>13.2</v>
      </c>
      <c r="Q531" s="21">
        <f>IF('Raw Data'!Q531="",ROUND(AVERAGE('Raw Data'!$Q$2:$Q$1501),0),'Raw Data'!Q531)</f>
        <v>0</v>
      </c>
      <c r="R531" s="21">
        <f>'Raw Data'!R531</f>
        <v>5</v>
      </c>
      <c r="S531" s="21">
        <f>IF('Raw Data'!S531="",ROUND(AVERAGE('Raw Data'!$S$2:$S$1501),0),'Raw Data'!S531)</f>
        <v>0</v>
      </c>
      <c r="T531" s="21">
        <f>'Raw Data'!T531</f>
        <v>222.09</v>
      </c>
      <c r="U531" s="21" t="str">
        <f>INDEX('Lookup Tables'!$C$7:$C$9,MATCH(E531,'Lookup Tables'!$B$7:$B$9,0))</f>
        <v>Tier 1 (Metro)</v>
      </c>
      <c r="V531" s="21" t="str">
        <f t="shared" si="24"/>
        <v>13-24 months</v>
      </c>
      <c r="W531" s="21" t="str">
        <f t="shared" si="25"/>
        <v>Medium Risk</v>
      </c>
      <c r="X531" s="21" t="str">
        <f t="shared" si="26"/>
        <v>No</v>
      </c>
    </row>
    <row r="532" spans="1:24" x14ac:dyDescent="0.3">
      <c r="A532" s="21">
        <f>'Raw Data'!A532</f>
        <v>50531</v>
      </c>
      <c r="B532" s="21">
        <f>'Raw Data'!B532</f>
        <v>1</v>
      </c>
      <c r="C532" s="21">
        <f>'Raw Data'!C532</f>
        <v>10</v>
      </c>
      <c r="D532" s="21" t="str">
        <f>'Raw Data'!D532</f>
        <v>Mobile Phone</v>
      </c>
      <c r="E532" s="21">
        <f>'Raw Data'!E532</f>
        <v>1</v>
      </c>
      <c r="F532" s="21">
        <f>IF('Raw Data'!F532="",ROUND(AVERAGE('Raw Data'!$F$2:$F$1501),1),'Raw Data'!F532)</f>
        <v>13</v>
      </c>
      <c r="G532" s="21" t="str">
        <f>'Raw Data'!G532</f>
        <v>Cash on Delivery</v>
      </c>
      <c r="H532" s="21" t="str">
        <f>'Raw Data'!H532</f>
        <v>Female</v>
      </c>
      <c r="I532" s="21">
        <f>IF('Raw Data'!I532="",ROUND(AVERAGE('Raw Data'!$I$2:$I$1501),1),'Raw Data'!I532)</f>
        <v>2.8</v>
      </c>
      <c r="J532" s="21">
        <f>'Raw Data'!J532</f>
        <v>4</v>
      </c>
      <c r="K532" s="21" t="str">
        <f>'Raw Data'!K532</f>
        <v>Mobile Phone</v>
      </c>
      <c r="L532" s="21">
        <f>'Raw Data'!L532</f>
        <v>4</v>
      </c>
      <c r="M532" s="21" t="str">
        <f>'Raw Data'!M532</f>
        <v>Married</v>
      </c>
      <c r="N532" s="21">
        <f>'Raw Data'!N532</f>
        <v>1</v>
      </c>
      <c r="O532" s="21">
        <f>'Raw Data'!O532</f>
        <v>1</v>
      </c>
      <c r="P532" s="21">
        <f>IF('Raw Data'!P532="",ROUND(AVERAGE('Raw Data'!$P$2:$P$1501),1),'Raw Data'!P532)</f>
        <v>14.9</v>
      </c>
      <c r="Q532" s="21">
        <f>IF('Raw Data'!Q532="",ROUND(AVERAGE('Raw Data'!$Q$2:$Q$1501),0),'Raw Data'!Q532)</f>
        <v>0</v>
      </c>
      <c r="R532" s="21">
        <f>'Raw Data'!R532</f>
        <v>7</v>
      </c>
      <c r="S532" s="21">
        <f>IF('Raw Data'!S532="",ROUND(AVERAGE('Raw Data'!$S$2:$S$1501),0),'Raw Data'!S532)</f>
        <v>4</v>
      </c>
      <c r="T532" s="21">
        <f>'Raw Data'!T532</f>
        <v>101.68</v>
      </c>
      <c r="U532" s="21" t="str">
        <f>INDEX('Lookup Tables'!$C$7:$C$9,MATCH(E532,'Lookup Tables'!$B$7:$B$9,0))</f>
        <v>Tier 1 (Metro)</v>
      </c>
      <c r="V532" s="21" t="str">
        <f t="shared" si="24"/>
        <v>7-12 months</v>
      </c>
      <c r="W532" s="21" t="str">
        <f t="shared" si="25"/>
        <v>Low Risk</v>
      </c>
      <c r="X532" s="21" t="str">
        <f t="shared" si="26"/>
        <v>Yes</v>
      </c>
    </row>
    <row r="533" spans="1:24" x14ac:dyDescent="0.3">
      <c r="A533" s="21">
        <f>'Raw Data'!A533</f>
        <v>50532</v>
      </c>
      <c r="B533" s="21">
        <f>'Raw Data'!B533</f>
        <v>0</v>
      </c>
      <c r="C533" s="21">
        <f>'Raw Data'!C533</f>
        <v>6</v>
      </c>
      <c r="D533" s="21" t="str">
        <f>'Raw Data'!D533</f>
        <v>Computer</v>
      </c>
      <c r="E533" s="21">
        <f>'Raw Data'!E533</f>
        <v>1</v>
      </c>
      <c r="F533" s="21">
        <f>IF('Raw Data'!F533="",ROUND(AVERAGE('Raw Data'!$F$2:$F$1501),1),'Raw Data'!F533)</f>
        <v>31</v>
      </c>
      <c r="G533" s="21" t="str">
        <f>'Raw Data'!G533</f>
        <v>Debit Card</v>
      </c>
      <c r="H533" s="21" t="str">
        <f>'Raw Data'!H533</f>
        <v>Female</v>
      </c>
      <c r="I533" s="21">
        <f>IF('Raw Data'!I533="",ROUND(AVERAGE('Raw Data'!$I$2:$I$1501),1),'Raw Data'!I533)</f>
        <v>3.2</v>
      </c>
      <c r="J533" s="21">
        <f>'Raw Data'!J533</f>
        <v>3</v>
      </c>
      <c r="K533" s="21" t="str">
        <f>'Raw Data'!K533</f>
        <v>Mobile Phone</v>
      </c>
      <c r="L533" s="21">
        <f>'Raw Data'!L533</f>
        <v>4</v>
      </c>
      <c r="M533" s="21" t="str">
        <f>'Raw Data'!M533</f>
        <v>Divorced</v>
      </c>
      <c r="N533" s="21">
        <f>'Raw Data'!N533</f>
        <v>3</v>
      </c>
      <c r="O533" s="21">
        <f>'Raw Data'!O533</f>
        <v>1</v>
      </c>
      <c r="P533" s="21">
        <f>IF('Raw Data'!P533="",ROUND(AVERAGE('Raw Data'!$P$2:$P$1501),1),'Raw Data'!P533)</f>
        <v>19.2</v>
      </c>
      <c r="Q533" s="21">
        <f>IF('Raw Data'!Q533="",ROUND(AVERAGE('Raw Data'!$Q$2:$Q$1501),0),'Raw Data'!Q533)</f>
        <v>0</v>
      </c>
      <c r="R533" s="21">
        <f>'Raw Data'!R533</f>
        <v>4</v>
      </c>
      <c r="S533" s="21">
        <f>IF('Raw Data'!S533="",ROUND(AVERAGE('Raw Data'!$S$2:$S$1501),0),'Raw Data'!S533)</f>
        <v>3</v>
      </c>
      <c r="T533" s="21">
        <f>'Raw Data'!T533</f>
        <v>71.650000000000006</v>
      </c>
      <c r="U533" s="21" t="str">
        <f>INDEX('Lookup Tables'!$C$7:$C$9,MATCH(E533,'Lookup Tables'!$B$7:$B$9,0))</f>
        <v>Tier 1 (Metro)</v>
      </c>
      <c r="V533" s="21" t="str">
        <f t="shared" si="24"/>
        <v>0-6 months</v>
      </c>
      <c r="W533" s="21" t="str">
        <f t="shared" si="25"/>
        <v>Low Risk</v>
      </c>
      <c r="X533" s="21" t="str">
        <f t="shared" si="26"/>
        <v>No</v>
      </c>
    </row>
    <row r="534" spans="1:24" x14ac:dyDescent="0.3">
      <c r="A534" s="21">
        <f>'Raw Data'!A534</f>
        <v>50533</v>
      </c>
      <c r="B534" s="21">
        <f>'Raw Data'!B534</f>
        <v>1</v>
      </c>
      <c r="C534" s="21">
        <f>'Raw Data'!C534</f>
        <v>8</v>
      </c>
      <c r="D534" s="21" t="str">
        <f>'Raw Data'!D534</f>
        <v>Mobile Phone</v>
      </c>
      <c r="E534" s="21">
        <f>'Raw Data'!E534</f>
        <v>1</v>
      </c>
      <c r="F534" s="21">
        <f>IF('Raw Data'!F534="",ROUND(AVERAGE('Raw Data'!$F$2:$F$1501),1),'Raw Data'!F534)</f>
        <v>5</v>
      </c>
      <c r="G534" s="21" t="str">
        <f>'Raw Data'!G534</f>
        <v>Debit Card</v>
      </c>
      <c r="H534" s="21" t="str">
        <f>'Raw Data'!H534</f>
        <v>Male</v>
      </c>
      <c r="I534" s="21">
        <f>IF('Raw Data'!I534="",ROUND(AVERAGE('Raw Data'!$I$2:$I$1501),1),'Raw Data'!I534)</f>
        <v>2.9</v>
      </c>
      <c r="J534" s="21">
        <f>'Raw Data'!J534</f>
        <v>3</v>
      </c>
      <c r="K534" s="21" t="str">
        <f>'Raw Data'!K534</f>
        <v>Grocery</v>
      </c>
      <c r="L534" s="21">
        <f>'Raw Data'!L534</f>
        <v>3</v>
      </c>
      <c r="M534" s="21" t="str">
        <f>'Raw Data'!M534</f>
        <v>Divorced</v>
      </c>
      <c r="N534" s="21">
        <f>'Raw Data'!N534</f>
        <v>1</v>
      </c>
      <c r="O534" s="21">
        <f>'Raw Data'!O534</f>
        <v>1</v>
      </c>
      <c r="P534" s="21">
        <f>IF('Raw Data'!P534="",ROUND(AVERAGE('Raw Data'!$P$2:$P$1501),1),'Raw Data'!P534)</f>
        <v>11</v>
      </c>
      <c r="Q534" s="21">
        <f>IF('Raw Data'!Q534="",ROUND(AVERAGE('Raw Data'!$Q$2:$Q$1501),0),'Raw Data'!Q534)</f>
        <v>4</v>
      </c>
      <c r="R534" s="21">
        <f>'Raw Data'!R534</f>
        <v>4</v>
      </c>
      <c r="S534" s="21">
        <f>IF('Raw Data'!S534="",ROUND(AVERAGE('Raw Data'!$S$2:$S$1501),0),'Raw Data'!S534)</f>
        <v>14</v>
      </c>
      <c r="T534" s="21">
        <f>'Raw Data'!T534</f>
        <v>252.95</v>
      </c>
      <c r="U534" s="21" t="str">
        <f>INDEX('Lookup Tables'!$C$7:$C$9,MATCH(E534,'Lookup Tables'!$B$7:$B$9,0))</f>
        <v>Tier 1 (Metro)</v>
      </c>
      <c r="V534" s="21" t="str">
        <f t="shared" si="24"/>
        <v>7-12 months</v>
      </c>
      <c r="W534" s="21" t="str">
        <f t="shared" si="25"/>
        <v>Medium Risk</v>
      </c>
      <c r="X534" s="21" t="str">
        <f t="shared" si="26"/>
        <v>Yes</v>
      </c>
    </row>
    <row r="535" spans="1:24" x14ac:dyDescent="0.3">
      <c r="A535" s="21">
        <f>'Raw Data'!A535</f>
        <v>50534</v>
      </c>
      <c r="B535" s="21">
        <f>'Raw Data'!B535</f>
        <v>0</v>
      </c>
      <c r="C535" s="21">
        <f>'Raw Data'!C535</f>
        <v>12</v>
      </c>
      <c r="D535" s="21" t="str">
        <f>'Raw Data'!D535</f>
        <v>Phone</v>
      </c>
      <c r="E535" s="21">
        <f>'Raw Data'!E535</f>
        <v>2</v>
      </c>
      <c r="F535" s="21">
        <f>IF('Raw Data'!F535="",ROUND(AVERAGE('Raw Data'!$F$2:$F$1501),1),'Raw Data'!F535)</f>
        <v>6</v>
      </c>
      <c r="G535" s="21" t="str">
        <f>'Raw Data'!G535</f>
        <v>Credit Card</v>
      </c>
      <c r="H535" s="21" t="str">
        <f>'Raw Data'!H535</f>
        <v>Female</v>
      </c>
      <c r="I535" s="21">
        <f>IF('Raw Data'!I535="",ROUND(AVERAGE('Raw Data'!$I$2:$I$1501),1),'Raw Data'!I535)</f>
        <v>2.2000000000000002</v>
      </c>
      <c r="J535" s="21">
        <f>'Raw Data'!J535</f>
        <v>2</v>
      </c>
      <c r="K535" s="21" t="str">
        <f>'Raw Data'!K535</f>
        <v>Mobile Phone</v>
      </c>
      <c r="L535" s="21">
        <f>'Raw Data'!L535</f>
        <v>5</v>
      </c>
      <c r="M535" s="21" t="str">
        <f>'Raw Data'!M535</f>
        <v>Married</v>
      </c>
      <c r="N535" s="21">
        <f>'Raw Data'!N535</f>
        <v>1</v>
      </c>
      <c r="O535" s="21">
        <f>'Raw Data'!O535</f>
        <v>0</v>
      </c>
      <c r="P535" s="21">
        <f>IF('Raw Data'!P535="",ROUND(AVERAGE('Raw Data'!$P$2:$P$1501),1),'Raw Data'!P535)</f>
        <v>11</v>
      </c>
      <c r="Q535" s="21">
        <f>IF('Raw Data'!Q535="",ROUND(AVERAGE('Raw Data'!$Q$2:$Q$1501),0),'Raw Data'!Q535)</f>
        <v>3</v>
      </c>
      <c r="R535" s="21">
        <f>'Raw Data'!R535</f>
        <v>4</v>
      </c>
      <c r="S535" s="21">
        <f>IF('Raw Data'!S535="",ROUND(AVERAGE('Raw Data'!$S$2:$S$1501),0),'Raw Data'!S535)</f>
        <v>1</v>
      </c>
      <c r="T535" s="21">
        <f>'Raw Data'!T535</f>
        <v>124.61</v>
      </c>
      <c r="U535" s="21" t="str">
        <f>INDEX('Lookup Tables'!$C$7:$C$9,MATCH(E535,'Lookup Tables'!$B$7:$B$9,0))</f>
        <v>Tier 2 (Urban)</v>
      </c>
      <c r="V535" s="21" t="str">
        <f t="shared" si="24"/>
        <v>7-12 months</v>
      </c>
      <c r="W535" s="21" t="str">
        <f t="shared" si="25"/>
        <v>Low Risk</v>
      </c>
      <c r="X535" s="21" t="str">
        <f t="shared" si="26"/>
        <v>No</v>
      </c>
    </row>
    <row r="536" spans="1:24" x14ac:dyDescent="0.3">
      <c r="A536" s="21">
        <f>'Raw Data'!A536</f>
        <v>50535</v>
      </c>
      <c r="B536" s="21">
        <f>'Raw Data'!B536</f>
        <v>0</v>
      </c>
      <c r="C536" s="21">
        <f>'Raw Data'!C536</f>
        <v>2</v>
      </c>
      <c r="D536" s="21" t="str">
        <f>'Raw Data'!D536</f>
        <v>Computer</v>
      </c>
      <c r="E536" s="21">
        <f>'Raw Data'!E536</f>
        <v>1</v>
      </c>
      <c r="F536" s="21">
        <f>IF('Raw Data'!F536="",ROUND(AVERAGE('Raw Data'!$F$2:$F$1501),1),'Raw Data'!F536)</f>
        <v>14.8</v>
      </c>
      <c r="G536" s="21" t="str">
        <f>'Raw Data'!G536</f>
        <v>Cash on Delivery</v>
      </c>
      <c r="H536" s="21" t="str">
        <f>'Raw Data'!H536</f>
        <v>Male</v>
      </c>
      <c r="I536" s="21">
        <f>IF('Raw Data'!I536="",ROUND(AVERAGE('Raw Data'!$I$2:$I$1501),1),'Raw Data'!I536)</f>
        <v>1.3</v>
      </c>
      <c r="J536" s="21">
        <f>'Raw Data'!J536</f>
        <v>4</v>
      </c>
      <c r="K536" s="21" t="str">
        <f>'Raw Data'!K536</f>
        <v>Mobile Phone</v>
      </c>
      <c r="L536" s="21">
        <f>'Raw Data'!L536</f>
        <v>3</v>
      </c>
      <c r="M536" s="21" t="str">
        <f>'Raw Data'!M536</f>
        <v>Married</v>
      </c>
      <c r="N536" s="21">
        <f>'Raw Data'!N536</f>
        <v>9</v>
      </c>
      <c r="O536" s="21">
        <f>'Raw Data'!O536</f>
        <v>0</v>
      </c>
      <c r="P536" s="21">
        <f>IF('Raw Data'!P536="",ROUND(AVERAGE('Raw Data'!$P$2:$P$1501),1),'Raw Data'!P536)</f>
        <v>16.8</v>
      </c>
      <c r="Q536" s="21">
        <f>IF('Raw Data'!Q536="",ROUND(AVERAGE('Raw Data'!$Q$2:$Q$1501),0),'Raw Data'!Q536)</f>
        <v>1</v>
      </c>
      <c r="R536" s="21">
        <f>'Raw Data'!R536</f>
        <v>4</v>
      </c>
      <c r="S536" s="21">
        <f>IF('Raw Data'!S536="",ROUND(AVERAGE('Raw Data'!$S$2:$S$1501),0),'Raw Data'!S536)</f>
        <v>1</v>
      </c>
      <c r="T536" s="21">
        <f>'Raw Data'!T536</f>
        <v>140.62</v>
      </c>
      <c r="U536" s="21" t="str">
        <f>INDEX('Lookup Tables'!$C$7:$C$9,MATCH(E536,'Lookup Tables'!$B$7:$B$9,0))</f>
        <v>Tier 1 (Metro)</v>
      </c>
      <c r="V536" s="21" t="str">
        <f t="shared" si="24"/>
        <v>0-6 months</v>
      </c>
      <c r="W536" s="21" t="str">
        <f t="shared" si="25"/>
        <v>Medium Risk</v>
      </c>
      <c r="X536" s="21" t="str">
        <f t="shared" si="26"/>
        <v>No</v>
      </c>
    </row>
    <row r="537" spans="1:24" x14ac:dyDescent="0.3">
      <c r="A537" s="21">
        <f>'Raw Data'!A537</f>
        <v>50536</v>
      </c>
      <c r="B537" s="21">
        <f>'Raw Data'!B537</f>
        <v>0</v>
      </c>
      <c r="C537" s="21">
        <f>'Raw Data'!C537</f>
        <v>56</v>
      </c>
      <c r="D537" s="21" t="str">
        <f>'Raw Data'!D537</f>
        <v>Mobile Phone</v>
      </c>
      <c r="E537" s="21">
        <f>'Raw Data'!E537</f>
        <v>1</v>
      </c>
      <c r="F537" s="21">
        <f>IF('Raw Data'!F537="",ROUND(AVERAGE('Raw Data'!$F$2:$F$1501),1),'Raw Data'!F537)</f>
        <v>29</v>
      </c>
      <c r="G537" s="21" t="str">
        <f>'Raw Data'!G537</f>
        <v>Credit Card</v>
      </c>
      <c r="H537" s="21" t="str">
        <f>'Raw Data'!H537</f>
        <v>Female</v>
      </c>
      <c r="I537" s="21">
        <f>IF('Raw Data'!I537="",ROUND(AVERAGE('Raw Data'!$I$2:$I$1501),1),'Raw Data'!I537)</f>
        <v>3.2</v>
      </c>
      <c r="J537" s="21">
        <f>'Raw Data'!J537</f>
        <v>2</v>
      </c>
      <c r="K537" s="21" t="str">
        <f>'Raw Data'!K537</f>
        <v>Others</v>
      </c>
      <c r="L537" s="21">
        <f>'Raw Data'!L537</f>
        <v>2</v>
      </c>
      <c r="M537" s="21" t="str">
        <f>'Raw Data'!M537</f>
        <v>Single</v>
      </c>
      <c r="N537" s="21">
        <f>'Raw Data'!N537</f>
        <v>2</v>
      </c>
      <c r="O537" s="21">
        <f>'Raw Data'!O537</f>
        <v>0</v>
      </c>
      <c r="P537" s="21">
        <f>IF('Raw Data'!P537="",ROUND(AVERAGE('Raw Data'!$P$2:$P$1501),1),'Raw Data'!P537)</f>
        <v>16.3</v>
      </c>
      <c r="Q537" s="21">
        <f>IF('Raw Data'!Q537="",ROUND(AVERAGE('Raw Data'!$Q$2:$Q$1501),0),'Raw Data'!Q537)</f>
        <v>2</v>
      </c>
      <c r="R537" s="21">
        <f>'Raw Data'!R537</f>
        <v>7</v>
      </c>
      <c r="S537" s="21">
        <f>IF('Raw Data'!S537="",ROUND(AVERAGE('Raw Data'!$S$2:$S$1501),0),'Raw Data'!S537)</f>
        <v>11</v>
      </c>
      <c r="T537" s="21">
        <f>'Raw Data'!T537</f>
        <v>234.43</v>
      </c>
      <c r="U537" s="21" t="str">
        <f>INDEX('Lookup Tables'!$C$7:$C$9,MATCH(E537,'Lookup Tables'!$B$7:$B$9,0))</f>
        <v>Tier 1 (Metro)</v>
      </c>
      <c r="V537" s="21" t="str">
        <f t="shared" si="24"/>
        <v>25+ months</v>
      </c>
      <c r="W537" s="21" t="str">
        <f t="shared" si="25"/>
        <v>Low Risk</v>
      </c>
      <c r="X537" s="21" t="str">
        <f t="shared" si="26"/>
        <v>No</v>
      </c>
    </row>
    <row r="538" spans="1:24" x14ac:dyDescent="0.3">
      <c r="A538" s="21">
        <f>'Raw Data'!A538</f>
        <v>50537</v>
      </c>
      <c r="B538" s="21">
        <f>'Raw Data'!B538</f>
        <v>0</v>
      </c>
      <c r="C538" s="21">
        <f>'Raw Data'!C538</f>
        <v>36</v>
      </c>
      <c r="D538" s="21" t="str">
        <f>'Raw Data'!D538</f>
        <v>Computer</v>
      </c>
      <c r="E538" s="21">
        <f>'Raw Data'!E538</f>
        <v>1</v>
      </c>
      <c r="F538" s="21">
        <f>IF('Raw Data'!F538="",ROUND(AVERAGE('Raw Data'!$F$2:$F$1501),1),'Raw Data'!F538)</f>
        <v>14</v>
      </c>
      <c r="G538" s="21" t="str">
        <f>'Raw Data'!G538</f>
        <v>Credit Card</v>
      </c>
      <c r="H538" s="21" t="str">
        <f>'Raw Data'!H538</f>
        <v>Male</v>
      </c>
      <c r="I538" s="21">
        <f>IF('Raw Data'!I538="",ROUND(AVERAGE('Raw Data'!$I$2:$I$1501),1),'Raw Data'!I538)</f>
        <v>3</v>
      </c>
      <c r="J538" s="21">
        <f>'Raw Data'!J538</f>
        <v>5</v>
      </c>
      <c r="K538" s="21" t="str">
        <f>'Raw Data'!K538</f>
        <v>Laptop &amp; Accessory</v>
      </c>
      <c r="L538" s="21">
        <f>'Raw Data'!L538</f>
        <v>5</v>
      </c>
      <c r="M538" s="21" t="str">
        <f>'Raw Data'!M538</f>
        <v>Married</v>
      </c>
      <c r="N538" s="21">
        <f>'Raw Data'!N538</f>
        <v>9</v>
      </c>
      <c r="O538" s="21">
        <f>'Raw Data'!O538</f>
        <v>0</v>
      </c>
      <c r="P538" s="21">
        <f>IF('Raw Data'!P538="",ROUND(AVERAGE('Raw Data'!$P$2:$P$1501),1),'Raw Data'!P538)</f>
        <v>13.5</v>
      </c>
      <c r="Q538" s="21">
        <f>IF('Raw Data'!Q538="",ROUND(AVERAGE('Raw Data'!$Q$2:$Q$1501),0),'Raw Data'!Q538)</f>
        <v>1</v>
      </c>
      <c r="R538" s="21">
        <f>'Raw Data'!R538</f>
        <v>6</v>
      </c>
      <c r="S538" s="21">
        <f>IF('Raw Data'!S538="",ROUND(AVERAGE('Raw Data'!$S$2:$S$1501),0),'Raw Data'!S538)</f>
        <v>0</v>
      </c>
      <c r="T538" s="21">
        <f>'Raw Data'!T538</f>
        <v>163.21</v>
      </c>
      <c r="U538" s="21" t="str">
        <f>INDEX('Lookup Tables'!$C$7:$C$9,MATCH(E538,'Lookup Tables'!$B$7:$B$9,0))</f>
        <v>Tier 1 (Metro)</v>
      </c>
      <c r="V538" s="21" t="str">
        <f t="shared" si="24"/>
        <v>25+ months</v>
      </c>
      <c r="W538" s="21" t="str">
        <f t="shared" si="25"/>
        <v>Low Risk</v>
      </c>
      <c r="X538" s="21" t="str">
        <f t="shared" si="26"/>
        <v>No</v>
      </c>
    </row>
    <row r="539" spans="1:24" x14ac:dyDescent="0.3">
      <c r="A539" s="21">
        <f>'Raw Data'!A539</f>
        <v>50538</v>
      </c>
      <c r="B539" s="21">
        <f>'Raw Data'!B539</f>
        <v>0</v>
      </c>
      <c r="C539" s="21">
        <f>'Raw Data'!C539</f>
        <v>10</v>
      </c>
      <c r="D539" s="21" t="str">
        <f>'Raw Data'!D539</f>
        <v>Phone</v>
      </c>
      <c r="E539" s="21">
        <f>'Raw Data'!E539</f>
        <v>3</v>
      </c>
      <c r="F539" s="21">
        <f>IF('Raw Data'!F539="",ROUND(AVERAGE('Raw Data'!$F$2:$F$1501),1),'Raw Data'!F539)</f>
        <v>5</v>
      </c>
      <c r="G539" s="21" t="str">
        <f>'Raw Data'!G539</f>
        <v>Debit Card</v>
      </c>
      <c r="H539" s="21" t="str">
        <f>'Raw Data'!H539</f>
        <v>Male</v>
      </c>
      <c r="I539" s="21">
        <f>IF('Raw Data'!I539="",ROUND(AVERAGE('Raw Data'!$I$2:$I$1501),1),'Raw Data'!I539)</f>
        <v>2.5</v>
      </c>
      <c r="J539" s="21">
        <f>'Raw Data'!J539</f>
        <v>2</v>
      </c>
      <c r="K539" s="21" t="str">
        <f>'Raw Data'!K539</f>
        <v>Mobile Phone</v>
      </c>
      <c r="L539" s="21">
        <f>'Raw Data'!L539</f>
        <v>3</v>
      </c>
      <c r="M539" s="21" t="str">
        <f>'Raw Data'!M539</f>
        <v>Divorced</v>
      </c>
      <c r="N539" s="21">
        <f>'Raw Data'!N539</f>
        <v>1</v>
      </c>
      <c r="O539" s="21">
        <f>'Raw Data'!O539</f>
        <v>0</v>
      </c>
      <c r="P539" s="21">
        <f>IF('Raw Data'!P539="",ROUND(AVERAGE('Raw Data'!$P$2:$P$1501),1),'Raw Data'!P539)</f>
        <v>14</v>
      </c>
      <c r="Q539" s="21">
        <f>IF('Raw Data'!Q539="",ROUND(AVERAGE('Raw Data'!$Q$2:$Q$1501),0),'Raw Data'!Q539)</f>
        <v>2</v>
      </c>
      <c r="R539" s="21">
        <f>'Raw Data'!R539</f>
        <v>6</v>
      </c>
      <c r="S539" s="21">
        <f>IF('Raw Data'!S539="",ROUND(AVERAGE('Raw Data'!$S$2:$S$1501),0),'Raw Data'!S539)</f>
        <v>5</v>
      </c>
      <c r="T539" s="21">
        <f>'Raw Data'!T539</f>
        <v>170.09</v>
      </c>
      <c r="U539" s="21" t="str">
        <f>INDEX('Lookup Tables'!$C$7:$C$9,MATCH(E539,'Lookup Tables'!$B$7:$B$9,0))</f>
        <v>Tier 3 (Semi-urban/Rural)</v>
      </c>
      <c r="V539" s="21" t="str">
        <f t="shared" si="24"/>
        <v>7-12 months</v>
      </c>
      <c r="W539" s="21" t="str">
        <f t="shared" si="25"/>
        <v>Medium Risk</v>
      </c>
      <c r="X539" s="21" t="str">
        <f t="shared" si="26"/>
        <v>No</v>
      </c>
    </row>
    <row r="540" spans="1:24" x14ac:dyDescent="0.3">
      <c r="A540" s="21">
        <f>'Raw Data'!A540</f>
        <v>50539</v>
      </c>
      <c r="B540" s="21">
        <f>'Raw Data'!B540</f>
        <v>1</v>
      </c>
      <c r="C540" s="21">
        <f>'Raw Data'!C540</f>
        <v>2</v>
      </c>
      <c r="D540" s="21" t="str">
        <f>'Raw Data'!D540</f>
        <v>Computer</v>
      </c>
      <c r="E540" s="21">
        <f>'Raw Data'!E540</f>
        <v>3</v>
      </c>
      <c r="F540" s="21">
        <f>IF('Raw Data'!F540="",ROUND(AVERAGE('Raw Data'!$F$2:$F$1501),1),'Raw Data'!F540)</f>
        <v>31</v>
      </c>
      <c r="G540" s="21" t="str">
        <f>'Raw Data'!G540</f>
        <v>Debit Card</v>
      </c>
      <c r="H540" s="21" t="str">
        <f>'Raw Data'!H540</f>
        <v>Female</v>
      </c>
      <c r="I540" s="21">
        <f>IF('Raw Data'!I540="",ROUND(AVERAGE('Raw Data'!$I$2:$I$1501),1),'Raw Data'!I540)</f>
        <v>2.9</v>
      </c>
      <c r="J540" s="21">
        <f>'Raw Data'!J540</f>
        <v>3</v>
      </c>
      <c r="K540" s="21" t="str">
        <f>'Raw Data'!K540</f>
        <v>Fashion</v>
      </c>
      <c r="L540" s="21">
        <f>'Raw Data'!L540</f>
        <v>4</v>
      </c>
      <c r="M540" s="21" t="str">
        <f>'Raw Data'!M540</f>
        <v>Divorced</v>
      </c>
      <c r="N540" s="21">
        <f>'Raw Data'!N540</f>
        <v>1</v>
      </c>
      <c r="O540" s="21">
        <f>'Raw Data'!O540</f>
        <v>0</v>
      </c>
      <c r="P540" s="21">
        <f>IF('Raw Data'!P540="",ROUND(AVERAGE('Raw Data'!$P$2:$P$1501),1),'Raw Data'!P540)</f>
        <v>13.3</v>
      </c>
      <c r="Q540" s="21">
        <f>IF('Raw Data'!Q540="",ROUND(AVERAGE('Raw Data'!$Q$2:$Q$1501),0),'Raw Data'!Q540)</f>
        <v>1</v>
      </c>
      <c r="R540" s="21">
        <f>'Raw Data'!R540</f>
        <v>4</v>
      </c>
      <c r="S540" s="21">
        <f>IF('Raw Data'!S540="",ROUND(AVERAGE('Raw Data'!$S$2:$S$1501),0),'Raw Data'!S540)</f>
        <v>1</v>
      </c>
      <c r="T540" s="21">
        <f>'Raw Data'!T540</f>
        <v>168.89</v>
      </c>
      <c r="U540" s="21" t="str">
        <f>INDEX('Lookup Tables'!$C$7:$C$9,MATCH(E540,'Lookup Tables'!$B$7:$B$9,0))</f>
        <v>Tier 3 (Semi-urban/Rural)</v>
      </c>
      <c r="V540" s="21" t="str">
        <f t="shared" si="24"/>
        <v>0-6 months</v>
      </c>
      <c r="W540" s="21" t="str">
        <f t="shared" si="25"/>
        <v>Low Risk</v>
      </c>
      <c r="X540" s="21" t="str">
        <f t="shared" si="26"/>
        <v>Yes</v>
      </c>
    </row>
    <row r="541" spans="1:24" x14ac:dyDescent="0.3">
      <c r="A541" s="21">
        <f>'Raw Data'!A541</f>
        <v>50540</v>
      </c>
      <c r="B541" s="21">
        <f>'Raw Data'!B541</f>
        <v>1</v>
      </c>
      <c r="C541" s="21">
        <f>'Raw Data'!C541</f>
        <v>11</v>
      </c>
      <c r="D541" s="21" t="str">
        <f>'Raw Data'!D541</f>
        <v>Mobile Phone</v>
      </c>
      <c r="E541" s="21">
        <f>'Raw Data'!E541</f>
        <v>1</v>
      </c>
      <c r="F541" s="21">
        <f>IF('Raw Data'!F541="",ROUND(AVERAGE('Raw Data'!$F$2:$F$1501),1),'Raw Data'!F541)</f>
        <v>27</v>
      </c>
      <c r="G541" s="21" t="str">
        <f>'Raw Data'!G541</f>
        <v>UPI</v>
      </c>
      <c r="H541" s="21" t="str">
        <f>'Raw Data'!H541</f>
        <v>Male</v>
      </c>
      <c r="I541" s="21">
        <f>IF('Raw Data'!I541="",ROUND(AVERAGE('Raw Data'!$I$2:$I$1501),1),'Raw Data'!I541)</f>
        <v>3.3</v>
      </c>
      <c r="J541" s="21">
        <f>'Raw Data'!J541</f>
        <v>5</v>
      </c>
      <c r="K541" s="21" t="str">
        <f>'Raw Data'!K541</f>
        <v>Laptop &amp; Accessory</v>
      </c>
      <c r="L541" s="21">
        <f>'Raw Data'!L541</f>
        <v>3</v>
      </c>
      <c r="M541" s="21" t="str">
        <f>'Raw Data'!M541</f>
        <v>Divorced</v>
      </c>
      <c r="N541" s="21">
        <f>'Raw Data'!N541</f>
        <v>1</v>
      </c>
      <c r="O541" s="21">
        <f>'Raw Data'!O541</f>
        <v>0</v>
      </c>
      <c r="P541" s="21">
        <f>IF('Raw Data'!P541="",ROUND(AVERAGE('Raw Data'!$P$2:$P$1501),1),'Raw Data'!P541)</f>
        <v>16.3</v>
      </c>
      <c r="Q541" s="21">
        <f>IF('Raw Data'!Q541="",ROUND(AVERAGE('Raw Data'!$Q$2:$Q$1501),0),'Raw Data'!Q541)</f>
        <v>3</v>
      </c>
      <c r="R541" s="21">
        <f>'Raw Data'!R541</f>
        <v>5</v>
      </c>
      <c r="S541" s="21">
        <f>IF('Raw Data'!S541="",ROUND(AVERAGE('Raw Data'!$S$2:$S$1501),0),'Raw Data'!S541)</f>
        <v>4</v>
      </c>
      <c r="T541" s="21">
        <f>'Raw Data'!T541</f>
        <v>199.12</v>
      </c>
      <c r="U541" s="21" t="str">
        <f>INDEX('Lookup Tables'!$C$7:$C$9,MATCH(E541,'Lookup Tables'!$B$7:$B$9,0))</f>
        <v>Tier 1 (Metro)</v>
      </c>
      <c r="V541" s="21" t="str">
        <f t="shared" si="24"/>
        <v>7-12 months</v>
      </c>
      <c r="W541" s="21" t="str">
        <f t="shared" si="25"/>
        <v>Medium Risk</v>
      </c>
      <c r="X541" s="21" t="str">
        <f t="shared" si="26"/>
        <v>Yes</v>
      </c>
    </row>
    <row r="542" spans="1:24" x14ac:dyDescent="0.3">
      <c r="A542" s="21">
        <f>'Raw Data'!A542</f>
        <v>50541</v>
      </c>
      <c r="B542" s="21">
        <f>'Raw Data'!B542</f>
        <v>0</v>
      </c>
      <c r="C542" s="21">
        <f>'Raw Data'!C542</f>
        <v>0</v>
      </c>
      <c r="D542" s="21" t="str">
        <f>'Raw Data'!D542</f>
        <v>Mobile Phone</v>
      </c>
      <c r="E542" s="21">
        <f>'Raw Data'!E542</f>
        <v>3</v>
      </c>
      <c r="F542" s="21">
        <f>IF('Raw Data'!F542="",ROUND(AVERAGE('Raw Data'!$F$2:$F$1501),1),'Raw Data'!F542)</f>
        <v>20</v>
      </c>
      <c r="G542" s="21" t="str">
        <f>'Raw Data'!G542</f>
        <v>Debit Card</v>
      </c>
      <c r="H542" s="21" t="str">
        <f>'Raw Data'!H542</f>
        <v>Female</v>
      </c>
      <c r="I542" s="21">
        <f>IF('Raw Data'!I542="",ROUND(AVERAGE('Raw Data'!$I$2:$I$1501),1),'Raw Data'!I542)</f>
        <v>2.7</v>
      </c>
      <c r="J542" s="21">
        <f>'Raw Data'!J542</f>
        <v>4</v>
      </c>
      <c r="K542" s="21" t="str">
        <f>'Raw Data'!K542</f>
        <v>Fashion</v>
      </c>
      <c r="L542" s="21">
        <f>'Raw Data'!L542</f>
        <v>3</v>
      </c>
      <c r="M542" s="21" t="str">
        <f>'Raw Data'!M542</f>
        <v>Single</v>
      </c>
      <c r="N542" s="21">
        <f>'Raw Data'!N542</f>
        <v>4</v>
      </c>
      <c r="O542" s="21">
        <f>'Raw Data'!O542</f>
        <v>0</v>
      </c>
      <c r="P542" s="21">
        <f>IF('Raw Data'!P542="",ROUND(AVERAGE('Raw Data'!$P$2:$P$1501),1),'Raw Data'!P542)</f>
        <v>18.399999999999999</v>
      </c>
      <c r="Q542" s="21">
        <f>IF('Raw Data'!Q542="",ROUND(AVERAGE('Raw Data'!$Q$2:$Q$1501),0),'Raw Data'!Q542)</f>
        <v>0</v>
      </c>
      <c r="R542" s="21">
        <f>'Raw Data'!R542</f>
        <v>3</v>
      </c>
      <c r="S542" s="21">
        <f>IF('Raw Data'!S542="",ROUND(AVERAGE('Raw Data'!$S$2:$S$1501),0),'Raw Data'!S542)</f>
        <v>4</v>
      </c>
      <c r="T542" s="21">
        <f>'Raw Data'!T542</f>
        <v>167.55</v>
      </c>
      <c r="U542" s="21" t="str">
        <f>INDEX('Lookup Tables'!$C$7:$C$9,MATCH(E542,'Lookup Tables'!$B$7:$B$9,0))</f>
        <v>Tier 3 (Semi-urban/Rural)</v>
      </c>
      <c r="V542" s="21" t="str">
        <f t="shared" si="24"/>
        <v>0-6 months</v>
      </c>
      <c r="W542" s="21" t="str">
        <f t="shared" si="25"/>
        <v>Medium Risk</v>
      </c>
      <c r="X542" s="21" t="str">
        <f t="shared" si="26"/>
        <v>No</v>
      </c>
    </row>
    <row r="543" spans="1:24" x14ac:dyDescent="0.3">
      <c r="A543" s="21">
        <f>'Raw Data'!A543</f>
        <v>50542</v>
      </c>
      <c r="B543" s="21">
        <f>'Raw Data'!B543</f>
        <v>0</v>
      </c>
      <c r="C543" s="21">
        <f>'Raw Data'!C543</f>
        <v>0</v>
      </c>
      <c r="D543" s="21" t="str">
        <f>'Raw Data'!D543</f>
        <v>Phone</v>
      </c>
      <c r="E543" s="21">
        <f>'Raw Data'!E543</f>
        <v>1</v>
      </c>
      <c r="F543" s="21">
        <f>IF('Raw Data'!F543="",ROUND(AVERAGE('Raw Data'!$F$2:$F$1501),1),'Raw Data'!F543)</f>
        <v>8</v>
      </c>
      <c r="G543" s="21" t="str">
        <f>'Raw Data'!G543</f>
        <v>E wallet</v>
      </c>
      <c r="H543" s="21" t="str">
        <f>'Raw Data'!H543</f>
        <v>Male</v>
      </c>
      <c r="I543" s="21">
        <f>IF('Raw Data'!I543="",ROUND(AVERAGE('Raw Data'!$I$2:$I$1501),1),'Raw Data'!I543)</f>
        <v>3.3</v>
      </c>
      <c r="J543" s="21">
        <f>'Raw Data'!J543</f>
        <v>3</v>
      </c>
      <c r="K543" s="21" t="str">
        <f>'Raw Data'!K543</f>
        <v>Laptop &amp; Accessory</v>
      </c>
      <c r="L543" s="21">
        <f>'Raw Data'!L543</f>
        <v>4</v>
      </c>
      <c r="M543" s="21" t="str">
        <f>'Raw Data'!M543</f>
        <v>Married</v>
      </c>
      <c r="N543" s="21">
        <f>'Raw Data'!N543</f>
        <v>2</v>
      </c>
      <c r="O543" s="21">
        <f>'Raw Data'!O543</f>
        <v>0</v>
      </c>
      <c r="P543" s="21">
        <f>IF('Raw Data'!P543="",ROUND(AVERAGE('Raw Data'!$P$2:$P$1501),1),'Raw Data'!P543)</f>
        <v>11.9</v>
      </c>
      <c r="Q543" s="21">
        <f>IF('Raw Data'!Q543="",ROUND(AVERAGE('Raw Data'!$Q$2:$Q$1501),0),'Raw Data'!Q543)</f>
        <v>0</v>
      </c>
      <c r="R543" s="21">
        <f>'Raw Data'!R543</f>
        <v>2</v>
      </c>
      <c r="S543" s="21">
        <f>IF('Raw Data'!S543="",ROUND(AVERAGE('Raw Data'!$S$2:$S$1501),0),'Raw Data'!S543)</f>
        <v>2</v>
      </c>
      <c r="T543" s="21">
        <f>'Raw Data'!T543</f>
        <v>186.28</v>
      </c>
      <c r="U543" s="21" t="str">
        <f>INDEX('Lookup Tables'!$C$7:$C$9,MATCH(E543,'Lookup Tables'!$B$7:$B$9,0))</f>
        <v>Tier 1 (Metro)</v>
      </c>
      <c r="V543" s="21" t="str">
        <f t="shared" si="24"/>
        <v>0-6 months</v>
      </c>
      <c r="W543" s="21" t="str">
        <f t="shared" si="25"/>
        <v>Low Risk</v>
      </c>
      <c r="X543" s="21" t="str">
        <f t="shared" si="26"/>
        <v>No</v>
      </c>
    </row>
    <row r="544" spans="1:24" x14ac:dyDescent="0.3">
      <c r="A544" s="21">
        <f>'Raw Data'!A544</f>
        <v>50543</v>
      </c>
      <c r="B544" s="21">
        <f>'Raw Data'!B544</f>
        <v>0</v>
      </c>
      <c r="C544" s="21">
        <f>'Raw Data'!C544</f>
        <v>2</v>
      </c>
      <c r="D544" s="21" t="str">
        <f>'Raw Data'!D544</f>
        <v>Computer</v>
      </c>
      <c r="E544" s="21">
        <f>'Raw Data'!E544</f>
        <v>1</v>
      </c>
      <c r="F544" s="21">
        <f>IF('Raw Data'!F544="",ROUND(AVERAGE('Raw Data'!$F$2:$F$1501),1),'Raw Data'!F544)</f>
        <v>14</v>
      </c>
      <c r="G544" s="21" t="str">
        <f>'Raw Data'!G544</f>
        <v>Cash on Delivery</v>
      </c>
      <c r="H544" s="21" t="str">
        <f>'Raw Data'!H544</f>
        <v>Male</v>
      </c>
      <c r="I544" s="21">
        <f>IF('Raw Data'!I544="",ROUND(AVERAGE('Raw Data'!$I$2:$I$1501),1),'Raw Data'!I544)</f>
        <v>4.2</v>
      </c>
      <c r="J544" s="21">
        <f>'Raw Data'!J544</f>
        <v>2</v>
      </c>
      <c r="K544" s="21" t="str">
        <f>'Raw Data'!K544</f>
        <v>Grocery</v>
      </c>
      <c r="L544" s="21">
        <f>'Raw Data'!L544</f>
        <v>4</v>
      </c>
      <c r="M544" s="21" t="str">
        <f>'Raw Data'!M544</f>
        <v>Divorced</v>
      </c>
      <c r="N544" s="21">
        <f>'Raw Data'!N544</f>
        <v>9</v>
      </c>
      <c r="O544" s="21">
        <f>'Raw Data'!O544</f>
        <v>0</v>
      </c>
      <c r="P544" s="21">
        <f>IF('Raw Data'!P544="",ROUND(AVERAGE('Raw Data'!$P$2:$P$1501),1),'Raw Data'!P544)</f>
        <v>15.1</v>
      </c>
      <c r="Q544" s="21">
        <f>IF('Raw Data'!Q544="",ROUND(AVERAGE('Raw Data'!$Q$2:$Q$1501),0),'Raw Data'!Q544)</f>
        <v>0</v>
      </c>
      <c r="R544" s="21">
        <f>'Raw Data'!R544</f>
        <v>2</v>
      </c>
      <c r="S544" s="21">
        <f>IF('Raw Data'!S544="",ROUND(AVERAGE('Raw Data'!$S$2:$S$1501),0),'Raw Data'!S544)</f>
        <v>18</v>
      </c>
      <c r="T544" s="21">
        <f>'Raw Data'!T544</f>
        <v>152.30000000000001</v>
      </c>
      <c r="U544" s="21" t="str">
        <f>INDEX('Lookup Tables'!$C$7:$C$9,MATCH(E544,'Lookup Tables'!$B$7:$B$9,0))</f>
        <v>Tier 1 (Metro)</v>
      </c>
      <c r="V544" s="21" t="str">
        <f t="shared" si="24"/>
        <v>0-6 months</v>
      </c>
      <c r="W544" s="21" t="str">
        <f t="shared" si="25"/>
        <v>Medium Risk</v>
      </c>
      <c r="X544" s="21" t="str">
        <f t="shared" si="26"/>
        <v>No</v>
      </c>
    </row>
    <row r="545" spans="1:24" x14ac:dyDescent="0.3">
      <c r="A545" s="21">
        <f>'Raw Data'!A545</f>
        <v>50544</v>
      </c>
      <c r="B545" s="21">
        <f>'Raw Data'!B545</f>
        <v>0</v>
      </c>
      <c r="C545" s="21">
        <f>'Raw Data'!C545</f>
        <v>6</v>
      </c>
      <c r="D545" s="21" t="str">
        <f>'Raw Data'!D545</f>
        <v>Computer</v>
      </c>
      <c r="E545" s="21">
        <f>'Raw Data'!E545</f>
        <v>3</v>
      </c>
      <c r="F545" s="21">
        <f>IF('Raw Data'!F545="",ROUND(AVERAGE('Raw Data'!$F$2:$F$1501),1),'Raw Data'!F545)</f>
        <v>13</v>
      </c>
      <c r="G545" s="21" t="str">
        <f>'Raw Data'!G545</f>
        <v>Debit Card</v>
      </c>
      <c r="H545" s="21" t="str">
        <f>'Raw Data'!H545</f>
        <v>Male</v>
      </c>
      <c r="I545" s="21">
        <f>IF('Raw Data'!I545="",ROUND(AVERAGE('Raw Data'!$I$2:$I$1501),1),'Raw Data'!I545)</f>
        <v>1.4</v>
      </c>
      <c r="J545" s="21">
        <f>'Raw Data'!J545</f>
        <v>2</v>
      </c>
      <c r="K545" s="21" t="str">
        <f>'Raw Data'!K545</f>
        <v>Mobile Phone</v>
      </c>
      <c r="L545" s="21">
        <f>'Raw Data'!L545</f>
        <v>3</v>
      </c>
      <c r="M545" s="21" t="str">
        <f>'Raw Data'!M545</f>
        <v>Single</v>
      </c>
      <c r="N545" s="21">
        <f>'Raw Data'!N545</f>
        <v>1</v>
      </c>
      <c r="O545" s="21">
        <f>'Raw Data'!O545</f>
        <v>1</v>
      </c>
      <c r="P545" s="21">
        <f>IF('Raw Data'!P545="",ROUND(AVERAGE('Raw Data'!$P$2:$P$1501),1),'Raw Data'!P545)</f>
        <v>12.8</v>
      </c>
      <c r="Q545" s="21">
        <f>IF('Raw Data'!Q545="",ROUND(AVERAGE('Raw Data'!$Q$2:$Q$1501),0),'Raw Data'!Q545)</f>
        <v>4</v>
      </c>
      <c r="R545" s="21">
        <f>'Raw Data'!R545</f>
        <v>4</v>
      </c>
      <c r="S545" s="21">
        <f>IF('Raw Data'!S545="",ROUND(AVERAGE('Raw Data'!$S$2:$S$1501),0),'Raw Data'!S545)</f>
        <v>4</v>
      </c>
      <c r="T545" s="21">
        <f>'Raw Data'!T545</f>
        <v>199.35</v>
      </c>
      <c r="U545" s="21" t="str">
        <f>INDEX('Lookup Tables'!$C$7:$C$9,MATCH(E545,'Lookup Tables'!$B$7:$B$9,0))</f>
        <v>Tier 3 (Semi-urban/Rural)</v>
      </c>
      <c r="V545" s="21" t="str">
        <f t="shared" si="24"/>
        <v>0-6 months</v>
      </c>
      <c r="W545" s="21" t="str">
        <f t="shared" si="25"/>
        <v>Medium Risk</v>
      </c>
      <c r="X545" s="21" t="str">
        <f t="shared" si="26"/>
        <v>No</v>
      </c>
    </row>
    <row r="546" spans="1:24" x14ac:dyDescent="0.3">
      <c r="A546" s="21">
        <f>'Raw Data'!A546</f>
        <v>50545</v>
      </c>
      <c r="B546" s="21">
        <f>'Raw Data'!B546</f>
        <v>0</v>
      </c>
      <c r="C546" s="21">
        <f>'Raw Data'!C546</f>
        <v>20</v>
      </c>
      <c r="D546" s="21" t="str">
        <f>'Raw Data'!D546</f>
        <v>Phone</v>
      </c>
      <c r="E546" s="21">
        <f>'Raw Data'!E546</f>
        <v>3</v>
      </c>
      <c r="F546" s="21">
        <f>IF('Raw Data'!F546="",ROUND(AVERAGE('Raw Data'!$F$2:$F$1501),1),'Raw Data'!F546)</f>
        <v>17</v>
      </c>
      <c r="G546" s="21" t="str">
        <f>'Raw Data'!G546</f>
        <v>E wallet</v>
      </c>
      <c r="H546" s="21" t="str">
        <f>'Raw Data'!H546</f>
        <v>Male</v>
      </c>
      <c r="I546" s="21">
        <f>IF('Raw Data'!I546="",ROUND(AVERAGE('Raw Data'!$I$2:$I$1501),1),'Raw Data'!I546)</f>
        <v>2.4</v>
      </c>
      <c r="J546" s="21">
        <f>'Raw Data'!J546</f>
        <v>4</v>
      </c>
      <c r="K546" s="21" t="str">
        <f>'Raw Data'!K546</f>
        <v>Mobile Phone</v>
      </c>
      <c r="L546" s="21">
        <f>'Raw Data'!L546</f>
        <v>2</v>
      </c>
      <c r="M546" s="21" t="str">
        <f>'Raw Data'!M546</f>
        <v>Married</v>
      </c>
      <c r="N546" s="21">
        <f>'Raw Data'!N546</f>
        <v>4</v>
      </c>
      <c r="O546" s="21">
        <f>'Raw Data'!O546</f>
        <v>0</v>
      </c>
      <c r="P546" s="21">
        <f>IF('Raw Data'!P546="",ROUND(AVERAGE('Raw Data'!$P$2:$P$1501),1),'Raw Data'!P546)</f>
        <v>11</v>
      </c>
      <c r="Q546" s="21">
        <f>IF('Raw Data'!Q546="",ROUND(AVERAGE('Raw Data'!$Q$2:$Q$1501),0),'Raw Data'!Q546)</f>
        <v>2</v>
      </c>
      <c r="R546" s="21">
        <f>'Raw Data'!R546</f>
        <v>1</v>
      </c>
      <c r="S546" s="21">
        <f>IF('Raw Data'!S546="",ROUND(AVERAGE('Raw Data'!$S$2:$S$1501),0),'Raw Data'!S546)</f>
        <v>2</v>
      </c>
      <c r="T546" s="21">
        <f>'Raw Data'!T546</f>
        <v>197.26</v>
      </c>
      <c r="U546" s="21" t="str">
        <f>INDEX('Lookup Tables'!$C$7:$C$9,MATCH(E546,'Lookup Tables'!$B$7:$B$9,0))</f>
        <v>Tier 3 (Semi-urban/Rural)</v>
      </c>
      <c r="V546" s="21" t="str">
        <f t="shared" si="24"/>
        <v>13-24 months</v>
      </c>
      <c r="W546" s="21" t="str">
        <f t="shared" si="25"/>
        <v>Low Risk</v>
      </c>
      <c r="X546" s="21" t="str">
        <f t="shared" si="26"/>
        <v>No</v>
      </c>
    </row>
    <row r="547" spans="1:24" x14ac:dyDescent="0.3">
      <c r="A547" s="21">
        <f>'Raw Data'!A547</f>
        <v>50546</v>
      </c>
      <c r="B547" s="21">
        <f>'Raw Data'!B547</f>
        <v>1</v>
      </c>
      <c r="C547" s="21">
        <f>'Raw Data'!C547</f>
        <v>12</v>
      </c>
      <c r="D547" s="21" t="str">
        <f>'Raw Data'!D547</f>
        <v>Phone</v>
      </c>
      <c r="E547" s="21">
        <f>'Raw Data'!E547</f>
        <v>3</v>
      </c>
      <c r="F547" s="21">
        <f>IF('Raw Data'!F547="",ROUND(AVERAGE('Raw Data'!$F$2:$F$1501),1),'Raw Data'!F547)</f>
        <v>26</v>
      </c>
      <c r="G547" s="21" t="str">
        <f>'Raw Data'!G547</f>
        <v>Debit Card</v>
      </c>
      <c r="H547" s="21" t="str">
        <f>'Raw Data'!H547</f>
        <v>Female</v>
      </c>
      <c r="I547" s="21">
        <f>IF('Raw Data'!I547="",ROUND(AVERAGE('Raw Data'!$I$2:$I$1501),1),'Raw Data'!I547)</f>
        <v>2.8</v>
      </c>
      <c r="J547" s="21">
        <f>'Raw Data'!J547</f>
        <v>5</v>
      </c>
      <c r="K547" s="21" t="str">
        <f>'Raw Data'!K547</f>
        <v>Mobile Phone</v>
      </c>
      <c r="L547" s="21">
        <f>'Raw Data'!L547</f>
        <v>5</v>
      </c>
      <c r="M547" s="21" t="str">
        <f>'Raw Data'!M547</f>
        <v>Married</v>
      </c>
      <c r="N547" s="21">
        <f>'Raw Data'!N547</f>
        <v>1</v>
      </c>
      <c r="O547" s="21">
        <f>'Raw Data'!O547</f>
        <v>0</v>
      </c>
      <c r="P547" s="21">
        <f>IF('Raw Data'!P547="",ROUND(AVERAGE('Raw Data'!$P$2:$P$1501),1),'Raw Data'!P547)</f>
        <v>19</v>
      </c>
      <c r="Q547" s="21">
        <f>IF('Raw Data'!Q547="",ROUND(AVERAGE('Raw Data'!$Q$2:$Q$1501),0),'Raw Data'!Q547)</f>
        <v>0</v>
      </c>
      <c r="R547" s="21">
        <f>'Raw Data'!R547</f>
        <v>5</v>
      </c>
      <c r="S547" s="21">
        <f>IF('Raw Data'!S547="",ROUND(AVERAGE('Raw Data'!$S$2:$S$1501),0),'Raw Data'!S547)</f>
        <v>2</v>
      </c>
      <c r="T547" s="21">
        <f>'Raw Data'!T547</f>
        <v>284.38</v>
      </c>
      <c r="U547" s="21" t="str">
        <f>INDEX('Lookup Tables'!$C$7:$C$9,MATCH(E547,'Lookup Tables'!$B$7:$B$9,0))</f>
        <v>Tier 3 (Semi-urban/Rural)</v>
      </c>
      <c r="V547" s="21" t="str">
        <f t="shared" si="24"/>
        <v>7-12 months</v>
      </c>
      <c r="W547" s="21" t="str">
        <f t="shared" si="25"/>
        <v>Low Risk</v>
      </c>
      <c r="X547" s="21" t="str">
        <f t="shared" si="26"/>
        <v>Yes</v>
      </c>
    </row>
    <row r="548" spans="1:24" x14ac:dyDescent="0.3">
      <c r="A548" s="21">
        <f>'Raw Data'!A548</f>
        <v>50547</v>
      </c>
      <c r="B548" s="21">
        <f>'Raw Data'!B548</f>
        <v>0</v>
      </c>
      <c r="C548" s="21">
        <f>'Raw Data'!C548</f>
        <v>13</v>
      </c>
      <c r="D548" s="21" t="str">
        <f>'Raw Data'!D548</f>
        <v>Phone</v>
      </c>
      <c r="E548" s="21">
        <f>'Raw Data'!E548</f>
        <v>2</v>
      </c>
      <c r="F548" s="21">
        <f>IF('Raw Data'!F548="",ROUND(AVERAGE('Raw Data'!$F$2:$F$1501),1),'Raw Data'!F548)</f>
        <v>22</v>
      </c>
      <c r="G548" s="21" t="str">
        <f>'Raw Data'!G548</f>
        <v>E wallet</v>
      </c>
      <c r="H548" s="21" t="str">
        <f>'Raw Data'!H548</f>
        <v>Male</v>
      </c>
      <c r="I548" s="21">
        <f>IF('Raw Data'!I548="",ROUND(AVERAGE('Raw Data'!$I$2:$I$1501),1),'Raw Data'!I548)</f>
        <v>3.9</v>
      </c>
      <c r="J548" s="21">
        <f>'Raw Data'!J548</f>
        <v>3</v>
      </c>
      <c r="K548" s="21" t="str">
        <f>'Raw Data'!K548</f>
        <v>Laptop &amp; Accessory</v>
      </c>
      <c r="L548" s="21">
        <f>'Raw Data'!L548</f>
        <v>1</v>
      </c>
      <c r="M548" s="21" t="str">
        <f>'Raw Data'!M548</f>
        <v>Married</v>
      </c>
      <c r="N548" s="21">
        <f>'Raw Data'!N548</f>
        <v>1</v>
      </c>
      <c r="O548" s="21">
        <f>'Raw Data'!O548</f>
        <v>1</v>
      </c>
      <c r="P548" s="21">
        <f>IF('Raw Data'!P548="",ROUND(AVERAGE('Raw Data'!$P$2:$P$1501),1),'Raw Data'!P548)</f>
        <v>14.2</v>
      </c>
      <c r="Q548" s="21">
        <f>IF('Raw Data'!Q548="",ROUND(AVERAGE('Raw Data'!$Q$2:$Q$1501),0),'Raw Data'!Q548)</f>
        <v>2</v>
      </c>
      <c r="R548" s="21">
        <f>'Raw Data'!R548</f>
        <v>3</v>
      </c>
      <c r="S548" s="21">
        <f>IF('Raw Data'!S548="",ROUND(AVERAGE('Raw Data'!$S$2:$S$1501),0),'Raw Data'!S548)</f>
        <v>4</v>
      </c>
      <c r="T548" s="21">
        <f>'Raw Data'!T548</f>
        <v>159.03</v>
      </c>
      <c r="U548" s="21" t="str">
        <f>INDEX('Lookup Tables'!$C$7:$C$9,MATCH(E548,'Lookup Tables'!$B$7:$B$9,0))</f>
        <v>Tier 2 (Urban)</v>
      </c>
      <c r="V548" s="21" t="str">
        <f t="shared" si="24"/>
        <v>13-24 months</v>
      </c>
      <c r="W548" s="21" t="str">
        <f t="shared" si="25"/>
        <v>High Risk</v>
      </c>
      <c r="X548" s="21" t="str">
        <f t="shared" si="26"/>
        <v>No</v>
      </c>
    </row>
    <row r="549" spans="1:24" x14ac:dyDescent="0.3">
      <c r="A549" s="21">
        <f>'Raw Data'!A549</f>
        <v>50548</v>
      </c>
      <c r="B549" s="21">
        <f>'Raw Data'!B549</f>
        <v>0</v>
      </c>
      <c r="C549" s="21">
        <f>'Raw Data'!C549</f>
        <v>5</v>
      </c>
      <c r="D549" s="21" t="str">
        <f>'Raw Data'!D549</f>
        <v>Mobile Phone</v>
      </c>
      <c r="E549" s="21">
        <f>'Raw Data'!E549</f>
        <v>1</v>
      </c>
      <c r="F549" s="21">
        <f>IF('Raw Data'!F549="",ROUND(AVERAGE('Raw Data'!$F$2:$F$1501),1),'Raw Data'!F549)</f>
        <v>6</v>
      </c>
      <c r="G549" s="21" t="str">
        <f>'Raw Data'!G549</f>
        <v>Debit Card</v>
      </c>
      <c r="H549" s="21" t="str">
        <f>'Raw Data'!H549</f>
        <v>Female</v>
      </c>
      <c r="I549" s="21">
        <f>IF('Raw Data'!I549="",ROUND(AVERAGE('Raw Data'!$I$2:$I$1501),1),'Raw Data'!I549)</f>
        <v>1.8</v>
      </c>
      <c r="J549" s="21">
        <f>'Raw Data'!J549</f>
        <v>2</v>
      </c>
      <c r="K549" s="21" t="str">
        <f>'Raw Data'!K549</f>
        <v>Laptop &amp; Accessory</v>
      </c>
      <c r="L549" s="21">
        <f>'Raw Data'!L549</f>
        <v>5</v>
      </c>
      <c r="M549" s="21" t="str">
        <f>'Raw Data'!M549</f>
        <v>Divorced</v>
      </c>
      <c r="N549" s="21">
        <f>'Raw Data'!N549</f>
        <v>2</v>
      </c>
      <c r="O549" s="21">
        <f>'Raw Data'!O549</f>
        <v>0</v>
      </c>
      <c r="P549" s="21">
        <f>IF('Raw Data'!P549="",ROUND(AVERAGE('Raw Data'!$P$2:$P$1501),1),'Raw Data'!P549)</f>
        <v>16.7</v>
      </c>
      <c r="Q549" s="21">
        <f>IF('Raw Data'!Q549="",ROUND(AVERAGE('Raw Data'!$Q$2:$Q$1501),0),'Raw Data'!Q549)</f>
        <v>2</v>
      </c>
      <c r="R549" s="21">
        <f>'Raw Data'!R549</f>
        <v>7</v>
      </c>
      <c r="S549" s="21">
        <f>IF('Raw Data'!S549="",ROUND(AVERAGE('Raw Data'!$S$2:$S$1501),0),'Raw Data'!S549)</f>
        <v>2</v>
      </c>
      <c r="T549" s="21">
        <f>'Raw Data'!T549</f>
        <v>169.87</v>
      </c>
      <c r="U549" s="21" t="str">
        <f>INDEX('Lookup Tables'!$C$7:$C$9,MATCH(E549,'Lookup Tables'!$B$7:$B$9,0))</f>
        <v>Tier 1 (Metro)</v>
      </c>
      <c r="V549" s="21" t="str">
        <f t="shared" si="24"/>
        <v>0-6 months</v>
      </c>
      <c r="W549" s="21" t="str">
        <f t="shared" si="25"/>
        <v>Low Risk</v>
      </c>
      <c r="X549" s="21" t="str">
        <f t="shared" si="26"/>
        <v>No</v>
      </c>
    </row>
    <row r="550" spans="1:24" x14ac:dyDescent="0.3">
      <c r="A550" s="21">
        <f>'Raw Data'!A550</f>
        <v>50549</v>
      </c>
      <c r="B550" s="21">
        <f>'Raw Data'!B550</f>
        <v>0</v>
      </c>
      <c r="C550" s="21">
        <f>'Raw Data'!C550</f>
        <v>4</v>
      </c>
      <c r="D550" s="21" t="str">
        <f>'Raw Data'!D550</f>
        <v>Mobile Phone</v>
      </c>
      <c r="E550" s="21">
        <f>'Raw Data'!E550</f>
        <v>3</v>
      </c>
      <c r="F550" s="21">
        <f>IF('Raw Data'!F550="",ROUND(AVERAGE('Raw Data'!$F$2:$F$1501),1),'Raw Data'!F550)</f>
        <v>26</v>
      </c>
      <c r="G550" s="21" t="str">
        <f>'Raw Data'!G550</f>
        <v>E wallet</v>
      </c>
      <c r="H550" s="21" t="str">
        <f>'Raw Data'!H550</f>
        <v>Female</v>
      </c>
      <c r="I550" s="21">
        <f>IF('Raw Data'!I550="",ROUND(AVERAGE('Raw Data'!$I$2:$I$1501),1),'Raw Data'!I550)</f>
        <v>4.3</v>
      </c>
      <c r="J550" s="21">
        <f>'Raw Data'!J550</f>
        <v>1</v>
      </c>
      <c r="K550" s="21" t="str">
        <f>'Raw Data'!K550</f>
        <v>Mobile Phone</v>
      </c>
      <c r="L550" s="21">
        <f>'Raw Data'!L550</f>
        <v>3</v>
      </c>
      <c r="M550" s="21" t="str">
        <f>'Raw Data'!M550</f>
        <v>Married</v>
      </c>
      <c r="N550" s="21">
        <f>'Raw Data'!N550</f>
        <v>2</v>
      </c>
      <c r="O550" s="21">
        <f>'Raw Data'!O550</f>
        <v>0</v>
      </c>
      <c r="P550" s="21">
        <f>IF('Raw Data'!P550="",ROUND(AVERAGE('Raw Data'!$P$2:$P$1501),1),'Raw Data'!P550)</f>
        <v>11</v>
      </c>
      <c r="Q550" s="21">
        <f>IF('Raw Data'!Q550="",ROUND(AVERAGE('Raw Data'!$Q$2:$Q$1501),0),'Raw Data'!Q550)</f>
        <v>3</v>
      </c>
      <c r="R550" s="21">
        <f>'Raw Data'!R550</f>
        <v>5</v>
      </c>
      <c r="S550" s="21">
        <f>IF('Raw Data'!S550="",ROUND(AVERAGE('Raw Data'!$S$2:$S$1501),0),'Raw Data'!S550)</f>
        <v>0</v>
      </c>
      <c r="T550" s="21">
        <f>'Raw Data'!T550</f>
        <v>193.14</v>
      </c>
      <c r="U550" s="21" t="str">
        <f>INDEX('Lookup Tables'!$C$7:$C$9,MATCH(E550,'Lookup Tables'!$B$7:$B$9,0))</f>
        <v>Tier 3 (Semi-urban/Rural)</v>
      </c>
      <c r="V550" s="21" t="str">
        <f t="shared" si="24"/>
        <v>0-6 months</v>
      </c>
      <c r="W550" s="21" t="str">
        <f t="shared" si="25"/>
        <v>Medium Risk</v>
      </c>
      <c r="X550" s="21" t="str">
        <f t="shared" si="26"/>
        <v>No</v>
      </c>
    </row>
    <row r="551" spans="1:24" x14ac:dyDescent="0.3">
      <c r="A551" s="21">
        <f>'Raw Data'!A551</f>
        <v>50550</v>
      </c>
      <c r="B551" s="21">
        <f>'Raw Data'!B551</f>
        <v>0</v>
      </c>
      <c r="C551" s="21">
        <f>'Raw Data'!C551</f>
        <v>4</v>
      </c>
      <c r="D551" s="21" t="str">
        <f>'Raw Data'!D551</f>
        <v>Computer</v>
      </c>
      <c r="E551" s="21">
        <f>'Raw Data'!E551</f>
        <v>1</v>
      </c>
      <c r="F551" s="21">
        <f>IF('Raw Data'!F551="",ROUND(AVERAGE('Raw Data'!$F$2:$F$1501),1),'Raw Data'!F551)</f>
        <v>17</v>
      </c>
      <c r="G551" s="21" t="str">
        <f>'Raw Data'!G551</f>
        <v>Debit Card</v>
      </c>
      <c r="H551" s="21" t="str">
        <f>'Raw Data'!H551</f>
        <v>Female</v>
      </c>
      <c r="I551" s="21">
        <f>IF('Raw Data'!I551="",ROUND(AVERAGE('Raw Data'!$I$2:$I$1501),1),'Raw Data'!I551)</f>
        <v>3</v>
      </c>
      <c r="J551" s="21">
        <f>'Raw Data'!J551</f>
        <v>2</v>
      </c>
      <c r="K551" s="21" t="str">
        <f>'Raw Data'!K551</f>
        <v>Mobile Phone</v>
      </c>
      <c r="L551" s="21">
        <f>'Raw Data'!L551</f>
        <v>4</v>
      </c>
      <c r="M551" s="21" t="str">
        <f>'Raw Data'!M551</f>
        <v>Married</v>
      </c>
      <c r="N551" s="21">
        <f>'Raw Data'!N551</f>
        <v>1</v>
      </c>
      <c r="O551" s="21">
        <f>'Raw Data'!O551</f>
        <v>1</v>
      </c>
      <c r="P551" s="21">
        <f>IF('Raw Data'!P551="",ROUND(AVERAGE('Raw Data'!$P$2:$P$1501),1),'Raw Data'!P551)</f>
        <v>13.4</v>
      </c>
      <c r="Q551" s="21">
        <f>IF('Raw Data'!Q551="",ROUND(AVERAGE('Raw Data'!$Q$2:$Q$1501),0),'Raw Data'!Q551)</f>
        <v>3</v>
      </c>
      <c r="R551" s="21">
        <f>'Raw Data'!R551</f>
        <v>3</v>
      </c>
      <c r="S551" s="21">
        <f>IF('Raw Data'!S551="",ROUND(AVERAGE('Raw Data'!$S$2:$S$1501),0),'Raw Data'!S551)</f>
        <v>14</v>
      </c>
      <c r="T551" s="21">
        <f>'Raw Data'!T551</f>
        <v>233.04</v>
      </c>
      <c r="U551" s="21" t="str">
        <f>INDEX('Lookup Tables'!$C$7:$C$9,MATCH(E551,'Lookup Tables'!$B$7:$B$9,0))</f>
        <v>Tier 1 (Metro)</v>
      </c>
      <c r="V551" s="21" t="str">
        <f t="shared" si="24"/>
        <v>0-6 months</v>
      </c>
      <c r="W551" s="21" t="str">
        <f t="shared" si="25"/>
        <v>Low Risk</v>
      </c>
      <c r="X551" s="21" t="str">
        <f t="shared" si="26"/>
        <v>No</v>
      </c>
    </row>
    <row r="552" spans="1:24" x14ac:dyDescent="0.3">
      <c r="A552" s="21">
        <f>'Raw Data'!A552</f>
        <v>50551</v>
      </c>
      <c r="B552" s="21">
        <f>'Raw Data'!B552</f>
        <v>0</v>
      </c>
      <c r="C552" s="21">
        <f>'Raw Data'!C552</f>
        <v>43</v>
      </c>
      <c r="D552" s="21" t="str">
        <f>'Raw Data'!D552</f>
        <v>Computer</v>
      </c>
      <c r="E552" s="21">
        <f>'Raw Data'!E552</f>
        <v>2</v>
      </c>
      <c r="F552" s="21">
        <f>IF('Raw Data'!F552="",ROUND(AVERAGE('Raw Data'!$F$2:$F$1501),1),'Raw Data'!F552)</f>
        <v>20</v>
      </c>
      <c r="G552" s="21" t="str">
        <f>'Raw Data'!G552</f>
        <v>Credit Card</v>
      </c>
      <c r="H552" s="21" t="str">
        <f>'Raw Data'!H552</f>
        <v>Male</v>
      </c>
      <c r="I552" s="21">
        <f>IF('Raw Data'!I552="",ROUND(AVERAGE('Raw Data'!$I$2:$I$1501),1),'Raw Data'!I552)</f>
        <v>2.8</v>
      </c>
      <c r="J552" s="21">
        <f>'Raw Data'!J552</f>
        <v>3</v>
      </c>
      <c r="K552" s="21" t="str">
        <f>'Raw Data'!K552</f>
        <v>Mobile Phone</v>
      </c>
      <c r="L552" s="21">
        <f>'Raw Data'!L552</f>
        <v>5</v>
      </c>
      <c r="M552" s="21" t="str">
        <f>'Raw Data'!M552</f>
        <v>Married</v>
      </c>
      <c r="N552" s="21">
        <f>'Raw Data'!N552</f>
        <v>1</v>
      </c>
      <c r="O552" s="21">
        <f>'Raw Data'!O552</f>
        <v>1</v>
      </c>
      <c r="P552" s="21">
        <f>IF('Raw Data'!P552="",ROUND(AVERAGE('Raw Data'!$P$2:$P$1501),1),'Raw Data'!P552)</f>
        <v>18.600000000000001</v>
      </c>
      <c r="Q552" s="21">
        <f>IF('Raw Data'!Q552="",ROUND(AVERAGE('Raw Data'!$Q$2:$Q$1501),0),'Raw Data'!Q552)</f>
        <v>1</v>
      </c>
      <c r="R552" s="21">
        <f>'Raw Data'!R552</f>
        <v>6</v>
      </c>
      <c r="S552" s="21">
        <f>IF('Raw Data'!S552="",ROUND(AVERAGE('Raw Data'!$S$2:$S$1501),0),'Raw Data'!S552)</f>
        <v>2</v>
      </c>
      <c r="T552" s="21">
        <f>'Raw Data'!T552</f>
        <v>119.96</v>
      </c>
      <c r="U552" s="21" t="str">
        <f>INDEX('Lookup Tables'!$C$7:$C$9,MATCH(E552,'Lookup Tables'!$B$7:$B$9,0))</f>
        <v>Tier 2 (Urban)</v>
      </c>
      <c r="V552" s="21" t="str">
        <f t="shared" si="24"/>
        <v>25+ months</v>
      </c>
      <c r="W552" s="21" t="str">
        <f t="shared" si="25"/>
        <v>Low Risk</v>
      </c>
      <c r="X552" s="21" t="str">
        <f t="shared" si="26"/>
        <v>No</v>
      </c>
    </row>
    <row r="553" spans="1:24" x14ac:dyDescent="0.3">
      <c r="A553" s="21">
        <f>'Raw Data'!A553</f>
        <v>50552</v>
      </c>
      <c r="B553" s="21">
        <f>'Raw Data'!B553</f>
        <v>0</v>
      </c>
      <c r="C553" s="21">
        <f>'Raw Data'!C553</f>
        <v>0</v>
      </c>
      <c r="D553" s="21" t="str">
        <f>'Raw Data'!D553</f>
        <v>Computer</v>
      </c>
      <c r="E553" s="21">
        <f>'Raw Data'!E553</f>
        <v>1</v>
      </c>
      <c r="F553" s="21">
        <f>IF('Raw Data'!F553="",ROUND(AVERAGE('Raw Data'!$F$2:$F$1501),1),'Raw Data'!F553)</f>
        <v>26</v>
      </c>
      <c r="G553" s="21" t="str">
        <f>'Raw Data'!G553</f>
        <v>Credit Card</v>
      </c>
      <c r="H553" s="21" t="str">
        <f>'Raw Data'!H553</f>
        <v>Female</v>
      </c>
      <c r="I553" s="21">
        <f>IF('Raw Data'!I553="",ROUND(AVERAGE('Raw Data'!$I$2:$I$1501),1),'Raw Data'!I553)</f>
        <v>2.8</v>
      </c>
      <c r="J553" s="21">
        <f>'Raw Data'!J553</f>
        <v>5</v>
      </c>
      <c r="K553" s="21" t="str">
        <f>'Raw Data'!K553</f>
        <v>Mobile Phone</v>
      </c>
      <c r="L553" s="21">
        <f>'Raw Data'!L553</f>
        <v>2</v>
      </c>
      <c r="M553" s="21" t="str">
        <f>'Raw Data'!M553</f>
        <v>Married</v>
      </c>
      <c r="N553" s="21">
        <f>'Raw Data'!N553</f>
        <v>1</v>
      </c>
      <c r="O553" s="21">
        <f>'Raw Data'!O553</f>
        <v>0</v>
      </c>
      <c r="P553" s="21">
        <f>IF('Raw Data'!P553="",ROUND(AVERAGE('Raw Data'!$P$2:$P$1501),1),'Raw Data'!P553)</f>
        <v>25.1</v>
      </c>
      <c r="Q553" s="21">
        <f>IF('Raw Data'!Q553="",ROUND(AVERAGE('Raw Data'!$Q$2:$Q$1501),0),'Raw Data'!Q553)</f>
        <v>1</v>
      </c>
      <c r="R553" s="21">
        <f>'Raw Data'!R553</f>
        <v>2</v>
      </c>
      <c r="S553" s="21">
        <f>IF('Raw Data'!S553="",ROUND(AVERAGE('Raw Data'!$S$2:$S$1501),0),'Raw Data'!S553)</f>
        <v>2</v>
      </c>
      <c r="T553" s="21">
        <f>'Raw Data'!T553</f>
        <v>185.7</v>
      </c>
      <c r="U553" s="21" t="str">
        <f>INDEX('Lookup Tables'!$C$7:$C$9,MATCH(E553,'Lookup Tables'!$B$7:$B$9,0))</f>
        <v>Tier 1 (Metro)</v>
      </c>
      <c r="V553" s="21" t="str">
        <f t="shared" si="24"/>
        <v>0-6 months</v>
      </c>
      <c r="W553" s="21" t="str">
        <f t="shared" si="25"/>
        <v>Low Risk</v>
      </c>
      <c r="X553" s="21" t="str">
        <f t="shared" si="26"/>
        <v>No</v>
      </c>
    </row>
    <row r="554" spans="1:24" x14ac:dyDescent="0.3">
      <c r="A554" s="21">
        <f>'Raw Data'!A554</f>
        <v>50553</v>
      </c>
      <c r="B554" s="21">
        <f>'Raw Data'!B554</f>
        <v>0</v>
      </c>
      <c r="C554" s="21">
        <f>'Raw Data'!C554</f>
        <v>20</v>
      </c>
      <c r="D554" s="21" t="str">
        <f>'Raw Data'!D554</f>
        <v>Mobile Phone</v>
      </c>
      <c r="E554" s="21">
        <f>'Raw Data'!E554</f>
        <v>2</v>
      </c>
      <c r="F554" s="21">
        <f>IF('Raw Data'!F554="",ROUND(AVERAGE('Raw Data'!$F$2:$F$1501),1),'Raw Data'!F554)</f>
        <v>6</v>
      </c>
      <c r="G554" s="21" t="str">
        <f>'Raw Data'!G554</f>
        <v>Debit Card</v>
      </c>
      <c r="H554" s="21" t="str">
        <f>'Raw Data'!H554</f>
        <v>Male</v>
      </c>
      <c r="I554" s="21">
        <f>IF('Raw Data'!I554="",ROUND(AVERAGE('Raw Data'!$I$2:$I$1501),1),'Raw Data'!I554)</f>
        <v>2.6</v>
      </c>
      <c r="J554" s="21">
        <f>'Raw Data'!J554</f>
        <v>4</v>
      </c>
      <c r="K554" s="21" t="str">
        <f>'Raw Data'!K554</f>
        <v>Mobile Phone</v>
      </c>
      <c r="L554" s="21">
        <f>'Raw Data'!L554</f>
        <v>4</v>
      </c>
      <c r="M554" s="21" t="str">
        <f>'Raw Data'!M554</f>
        <v>Married</v>
      </c>
      <c r="N554" s="21">
        <f>'Raw Data'!N554</f>
        <v>1</v>
      </c>
      <c r="O554" s="21">
        <f>'Raw Data'!O554</f>
        <v>1</v>
      </c>
      <c r="P554" s="21">
        <f>IF('Raw Data'!P554="",ROUND(AVERAGE('Raw Data'!$P$2:$P$1501),1),'Raw Data'!P554)</f>
        <v>11</v>
      </c>
      <c r="Q554" s="21">
        <f>IF('Raw Data'!Q554="",ROUND(AVERAGE('Raw Data'!$Q$2:$Q$1501),0),'Raw Data'!Q554)</f>
        <v>1</v>
      </c>
      <c r="R554" s="21">
        <f>'Raw Data'!R554</f>
        <v>8</v>
      </c>
      <c r="S554" s="21">
        <f>IF('Raw Data'!S554="",ROUND(AVERAGE('Raw Data'!$S$2:$S$1501),0),'Raw Data'!S554)</f>
        <v>2</v>
      </c>
      <c r="T554" s="21">
        <f>'Raw Data'!T554</f>
        <v>42.07</v>
      </c>
      <c r="U554" s="21" t="str">
        <f>INDEX('Lookup Tables'!$C$7:$C$9,MATCH(E554,'Lookup Tables'!$B$7:$B$9,0))</f>
        <v>Tier 2 (Urban)</v>
      </c>
      <c r="V554" s="21" t="str">
        <f t="shared" si="24"/>
        <v>13-24 months</v>
      </c>
      <c r="W554" s="21" t="str">
        <f t="shared" si="25"/>
        <v>Low Risk</v>
      </c>
      <c r="X554" s="21" t="str">
        <f t="shared" si="26"/>
        <v>No</v>
      </c>
    </row>
    <row r="555" spans="1:24" x14ac:dyDescent="0.3">
      <c r="A555" s="21">
        <f>'Raw Data'!A555</f>
        <v>50554</v>
      </c>
      <c r="B555" s="21">
        <f>'Raw Data'!B555</f>
        <v>0</v>
      </c>
      <c r="C555" s="21">
        <f>'Raw Data'!C555</f>
        <v>8</v>
      </c>
      <c r="D555" s="21" t="str">
        <f>'Raw Data'!D555</f>
        <v>Computer</v>
      </c>
      <c r="E555" s="21">
        <f>'Raw Data'!E555</f>
        <v>1</v>
      </c>
      <c r="F555" s="21">
        <f>IF('Raw Data'!F555="",ROUND(AVERAGE('Raw Data'!$F$2:$F$1501),1),'Raw Data'!F555)</f>
        <v>14</v>
      </c>
      <c r="G555" s="21" t="str">
        <f>'Raw Data'!G555</f>
        <v>E wallet</v>
      </c>
      <c r="H555" s="21" t="str">
        <f>'Raw Data'!H555</f>
        <v>Male</v>
      </c>
      <c r="I555" s="21">
        <f>IF('Raw Data'!I555="",ROUND(AVERAGE('Raw Data'!$I$2:$I$1501),1),'Raw Data'!I555)</f>
        <v>3.6</v>
      </c>
      <c r="J555" s="21">
        <f>'Raw Data'!J555</f>
        <v>4</v>
      </c>
      <c r="K555" s="21" t="str">
        <f>'Raw Data'!K555</f>
        <v>Fashion</v>
      </c>
      <c r="L555" s="21">
        <f>'Raw Data'!L555</f>
        <v>4</v>
      </c>
      <c r="M555" s="21" t="str">
        <f>'Raw Data'!M555</f>
        <v>Married</v>
      </c>
      <c r="N555" s="21">
        <f>'Raw Data'!N555</f>
        <v>1</v>
      </c>
      <c r="O555" s="21">
        <f>'Raw Data'!O555</f>
        <v>1</v>
      </c>
      <c r="P555" s="21">
        <f>IF('Raw Data'!P555="",ROUND(AVERAGE('Raw Data'!$P$2:$P$1501),1),'Raw Data'!P555)</f>
        <v>15.3</v>
      </c>
      <c r="Q555" s="21">
        <f>IF('Raw Data'!Q555="",ROUND(AVERAGE('Raw Data'!$Q$2:$Q$1501),0),'Raw Data'!Q555)</f>
        <v>0</v>
      </c>
      <c r="R555" s="21">
        <f>'Raw Data'!R555</f>
        <v>3</v>
      </c>
      <c r="S555" s="21">
        <f>IF('Raw Data'!S555="",ROUND(AVERAGE('Raw Data'!$S$2:$S$1501),0),'Raw Data'!S555)</f>
        <v>4</v>
      </c>
      <c r="T555" s="21">
        <f>'Raw Data'!T555</f>
        <v>165.07</v>
      </c>
      <c r="U555" s="21" t="str">
        <f>INDEX('Lookup Tables'!$C$7:$C$9,MATCH(E555,'Lookup Tables'!$B$7:$B$9,0))</f>
        <v>Tier 1 (Metro)</v>
      </c>
      <c r="V555" s="21" t="str">
        <f t="shared" si="24"/>
        <v>7-12 months</v>
      </c>
      <c r="W555" s="21" t="str">
        <f t="shared" si="25"/>
        <v>Low Risk</v>
      </c>
      <c r="X555" s="21" t="str">
        <f t="shared" si="26"/>
        <v>No</v>
      </c>
    </row>
    <row r="556" spans="1:24" x14ac:dyDescent="0.3">
      <c r="A556" s="21">
        <f>'Raw Data'!A556</f>
        <v>50555</v>
      </c>
      <c r="B556" s="21">
        <f>'Raw Data'!B556</f>
        <v>0</v>
      </c>
      <c r="C556" s="21">
        <f>'Raw Data'!C556</f>
        <v>5</v>
      </c>
      <c r="D556" s="21" t="str">
        <f>'Raw Data'!D556</f>
        <v>Computer</v>
      </c>
      <c r="E556" s="21">
        <f>'Raw Data'!E556</f>
        <v>1</v>
      </c>
      <c r="F556" s="21">
        <f>IF('Raw Data'!F556="",ROUND(AVERAGE('Raw Data'!$F$2:$F$1501),1),'Raw Data'!F556)</f>
        <v>10</v>
      </c>
      <c r="G556" s="21" t="str">
        <f>'Raw Data'!G556</f>
        <v>Debit Card</v>
      </c>
      <c r="H556" s="21" t="str">
        <f>'Raw Data'!H556</f>
        <v>Male</v>
      </c>
      <c r="I556" s="21">
        <f>IF('Raw Data'!I556="",ROUND(AVERAGE('Raw Data'!$I$2:$I$1501),1),'Raw Data'!I556)</f>
        <v>2.2000000000000002</v>
      </c>
      <c r="J556" s="21">
        <f>'Raw Data'!J556</f>
        <v>3</v>
      </c>
      <c r="K556" s="21" t="str">
        <f>'Raw Data'!K556</f>
        <v>Laptop &amp; Accessory</v>
      </c>
      <c r="L556" s="21">
        <f>'Raw Data'!L556</f>
        <v>4</v>
      </c>
      <c r="M556" s="21" t="str">
        <f>'Raw Data'!M556</f>
        <v>Married</v>
      </c>
      <c r="N556" s="21">
        <f>'Raw Data'!N556</f>
        <v>1</v>
      </c>
      <c r="O556" s="21">
        <f>'Raw Data'!O556</f>
        <v>0</v>
      </c>
      <c r="P556" s="21">
        <f>IF('Raw Data'!P556="",ROUND(AVERAGE('Raw Data'!$P$2:$P$1501),1),'Raw Data'!P556)</f>
        <v>17.399999999999999</v>
      </c>
      <c r="Q556" s="21">
        <f>IF('Raw Data'!Q556="",ROUND(AVERAGE('Raw Data'!$Q$2:$Q$1501),0),'Raw Data'!Q556)</f>
        <v>1</v>
      </c>
      <c r="R556" s="21">
        <f>'Raw Data'!R556</f>
        <v>2</v>
      </c>
      <c r="S556" s="21">
        <f>IF('Raw Data'!S556="",ROUND(AVERAGE('Raw Data'!$S$2:$S$1501),0),'Raw Data'!S556)</f>
        <v>0</v>
      </c>
      <c r="T556" s="21">
        <f>'Raw Data'!T556</f>
        <v>239</v>
      </c>
      <c r="U556" s="21" t="str">
        <f>INDEX('Lookup Tables'!$C$7:$C$9,MATCH(E556,'Lookup Tables'!$B$7:$B$9,0))</f>
        <v>Tier 1 (Metro)</v>
      </c>
      <c r="V556" s="21" t="str">
        <f t="shared" si="24"/>
        <v>0-6 months</v>
      </c>
      <c r="W556" s="21" t="str">
        <f t="shared" si="25"/>
        <v>Low Risk</v>
      </c>
      <c r="X556" s="21" t="str">
        <f t="shared" si="26"/>
        <v>No</v>
      </c>
    </row>
    <row r="557" spans="1:24" x14ac:dyDescent="0.3">
      <c r="A557" s="21">
        <f>'Raw Data'!A557</f>
        <v>50556</v>
      </c>
      <c r="B557" s="21">
        <f>'Raw Data'!B557</f>
        <v>0</v>
      </c>
      <c r="C557" s="21">
        <f>'Raw Data'!C557</f>
        <v>12</v>
      </c>
      <c r="D557" s="21" t="str">
        <f>'Raw Data'!D557</f>
        <v>Mobile Phone</v>
      </c>
      <c r="E557" s="21">
        <f>'Raw Data'!E557</f>
        <v>3</v>
      </c>
      <c r="F557" s="21">
        <f>IF('Raw Data'!F557="",ROUND(AVERAGE('Raw Data'!$F$2:$F$1501),1),'Raw Data'!F557)</f>
        <v>5</v>
      </c>
      <c r="G557" s="21" t="str">
        <f>'Raw Data'!G557</f>
        <v>E wallet</v>
      </c>
      <c r="H557" s="21" t="str">
        <f>'Raw Data'!H557</f>
        <v>Male</v>
      </c>
      <c r="I557" s="21">
        <f>IF('Raw Data'!I557="",ROUND(AVERAGE('Raw Data'!$I$2:$I$1501),1),'Raw Data'!I557)</f>
        <v>3.1</v>
      </c>
      <c r="J557" s="21">
        <f>'Raw Data'!J557</f>
        <v>3</v>
      </c>
      <c r="K557" s="21" t="str">
        <f>'Raw Data'!K557</f>
        <v>Laptop &amp; Accessory</v>
      </c>
      <c r="L557" s="21">
        <f>'Raw Data'!L557</f>
        <v>3</v>
      </c>
      <c r="M557" s="21" t="str">
        <f>'Raw Data'!M557</f>
        <v>Single</v>
      </c>
      <c r="N557" s="21">
        <f>'Raw Data'!N557</f>
        <v>1</v>
      </c>
      <c r="O557" s="21">
        <f>'Raw Data'!O557</f>
        <v>0</v>
      </c>
      <c r="P557" s="21">
        <f>IF('Raw Data'!P557="",ROUND(AVERAGE('Raw Data'!$P$2:$P$1501),1),'Raw Data'!P557)</f>
        <v>13.8</v>
      </c>
      <c r="Q557" s="21">
        <f>IF('Raw Data'!Q557="",ROUND(AVERAGE('Raw Data'!$Q$2:$Q$1501),0),'Raw Data'!Q557)</f>
        <v>1</v>
      </c>
      <c r="R557" s="21">
        <f>'Raw Data'!R557</f>
        <v>6</v>
      </c>
      <c r="S557" s="21">
        <f>IF('Raw Data'!S557="",ROUND(AVERAGE('Raw Data'!$S$2:$S$1501),0),'Raw Data'!S557)</f>
        <v>0</v>
      </c>
      <c r="T557" s="21">
        <f>'Raw Data'!T557</f>
        <v>140.06</v>
      </c>
      <c r="U557" s="21" t="str">
        <f>INDEX('Lookup Tables'!$C$7:$C$9,MATCH(E557,'Lookup Tables'!$B$7:$B$9,0))</f>
        <v>Tier 3 (Semi-urban/Rural)</v>
      </c>
      <c r="V557" s="21" t="str">
        <f t="shared" si="24"/>
        <v>7-12 months</v>
      </c>
      <c r="W557" s="21" t="str">
        <f t="shared" si="25"/>
        <v>Medium Risk</v>
      </c>
      <c r="X557" s="21" t="str">
        <f t="shared" si="26"/>
        <v>No</v>
      </c>
    </row>
    <row r="558" spans="1:24" x14ac:dyDescent="0.3">
      <c r="A558" s="21">
        <f>'Raw Data'!A558</f>
        <v>50557</v>
      </c>
      <c r="B558" s="21">
        <f>'Raw Data'!B558</f>
        <v>0</v>
      </c>
      <c r="C558" s="21">
        <f>'Raw Data'!C558</f>
        <v>6</v>
      </c>
      <c r="D558" s="21" t="str">
        <f>'Raw Data'!D558</f>
        <v>Mobile Phone</v>
      </c>
      <c r="E558" s="21">
        <f>'Raw Data'!E558</f>
        <v>1</v>
      </c>
      <c r="F558" s="21">
        <f>IF('Raw Data'!F558="",ROUND(AVERAGE('Raw Data'!$F$2:$F$1501),1),'Raw Data'!F558)</f>
        <v>17</v>
      </c>
      <c r="G558" s="21" t="str">
        <f>'Raw Data'!G558</f>
        <v>Debit Card</v>
      </c>
      <c r="H558" s="21" t="str">
        <f>'Raw Data'!H558</f>
        <v>Male</v>
      </c>
      <c r="I558" s="21">
        <f>IF('Raw Data'!I558="",ROUND(AVERAGE('Raw Data'!$I$2:$I$1501),1),'Raw Data'!I558)</f>
        <v>2.6</v>
      </c>
      <c r="J558" s="21">
        <f>'Raw Data'!J558</f>
        <v>5</v>
      </c>
      <c r="K558" s="21" t="str">
        <f>'Raw Data'!K558</f>
        <v>Fashion</v>
      </c>
      <c r="L558" s="21">
        <f>'Raw Data'!L558</f>
        <v>4</v>
      </c>
      <c r="M558" s="21" t="str">
        <f>'Raw Data'!M558</f>
        <v>Single</v>
      </c>
      <c r="N558" s="21">
        <f>'Raw Data'!N558</f>
        <v>12</v>
      </c>
      <c r="O558" s="21">
        <f>'Raw Data'!O558</f>
        <v>0</v>
      </c>
      <c r="P558" s="21">
        <f>IF('Raw Data'!P558="",ROUND(AVERAGE('Raw Data'!$P$2:$P$1501),1),'Raw Data'!P558)</f>
        <v>16.3</v>
      </c>
      <c r="Q558" s="21">
        <f>IF('Raw Data'!Q558="",ROUND(AVERAGE('Raw Data'!$Q$2:$Q$1501),0),'Raw Data'!Q558)</f>
        <v>0</v>
      </c>
      <c r="R558" s="21">
        <f>'Raw Data'!R558</f>
        <v>4</v>
      </c>
      <c r="S558" s="21">
        <f>IF('Raw Data'!S558="",ROUND(AVERAGE('Raw Data'!$S$2:$S$1501),0),'Raw Data'!S558)</f>
        <v>0</v>
      </c>
      <c r="T558" s="21">
        <f>'Raw Data'!T558</f>
        <v>189.73</v>
      </c>
      <c r="U558" s="21" t="str">
        <f>INDEX('Lookup Tables'!$C$7:$C$9,MATCH(E558,'Lookup Tables'!$B$7:$B$9,0))</f>
        <v>Tier 1 (Metro)</v>
      </c>
      <c r="V558" s="21" t="str">
        <f t="shared" si="24"/>
        <v>0-6 months</v>
      </c>
      <c r="W558" s="21" t="str">
        <f t="shared" si="25"/>
        <v>Low Risk</v>
      </c>
      <c r="X558" s="21" t="str">
        <f t="shared" si="26"/>
        <v>No</v>
      </c>
    </row>
    <row r="559" spans="1:24" x14ac:dyDescent="0.3">
      <c r="A559" s="21">
        <f>'Raw Data'!A559</f>
        <v>50558</v>
      </c>
      <c r="B559" s="21">
        <f>'Raw Data'!B559</f>
        <v>0</v>
      </c>
      <c r="C559" s="21">
        <f>'Raw Data'!C559</f>
        <v>20</v>
      </c>
      <c r="D559" s="21" t="str">
        <f>'Raw Data'!D559</f>
        <v>Mobile Phone</v>
      </c>
      <c r="E559" s="21">
        <f>'Raw Data'!E559</f>
        <v>2</v>
      </c>
      <c r="F559" s="21">
        <f>IF('Raw Data'!F559="",ROUND(AVERAGE('Raw Data'!$F$2:$F$1501),1),'Raw Data'!F559)</f>
        <v>35</v>
      </c>
      <c r="G559" s="21" t="str">
        <f>'Raw Data'!G559</f>
        <v>E wallet</v>
      </c>
      <c r="H559" s="21" t="str">
        <f>'Raw Data'!H559</f>
        <v>Female</v>
      </c>
      <c r="I559" s="21">
        <f>IF('Raw Data'!I559="",ROUND(AVERAGE('Raw Data'!$I$2:$I$1501),1),'Raw Data'!I559)</f>
        <v>2.4</v>
      </c>
      <c r="J559" s="21">
        <f>'Raw Data'!J559</f>
        <v>3</v>
      </c>
      <c r="K559" s="21" t="str">
        <f>'Raw Data'!K559</f>
        <v>Grocery</v>
      </c>
      <c r="L559" s="21">
        <f>'Raw Data'!L559</f>
        <v>4</v>
      </c>
      <c r="M559" s="21" t="str">
        <f>'Raw Data'!M559</f>
        <v>Married</v>
      </c>
      <c r="N559" s="21">
        <f>'Raw Data'!N559</f>
        <v>10</v>
      </c>
      <c r="O559" s="21">
        <f>'Raw Data'!O559</f>
        <v>0</v>
      </c>
      <c r="P559" s="21">
        <f>IF('Raw Data'!P559="",ROUND(AVERAGE('Raw Data'!$P$2:$P$1501),1),'Raw Data'!P559)</f>
        <v>13</v>
      </c>
      <c r="Q559" s="21">
        <f>IF('Raw Data'!Q559="",ROUND(AVERAGE('Raw Data'!$Q$2:$Q$1501),0),'Raw Data'!Q559)</f>
        <v>2</v>
      </c>
      <c r="R559" s="21">
        <f>'Raw Data'!R559</f>
        <v>2</v>
      </c>
      <c r="S559" s="21">
        <f>IF('Raw Data'!S559="",ROUND(AVERAGE('Raw Data'!$S$2:$S$1501),0),'Raw Data'!S559)</f>
        <v>1</v>
      </c>
      <c r="T559" s="21">
        <f>'Raw Data'!T559</f>
        <v>150.91</v>
      </c>
      <c r="U559" s="21" t="str">
        <f>INDEX('Lookup Tables'!$C$7:$C$9,MATCH(E559,'Lookup Tables'!$B$7:$B$9,0))</f>
        <v>Tier 2 (Urban)</v>
      </c>
      <c r="V559" s="21" t="str">
        <f t="shared" si="24"/>
        <v>13-24 months</v>
      </c>
      <c r="W559" s="21" t="str">
        <f t="shared" si="25"/>
        <v>Low Risk</v>
      </c>
      <c r="X559" s="21" t="str">
        <f t="shared" si="26"/>
        <v>No</v>
      </c>
    </row>
    <row r="560" spans="1:24" x14ac:dyDescent="0.3">
      <c r="A560" s="21">
        <f>'Raw Data'!A560</f>
        <v>50559</v>
      </c>
      <c r="B560" s="21">
        <f>'Raw Data'!B560</f>
        <v>0</v>
      </c>
      <c r="C560" s="21">
        <f>'Raw Data'!C560</f>
        <v>23</v>
      </c>
      <c r="D560" s="21" t="str">
        <f>'Raw Data'!D560</f>
        <v>Mobile Phone</v>
      </c>
      <c r="E560" s="21">
        <f>'Raw Data'!E560</f>
        <v>1</v>
      </c>
      <c r="F560" s="21">
        <f>IF('Raw Data'!F560="",ROUND(AVERAGE('Raw Data'!$F$2:$F$1501),1),'Raw Data'!F560)</f>
        <v>5</v>
      </c>
      <c r="G560" s="21" t="str">
        <f>'Raw Data'!G560</f>
        <v>Debit Card</v>
      </c>
      <c r="H560" s="21" t="str">
        <f>'Raw Data'!H560</f>
        <v>Male</v>
      </c>
      <c r="I560" s="21">
        <f>IF('Raw Data'!I560="",ROUND(AVERAGE('Raw Data'!$I$2:$I$1501),1),'Raw Data'!I560)</f>
        <v>4.7</v>
      </c>
      <c r="J560" s="21">
        <f>'Raw Data'!J560</f>
        <v>1</v>
      </c>
      <c r="K560" s="21" t="str">
        <f>'Raw Data'!K560</f>
        <v>Laptop &amp; Accessory</v>
      </c>
      <c r="L560" s="21">
        <f>'Raw Data'!L560</f>
        <v>5</v>
      </c>
      <c r="M560" s="21" t="str">
        <f>'Raw Data'!M560</f>
        <v>Divorced</v>
      </c>
      <c r="N560" s="21">
        <f>'Raw Data'!N560</f>
        <v>2</v>
      </c>
      <c r="O560" s="21">
        <f>'Raw Data'!O560</f>
        <v>0</v>
      </c>
      <c r="P560" s="21">
        <f>IF('Raw Data'!P560="",ROUND(AVERAGE('Raw Data'!$P$2:$P$1501),1),'Raw Data'!P560)</f>
        <v>16.5</v>
      </c>
      <c r="Q560" s="21">
        <f>IF('Raw Data'!Q560="",ROUND(AVERAGE('Raw Data'!$Q$2:$Q$1501),0),'Raw Data'!Q560)</f>
        <v>1</v>
      </c>
      <c r="R560" s="21">
        <f>'Raw Data'!R560</f>
        <v>7</v>
      </c>
      <c r="S560" s="21">
        <f>IF('Raw Data'!S560="",ROUND(AVERAGE('Raw Data'!$S$2:$S$1501),0),'Raw Data'!S560)</f>
        <v>2</v>
      </c>
      <c r="T560" s="21">
        <f>'Raw Data'!T560</f>
        <v>132.72999999999999</v>
      </c>
      <c r="U560" s="21" t="str">
        <f>INDEX('Lookup Tables'!$C$7:$C$9,MATCH(E560,'Lookup Tables'!$B$7:$B$9,0))</f>
        <v>Tier 1 (Metro)</v>
      </c>
      <c r="V560" s="21" t="str">
        <f t="shared" si="24"/>
        <v>13-24 months</v>
      </c>
      <c r="W560" s="21" t="str">
        <f t="shared" si="25"/>
        <v>Low Risk</v>
      </c>
      <c r="X560" s="21" t="str">
        <f t="shared" si="26"/>
        <v>No</v>
      </c>
    </row>
    <row r="561" spans="1:24" x14ac:dyDescent="0.3">
      <c r="A561" s="21">
        <f>'Raw Data'!A561</f>
        <v>50560</v>
      </c>
      <c r="B561" s="21">
        <f>'Raw Data'!B561</f>
        <v>0</v>
      </c>
      <c r="C561" s="21">
        <f>'Raw Data'!C561</f>
        <v>5</v>
      </c>
      <c r="D561" s="21" t="str">
        <f>'Raw Data'!D561</f>
        <v>Mobile Phone</v>
      </c>
      <c r="E561" s="21">
        <f>'Raw Data'!E561</f>
        <v>1</v>
      </c>
      <c r="F561" s="21">
        <f>IF('Raw Data'!F561="",ROUND(AVERAGE('Raw Data'!$F$2:$F$1501),1),'Raw Data'!F561)</f>
        <v>14</v>
      </c>
      <c r="G561" s="21" t="str">
        <f>'Raw Data'!G561</f>
        <v>Credit Card</v>
      </c>
      <c r="H561" s="21" t="str">
        <f>'Raw Data'!H561</f>
        <v>Male</v>
      </c>
      <c r="I561" s="21">
        <f>IF('Raw Data'!I561="",ROUND(AVERAGE('Raw Data'!$I$2:$I$1501),1),'Raw Data'!I561)</f>
        <v>3.2</v>
      </c>
      <c r="J561" s="21">
        <f>'Raw Data'!J561</f>
        <v>3</v>
      </c>
      <c r="K561" s="21" t="str">
        <f>'Raw Data'!K561</f>
        <v>Mobile Phone</v>
      </c>
      <c r="L561" s="21">
        <f>'Raw Data'!L561</f>
        <v>4</v>
      </c>
      <c r="M561" s="21" t="str">
        <f>'Raw Data'!M561</f>
        <v>Single</v>
      </c>
      <c r="N561" s="21">
        <f>'Raw Data'!N561</f>
        <v>18</v>
      </c>
      <c r="O561" s="21">
        <f>'Raw Data'!O561</f>
        <v>1</v>
      </c>
      <c r="P561" s="21">
        <f>IF('Raw Data'!P561="",ROUND(AVERAGE('Raw Data'!$P$2:$P$1501),1),'Raw Data'!P561)</f>
        <v>14.2</v>
      </c>
      <c r="Q561" s="21">
        <f>IF('Raw Data'!Q561="",ROUND(AVERAGE('Raw Data'!$Q$2:$Q$1501),0),'Raw Data'!Q561)</f>
        <v>2</v>
      </c>
      <c r="R561" s="21">
        <f>'Raw Data'!R561</f>
        <v>6</v>
      </c>
      <c r="S561" s="21">
        <f>IF('Raw Data'!S561="",ROUND(AVERAGE('Raw Data'!$S$2:$S$1501),0),'Raw Data'!S561)</f>
        <v>4</v>
      </c>
      <c r="T561" s="21">
        <f>'Raw Data'!T561</f>
        <v>233.43</v>
      </c>
      <c r="U561" s="21" t="str">
        <f>INDEX('Lookup Tables'!$C$7:$C$9,MATCH(E561,'Lookup Tables'!$B$7:$B$9,0))</f>
        <v>Tier 1 (Metro)</v>
      </c>
      <c r="V561" s="21" t="str">
        <f t="shared" si="24"/>
        <v>0-6 months</v>
      </c>
      <c r="W561" s="21" t="str">
        <f t="shared" si="25"/>
        <v>Low Risk</v>
      </c>
      <c r="X561" s="21" t="str">
        <f t="shared" si="26"/>
        <v>No</v>
      </c>
    </row>
    <row r="562" spans="1:24" x14ac:dyDescent="0.3">
      <c r="A562" s="21">
        <f>'Raw Data'!A562</f>
        <v>50561</v>
      </c>
      <c r="B562" s="21">
        <f>'Raw Data'!B562</f>
        <v>1</v>
      </c>
      <c r="C562" s="21">
        <f>'Raw Data'!C562</f>
        <v>3</v>
      </c>
      <c r="D562" s="21" t="str">
        <f>'Raw Data'!D562</f>
        <v>Mobile Phone</v>
      </c>
      <c r="E562" s="21">
        <f>'Raw Data'!E562</f>
        <v>1</v>
      </c>
      <c r="F562" s="21">
        <f>IF('Raw Data'!F562="",ROUND(AVERAGE('Raw Data'!$F$2:$F$1501),1),'Raw Data'!F562)</f>
        <v>20</v>
      </c>
      <c r="G562" s="21" t="str">
        <f>'Raw Data'!G562</f>
        <v>Debit Card</v>
      </c>
      <c r="H562" s="21" t="str">
        <f>'Raw Data'!H562</f>
        <v>Female</v>
      </c>
      <c r="I562" s="21">
        <f>IF('Raw Data'!I562="",ROUND(AVERAGE('Raw Data'!$I$2:$I$1501),1),'Raw Data'!I562)</f>
        <v>3.3</v>
      </c>
      <c r="J562" s="21">
        <f>'Raw Data'!J562</f>
        <v>2</v>
      </c>
      <c r="K562" s="21" t="str">
        <f>'Raw Data'!K562</f>
        <v>Mobile Phone</v>
      </c>
      <c r="L562" s="21">
        <f>'Raw Data'!L562</f>
        <v>3</v>
      </c>
      <c r="M562" s="21" t="str">
        <f>'Raw Data'!M562</f>
        <v>Single</v>
      </c>
      <c r="N562" s="21">
        <f>'Raw Data'!N562</f>
        <v>3</v>
      </c>
      <c r="O562" s="21">
        <f>'Raw Data'!O562</f>
        <v>0</v>
      </c>
      <c r="P562" s="21">
        <f>IF('Raw Data'!P562="",ROUND(AVERAGE('Raw Data'!$P$2:$P$1501),1),'Raw Data'!P562)</f>
        <v>20.3</v>
      </c>
      <c r="Q562" s="21">
        <f>IF('Raw Data'!Q562="",ROUND(AVERAGE('Raw Data'!$Q$2:$Q$1501),0),'Raw Data'!Q562)</f>
        <v>2</v>
      </c>
      <c r="R562" s="21">
        <f>'Raw Data'!R562</f>
        <v>5</v>
      </c>
      <c r="S562" s="21">
        <f>IF('Raw Data'!S562="",ROUND(AVERAGE('Raw Data'!$S$2:$S$1501),0),'Raw Data'!S562)</f>
        <v>4</v>
      </c>
      <c r="T562" s="21">
        <f>'Raw Data'!T562</f>
        <v>122.51</v>
      </c>
      <c r="U562" s="21" t="str">
        <f>INDEX('Lookup Tables'!$C$7:$C$9,MATCH(E562,'Lookup Tables'!$B$7:$B$9,0))</f>
        <v>Tier 1 (Metro)</v>
      </c>
      <c r="V562" s="21" t="str">
        <f t="shared" si="24"/>
        <v>0-6 months</v>
      </c>
      <c r="W562" s="21" t="str">
        <f t="shared" si="25"/>
        <v>Medium Risk</v>
      </c>
      <c r="X562" s="21" t="str">
        <f t="shared" si="26"/>
        <v>Yes</v>
      </c>
    </row>
    <row r="563" spans="1:24" x14ac:dyDescent="0.3">
      <c r="A563" s="21">
        <f>'Raw Data'!A563</f>
        <v>50562</v>
      </c>
      <c r="B563" s="21">
        <f>'Raw Data'!B563</f>
        <v>0</v>
      </c>
      <c r="C563" s="21">
        <f>'Raw Data'!C563</f>
        <v>8</v>
      </c>
      <c r="D563" s="21" t="str">
        <f>'Raw Data'!D563</f>
        <v>Mobile Phone</v>
      </c>
      <c r="E563" s="21">
        <f>'Raw Data'!E563</f>
        <v>1</v>
      </c>
      <c r="F563" s="21">
        <f>IF('Raw Data'!F563="",ROUND(AVERAGE('Raw Data'!$F$2:$F$1501),1),'Raw Data'!F563)</f>
        <v>15</v>
      </c>
      <c r="G563" s="21" t="str">
        <f>'Raw Data'!G563</f>
        <v>E wallet</v>
      </c>
      <c r="H563" s="21" t="str">
        <f>'Raw Data'!H563</f>
        <v>Male</v>
      </c>
      <c r="I563" s="21">
        <f>IF('Raw Data'!I563="",ROUND(AVERAGE('Raw Data'!$I$2:$I$1501),1),'Raw Data'!I563)</f>
        <v>3.7</v>
      </c>
      <c r="J563" s="21">
        <f>'Raw Data'!J563</f>
        <v>3</v>
      </c>
      <c r="K563" s="21" t="str">
        <f>'Raw Data'!K563</f>
        <v>Mobile Phone</v>
      </c>
      <c r="L563" s="21">
        <f>'Raw Data'!L563</f>
        <v>5</v>
      </c>
      <c r="M563" s="21" t="str">
        <f>'Raw Data'!M563</f>
        <v>Single</v>
      </c>
      <c r="N563" s="21">
        <f>'Raw Data'!N563</f>
        <v>1</v>
      </c>
      <c r="O563" s="21">
        <f>'Raw Data'!O563</f>
        <v>0</v>
      </c>
      <c r="P563" s="21">
        <f>IF('Raw Data'!P563="",ROUND(AVERAGE('Raw Data'!$P$2:$P$1501),1),'Raw Data'!P563)</f>
        <v>13.6</v>
      </c>
      <c r="Q563" s="21">
        <f>IF('Raw Data'!Q563="",ROUND(AVERAGE('Raw Data'!$Q$2:$Q$1501),0),'Raw Data'!Q563)</f>
        <v>2</v>
      </c>
      <c r="R563" s="21">
        <f>'Raw Data'!R563</f>
        <v>5</v>
      </c>
      <c r="S563" s="21">
        <f>IF('Raw Data'!S563="",ROUND(AVERAGE('Raw Data'!$S$2:$S$1501),0),'Raw Data'!S563)</f>
        <v>0</v>
      </c>
      <c r="T563" s="21">
        <f>'Raw Data'!T563</f>
        <v>196.11</v>
      </c>
      <c r="U563" s="21" t="str">
        <f>INDEX('Lookup Tables'!$C$7:$C$9,MATCH(E563,'Lookup Tables'!$B$7:$B$9,0))</f>
        <v>Tier 1 (Metro)</v>
      </c>
      <c r="V563" s="21" t="str">
        <f t="shared" si="24"/>
        <v>7-12 months</v>
      </c>
      <c r="W563" s="21" t="str">
        <f t="shared" si="25"/>
        <v>Low Risk</v>
      </c>
      <c r="X563" s="21" t="str">
        <f t="shared" si="26"/>
        <v>No</v>
      </c>
    </row>
    <row r="564" spans="1:24" x14ac:dyDescent="0.3">
      <c r="A564" s="21">
        <f>'Raw Data'!A564</f>
        <v>50563</v>
      </c>
      <c r="B564" s="21">
        <f>'Raw Data'!B564</f>
        <v>1</v>
      </c>
      <c r="C564" s="21">
        <f>'Raw Data'!C564</f>
        <v>24</v>
      </c>
      <c r="D564" s="21" t="str">
        <f>'Raw Data'!D564</f>
        <v>Computer</v>
      </c>
      <c r="E564" s="21">
        <f>'Raw Data'!E564</f>
        <v>3</v>
      </c>
      <c r="F564" s="21">
        <f>IF('Raw Data'!F564="",ROUND(AVERAGE('Raw Data'!$F$2:$F$1501),1),'Raw Data'!F564)</f>
        <v>14</v>
      </c>
      <c r="G564" s="21" t="str">
        <f>'Raw Data'!G564</f>
        <v>Debit Card</v>
      </c>
      <c r="H564" s="21" t="str">
        <f>'Raw Data'!H564</f>
        <v>Male</v>
      </c>
      <c r="I564" s="21">
        <f>IF('Raw Data'!I564="",ROUND(AVERAGE('Raw Data'!$I$2:$I$1501),1),'Raw Data'!I564)</f>
        <v>1.9</v>
      </c>
      <c r="J564" s="21">
        <f>'Raw Data'!J564</f>
        <v>4</v>
      </c>
      <c r="K564" s="21" t="str">
        <f>'Raw Data'!K564</f>
        <v>Fashion</v>
      </c>
      <c r="L564" s="21">
        <f>'Raw Data'!L564</f>
        <v>3</v>
      </c>
      <c r="M564" s="21" t="str">
        <f>'Raw Data'!M564</f>
        <v>Married</v>
      </c>
      <c r="N564" s="21">
        <f>'Raw Data'!N564</f>
        <v>1</v>
      </c>
      <c r="O564" s="21">
        <f>'Raw Data'!O564</f>
        <v>0</v>
      </c>
      <c r="P564" s="21">
        <f>IF('Raw Data'!P564="",ROUND(AVERAGE('Raw Data'!$P$2:$P$1501),1),'Raw Data'!P564)</f>
        <v>14.8</v>
      </c>
      <c r="Q564" s="21">
        <f>IF('Raw Data'!Q564="",ROUND(AVERAGE('Raw Data'!$Q$2:$Q$1501),0),'Raw Data'!Q564)</f>
        <v>0</v>
      </c>
      <c r="R564" s="21">
        <f>'Raw Data'!R564</f>
        <v>4</v>
      </c>
      <c r="S564" s="21">
        <f>IF('Raw Data'!S564="",ROUND(AVERAGE('Raw Data'!$S$2:$S$1501),0),'Raw Data'!S564)</f>
        <v>12</v>
      </c>
      <c r="T564" s="21">
        <f>'Raw Data'!T564</f>
        <v>196.96</v>
      </c>
      <c r="U564" s="21" t="str">
        <f>INDEX('Lookup Tables'!$C$7:$C$9,MATCH(E564,'Lookup Tables'!$B$7:$B$9,0))</f>
        <v>Tier 3 (Semi-urban/Rural)</v>
      </c>
      <c r="V564" s="21" t="str">
        <f t="shared" si="24"/>
        <v>13-24 months</v>
      </c>
      <c r="W564" s="21" t="str">
        <f t="shared" si="25"/>
        <v>Medium Risk</v>
      </c>
      <c r="X564" s="21" t="str">
        <f t="shared" si="26"/>
        <v>Yes</v>
      </c>
    </row>
    <row r="565" spans="1:24" x14ac:dyDescent="0.3">
      <c r="A565" s="21">
        <f>'Raw Data'!A565</f>
        <v>50564</v>
      </c>
      <c r="B565" s="21">
        <f>'Raw Data'!B565</f>
        <v>0</v>
      </c>
      <c r="C565" s="21">
        <f>'Raw Data'!C565</f>
        <v>2</v>
      </c>
      <c r="D565" s="21" t="str">
        <f>'Raw Data'!D565</f>
        <v>Computer</v>
      </c>
      <c r="E565" s="21">
        <f>'Raw Data'!E565</f>
        <v>1</v>
      </c>
      <c r="F565" s="21">
        <f>IF('Raw Data'!F565="",ROUND(AVERAGE('Raw Data'!$F$2:$F$1501),1),'Raw Data'!F565)</f>
        <v>5</v>
      </c>
      <c r="G565" s="21" t="str">
        <f>'Raw Data'!G565</f>
        <v>UPI</v>
      </c>
      <c r="H565" s="21" t="str">
        <f>'Raw Data'!H565</f>
        <v>Male</v>
      </c>
      <c r="I565" s="21">
        <f>IF('Raw Data'!I565="",ROUND(AVERAGE('Raw Data'!$I$2:$I$1501),1),'Raw Data'!I565)</f>
        <v>4.0999999999999996</v>
      </c>
      <c r="J565" s="21">
        <f>'Raw Data'!J565</f>
        <v>3</v>
      </c>
      <c r="K565" s="21" t="str">
        <f>'Raw Data'!K565</f>
        <v>Laptop &amp; Accessory</v>
      </c>
      <c r="L565" s="21">
        <f>'Raw Data'!L565</f>
        <v>1</v>
      </c>
      <c r="M565" s="21" t="str">
        <f>'Raw Data'!M565</f>
        <v>Divorced</v>
      </c>
      <c r="N565" s="21">
        <f>'Raw Data'!N565</f>
        <v>8</v>
      </c>
      <c r="O565" s="21">
        <f>'Raw Data'!O565</f>
        <v>0</v>
      </c>
      <c r="P565" s="21">
        <f>IF('Raw Data'!P565="",ROUND(AVERAGE('Raw Data'!$P$2:$P$1501),1),'Raw Data'!P565)</f>
        <v>19.3</v>
      </c>
      <c r="Q565" s="21">
        <f>IF('Raw Data'!Q565="",ROUND(AVERAGE('Raw Data'!$Q$2:$Q$1501),0),'Raw Data'!Q565)</f>
        <v>3</v>
      </c>
      <c r="R565" s="21">
        <f>'Raw Data'!R565</f>
        <v>5</v>
      </c>
      <c r="S565" s="21">
        <f>IF('Raw Data'!S565="",ROUND(AVERAGE('Raw Data'!$S$2:$S$1501),0),'Raw Data'!S565)</f>
        <v>8</v>
      </c>
      <c r="T565" s="21">
        <f>'Raw Data'!T565</f>
        <v>133.15</v>
      </c>
      <c r="U565" s="21" t="str">
        <f>INDEX('Lookup Tables'!$C$7:$C$9,MATCH(E565,'Lookup Tables'!$B$7:$B$9,0))</f>
        <v>Tier 1 (Metro)</v>
      </c>
      <c r="V565" s="21" t="str">
        <f t="shared" si="24"/>
        <v>0-6 months</v>
      </c>
      <c r="W565" s="21" t="str">
        <f t="shared" si="25"/>
        <v>Low Risk</v>
      </c>
      <c r="X565" s="21" t="str">
        <f t="shared" si="26"/>
        <v>No</v>
      </c>
    </row>
    <row r="566" spans="1:24" x14ac:dyDescent="0.3">
      <c r="A566" s="21">
        <f>'Raw Data'!A566</f>
        <v>50565</v>
      </c>
      <c r="B566" s="21">
        <f>'Raw Data'!B566</f>
        <v>0</v>
      </c>
      <c r="C566" s="21">
        <f>'Raw Data'!C566</f>
        <v>9</v>
      </c>
      <c r="D566" s="21" t="str">
        <f>'Raw Data'!D566</f>
        <v>Phone</v>
      </c>
      <c r="E566" s="21">
        <f>'Raw Data'!E566</f>
        <v>3</v>
      </c>
      <c r="F566" s="21">
        <f>IF('Raw Data'!F566="",ROUND(AVERAGE('Raw Data'!$F$2:$F$1501),1),'Raw Data'!F566)</f>
        <v>16</v>
      </c>
      <c r="G566" s="21" t="str">
        <f>'Raw Data'!G566</f>
        <v>UPI</v>
      </c>
      <c r="H566" s="21" t="str">
        <f>'Raw Data'!H566</f>
        <v>Female</v>
      </c>
      <c r="I566" s="21">
        <f>IF('Raw Data'!I566="",ROUND(AVERAGE('Raw Data'!$I$2:$I$1501),1),'Raw Data'!I566)</f>
        <v>1.1000000000000001</v>
      </c>
      <c r="J566" s="21">
        <f>'Raw Data'!J566</f>
        <v>3</v>
      </c>
      <c r="K566" s="21" t="str">
        <f>'Raw Data'!K566</f>
        <v>Fashion</v>
      </c>
      <c r="L566" s="21">
        <f>'Raw Data'!L566</f>
        <v>3</v>
      </c>
      <c r="M566" s="21" t="str">
        <f>'Raw Data'!M566</f>
        <v>Married</v>
      </c>
      <c r="N566" s="21">
        <f>'Raw Data'!N566</f>
        <v>3</v>
      </c>
      <c r="O566" s="21">
        <f>'Raw Data'!O566</f>
        <v>0</v>
      </c>
      <c r="P566" s="21">
        <f>IF('Raw Data'!P566="",ROUND(AVERAGE('Raw Data'!$P$2:$P$1501),1),'Raw Data'!P566)</f>
        <v>12.4</v>
      </c>
      <c r="Q566" s="21">
        <f>IF('Raw Data'!Q566="",ROUND(AVERAGE('Raw Data'!$Q$2:$Q$1501),0),'Raw Data'!Q566)</f>
        <v>1</v>
      </c>
      <c r="R566" s="21">
        <f>'Raw Data'!R566</f>
        <v>3</v>
      </c>
      <c r="S566" s="21">
        <f>IF('Raw Data'!S566="",ROUND(AVERAGE('Raw Data'!$S$2:$S$1501),0),'Raw Data'!S566)</f>
        <v>16</v>
      </c>
      <c r="T566" s="21">
        <f>'Raw Data'!T566</f>
        <v>188.56</v>
      </c>
      <c r="U566" s="21" t="str">
        <f>INDEX('Lookup Tables'!$C$7:$C$9,MATCH(E566,'Lookup Tables'!$B$7:$B$9,0))</f>
        <v>Tier 3 (Semi-urban/Rural)</v>
      </c>
      <c r="V566" s="21" t="str">
        <f t="shared" si="24"/>
        <v>7-12 months</v>
      </c>
      <c r="W566" s="21" t="str">
        <f t="shared" si="25"/>
        <v>Medium Risk</v>
      </c>
      <c r="X566" s="21" t="str">
        <f t="shared" si="26"/>
        <v>No</v>
      </c>
    </row>
    <row r="567" spans="1:24" x14ac:dyDescent="0.3">
      <c r="A567" s="21">
        <f>'Raw Data'!A567</f>
        <v>50566</v>
      </c>
      <c r="B567" s="21">
        <f>'Raw Data'!B567</f>
        <v>0</v>
      </c>
      <c r="C567" s="21">
        <f>'Raw Data'!C567</f>
        <v>9</v>
      </c>
      <c r="D567" s="21" t="str">
        <f>'Raw Data'!D567</f>
        <v>Mobile Phone</v>
      </c>
      <c r="E567" s="21">
        <f>'Raw Data'!E567</f>
        <v>2</v>
      </c>
      <c r="F567" s="21">
        <f>IF('Raw Data'!F567="",ROUND(AVERAGE('Raw Data'!$F$2:$F$1501),1),'Raw Data'!F567)</f>
        <v>8</v>
      </c>
      <c r="G567" s="21" t="str">
        <f>'Raw Data'!G567</f>
        <v>Debit Card</v>
      </c>
      <c r="H567" s="21" t="str">
        <f>'Raw Data'!H567</f>
        <v>Male</v>
      </c>
      <c r="I567" s="21">
        <f>IF('Raw Data'!I567="",ROUND(AVERAGE('Raw Data'!$I$2:$I$1501),1),'Raw Data'!I567)</f>
        <v>2.4</v>
      </c>
      <c r="J567" s="21">
        <f>'Raw Data'!J567</f>
        <v>5</v>
      </c>
      <c r="K567" s="21" t="str">
        <f>'Raw Data'!K567</f>
        <v>Laptop &amp; Accessory</v>
      </c>
      <c r="L567" s="21">
        <f>'Raw Data'!L567</f>
        <v>2</v>
      </c>
      <c r="M567" s="21" t="str">
        <f>'Raw Data'!M567</f>
        <v>Married</v>
      </c>
      <c r="N567" s="21">
        <f>'Raw Data'!N567</f>
        <v>6</v>
      </c>
      <c r="O567" s="21">
        <f>'Raw Data'!O567</f>
        <v>0</v>
      </c>
      <c r="P567" s="21">
        <f>IF('Raw Data'!P567="",ROUND(AVERAGE('Raw Data'!$P$2:$P$1501),1),'Raw Data'!P567)</f>
        <v>16.2</v>
      </c>
      <c r="Q567" s="21">
        <f>IF('Raw Data'!Q567="",ROUND(AVERAGE('Raw Data'!$Q$2:$Q$1501),0),'Raw Data'!Q567)</f>
        <v>0</v>
      </c>
      <c r="R567" s="21">
        <f>'Raw Data'!R567</f>
        <v>4</v>
      </c>
      <c r="S567" s="21">
        <f>IF('Raw Data'!S567="",ROUND(AVERAGE('Raw Data'!$S$2:$S$1501),0),'Raw Data'!S567)</f>
        <v>2</v>
      </c>
      <c r="T567" s="21">
        <f>'Raw Data'!T567</f>
        <v>128.58000000000001</v>
      </c>
      <c r="U567" s="21" t="str">
        <f>INDEX('Lookup Tables'!$C$7:$C$9,MATCH(E567,'Lookup Tables'!$B$7:$B$9,0))</f>
        <v>Tier 2 (Urban)</v>
      </c>
      <c r="V567" s="21" t="str">
        <f t="shared" si="24"/>
        <v>7-12 months</v>
      </c>
      <c r="W567" s="21" t="str">
        <f t="shared" si="25"/>
        <v>Low Risk</v>
      </c>
      <c r="X567" s="21" t="str">
        <f t="shared" si="26"/>
        <v>No</v>
      </c>
    </row>
    <row r="568" spans="1:24" x14ac:dyDescent="0.3">
      <c r="A568" s="21">
        <f>'Raw Data'!A568</f>
        <v>50567</v>
      </c>
      <c r="B568" s="21">
        <f>'Raw Data'!B568</f>
        <v>0</v>
      </c>
      <c r="C568" s="21">
        <f>'Raw Data'!C568</f>
        <v>13</v>
      </c>
      <c r="D568" s="21" t="str">
        <f>'Raw Data'!D568</f>
        <v>Mobile Phone</v>
      </c>
      <c r="E568" s="21">
        <f>'Raw Data'!E568</f>
        <v>1</v>
      </c>
      <c r="F568" s="21">
        <f>IF('Raw Data'!F568="",ROUND(AVERAGE('Raw Data'!$F$2:$F$1501),1),'Raw Data'!F568)</f>
        <v>5</v>
      </c>
      <c r="G568" s="21" t="str">
        <f>'Raw Data'!G568</f>
        <v>E wallet</v>
      </c>
      <c r="H568" s="21" t="str">
        <f>'Raw Data'!H568</f>
        <v>Male</v>
      </c>
      <c r="I568" s="21">
        <f>IF('Raw Data'!I568="",ROUND(AVERAGE('Raw Data'!$I$2:$I$1501),1),'Raw Data'!I568)</f>
        <v>2.6</v>
      </c>
      <c r="J568" s="21">
        <f>'Raw Data'!J568</f>
        <v>3</v>
      </c>
      <c r="K568" s="21" t="str">
        <f>'Raw Data'!K568</f>
        <v>Mobile Phone</v>
      </c>
      <c r="L568" s="21">
        <f>'Raw Data'!L568</f>
        <v>2</v>
      </c>
      <c r="M568" s="21" t="str">
        <f>'Raw Data'!M568</f>
        <v>Married</v>
      </c>
      <c r="N568" s="21">
        <f>'Raw Data'!N568</f>
        <v>7</v>
      </c>
      <c r="O568" s="21">
        <f>'Raw Data'!O568</f>
        <v>0</v>
      </c>
      <c r="P568" s="21">
        <f>IF('Raw Data'!P568="",ROUND(AVERAGE('Raw Data'!$P$2:$P$1501),1),'Raw Data'!P568)</f>
        <v>11</v>
      </c>
      <c r="Q568" s="21">
        <f>IF('Raw Data'!Q568="",ROUND(AVERAGE('Raw Data'!$Q$2:$Q$1501),0),'Raw Data'!Q568)</f>
        <v>3</v>
      </c>
      <c r="R568" s="21">
        <f>'Raw Data'!R568</f>
        <v>1</v>
      </c>
      <c r="S568" s="21">
        <f>IF('Raw Data'!S568="",ROUND(AVERAGE('Raw Data'!$S$2:$S$1501),0),'Raw Data'!S568)</f>
        <v>5</v>
      </c>
      <c r="T568" s="21">
        <f>'Raw Data'!T568</f>
        <v>208.7</v>
      </c>
      <c r="U568" s="21" t="str">
        <f>INDEX('Lookup Tables'!$C$7:$C$9,MATCH(E568,'Lookup Tables'!$B$7:$B$9,0))</f>
        <v>Tier 1 (Metro)</v>
      </c>
      <c r="V568" s="21" t="str">
        <f t="shared" si="24"/>
        <v>13-24 months</v>
      </c>
      <c r="W568" s="21" t="str">
        <f t="shared" si="25"/>
        <v>Low Risk</v>
      </c>
      <c r="X568" s="21" t="str">
        <f t="shared" si="26"/>
        <v>No</v>
      </c>
    </row>
    <row r="569" spans="1:24" x14ac:dyDescent="0.3">
      <c r="A569" s="21">
        <f>'Raw Data'!A569</f>
        <v>50568</v>
      </c>
      <c r="B569" s="21">
        <f>'Raw Data'!B569</f>
        <v>0</v>
      </c>
      <c r="C569" s="21">
        <f>'Raw Data'!C569</f>
        <v>1</v>
      </c>
      <c r="D569" s="21" t="str">
        <f>'Raw Data'!D569</f>
        <v>Phone</v>
      </c>
      <c r="E569" s="21">
        <f>'Raw Data'!E569</f>
        <v>2</v>
      </c>
      <c r="F569" s="21">
        <f>IF('Raw Data'!F569="",ROUND(AVERAGE('Raw Data'!$F$2:$F$1501),1),'Raw Data'!F569)</f>
        <v>24</v>
      </c>
      <c r="G569" s="21" t="str">
        <f>'Raw Data'!G569</f>
        <v>Debit Card</v>
      </c>
      <c r="H569" s="21" t="str">
        <f>'Raw Data'!H569</f>
        <v>Male</v>
      </c>
      <c r="I569" s="21">
        <f>IF('Raw Data'!I569="",ROUND(AVERAGE('Raw Data'!$I$2:$I$1501),1),'Raw Data'!I569)</f>
        <v>3.3</v>
      </c>
      <c r="J569" s="21">
        <f>'Raw Data'!J569</f>
        <v>5</v>
      </c>
      <c r="K569" s="21" t="str">
        <f>'Raw Data'!K569</f>
        <v>Grocery</v>
      </c>
      <c r="L569" s="21">
        <f>'Raw Data'!L569</f>
        <v>3</v>
      </c>
      <c r="M569" s="21" t="str">
        <f>'Raw Data'!M569</f>
        <v>Single</v>
      </c>
      <c r="N569" s="21">
        <f>'Raw Data'!N569</f>
        <v>2</v>
      </c>
      <c r="O569" s="21">
        <f>'Raw Data'!O569</f>
        <v>1</v>
      </c>
      <c r="P569" s="21">
        <f>IF('Raw Data'!P569="",ROUND(AVERAGE('Raw Data'!$P$2:$P$1501),1),'Raw Data'!P569)</f>
        <v>12.2</v>
      </c>
      <c r="Q569" s="21">
        <f>IF('Raw Data'!Q569="",ROUND(AVERAGE('Raw Data'!$Q$2:$Q$1501),0),'Raw Data'!Q569)</f>
        <v>1</v>
      </c>
      <c r="R569" s="21">
        <f>'Raw Data'!R569</f>
        <v>4</v>
      </c>
      <c r="S569" s="21">
        <f>IF('Raw Data'!S569="",ROUND(AVERAGE('Raw Data'!$S$2:$S$1501),0),'Raw Data'!S569)</f>
        <v>0</v>
      </c>
      <c r="T569" s="21">
        <f>'Raw Data'!T569</f>
        <v>107.68</v>
      </c>
      <c r="U569" s="21" t="str">
        <f>INDEX('Lookup Tables'!$C$7:$C$9,MATCH(E569,'Lookup Tables'!$B$7:$B$9,0))</f>
        <v>Tier 2 (Urban)</v>
      </c>
      <c r="V569" s="21" t="str">
        <f t="shared" si="24"/>
        <v>0-6 months</v>
      </c>
      <c r="W569" s="21" t="str">
        <f t="shared" si="25"/>
        <v>Medium Risk</v>
      </c>
      <c r="X569" s="21" t="str">
        <f t="shared" si="26"/>
        <v>No</v>
      </c>
    </row>
    <row r="570" spans="1:24" x14ac:dyDescent="0.3">
      <c r="A570" s="21">
        <f>'Raw Data'!A570</f>
        <v>50569</v>
      </c>
      <c r="B570" s="21">
        <f>'Raw Data'!B570</f>
        <v>0</v>
      </c>
      <c r="C570" s="21">
        <f>'Raw Data'!C570</f>
        <v>12</v>
      </c>
      <c r="D570" s="21" t="str">
        <f>'Raw Data'!D570</f>
        <v>Mobile Phone</v>
      </c>
      <c r="E570" s="21">
        <f>'Raw Data'!E570</f>
        <v>2</v>
      </c>
      <c r="F570" s="21">
        <f>IF('Raw Data'!F570="",ROUND(AVERAGE('Raw Data'!$F$2:$F$1501),1),'Raw Data'!F570)</f>
        <v>22</v>
      </c>
      <c r="G570" s="21" t="str">
        <f>'Raw Data'!G570</f>
        <v>Credit Card</v>
      </c>
      <c r="H570" s="21" t="str">
        <f>'Raw Data'!H570</f>
        <v>Female</v>
      </c>
      <c r="I570" s="21">
        <f>IF('Raw Data'!I570="",ROUND(AVERAGE('Raw Data'!$I$2:$I$1501),1),'Raw Data'!I570)</f>
        <v>3.1</v>
      </c>
      <c r="J570" s="21">
        <f>'Raw Data'!J570</f>
        <v>3</v>
      </c>
      <c r="K570" s="21" t="str">
        <f>'Raw Data'!K570</f>
        <v>Mobile Phone</v>
      </c>
      <c r="L570" s="21">
        <f>'Raw Data'!L570</f>
        <v>1</v>
      </c>
      <c r="M570" s="21" t="str">
        <f>'Raw Data'!M570</f>
        <v>Married</v>
      </c>
      <c r="N570" s="21">
        <f>'Raw Data'!N570</f>
        <v>1</v>
      </c>
      <c r="O570" s="21">
        <f>'Raw Data'!O570</f>
        <v>0</v>
      </c>
      <c r="P570" s="21">
        <f>IF('Raw Data'!P570="",ROUND(AVERAGE('Raw Data'!$P$2:$P$1501),1),'Raw Data'!P570)</f>
        <v>17.3</v>
      </c>
      <c r="Q570" s="21">
        <f>IF('Raw Data'!Q570="",ROUND(AVERAGE('Raw Data'!$Q$2:$Q$1501),0),'Raw Data'!Q570)</f>
        <v>1</v>
      </c>
      <c r="R570" s="21">
        <f>'Raw Data'!R570</f>
        <v>4</v>
      </c>
      <c r="S570" s="21">
        <f>IF('Raw Data'!S570="",ROUND(AVERAGE('Raw Data'!$S$2:$S$1501),0),'Raw Data'!S570)</f>
        <v>8</v>
      </c>
      <c r="T570" s="21">
        <f>'Raw Data'!T570</f>
        <v>161.32</v>
      </c>
      <c r="U570" s="21" t="str">
        <f>INDEX('Lookup Tables'!$C$7:$C$9,MATCH(E570,'Lookup Tables'!$B$7:$B$9,0))</f>
        <v>Tier 2 (Urban)</v>
      </c>
      <c r="V570" s="21" t="str">
        <f t="shared" si="24"/>
        <v>7-12 months</v>
      </c>
      <c r="W570" s="21" t="str">
        <f t="shared" si="25"/>
        <v>Low Risk</v>
      </c>
      <c r="X570" s="21" t="str">
        <f t="shared" si="26"/>
        <v>No</v>
      </c>
    </row>
    <row r="571" spans="1:24" x14ac:dyDescent="0.3">
      <c r="A571" s="21">
        <f>'Raw Data'!A571</f>
        <v>50570</v>
      </c>
      <c r="B571" s="21">
        <f>'Raw Data'!B571</f>
        <v>0</v>
      </c>
      <c r="C571" s="21">
        <f>'Raw Data'!C571</f>
        <v>23</v>
      </c>
      <c r="D571" s="21" t="str">
        <f>'Raw Data'!D571</f>
        <v>Phone</v>
      </c>
      <c r="E571" s="21">
        <f>'Raw Data'!E571</f>
        <v>3</v>
      </c>
      <c r="F571" s="21">
        <f>IF('Raw Data'!F571="",ROUND(AVERAGE('Raw Data'!$F$2:$F$1501),1),'Raw Data'!F571)</f>
        <v>15</v>
      </c>
      <c r="G571" s="21" t="str">
        <f>'Raw Data'!G571</f>
        <v>E wallet</v>
      </c>
      <c r="H571" s="21" t="str">
        <f>'Raw Data'!H571</f>
        <v>Female</v>
      </c>
      <c r="I571" s="21">
        <f>IF('Raw Data'!I571="",ROUND(AVERAGE('Raw Data'!$I$2:$I$1501),1),'Raw Data'!I571)</f>
        <v>2.8</v>
      </c>
      <c r="J571" s="21">
        <f>'Raw Data'!J571</f>
        <v>3</v>
      </c>
      <c r="K571" s="21" t="str">
        <f>'Raw Data'!K571</f>
        <v>Laptop &amp; Accessory</v>
      </c>
      <c r="L571" s="21">
        <f>'Raw Data'!L571</f>
        <v>4</v>
      </c>
      <c r="M571" s="21" t="str">
        <f>'Raw Data'!M571</f>
        <v>Married</v>
      </c>
      <c r="N571" s="21">
        <f>'Raw Data'!N571</f>
        <v>1</v>
      </c>
      <c r="O571" s="21">
        <f>'Raw Data'!O571</f>
        <v>0</v>
      </c>
      <c r="P571" s="21">
        <f>IF('Raw Data'!P571="",ROUND(AVERAGE('Raw Data'!$P$2:$P$1501),1),'Raw Data'!P571)</f>
        <v>12.5</v>
      </c>
      <c r="Q571" s="21">
        <f>IF('Raw Data'!Q571="",ROUND(AVERAGE('Raw Data'!$Q$2:$Q$1501),0),'Raw Data'!Q571)</f>
        <v>3</v>
      </c>
      <c r="R571" s="21">
        <f>'Raw Data'!R571</f>
        <v>3</v>
      </c>
      <c r="S571" s="21">
        <f>IF('Raw Data'!S571="",ROUND(AVERAGE('Raw Data'!$S$2:$S$1501),0),'Raw Data'!S571)</f>
        <v>0</v>
      </c>
      <c r="T571" s="21">
        <f>'Raw Data'!T571</f>
        <v>166.1</v>
      </c>
      <c r="U571" s="21" t="str">
        <f>INDEX('Lookup Tables'!$C$7:$C$9,MATCH(E571,'Lookup Tables'!$B$7:$B$9,0))</f>
        <v>Tier 3 (Semi-urban/Rural)</v>
      </c>
      <c r="V571" s="21" t="str">
        <f t="shared" si="24"/>
        <v>13-24 months</v>
      </c>
      <c r="W571" s="21" t="str">
        <f t="shared" si="25"/>
        <v>Low Risk</v>
      </c>
      <c r="X571" s="21" t="str">
        <f t="shared" si="26"/>
        <v>No</v>
      </c>
    </row>
    <row r="572" spans="1:24" x14ac:dyDescent="0.3">
      <c r="A572" s="21">
        <f>'Raw Data'!A572</f>
        <v>50571</v>
      </c>
      <c r="B572" s="21">
        <f>'Raw Data'!B572</f>
        <v>1</v>
      </c>
      <c r="C572" s="21">
        <f>'Raw Data'!C572</f>
        <v>1</v>
      </c>
      <c r="D572" s="21" t="str">
        <f>'Raw Data'!D572</f>
        <v>Phone</v>
      </c>
      <c r="E572" s="21">
        <f>'Raw Data'!E572</f>
        <v>1</v>
      </c>
      <c r="F572" s="21">
        <f>IF('Raw Data'!F572="",ROUND(AVERAGE('Raw Data'!$F$2:$F$1501),1),'Raw Data'!F572)</f>
        <v>16</v>
      </c>
      <c r="G572" s="21" t="str">
        <f>'Raw Data'!G572</f>
        <v>E wallet</v>
      </c>
      <c r="H572" s="21" t="str">
        <f>'Raw Data'!H572</f>
        <v>Female</v>
      </c>
      <c r="I572" s="21">
        <f>IF('Raw Data'!I572="",ROUND(AVERAGE('Raw Data'!$I$2:$I$1501),1),'Raw Data'!I572)</f>
        <v>2.9</v>
      </c>
      <c r="J572" s="21">
        <f>'Raw Data'!J572</f>
        <v>3</v>
      </c>
      <c r="K572" s="21" t="str">
        <f>'Raw Data'!K572</f>
        <v>Others</v>
      </c>
      <c r="L572" s="21">
        <f>'Raw Data'!L572</f>
        <v>1</v>
      </c>
      <c r="M572" s="21" t="str">
        <f>'Raw Data'!M572</f>
        <v>Married</v>
      </c>
      <c r="N572" s="21">
        <f>'Raw Data'!N572</f>
        <v>1</v>
      </c>
      <c r="O572" s="21">
        <f>'Raw Data'!O572</f>
        <v>0</v>
      </c>
      <c r="P572" s="21">
        <f>IF('Raw Data'!P572="",ROUND(AVERAGE('Raw Data'!$P$2:$P$1501),1),'Raw Data'!P572)</f>
        <v>14.1</v>
      </c>
      <c r="Q572" s="21">
        <f>IF('Raw Data'!Q572="",ROUND(AVERAGE('Raw Data'!$Q$2:$Q$1501),0),'Raw Data'!Q572)</f>
        <v>0</v>
      </c>
      <c r="R572" s="21">
        <f>'Raw Data'!R572</f>
        <v>4</v>
      </c>
      <c r="S572" s="21">
        <f>IF('Raw Data'!S572="",ROUND(AVERAGE('Raw Data'!$S$2:$S$1501),0),'Raw Data'!S572)</f>
        <v>1</v>
      </c>
      <c r="T572" s="21">
        <f>'Raw Data'!T572</f>
        <v>241.21</v>
      </c>
      <c r="U572" s="21" t="str">
        <f>INDEX('Lookup Tables'!$C$7:$C$9,MATCH(E572,'Lookup Tables'!$B$7:$B$9,0))</f>
        <v>Tier 1 (Metro)</v>
      </c>
      <c r="V572" s="21" t="str">
        <f t="shared" si="24"/>
        <v>0-6 months</v>
      </c>
      <c r="W572" s="21" t="str">
        <f t="shared" si="25"/>
        <v>Low Risk</v>
      </c>
      <c r="X572" s="21" t="str">
        <f t="shared" si="26"/>
        <v>Yes</v>
      </c>
    </row>
    <row r="573" spans="1:24" x14ac:dyDescent="0.3">
      <c r="A573" s="21">
        <f>'Raw Data'!A573</f>
        <v>50572</v>
      </c>
      <c r="B573" s="21">
        <f>'Raw Data'!B573</f>
        <v>1</v>
      </c>
      <c r="C573" s="21">
        <f>'Raw Data'!C573</f>
        <v>2</v>
      </c>
      <c r="D573" s="21" t="str">
        <f>'Raw Data'!D573</f>
        <v>Mobile Phone</v>
      </c>
      <c r="E573" s="21">
        <f>'Raw Data'!E573</f>
        <v>1</v>
      </c>
      <c r="F573" s="21">
        <f>IF('Raw Data'!F573="",ROUND(AVERAGE('Raw Data'!$F$2:$F$1501),1),'Raw Data'!F573)</f>
        <v>23</v>
      </c>
      <c r="G573" s="21" t="str">
        <f>'Raw Data'!G573</f>
        <v>E wallet</v>
      </c>
      <c r="H573" s="21" t="str">
        <f>'Raw Data'!H573</f>
        <v>Male</v>
      </c>
      <c r="I573" s="21">
        <f>IF('Raw Data'!I573="",ROUND(AVERAGE('Raw Data'!$I$2:$I$1501),1),'Raw Data'!I573)</f>
        <v>2.2000000000000002</v>
      </c>
      <c r="J573" s="21">
        <f>'Raw Data'!J573</f>
        <v>3</v>
      </c>
      <c r="K573" s="21" t="str">
        <f>'Raw Data'!K573</f>
        <v>Grocery</v>
      </c>
      <c r="L573" s="21">
        <f>'Raw Data'!L573</f>
        <v>2</v>
      </c>
      <c r="M573" s="21" t="str">
        <f>'Raw Data'!M573</f>
        <v>Divorced</v>
      </c>
      <c r="N573" s="21">
        <f>'Raw Data'!N573</f>
        <v>1</v>
      </c>
      <c r="O573" s="21">
        <f>'Raw Data'!O573</f>
        <v>0</v>
      </c>
      <c r="P573" s="21">
        <f>IF('Raw Data'!P573="",ROUND(AVERAGE('Raw Data'!$P$2:$P$1501),1),'Raw Data'!P573)</f>
        <v>17.7</v>
      </c>
      <c r="Q573" s="21">
        <f>IF('Raw Data'!Q573="",ROUND(AVERAGE('Raw Data'!$Q$2:$Q$1501),0),'Raw Data'!Q573)</f>
        <v>5</v>
      </c>
      <c r="R573" s="21">
        <f>'Raw Data'!R573</f>
        <v>4</v>
      </c>
      <c r="S573" s="21">
        <f>IF('Raw Data'!S573="",ROUND(AVERAGE('Raw Data'!$S$2:$S$1501),0),'Raw Data'!S573)</f>
        <v>3</v>
      </c>
      <c r="T573" s="21">
        <f>'Raw Data'!T573</f>
        <v>187.7</v>
      </c>
      <c r="U573" s="21" t="str">
        <f>INDEX('Lookup Tables'!$C$7:$C$9,MATCH(E573,'Lookup Tables'!$B$7:$B$9,0))</f>
        <v>Tier 1 (Metro)</v>
      </c>
      <c r="V573" s="21" t="str">
        <f t="shared" si="24"/>
        <v>0-6 months</v>
      </c>
      <c r="W573" s="21" t="str">
        <f t="shared" si="25"/>
        <v>Low Risk</v>
      </c>
      <c r="X573" s="21" t="str">
        <f t="shared" si="26"/>
        <v>Yes</v>
      </c>
    </row>
    <row r="574" spans="1:24" x14ac:dyDescent="0.3">
      <c r="A574" s="21">
        <f>'Raw Data'!A574</f>
        <v>50573</v>
      </c>
      <c r="B574" s="21">
        <f>'Raw Data'!B574</f>
        <v>1</v>
      </c>
      <c r="C574" s="21">
        <f>'Raw Data'!C574</f>
        <v>35</v>
      </c>
      <c r="D574" s="21" t="str">
        <f>'Raw Data'!D574</f>
        <v>Phone</v>
      </c>
      <c r="E574" s="21">
        <f>'Raw Data'!E574</f>
        <v>3</v>
      </c>
      <c r="F574" s="21">
        <f>IF('Raw Data'!F574="",ROUND(AVERAGE('Raw Data'!$F$2:$F$1501),1),'Raw Data'!F574)</f>
        <v>16</v>
      </c>
      <c r="G574" s="21" t="str">
        <f>'Raw Data'!G574</f>
        <v>Debit Card</v>
      </c>
      <c r="H574" s="21" t="str">
        <f>'Raw Data'!H574</f>
        <v>Male</v>
      </c>
      <c r="I574" s="21">
        <f>IF('Raw Data'!I574="",ROUND(AVERAGE('Raw Data'!$I$2:$I$1501),1),'Raw Data'!I574)</f>
        <v>1.9</v>
      </c>
      <c r="J574" s="21">
        <f>'Raw Data'!J574</f>
        <v>4</v>
      </c>
      <c r="K574" s="21" t="str">
        <f>'Raw Data'!K574</f>
        <v>Fashion</v>
      </c>
      <c r="L574" s="21">
        <f>'Raw Data'!L574</f>
        <v>1</v>
      </c>
      <c r="M574" s="21" t="str">
        <f>'Raw Data'!M574</f>
        <v>Married</v>
      </c>
      <c r="N574" s="21">
        <f>'Raw Data'!N574</f>
        <v>1</v>
      </c>
      <c r="O574" s="21">
        <f>'Raw Data'!O574</f>
        <v>0</v>
      </c>
      <c r="P574" s="21">
        <f>IF('Raw Data'!P574="",ROUND(AVERAGE('Raw Data'!$P$2:$P$1501),1),'Raw Data'!P574)</f>
        <v>14</v>
      </c>
      <c r="Q574" s="21">
        <f>IF('Raw Data'!Q574="",ROUND(AVERAGE('Raw Data'!$Q$2:$Q$1501),0),'Raw Data'!Q574)</f>
        <v>1</v>
      </c>
      <c r="R574" s="21">
        <f>'Raw Data'!R574</f>
        <v>2</v>
      </c>
      <c r="S574" s="21">
        <f>IF('Raw Data'!S574="",ROUND(AVERAGE('Raw Data'!$S$2:$S$1501),0),'Raw Data'!S574)</f>
        <v>4</v>
      </c>
      <c r="T574" s="21">
        <f>'Raw Data'!T574</f>
        <v>232.53</v>
      </c>
      <c r="U574" s="21" t="str">
        <f>INDEX('Lookup Tables'!$C$7:$C$9,MATCH(E574,'Lookup Tables'!$B$7:$B$9,0))</f>
        <v>Tier 3 (Semi-urban/Rural)</v>
      </c>
      <c r="V574" s="21" t="str">
        <f t="shared" si="24"/>
        <v>25+ months</v>
      </c>
      <c r="W574" s="21" t="str">
        <f t="shared" si="25"/>
        <v>Low Risk</v>
      </c>
      <c r="X574" s="21" t="str">
        <f t="shared" si="26"/>
        <v>Yes</v>
      </c>
    </row>
    <row r="575" spans="1:24" x14ac:dyDescent="0.3">
      <c r="A575" s="21">
        <f>'Raw Data'!A575</f>
        <v>50574</v>
      </c>
      <c r="B575" s="21">
        <f>'Raw Data'!B575</f>
        <v>1</v>
      </c>
      <c r="C575" s="21">
        <f>'Raw Data'!C575</f>
        <v>1</v>
      </c>
      <c r="D575" s="21" t="str">
        <f>'Raw Data'!D575</f>
        <v>Mobile Phone</v>
      </c>
      <c r="E575" s="21">
        <f>'Raw Data'!E575</f>
        <v>3</v>
      </c>
      <c r="F575" s="21">
        <f>IF('Raw Data'!F575="",ROUND(AVERAGE('Raw Data'!$F$2:$F$1501),1),'Raw Data'!F575)</f>
        <v>22</v>
      </c>
      <c r="G575" s="21" t="str">
        <f>'Raw Data'!G575</f>
        <v>Credit Card</v>
      </c>
      <c r="H575" s="21" t="str">
        <f>'Raw Data'!H575</f>
        <v>Male</v>
      </c>
      <c r="I575" s="21">
        <f>IF('Raw Data'!I575="",ROUND(AVERAGE('Raw Data'!$I$2:$I$1501),1),'Raw Data'!I575)</f>
        <v>3.4</v>
      </c>
      <c r="J575" s="21">
        <f>'Raw Data'!J575</f>
        <v>4</v>
      </c>
      <c r="K575" s="21" t="str">
        <f>'Raw Data'!K575</f>
        <v>Mobile Phone</v>
      </c>
      <c r="L575" s="21">
        <f>'Raw Data'!L575</f>
        <v>1</v>
      </c>
      <c r="M575" s="21" t="str">
        <f>'Raw Data'!M575</f>
        <v>Married</v>
      </c>
      <c r="N575" s="21">
        <f>'Raw Data'!N575</f>
        <v>1</v>
      </c>
      <c r="O575" s="21">
        <f>'Raw Data'!O575</f>
        <v>0</v>
      </c>
      <c r="P575" s="21">
        <f>IF('Raw Data'!P575="",ROUND(AVERAGE('Raw Data'!$P$2:$P$1501),1),'Raw Data'!P575)</f>
        <v>18.899999999999999</v>
      </c>
      <c r="Q575" s="21">
        <f>IF('Raw Data'!Q575="",ROUND(AVERAGE('Raw Data'!$Q$2:$Q$1501),0),'Raw Data'!Q575)</f>
        <v>1</v>
      </c>
      <c r="R575" s="21">
        <f>'Raw Data'!R575</f>
        <v>2</v>
      </c>
      <c r="S575" s="21">
        <f>IF('Raw Data'!S575="",ROUND(AVERAGE('Raw Data'!$S$2:$S$1501),0),'Raw Data'!S575)</f>
        <v>4</v>
      </c>
      <c r="T575" s="21">
        <f>'Raw Data'!T575</f>
        <v>210.51</v>
      </c>
      <c r="U575" s="21" t="str">
        <f>INDEX('Lookup Tables'!$C$7:$C$9,MATCH(E575,'Lookup Tables'!$B$7:$B$9,0))</f>
        <v>Tier 3 (Semi-urban/Rural)</v>
      </c>
      <c r="V575" s="21" t="str">
        <f t="shared" si="24"/>
        <v>0-6 months</v>
      </c>
      <c r="W575" s="21" t="str">
        <f t="shared" si="25"/>
        <v>Low Risk</v>
      </c>
      <c r="X575" s="21" t="str">
        <f t="shared" si="26"/>
        <v>Yes</v>
      </c>
    </row>
    <row r="576" spans="1:24" x14ac:dyDescent="0.3">
      <c r="A576" s="21">
        <f>'Raw Data'!A576</f>
        <v>50575</v>
      </c>
      <c r="B576" s="21">
        <f>'Raw Data'!B576</f>
        <v>0</v>
      </c>
      <c r="C576" s="21">
        <f>'Raw Data'!C576</f>
        <v>19</v>
      </c>
      <c r="D576" s="21" t="str">
        <f>'Raw Data'!D576</f>
        <v>Mobile Phone</v>
      </c>
      <c r="E576" s="21">
        <f>'Raw Data'!E576</f>
        <v>3</v>
      </c>
      <c r="F576" s="21">
        <f>IF('Raw Data'!F576="",ROUND(AVERAGE('Raw Data'!$F$2:$F$1501),1),'Raw Data'!F576)</f>
        <v>12</v>
      </c>
      <c r="G576" s="21" t="str">
        <f>'Raw Data'!G576</f>
        <v>Debit Card</v>
      </c>
      <c r="H576" s="21" t="str">
        <f>'Raw Data'!H576</f>
        <v>Male</v>
      </c>
      <c r="I576" s="21">
        <f>IF('Raw Data'!I576="",ROUND(AVERAGE('Raw Data'!$I$2:$I$1501),1),'Raw Data'!I576)</f>
        <v>3.4</v>
      </c>
      <c r="J576" s="21">
        <f>'Raw Data'!J576</f>
        <v>2</v>
      </c>
      <c r="K576" s="21" t="str">
        <f>'Raw Data'!K576</f>
        <v>Laptop &amp; Accessory</v>
      </c>
      <c r="L576" s="21">
        <f>'Raw Data'!L576</f>
        <v>3</v>
      </c>
      <c r="M576" s="21" t="str">
        <f>'Raw Data'!M576</f>
        <v>Divorced</v>
      </c>
      <c r="N576" s="21">
        <f>'Raw Data'!N576</f>
        <v>1</v>
      </c>
      <c r="O576" s="21">
        <f>'Raw Data'!O576</f>
        <v>0</v>
      </c>
      <c r="P576" s="21">
        <f>IF('Raw Data'!P576="",ROUND(AVERAGE('Raw Data'!$P$2:$P$1501),1),'Raw Data'!P576)</f>
        <v>16.8</v>
      </c>
      <c r="Q576" s="21">
        <f>IF('Raw Data'!Q576="",ROUND(AVERAGE('Raw Data'!$Q$2:$Q$1501),0),'Raw Data'!Q576)</f>
        <v>3</v>
      </c>
      <c r="R576" s="21">
        <f>'Raw Data'!R576</f>
        <v>2</v>
      </c>
      <c r="S576" s="21">
        <f>IF('Raw Data'!S576="",ROUND(AVERAGE('Raw Data'!$S$2:$S$1501),0),'Raw Data'!S576)</f>
        <v>0</v>
      </c>
      <c r="T576" s="21">
        <f>'Raw Data'!T576</f>
        <v>210.16</v>
      </c>
      <c r="U576" s="21" t="str">
        <f>INDEX('Lookup Tables'!$C$7:$C$9,MATCH(E576,'Lookup Tables'!$B$7:$B$9,0))</f>
        <v>Tier 3 (Semi-urban/Rural)</v>
      </c>
      <c r="V576" s="21" t="str">
        <f t="shared" si="24"/>
        <v>13-24 months</v>
      </c>
      <c r="W576" s="21" t="str">
        <f t="shared" si="25"/>
        <v>Medium Risk</v>
      </c>
      <c r="X576" s="21" t="str">
        <f t="shared" si="26"/>
        <v>No</v>
      </c>
    </row>
    <row r="577" spans="1:24" x14ac:dyDescent="0.3">
      <c r="A577" s="21">
        <f>'Raw Data'!A577</f>
        <v>50576</v>
      </c>
      <c r="B577" s="21">
        <f>'Raw Data'!B577</f>
        <v>0</v>
      </c>
      <c r="C577" s="21">
        <f>'Raw Data'!C577</f>
        <v>6</v>
      </c>
      <c r="D577" s="21" t="str">
        <f>'Raw Data'!D577</f>
        <v>Computer</v>
      </c>
      <c r="E577" s="21">
        <f>'Raw Data'!E577</f>
        <v>1</v>
      </c>
      <c r="F577" s="21">
        <f>IF('Raw Data'!F577="",ROUND(AVERAGE('Raw Data'!$F$2:$F$1501),1),'Raw Data'!F577)</f>
        <v>25</v>
      </c>
      <c r="G577" s="21" t="str">
        <f>'Raw Data'!G577</f>
        <v>E wallet</v>
      </c>
      <c r="H577" s="21" t="str">
        <f>'Raw Data'!H577</f>
        <v>Male</v>
      </c>
      <c r="I577" s="21">
        <f>IF('Raw Data'!I577="",ROUND(AVERAGE('Raw Data'!$I$2:$I$1501),1),'Raw Data'!I577)</f>
        <v>4</v>
      </c>
      <c r="J577" s="21">
        <f>'Raw Data'!J577</f>
        <v>2</v>
      </c>
      <c r="K577" s="21" t="str">
        <f>'Raw Data'!K577</f>
        <v>Others</v>
      </c>
      <c r="L577" s="21">
        <f>'Raw Data'!L577</f>
        <v>4</v>
      </c>
      <c r="M577" s="21" t="str">
        <f>'Raw Data'!M577</f>
        <v>Divorced</v>
      </c>
      <c r="N577" s="21">
        <f>'Raw Data'!N577</f>
        <v>2</v>
      </c>
      <c r="O577" s="21">
        <f>'Raw Data'!O577</f>
        <v>0</v>
      </c>
      <c r="P577" s="21">
        <f>IF('Raw Data'!P577="",ROUND(AVERAGE('Raw Data'!$P$2:$P$1501),1),'Raw Data'!P577)</f>
        <v>17.5</v>
      </c>
      <c r="Q577" s="21">
        <f>IF('Raw Data'!Q577="",ROUND(AVERAGE('Raw Data'!$Q$2:$Q$1501),0),'Raw Data'!Q577)</f>
        <v>1</v>
      </c>
      <c r="R577" s="21">
        <f>'Raw Data'!R577</f>
        <v>3</v>
      </c>
      <c r="S577" s="21">
        <f>IF('Raw Data'!S577="",ROUND(AVERAGE('Raw Data'!$S$2:$S$1501),0),'Raw Data'!S577)</f>
        <v>2</v>
      </c>
      <c r="T577" s="21">
        <f>'Raw Data'!T577</f>
        <v>161.74</v>
      </c>
      <c r="U577" s="21" t="str">
        <f>INDEX('Lookup Tables'!$C$7:$C$9,MATCH(E577,'Lookup Tables'!$B$7:$B$9,0))</f>
        <v>Tier 1 (Metro)</v>
      </c>
      <c r="V577" s="21" t="str">
        <f t="shared" si="24"/>
        <v>0-6 months</v>
      </c>
      <c r="W577" s="21" t="str">
        <f t="shared" si="25"/>
        <v>Low Risk</v>
      </c>
      <c r="X577" s="21" t="str">
        <f t="shared" si="26"/>
        <v>No</v>
      </c>
    </row>
    <row r="578" spans="1:24" x14ac:dyDescent="0.3">
      <c r="A578" s="21">
        <f>'Raw Data'!A578</f>
        <v>50577</v>
      </c>
      <c r="B578" s="21">
        <f>'Raw Data'!B578</f>
        <v>0</v>
      </c>
      <c r="C578" s="21">
        <f>'Raw Data'!C578</f>
        <v>2</v>
      </c>
      <c r="D578" s="21" t="str">
        <f>'Raw Data'!D578</f>
        <v>Mobile Phone</v>
      </c>
      <c r="E578" s="21">
        <f>'Raw Data'!E578</f>
        <v>3</v>
      </c>
      <c r="F578" s="21">
        <f>IF('Raw Data'!F578="",ROUND(AVERAGE('Raw Data'!$F$2:$F$1501),1),'Raw Data'!F578)</f>
        <v>17</v>
      </c>
      <c r="G578" s="21" t="str">
        <f>'Raw Data'!G578</f>
        <v>Credit Card</v>
      </c>
      <c r="H578" s="21" t="str">
        <f>'Raw Data'!H578</f>
        <v>Male</v>
      </c>
      <c r="I578" s="21">
        <f>IF('Raw Data'!I578="",ROUND(AVERAGE('Raw Data'!$I$2:$I$1501),1),'Raw Data'!I578)</f>
        <v>2.2999999999999998</v>
      </c>
      <c r="J578" s="21">
        <f>'Raw Data'!J578</f>
        <v>6</v>
      </c>
      <c r="K578" s="21" t="str">
        <f>'Raw Data'!K578</f>
        <v>Mobile Phone</v>
      </c>
      <c r="L578" s="21">
        <f>'Raw Data'!L578</f>
        <v>5</v>
      </c>
      <c r="M578" s="21" t="str">
        <f>'Raw Data'!M578</f>
        <v>Married</v>
      </c>
      <c r="N578" s="21">
        <f>'Raw Data'!N578</f>
        <v>1</v>
      </c>
      <c r="O578" s="21">
        <f>'Raw Data'!O578</f>
        <v>0</v>
      </c>
      <c r="P578" s="21">
        <f>IF('Raw Data'!P578="",ROUND(AVERAGE('Raw Data'!$P$2:$P$1501),1),'Raw Data'!P578)</f>
        <v>20.3</v>
      </c>
      <c r="Q578" s="21">
        <f>IF('Raw Data'!Q578="",ROUND(AVERAGE('Raw Data'!$Q$2:$Q$1501),0),'Raw Data'!Q578)</f>
        <v>5</v>
      </c>
      <c r="R578" s="21">
        <f>'Raw Data'!R578</f>
        <v>3</v>
      </c>
      <c r="S578" s="21">
        <f>IF('Raw Data'!S578="",ROUND(AVERAGE('Raw Data'!$S$2:$S$1501),0),'Raw Data'!S578)</f>
        <v>12</v>
      </c>
      <c r="T578" s="21">
        <f>'Raw Data'!T578</f>
        <v>236.15</v>
      </c>
      <c r="U578" s="21" t="str">
        <f>INDEX('Lookup Tables'!$C$7:$C$9,MATCH(E578,'Lookup Tables'!$B$7:$B$9,0))</f>
        <v>Tier 3 (Semi-urban/Rural)</v>
      </c>
      <c r="V578" s="21" t="str">
        <f t="shared" ref="V578:V641" si="27">IF(C578&lt;=6,"0-6 months",IF(C578&lt;=12,"7-12 months",IF(C578&lt;=24,"13-24 months","25+ months")))</f>
        <v>0-6 months</v>
      </c>
      <c r="W578" s="21" t="str">
        <f t="shared" ref="W578:W641" si="28">IF(AND(O578=1,L578&lt;=2),"High Risk",IF(OR(L578=3,S578&gt;15),"Medium Risk","Low Risk"))</f>
        <v>Low Risk</v>
      </c>
      <c r="X578" s="21" t="str">
        <f t="shared" ref="X578:X641" si="29">IF(B578=1,"Yes","No")</f>
        <v>No</v>
      </c>
    </row>
    <row r="579" spans="1:24" x14ac:dyDescent="0.3">
      <c r="A579" s="21">
        <f>'Raw Data'!A579</f>
        <v>50578</v>
      </c>
      <c r="B579" s="21">
        <f>'Raw Data'!B579</f>
        <v>0</v>
      </c>
      <c r="C579" s="21">
        <f>'Raw Data'!C579</f>
        <v>20</v>
      </c>
      <c r="D579" s="21" t="str">
        <f>'Raw Data'!D579</f>
        <v>Phone</v>
      </c>
      <c r="E579" s="21">
        <f>'Raw Data'!E579</f>
        <v>1</v>
      </c>
      <c r="F579" s="21">
        <f>IF('Raw Data'!F579="",ROUND(AVERAGE('Raw Data'!$F$2:$F$1501),1),'Raw Data'!F579)</f>
        <v>16</v>
      </c>
      <c r="G579" s="21" t="str">
        <f>'Raw Data'!G579</f>
        <v>E wallet</v>
      </c>
      <c r="H579" s="21" t="str">
        <f>'Raw Data'!H579</f>
        <v>Male</v>
      </c>
      <c r="I579" s="21">
        <f>IF('Raw Data'!I579="",ROUND(AVERAGE('Raw Data'!$I$2:$I$1501),1),'Raw Data'!I579)</f>
        <v>3.4</v>
      </c>
      <c r="J579" s="21">
        <f>'Raw Data'!J579</f>
        <v>3</v>
      </c>
      <c r="K579" s="21" t="str">
        <f>'Raw Data'!K579</f>
        <v>Grocery</v>
      </c>
      <c r="L579" s="21">
        <f>'Raw Data'!L579</f>
        <v>5</v>
      </c>
      <c r="M579" s="21" t="str">
        <f>'Raw Data'!M579</f>
        <v>Single</v>
      </c>
      <c r="N579" s="21">
        <f>'Raw Data'!N579</f>
        <v>2</v>
      </c>
      <c r="O579" s="21">
        <f>'Raw Data'!O579</f>
        <v>0</v>
      </c>
      <c r="P579" s="21">
        <f>IF('Raw Data'!P579="",ROUND(AVERAGE('Raw Data'!$P$2:$P$1501),1),'Raw Data'!P579)</f>
        <v>17.100000000000001</v>
      </c>
      <c r="Q579" s="21">
        <f>IF('Raw Data'!Q579="",ROUND(AVERAGE('Raw Data'!$Q$2:$Q$1501),0),'Raw Data'!Q579)</f>
        <v>4</v>
      </c>
      <c r="R579" s="21">
        <f>'Raw Data'!R579</f>
        <v>2</v>
      </c>
      <c r="S579" s="21">
        <f>IF('Raw Data'!S579="",ROUND(AVERAGE('Raw Data'!$S$2:$S$1501),0),'Raw Data'!S579)</f>
        <v>10</v>
      </c>
      <c r="T579" s="21">
        <f>'Raw Data'!T579</f>
        <v>160.41</v>
      </c>
      <c r="U579" s="21" t="str">
        <f>INDEX('Lookup Tables'!$C$7:$C$9,MATCH(E579,'Lookup Tables'!$B$7:$B$9,0))</f>
        <v>Tier 1 (Metro)</v>
      </c>
      <c r="V579" s="21" t="str">
        <f t="shared" si="27"/>
        <v>13-24 months</v>
      </c>
      <c r="W579" s="21" t="str">
        <f t="shared" si="28"/>
        <v>Low Risk</v>
      </c>
      <c r="X579" s="21" t="str">
        <f t="shared" si="29"/>
        <v>No</v>
      </c>
    </row>
    <row r="580" spans="1:24" x14ac:dyDescent="0.3">
      <c r="A580" s="21">
        <f>'Raw Data'!A580</f>
        <v>50579</v>
      </c>
      <c r="B580" s="21">
        <f>'Raw Data'!B580</f>
        <v>0</v>
      </c>
      <c r="C580" s="21">
        <f>'Raw Data'!C580</f>
        <v>5</v>
      </c>
      <c r="D580" s="21" t="str">
        <f>'Raw Data'!D580</f>
        <v>Mobile Phone</v>
      </c>
      <c r="E580" s="21">
        <f>'Raw Data'!E580</f>
        <v>1</v>
      </c>
      <c r="F580" s="21">
        <f>IF('Raw Data'!F580="",ROUND(AVERAGE('Raw Data'!$F$2:$F$1501),1),'Raw Data'!F580)</f>
        <v>5</v>
      </c>
      <c r="G580" s="21" t="str">
        <f>'Raw Data'!G580</f>
        <v>Debit Card</v>
      </c>
      <c r="H580" s="21" t="str">
        <f>'Raw Data'!H580</f>
        <v>Female</v>
      </c>
      <c r="I580" s="21">
        <f>IF('Raw Data'!I580="",ROUND(AVERAGE('Raw Data'!$I$2:$I$1501),1),'Raw Data'!I580)</f>
        <v>2.7</v>
      </c>
      <c r="J580" s="21">
        <f>'Raw Data'!J580</f>
        <v>4</v>
      </c>
      <c r="K580" s="21" t="str">
        <f>'Raw Data'!K580</f>
        <v>Mobile Phone</v>
      </c>
      <c r="L580" s="21">
        <f>'Raw Data'!L580</f>
        <v>5</v>
      </c>
      <c r="M580" s="21" t="str">
        <f>'Raw Data'!M580</f>
        <v>Married</v>
      </c>
      <c r="N580" s="21">
        <f>'Raw Data'!N580</f>
        <v>1</v>
      </c>
      <c r="O580" s="21">
        <f>'Raw Data'!O580</f>
        <v>1</v>
      </c>
      <c r="P580" s="21">
        <f>IF('Raw Data'!P580="",ROUND(AVERAGE('Raw Data'!$P$2:$P$1501),1),'Raw Data'!P580)</f>
        <v>21.4</v>
      </c>
      <c r="Q580" s="21">
        <f>IF('Raw Data'!Q580="",ROUND(AVERAGE('Raw Data'!$Q$2:$Q$1501),0),'Raw Data'!Q580)</f>
        <v>1</v>
      </c>
      <c r="R580" s="21">
        <f>'Raw Data'!R580</f>
        <v>4</v>
      </c>
      <c r="S580" s="21">
        <f>IF('Raw Data'!S580="",ROUND(AVERAGE('Raw Data'!$S$2:$S$1501),0),'Raw Data'!S580)</f>
        <v>4</v>
      </c>
      <c r="T580" s="21">
        <f>'Raw Data'!T580</f>
        <v>84.86</v>
      </c>
      <c r="U580" s="21" t="str">
        <f>INDEX('Lookup Tables'!$C$7:$C$9,MATCH(E580,'Lookup Tables'!$B$7:$B$9,0))</f>
        <v>Tier 1 (Metro)</v>
      </c>
      <c r="V580" s="21" t="str">
        <f t="shared" si="27"/>
        <v>0-6 months</v>
      </c>
      <c r="W580" s="21" t="str">
        <f t="shared" si="28"/>
        <v>Low Risk</v>
      </c>
      <c r="X580" s="21" t="str">
        <f t="shared" si="29"/>
        <v>No</v>
      </c>
    </row>
    <row r="581" spans="1:24" x14ac:dyDescent="0.3">
      <c r="A581" s="21">
        <f>'Raw Data'!A581</f>
        <v>50580</v>
      </c>
      <c r="B581" s="21">
        <f>'Raw Data'!B581</f>
        <v>0</v>
      </c>
      <c r="C581" s="21">
        <f>'Raw Data'!C581</f>
        <v>7</v>
      </c>
      <c r="D581" s="21" t="str">
        <f>'Raw Data'!D581</f>
        <v>Mobile Phone</v>
      </c>
      <c r="E581" s="21">
        <f>'Raw Data'!E581</f>
        <v>1</v>
      </c>
      <c r="F581" s="21">
        <f>IF('Raw Data'!F581="",ROUND(AVERAGE('Raw Data'!$F$2:$F$1501),1),'Raw Data'!F581)</f>
        <v>17</v>
      </c>
      <c r="G581" s="21" t="str">
        <f>'Raw Data'!G581</f>
        <v>Debit Card</v>
      </c>
      <c r="H581" s="21" t="str">
        <f>'Raw Data'!H581</f>
        <v>Male</v>
      </c>
      <c r="I581" s="21">
        <f>IF('Raw Data'!I581="",ROUND(AVERAGE('Raw Data'!$I$2:$I$1501),1),'Raw Data'!I581)</f>
        <v>3.7</v>
      </c>
      <c r="J581" s="21">
        <f>'Raw Data'!J581</f>
        <v>2</v>
      </c>
      <c r="K581" s="21" t="str">
        <f>'Raw Data'!K581</f>
        <v>Mobile Phone</v>
      </c>
      <c r="L581" s="21">
        <f>'Raw Data'!L581</f>
        <v>2</v>
      </c>
      <c r="M581" s="21" t="str">
        <f>'Raw Data'!M581</f>
        <v>Married</v>
      </c>
      <c r="N581" s="21">
        <f>'Raw Data'!N581</f>
        <v>3</v>
      </c>
      <c r="O581" s="21">
        <f>'Raw Data'!O581</f>
        <v>0</v>
      </c>
      <c r="P581" s="21">
        <f>IF('Raw Data'!P581="",ROUND(AVERAGE('Raw Data'!$P$2:$P$1501),1),'Raw Data'!P581)</f>
        <v>16.3</v>
      </c>
      <c r="Q581" s="21">
        <f>IF('Raw Data'!Q581="",ROUND(AVERAGE('Raw Data'!$Q$2:$Q$1501),0),'Raw Data'!Q581)</f>
        <v>0</v>
      </c>
      <c r="R581" s="21">
        <f>'Raw Data'!R581</f>
        <v>4</v>
      </c>
      <c r="S581" s="21">
        <f>IF('Raw Data'!S581="",ROUND(AVERAGE('Raw Data'!$S$2:$S$1501),0),'Raw Data'!S581)</f>
        <v>4</v>
      </c>
      <c r="T581" s="21">
        <f>'Raw Data'!T581</f>
        <v>168.19</v>
      </c>
      <c r="U581" s="21" t="str">
        <f>INDEX('Lookup Tables'!$C$7:$C$9,MATCH(E581,'Lookup Tables'!$B$7:$B$9,0))</f>
        <v>Tier 1 (Metro)</v>
      </c>
      <c r="V581" s="21" t="str">
        <f t="shared" si="27"/>
        <v>7-12 months</v>
      </c>
      <c r="W581" s="21" t="str">
        <f t="shared" si="28"/>
        <v>Low Risk</v>
      </c>
      <c r="X581" s="21" t="str">
        <f t="shared" si="29"/>
        <v>No</v>
      </c>
    </row>
    <row r="582" spans="1:24" x14ac:dyDescent="0.3">
      <c r="A582" s="21">
        <f>'Raw Data'!A582</f>
        <v>50581</v>
      </c>
      <c r="B582" s="21">
        <f>'Raw Data'!B582</f>
        <v>0</v>
      </c>
      <c r="C582" s="21">
        <f>'Raw Data'!C582</f>
        <v>4</v>
      </c>
      <c r="D582" s="21" t="str">
        <f>'Raw Data'!D582</f>
        <v>Computer</v>
      </c>
      <c r="E582" s="21">
        <f>'Raw Data'!E582</f>
        <v>2</v>
      </c>
      <c r="F582" s="21">
        <f>IF('Raw Data'!F582="",ROUND(AVERAGE('Raw Data'!$F$2:$F$1501),1),'Raw Data'!F582)</f>
        <v>8</v>
      </c>
      <c r="G582" s="21" t="str">
        <f>'Raw Data'!G582</f>
        <v>Debit Card</v>
      </c>
      <c r="H582" s="21" t="str">
        <f>'Raw Data'!H582</f>
        <v>Female</v>
      </c>
      <c r="I582" s="21">
        <f>IF('Raw Data'!I582="",ROUND(AVERAGE('Raw Data'!$I$2:$I$1501),1),'Raw Data'!I582)</f>
        <v>3.6</v>
      </c>
      <c r="J582" s="21">
        <f>'Raw Data'!J582</f>
        <v>3</v>
      </c>
      <c r="K582" s="21" t="str">
        <f>'Raw Data'!K582</f>
        <v>Others</v>
      </c>
      <c r="L582" s="21">
        <f>'Raw Data'!L582</f>
        <v>3</v>
      </c>
      <c r="M582" s="21" t="str">
        <f>'Raw Data'!M582</f>
        <v>Single</v>
      </c>
      <c r="N582" s="21">
        <f>'Raw Data'!N582</f>
        <v>9</v>
      </c>
      <c r="O582" s="21">
        <f>'Raw Data'!O582</f>
        <v>1</v>
      </c>
      <c r="P582" s="21">
        <f>IF('Raw Data'!P582="",ROUND(AVERAGE('Raw Data'!$P$2:$P$1501),1),'Raw Data'!P582)</f>
        <v>14.2</v>
      </c>
      <c r="Q582" s="21">
        <f>IF('Raw Data'!Q582="",ROUND(AVERAGE('Raw Data'!$Q$2:$Q$1501),0),'Raw Data'!Q582)</f>
        <v>0</v>
      </c>
      <c r="R582" s="21">
        <f>'Raw Data'!R582</f>
        <v>1</v>
      </c>
      <c r="S582" s="21">
        <f>IF('Raw Data'!S582="",ROUND(AVERAGE('Raw Data'!$S$2:$S$1501),0),'Raw Data'!S582)</f>
        <v>0</v>
      </c>
      <c r="T582" s="21">
        <f>'Raw Data'!T582</f>
        <v>204.94</v>
      </c>
      <c r="U582" s="21" t="str">
        <f>INDEX('Lookup Tables'!$C$7:$C$9,MATCH(E582,'Lookup Tables'!$B$7:$B$9,0))</f>
        <v>Tier 2 (Urban)</v>
      </c>
      <c r="V582" s="21" t="str">
        <f t="shared" si="27"/>
        <v>0-6 months</v>
      </c>
      <c r="W582" s="21" t="str">
        <f t="shared" si="28"/>
        <v>Medium Risk</v>
      </c>
      <c r="X582" s="21" t="str">
        <f t="shared" si="29"/>
        <v>No</v>
      </c>
    </row>
    <row r="583" spans="1:24" x14ac:dyDescent="0.3">
      <c r="A583" s="21">
        <f>'Raw Data'!A583</f>
        <v>50582</v>
      </c>
      <c r="B583" s="21">
        <f>'Raw Data'!B583</f>
        <v>0</v>
      </c>
      <c r="C583" s="21">
        <f>'Raw Data'!C583</f>
        <v>8</v>
      </c>
      <c r="D583" s="21" t="str">
        <f>'Raw Data'!D583</f>
        <v>Computer</v>
      </c>
      <c r="E583" s="21">
        <f>'Raw Data'!E583</f>
        <v>1</v>
      </c>
      <c r="F583" s="21">
        <f>IF('Raw Data'!F583="",ROUND(AVERAGE('Raw Data'!$F$2:$F$1501),1),'Raw Data'!F583)</f>
        <v>9</v>
      </c>
      <c r="G583" s="21" t="str">
        <f>'Raw Data'!G583</f>
        <v>Debit Card</v>
      </c>
      <c r="H583" s="21" t="str">
        <f>'Raw Data'!H583</f>
        <v>Male</v>
      </c>
      <c r="I583" s="21">
        <f>IF('Raw Data'!I583="",ROUND(AVERAGE('Raw Data'!$I$2:$I$1501),1),'Raw Data'!I583)</f>
        <v>3</v>
      </c>
      <c r="J583" s="21">
        <f>'Raw Data'!J583</f>
        <v>3</v>
      </c>
      <c r="K583" s="21" t="str">
        <f>'Raw Data'!K583</f>
        <v>Mobile Phone</v>
      </c>
      <c r="L583" s="21">
        <f>'Raw Data'!L583</f>
        <v>1</v>
      </c>
      <c r="M583" s="21" t="str">
        <f>'Raw Data'!M583</f>
        <v>Single</v>
      </c>
      <c r="N583" s="21">
        <f>'Raw Data'!N583</f>
        <v>1</v>
      </c>
      <c r="O583" s="21">
        <f>'Raw Data'!O583</f>
        <v>0</v>
      </c>
      <c r="P583" s="21">
        <f>IF('Raw Data'!P583="",ROUND(AVERAGE('Raw Data'!$P$2:$P$1501),1),'Raw Data'!P583)</f>
        <v>20.5</v>
      </c>
      <c r="Q583" s="21">
        <f>IF('Raw Data'!Q583="",ROUND(AVERAGE('Raw Data'!$Q$2:$Q$1501),0),'Raw Data'!Q583)</f>
        <v>0</v>
      </c>
      <c r="R583" s="21">
        <f>'Raw Data'!R583</f>
        <v>3</v>
      </c>
      <c r="S583" s="21">
        <f>IF('Raw Data'!S583="",ROUND(AVERAGE('Raw Data'!$S$2:$S$1501),0),'Raw Data'!S583)</f>
        <v>1</v>
      </c>
      <c r="T583" s="21">
        <f>'Raw Data'!T583</f>
        <v>91.64</v>
      </c>
      <c r="U583" s="21" t="str">
        <f>INDEX('Lookup Tables'!$C$7:$C$9,MATCH(E583,'Lookup Tables'!$B$7:$B$9,0))</f>
        <v>Tier 1 (Metro)</v>
      </c>
      <c r="V583" s="21" t="str">
        <f t="shared" si="27"/>
        <v>7-12 months</v>
      </c>
      <c r="W583" s="21" t="str">
        <f t="shared" si="28"/>
        <v>Low Risk</v>
      </c>
      <c r="X583" s="21" t="str">
        <f t="shared" si="29"/>
        <v>No</v>
      </c>
    </row>
    <row r="584" spans="1:24" x14ac:dyDescent="0.3">
      <c r="A584" s="21">
        <f>'Raw Data'!A584</f>
        <v>50583</v>
      </c>
      <c r="B584" s="21">
        <f>'Raw Data'!B584</f>
        <v>0</v>
      </c>
      <c r="C584" s="21">
        <f>'Raw Data'!C584</f>
        <v>1</v>
      </c>
      <c r="D584" s="21" t="str">
        <f>'Raw Data'!D584</f>
        <v>Mobile Phone</v>
      </c>
      <c r="E584" s="21">
        <f>'Raw Data'!E584</f>
        <v>1</v>
      </c>
      <c r="F584" s="21">
        <f>IF('Raw Data'!F584="",ROUND(AVERAGE('Raw Data'!$F$2:$F$1501),1),'Raw Data'!F584)</f>
        <v>8</v>
      </c>
      <c r="G584" s="21" t="str">
        <f>'Raw Data'!G584</f>
        <v>Debit Card</v>
      </c>
      <c r="H584" s="21" t="str">
        <f>'Raw Data'!H584</f>
        <v>Male</v>
      </c>
      <c r="I584" s="21">
        <f>IF('Raw Data'!I584="",ROUND(AVERAGE('Raw Data'!$I$2:$I$1501),1),'Raw Data'!I584)</f>
        <v>2.7</v>
      </c>
      <c r="J584" s="21">
        <f>'Raw Data'!J584</f>
        <v>4</v>
      </c>
      <c r="K584" s="21" t="str">
        <f>'Raw Data'!K584</f>
        <v>Laptop &amp; Accessory</v>
      </c>
      <c r="L584" s="21">
        <f>'Raw Data'!L584</f>
        <v>4</v>
      </c>
      <c r="M584" s="21" t="str">
        <f>'Raw Data'!M584</f>
        <v>Single</v>
      </c>
      <c r="N584" s="21">
        <f>'Raw Data'!N584</f>
        <v>1</v>
      </c>
      <c r="O584" s="21">
        <f>'Raw Data'!O584</f>
        <v>0</v>
      </c>
      <c r="P584" s="21">
        <f>IF('Raw Data'!P584="",ROUND(AVERAGE('Raw Data'!$P$2:$P$1501),1),'Raw Data'!P584)</f>
        <v>16.899999999999999</v>
      </c>
      <c r="Q584" s="21">
        <f>IF('Raw Data'!Q584="",ROUND(AVERAGE('Raw Data'!$Q$2:$Q$1501),0),'Raw Data'!Q584)</f>
        <v>1</v>
      </c>
      <c r="R584" s="21">
        <f>'Raw Data'!R584</f>
        <v>3</v>
      </c>
      <c r="S584" s="21">
        <f>IF('Raw Data'!S584="",ROUND(AVERAGE('Raw Data'!$S$2:$S$1501),0),'Raw Data'!S584)</f>
        <v>1</v>
      </c>
      <c r="T584" s="21">
        <f>'Raw Data'!T584</f>
        <v>131.32</v>
      </c>
      <c r="U584" s="21" t="str">
        <f>INDEX('Lookup Tables'!$C$7:$C$9,MATCH(E584,'Lookup Tables'!$B$7:$B$9,0))</f>
        <v>Tier 1 (Metro)</v>
      </c>
      <c r="V584" s="21" t="str">
        <f t="shared" si="27"/>
        <v>0-6 months</v>
      </c>
      <c r="W584" s="21" t="str">
        <f t="shared" si="28"/>
        <v>Low Risk</v>
      </c>
      <c r="X584" s="21" t="str">
        <f t="shared" si="29"/>
        <v>No</v>
      </c>
    </row>
    <row r="585" spans="1:24" x14ac:dyDescent="0.3">
      <c r="A585" s="21">
        <f>'Raw Data'!A585</f>
        <v>50584</v>
      </c>
      <c r="B585" s="21">
        <f>'Raw Data'!B585</f>
        <v>0</v>
      </c>
      <c r="C585" s="21">
        <f>'Raw Data'!C585</f>
        <v>4</v>
      </c>
      <c r="D585" s="21" t="str">
        <f>'Raw Data'!D585</f>
        <v>Mobile Phone</v>
      </c>
      <c r="E585" s="21">
        <f>'Raw Data'!E585</f>
        <v>3</v>
      </c>
      <c r="F585" s="21">
        <f>IF('Raw Data'!F585="",ROUND(AVERAGE('Raw Data'!$F$2:$F$1501),1),'Raw Data'!F585)</f>
        <v>6</v>
      </c>
      <c r="G585" s="21" t="str">
        <f>'Raw Data'!G585</f>
        <v>UPI</v>
      </c>
      <c r="H585" s="21" t="str">
        <f>'Raw Data'!H585</f>
        <v>Male</v>
      </c>
      <c r="I585" s="21">
        <f>IF('Raw Data'!I585="",ROUND(AVERAGE('Raw Data'!$I$2:$I$1501),1),'Raw Data'!I585)</f>
        <v>3.6</v>
      </c>
      <c r="J585" s="21">
        <f>'Raw Data'!J585</f>
        <v>1</v>
      </c>
      <c r="K585" s="21" t="str">
        <f>'Raw Data'!K585</f>
        <v>Laptop &amp; Accessory</v>
      </c>
      <c r="L585" s="21">
        <f>'Raw Data'!L585</f>
        <v>1</v>
      </c>
      <c r="M585" s="21" t="str">
        <f>'Raw Data'!M585</f>
        <v>Married</v>
      </c>
      <c r="N585" s="21">
        <f>'Raw Data'!N585</f>
        <v>6</v>
      </c>
      <c r="O585" s="21">
        <f>'Raw Data'!O585</f>
        <v>0</v>
      </c>
      <c r="P585" s="21">
        <f>IF('Raw Data'!P585="",ROUND(AVERAGE('Raw Data'!$P$2:$P$1501),1),'Raw Data'!P585)</f>
        <v>14.6</v>
      </c>
      <c r="Q585" s="21">
        <f>IF('Raw Data'!Q585="",ROUND(AVERAGE('Raw Data'!$Q$2:$Q$1501),0),'Raw Data'!Q585)</f>
        <v>3</v>
      </c>
      <c r="R585" s="21">
        <f>'Raw Data'!R585</f>
        <v>7</v>
      </c>
      <c r="S585" s="21">
        <f>IF('Raw Data'!S585="",ROUND(AVERAGE('Raw Data'!$S$2:$S$1501),0),'Raw Data'!S585)</f>
        <v>3</v>
      </c>
      <c r="T585" s="21">
        <f>'Raw Data'!T585</f>
        <v>112.32</v>
      </c>
      <c r="U585" s="21" t="str">
        <f>INDEX('Lookup Tables'!$C$7:$C$9,MATCH(E585,'Lookup Tables'!$B$7:$B$9,0))</f>
        <v>Tier 3 (Semi-urban/Rural)</v>
      </c>
      <c r="V585" s="21" t="str">
        <f t="shared" si="27"/>
        <v>0-6 months</v>
      </c>
      <c r="W585" s="21" t="str">
        <f t="shared" si="28"/>
        <v>Low Risk</v>
      </c>
      <c r="X585" s="21" t="str">
        <f t="shared" si="29"/>
        <v>No</v>
      </c>
    </row>
    <row r="586" spans="1:24" x14ac:dyDescent="0.3">
      <c r="A586" s="21">
        <f>'Raw Data'!A586</f>
        <v>50585</v>
      </c>
      <c r="B586" s="21">
        <f>'Raw Data'!B586</f>
        <v>0</v>
      </c>
      <c r="C586" s="21">
        <f>'Raw Data'!C586</f>
        <v>34</v>
      </c>
      <c r="D586" s="21" t="str">
        <f>'Raw Data'!D586</f>
        <v>Phone</v>
      </c>
      <c r="E586" s="21">
        <f>'Raw Data'!E586</f>
        <v>1</v>
      </c>
      <c r="F586" s="21">
        <f>IF('Raw Data'!F586="",ROUND(AVERAGE('Raw Data'!$F$2:$F$1501),1),'Raw Data'!F586)</f>
        <v>31</v>
      </c>
      <c r="G586" s="21" t="str">
        <f>'Raw Data'!G586</f>
        <v>UPI</v>
      </c>
      <c r="H586" s="21" t="str">
        <f>'Raw Data'!H586</f>
        <v>Male</v>
      </c>
      <c r="I586" s="21">
        <f>IF('Raw Data'!I586="",ROUND(AVERAGE('Raw Data'!$I$2:$I$1501),1),'Raw Data'!I586)</f>
        <v>3.4</v>
      </c>
      <c r="J586" s="21">
        <f>'Raw Data'!J586</f>
        <v>3</v>
      </c>
      <c r="K586" s="21" t="str">
        <f>'Raw Data'!K586</f>
        <v>Mobile Phone</v>
      </c>
      <c r="L586" s="21">
        <f>'Raw Data'!L586</f>
        <v>4</v>
      </c>
      <c r="M586" s="21" t="str">
        <f>'Raw Data'!M586</f>
        <v>Married</v>
      </c>
      <c r="N586" s="21">
        <f>'Raw Data'!N586</f>
        <v>2</v>
      </c>
      <c r="O586" s="21">
        <f>'Raw Data'!O586</f>
        <v>1</v>
      </c>
      <c r="P586" s="21">
        <f>IF('Raw Data'!P586="",ROUND(AVERAGE('Raw Data'!$P$2:$P$1501),1),'Raw Data'!P586)</f>
        <v>17</v>
      </c>
      <c r="Q586" s="21">
        <f>IF('Raw Data'!Q586="",ROUND(AVERAGE('Raw Data'!$Q$2:$Q$1501),0),'Raw Data'!Q586)</f>
        <v>2</v>
      </c>
      <c r="R586" s="21">
        <f>'Raw Data'!R586</f>
        <v>5</v>
      </c>
      <c r="S586" s="21">
        <f>IF('Raw Data'!S586="",ROUND(AVERAGE('Raw Data'!$S$2:$S$1501),0),'Raw Data'!S586)</f>
        <v>6</v>
      </c>
      <c r="T586" s="21">
        <f>'Raw Data'!T586</f>
        <v>223.27</v>
      </c>
      <c r="U586" s="21" t="str">
        <f>INDEX('Lookup Tables'!$C$7:$C$9,MATCH(E586,'Lookup Tables'!$B$7:$B$9,0))</f>
        <v>Tier 1 (Metro)</v>
      </c>
      <c r="V586" s="21" t="str">
        <f t="shared" si="27"/>
        <v>25+ months</v>
      </c>
      <c r="W586" s="21" t="str">
        <f t="shared" si="28"/>
        <v>Low Risk</v>
      </c>
      <c r="X586" s="21" t="str">
        <f t="shared" si="29"/>
        <v>No</v>
      </c>
    </row>
    <row r="587" spans="1:24" x14ac:dyDescent="0.3">
      <c r="A587" s="21">
        <f>'Raw Data'!A587</f>
        <v>50586</v>
      </c>
      <c r="B587" s="21">
        <f>'Raw Data'!B587</f>
        <v>0</v>
      </c>
      <c r="C587" s="21">
        <f>'Raw Data'!C587</f>
        <v>2</v>
      </c>
      <c r="D587" s="21" t="str">
        <f>'Raw Data'!D587</f>
        <v>Mobile Phone</v>
      </c>
      <c r="E587" s="21">
        <f>'Raw Data'!E587</f>
        <v>1</v>
      </c>
      <c r="F587" s="21">
        <f>IF('Raw Data'!F587="",ROUND(AVERAGE('Raw Data'!$F$2:$F$1501),1),'Raw Data'!F587)</f>
        <v>25</v>
      </c>
      <c r="G587" s="21" t="str">
        <f>'Raw Data'!G587</f>
        <v>Credit Card</v>
      </c>
      <c r="H587" s="21" t="str">
        <f>'Raw Data'!H587</f>
        <v>Male</v>
      </c>
      <c r="I587" s="21">
        <f>IF('Raw Data'!I587="",ROUND(AVERAGE('Raw Data'!$I$2:$I$1501),1),'Raw Data'!I587)</f>
        <v>2.4</v>
      </c>
      <c r="J587" s="21">
        <f>'Raw Data'!J587</f>
        <v>2</v>
      </c>
      <c r="K587" s="21" t="str">
        <f>'Raw Data'!K587</f>
        <v>Laptop &amp; Accessory</v>
      </c>
      <c r="L587" s="21">
        <f>'Raw Data'!L587</f>
        <v>2</v>
      </c>
      <c r="M587" s="21" t="str">
        <f>'Raw Data'!M587</f>
        <v>Single</v>
      </c>
      <c r="N587" s="21">
        <f>'Raw Data'!N587</f>
        <v>5</v>
      </c>
      <c r="O587" s="21">
        <f>'Raw Data'!O587</f>
        <v>0</v>
      </c>
      <c r="P587" s="21">
        <f>IF('Raw Data'!P587="",ROUND(AVERAGE('Raw Data'!$P$2:$P$1501),1),'Raw Data'!P587)</f>
        <v>19.899999999999999</v>
      </c>
      <c r="Q587" s="21">
        <f>IF('Raw Data'!Q587="",ROUND(AVERAGE('Raw Data'!$Q$2:$Q$1501),0),'Raw Data'!Q587)</f>
        <v>2</v>
      </c>
      <c r="R587" s="21">
        <f>'Raw Data'!R587</f>
        <v>3</v>
      </c>
      <c r="S587" s="21">
        <f>IF('Raw Data'!S587="",ROUND(AVERAGE('Raw Data'!$S$2:$S$1501),0),'Raw Data'!S587)</f>
        <v>3</v>
      </c>
      <c r="T587" s="21">
        <f>'Raw Data'!T587</f>
        <v>272.01</v>
      </c>
      <c r="U587" s="21" t="str">
        <f>INDEX('Lookup Tables'!$C$7:$C$9,MATCH(E587,'Lookup Tables'!$B$7:$B$9,0))</f>
        <v>Tier 1 (Metro)</v>
      </c>
      <c r="V587" s="21" t="str">
        <f t="shared" si="27"/>
        <v>0-6 months</v>
      </c>
      <c r="W587" s="21" t="str">
        <f t="shared" si="28"/>
        <v>Low Risk</v>
      </c>
      <c r="X587" s="21" t="str">
        <f t="shared" si="29"/>
        <v>No</v>
      </c>
    </row>
    <row r="588" spans="1:24" x14ac:dyDescent="0.3">
      <c r="A588" s="21">
        <f>'Raw Data'!A588</f>
        <v>50587</v>
      </c>
      <c r="B588" s="21">
        <f>'Raw Data'!B588</f>
        <v>0</v>
      </c>
      <c r="C588" s="21">
        <f>'Raw Data'!C588</f>
        <v>10</v>
      </c>
      <c r="D588" s="21" t="str">
        <f>'Raw Data'!D588</f>
        <v>Phone</v>
      </c>
      <c r="E588" s="21">
        <f>'Raw Data'!E588</f>
        <v>1</v>
      </c>
      <c r="F588" s="21">
        <f>IF('Raw Data'!F588="",ROUND(AVERAGE('Raw Data'!$F$2:$F$1501),1),'Raw Data'!F588)</f>
        <v>30</v>
      </c>
      <c r="G588" s="21" t="str">
        <f>'Raw Data'!G588</f>
        <v>Credit Card</v>
      </c>
      <c r="H588" s="21" t="str">
        <f>'Raw Data'!H588</f>
        <v>Male</v>
      </c>
      <c r="I588" s="21">
        <f>IF('Raw Data'!I588="",ROUND(AVERAGE('Raw Data'!$I$2:$I$1501),1),'Raw Data'!I588)</f>
        <v>2</v>
      </c>
      <c r="J588" s="21">
        <f>'Raw Data'!J588</f>
        <v>4</v>
      </c>
      <c r="K588" s="21" t="str">
        <f>'Raw Data'!K588</f>
        <v>Mobile Phone</v>
      </c>
      <c r="L588" s="21">
        <f>'Raw Data'!L588</f>
        <v>2</v>
      </c>
      <c r="M588" s="21" t="str">
        <f>'Raw Data'!M588</f>
        <v>Single</v>
      </c>
      <c r="N588" s="21">
        <f>'Raw Data'!N588</f>
        <v>1</v>
      </c>
      <c r="O588" s="21">
        <f>'Raw Data'!O588</f>
        <v>0</v>
      </c>
      <c r="P588" s="21">
        <f>IF('Raw Data'!P588="",ROUND(AVERAGE('Raw Data'!$P$2:$P$1501),1),'Raw Data'!P588)</f>
        <v>17.600000000000001</v>
      </c>
      <c r="Q588" s="21">
        <f>IF('Raw Data'!Q588="",ROUND(AVERAGE('Raw Data'!$Q$2:$Q$1501),0),'Raw Data'!Q588)</f>
        <v>0</v>
      </c>
      <c r="R588" s="21">
        <f>'Raw Data'!R588</f>
        <v>6</v>
      </c>
      <c r="S588" s="21">
        <f>IF('Raw Data'!S588="",ROUND(AVERAGE('Raw Data'!$S$2:$S$1501),0),'Raw Data'!S588)</f>
        <v>0</v>
      </c>
      <c r="T588" s="21">
        <f>'Raw Data'!T588</f>
        <v>168.47</v>
      </c>
      <c r="U588" s="21" t="str">
        <f>INDEX('Lookup Tables'!$C$7:$C$9,MATCH(E588,'Lookup Tables'!$B$7:$B$9,0))</f>
        <v>Tier 1 (Metro)</v>
      </c>
      <c r="V588" s="21" t="str">
        <f t="shared" si="27"/>
        <v>7-12 months</v>
      </c>
      <c r="W588" s="21" t="str">
        <f t="shared" si="28"/>
        <v>Low Risk</v>
      </c>
      <c r="X588" s="21" t="str">
        <f t="shared" si="29"/>
        <v>No</v>
      </c>
    </row>
    <row r="589" spans="1:24" x14ac:dyDescent="0.3">
      <c r="A589" s="21">
        <f>'Raw Data'!A589</f>
        <v>50588</v>
      </c>
      <c r="B589" s="21">
        <f>'Raw Data'!B589</f>
        <v>1</v>
      </c>
      <c r="C589" s="21">
        <f>'Raw Data'!C589</f>
        <v>3</v>
      </c>
      <c r="D589" s="21" t="str">
        <f>'Raw Data'!D589</f>
        <v>Computer</v>
      </c>
      <c r="E589" s="21">
        <f>'Raw Data'!E589</f>
        <v>3</v>
      </c>
      <c r="F589" s="21">
        <f>IF('Raw Data'!F589="",ROUND(AVERAGE('Raw Data'!$F$2:$F$1501),1),'Raw Data'!F589)</f>
        <v>5</v>
      </c>
      <c r="G589" s="21" t="str">
        <f>'Raw Data'!G589</f>
        <v>Debit Card</v>
      </c>
      <c r="H589" s="21" t="str">
        <f>'Raw Data'!H589</f>
        <v>Female</v>
      </c>
      <c r="I589" s="21">
        <f>IF('Raw Data'!I589="",ROUND(AVERAGE('Raw Data'!$I$2:$I$1501),1),'Raw Data'!I589)</f>
        <v>2.7</v>
      </c>
      <c r="J589" s="21">
        <f>'Raw Data'!J589</f>
        <v>2</v>
      </c>
      <c r="K589" s="21" t="str">
        <f>'Raw Data'!K589</f>
        <v>Mobile Phone</v>
      </c>
      <c r="L589" s="21">
        <f>'Raw Data'!L589</f>
        <v>5</v>
      </c>
      <c r="M589" s="21" t="str">
        <f>'Raw Data'!M589</f>
        <v>Married</v>
      </c>
      <c r="N589" s="21">
        <f>'Raw Data'!N589</f>
        <v>6</v>
      </c>
      <c r="O589" s="21">
        <f>'Raw Data'!O589</f>
        <v>0</v>
      </c>
      <c r="P589" s="21">
        <f>IF('Raw Data'!P589="",ROUND(AVERAGE('Raw Data'!$P$2:$P$1501),1),'Raw Data'!P589)</f>
        <v>22.4</v>
      </c>
      <c r="Q589" s="21">
        <f>IF('Raw Data'!Q589="",ROUND(AVERAGE('Raw Data'!$Q$2:$Q$1501),0),'Raw Data'!Q589)</f>
        <v>0</v>
      </c>
      <c r="R589" s="21">
        <f>'Raw Data'!R589</f>
        <v>3</v>
      </c>
      <c r="S589" s="21">
        <f>IF('Raw Data'!S589="",ROUND(AVERAGE('Raw Data'!$S$2:$S$1501),0),'Raw Data'!S589)</f>
        <v>2</v>
      </c>
      <c r="T589" s="21">
        <f>'Raw Data'!T589</f>
        <v>209.23</v>
      </c>
      <c r="U589" s="21" t="str">
        <f>INDEX('Lookup Tables'!$C$7:$C$9,MATCH(E589,'Lookup Tables'!$B$7:$B$9,0))</f>
        <v>Tier 3 (Semi-urban/Rural)</v>
      </c>
      <c r="V589" s="21" t="str">
        <f t="shared" si="27"/>
        <v>0-6 months</v>
      </c>
      <c r="W589" s="21" t="str">
        <f t="shared" si="28"/>
        <v>Low Risk</v>
      </c>
      <c r="X589" s="21" t="str">
        <f t="shared" si="29"/>
        <v>Yes</v>
      </c>
    </row>
    <row r="590" spans="1:24" x14ac:dyDescent="0.3">
      <c r="A590" s="21">
        <f>'Raw Data'!A590</f>
        <v>50589</v>
      </c>
      <c r="B590" s="21">
        <f>'Raw Data'!B590</f>
        <v>0</v>
      </c>
      <c r="C590" s="21">
        <f>'Raw Data'!C590</f>
        <v>14</v>
      </c>
      <c r="D590" s="21" t="str">
        <f>'Raw Data'!D590</f>
        <v>Computer</v>
      </c>
      <c r="E590" s="21">
        <f>'Raw Data'!E590</f>
        <v>2</v>
      </c>
      <c r="F590" s="21">
        <f>IF('Raw Data'!F590="",ROUND(AVERAGE('Raw Data'!$F$2:$F$1501),1),'Raw Data'!F590)</f>
        <v>15</v>
      </c>
      <c r="G590" s="21" t="str">
        <f>'Raw Data'!G590</f>
        <v>UPI</v>
      </c>
      <c r="H590" s="21" t="str">
        <f>'Raw Data'!H590</f>
        <v>Female</v>
      </c>
      <c r="I590" s="21">
        <f>IF('Raw Data'!I590="",ROUND(AVERAGE('Raw Data'!$I$2:$I$1501),1),'Raw Data'!I590)</f>
        <v>4</v>
      </c>
      <c r="J590" s="21">
        <f>'Raw Data'!J590</f>
        <v>2</v>
      </c>
      <c r="K590" s="21" t="str">
        <f>'Raw Data'!K590</f>
        <v>Fashion</v>
      </c>
      <c r="L590" s="21">
        <f>'Raw Data'!L590</f>
        <v>4</v>
      </c>
      <c r="M590" s="21" t="str">
        <f>'Raw Data'!M590</f>
        <v>Single</v>
      </c>
      <c r="N590" s="21">
        <f>'Raw Data'!N590</f>
        <v>9</v>
      </c>
      <c r="O590" s="21">
        <f>'Raw Data'!O590</f>
        <v>0</v>
      </c>
      <c r="P590" s="21">
        <f>IF('Raw Data'!P590="",ROUND(AVERAGE('Raw Data'!$P$2:$P$1501),1),'Raw Data'!P590)</f>
        <v>19.8</v>
      </c>
      <c r="Q590" s="21">
        <f>IF('Raw Data'!Q590="",ROUND(AVERAGE('Raw Data'!$Q$2:$Q$1501),0),'Raw Data'!Q590)</f>
        <v>2</v>
      </c>
      <c r="R590" s="21">
        <f>'Raw Data'!R590</f>
        <v>6</v>
      </c>
      <c r="S590" s="21">
        <f>IF('Raw Data'!S590="",ROUND(AVERAGE('Raw Data'!$S$2:$S$1501),0),'Raw Data'!S590)</f>
        <v>0</v>
      </c>
      <c r="T590" s="21">
        <f>'Raw Data'!T590</f>
        <v>207.8</v>
      </c>
      <c r="U590" s="21" t="str">
        <f>INDEX('Lookup Tables'!$C$7:$C$9,MATCH(E590,'Lookup Tables'!$B$7:$B$9,0))</f>
        <v>Tier 2 (Urban)</v>
      </c>
      <c r="V590" s="21" t="str">
        <f t="shared" si="27"/>
        <v>13-24 months</v>
      </c>
      <c r="W590" s="21" t="str">
        <f t="shared" si="28"/>
        <v>Low Risk</v>
      </c>
      <c r="X590" s="21" t="str">
        <f t="shared" si="29"/>
        <v>No</v>
      </c>
    </row>
    <row r="591" spans="1:24" x14ac:dyDescent="0.3">
      <c r="A591" s="21">
        <f>'Raw Data'!A591</f>
        <v>50590</v>
      </c>
      <c r="B591" s="21">
        <f>'Raw Data'!B591</f>
        <v>0</v>
      </c>
      <c r="C591" s="21">
        <f>'Raw Data'!C591</f>
        <v>1</v>
      </c>
      <c r="D591" s="21" t="str">
        <f>'Raw Data'!D591</f>
        <v>Computer</v>
      </c>
      <c r="E591" s="21">
        <f>'Raw Data'!E591</f>
        <v>1</v>
      </c>
      <c r="F591" s="21">
        <f>IF('Raw Data'!F591="",ROUND(AVERAGE('Raw Data'!$F$2:$F$1501),1),'Raw Data'!F591)</f>
        <v>5</v>
      </c>
      <c r="G591" s="21" t="str">
        <f>'Raw Data'!G591</f>
        <v>Debit Card</v>
      </c>
      <c r="H591" s="21" t="str">
        <f>'Raw Data'!H591</f>
        <v>Male</v>
      </c>
      <c r="I591" s="21">
        <f>IF('Raw Data'!I591="",ROUND(AVERAGE('Raw Data'!$I$2:$I$1501),1),'Raw Data'!I591)</f>
        <v>3.7</v>
      </c>
      <c r="J591" s="21">
        <f>'Raw Data'!J591</f>
        <v>3</v>
      </c>
      <c r="K591" s="21" t="str">
        <f>'Raw Data'!K591</f>
        <v>Mobile Phone</v>
      </c>
      <c r="L591" s="21">
        <f>'Raw Data'!L591</f>
        <v>5</v>
      </c>
      <c r="M591" s="21" t="str">
        <f>'Raw Data'!M591</f>
        <v>Single</v>
      </c>
      <c r="N591" s="21">
        <f>'Raw Data'!N591</f>
        <v>3</v>
      </c>
      <c r="O591" s="21">
        <f>'Raw Data'!O591</f>
        <v>1</v>
      </c>
      <c r="P591" s="21">
        <f>IF('Raw Data'!P591="",ROUND(AVERAGE('Raw Data'!$P$2:$P$1501),1),'Raw Data'!P591)</f>
        <v>17.8</v>
      </c>
      <c r="Q591" s="21">
        <f>IF('Raw Data'!Q591="",ROUND(AVERAGE('Raw Data'!$Q$2:$Q$1501),0),'Raw Data'!Q591)</f>
        <v>1</v>
      </c>
      <c r="R591" s="21">
        <f>'Raw Data'!R591</f>
        <v>4</v>
      </c>
      <c r="S591" s="21">
        <f>IF('Raw Data'!S591="",ROUND(AVERAGE('Raw Data'!$S$2:$S$1501),0),'Raw Data'!S591)</f>
        <v>6</v>
      </c>
      <c r="T591" s="21">
        <f>'Raw Data'!T591</f>
        <v>265.45999999999998</v>
      </c>
      <c r="U591" s="21" t="str">
        <f>INDEX('Lookup Tables'!$C$7:$C$9,MATCH(E591,'Lookup Tables'!$B$7:$B$9,0))</f>
        <v>Tier 1 (Metro)</v>
      </c>
      <c r="V591" s="21" t="str">
        <f t="shared" si="27"/>
        <v>0-6 months</v>
      </c>
      <c r="W591" s="21" t="str">
        <f t="shared" si="28"/>
        <v>Low Risk</v>
      </c>
      <c r="X591" s="21" t="str">
        <f t="shared" si="29"/>
        <v>No</v>
      </c>
    </row>
    <row r="592" spans="1:24" x14ac:dyDescent="0.3">
      <c r="A592" s="21">
        <f>'Raw Data'!A592</f>
        <v>50591</v>
      </c>
      <c r="B592" s="21">
        <f>'Raw Data'!B592</f>
        <v>0</v>
      </c>
      <c r="C592" s="21">
        <f>'Raw Data'!C592</f>
        <v>35</v>
      </c>
      <c r="D592" s="21" t="str">
        <f>'Raw Data'!D592</f>
        <v>Mobile Phone</v>
      </c>
      <c r="E592" s="21">
        <f>'Raw Data'!E592</f>
        <v>3</v>
      </c>
      <c r="F592" s="21">
        <f>IF('Raw Data'!F592="",ROUND(AVERAGE('Raw Data'!$F$2:$F$1501),1),'Raw Data'!F592)</f>
        <v>9</v>
      </c>
      <c r="G592" s="21" t="str">
        <f>'Raw Data'!G592</f>
        <v>Cash on Delivery</v>
      </c>
      <c r="H592" s="21" t="str">
        <f>'Raw Data'!H592</f>
        <v>Female</v>
      </c>
      <c r="I592" s="21">
        <f>IF('Raw Data'!I592="",ROUND(AVERAGE('Raw Data'!$I$2:$I$1501),1),'Raw Data'!I592)</f>
        <v>2.1</v>
      </c>
      <c r="J592" s="21">
        <f>'Raw Data'!J592</f>
        <v>2</v>
      </c>
      <c r="K592" s="21" t="str">
        <f>'Raw Data'!K592</f>
        <v>Others</v>
      </c>
      <c r="L592" s="21">
        <f>'Raw Data'!L592</f>
        <v>4</v>
      </c>
      <c r="M592" s="21" t="str">
        <f>'Raw Data'!M592</f>
        <v>Married</v>
      </c>
      <c r="N592" s="21">
        <f>'Raw Data'!N592</f>
        <v>1</v>
      </c>
      <c r="O592" s="21">
        <f>'Raw Data'!O592</f>
        <v>0</v>
      </c>
      <c r="P592" s="21">
        <f>IF('Raw Data'!P592="",ROUND(AVERAGE('Raw Data'!$P$2:$P$1501),1),'Raw Data'!P592)</f>
        <v>12.4</v>
      </c>
      <c r="Q592" s="21">
        <f>IF('Raw Data'!Q592="",ROUND(AVERAGE('Raw Data'!$Q$2:$Q$1501),0),'Raw Data'!Q592)</f>
        <v>3</v>
      </c>
      <c r="R592" s="21">
        <f>'Raw Data'!R592</f>
        <v>3</v>
      </c>
      <c r="S592" s="21">
        <f>IF('Raw Data'!S592="",ROUND(AVERAGE('Raw Data'!$S$2:$S$1501),0),'Raw Data'!S592)</f>
        <v>0</v>
      </c>
      <c r="T592" s="21">
        <f>'Raw Data'!T592</f>
        <v>144.11000000000001</v>
      </c>
      <c r="U592" s="21" t="str">
        <f>INDEX('Lookup Tables'!$C$7:$C$9,MATCH(E592,'Lookup Tables'!$B$7:$B$9,0))</f>
        <v>Tier 3 (Semi-urban/Rural)</v>
      </c>
      <c r="V592" s="21" t="str">
        <f t="shared" si="27"/>
        <v>25+ months</v>
      </c>
      <c r="W592" s="21" t="str">
        <f t="shared" si="28"/>
        <v>Low Risk</v>
      </c>
      <c r="X592" s="21" t="str">
        <f t="shared" si="29"/>
        <v>No</v>
      </c>
    </row>
    <row r="593" spans="1:24" x14ac:dyDescent="0.3">
      <c r="A593" s="21">
        <f>'Raw Data'!A593</f>
        <v>50592</v>
      </c>
      <c r="B593" s="21">
        <f>'Raw Data'!B593</f>
        <v>0</v>
      </c>
      <c r="C593" s="21">
        <f>'Raw Data'!C593</f>
        <v>6</v>
      </c>
      <c r="D593" s="21" t="str">
        <f>'Raw Data'!D593</f>
        <v>Computer</v>
      </c>
      <c r="E593" s="21">
        <f>'Raw Data'!E593</f>
        <v>3</v>
      </c>
      <c r="F593" s="21">
        <f>IF('Raw Data'!F593="",ROUND(AVERAGE('Raw Data'!$F$2:$F$1501),1),'Raw Data'!F593)</f>
        <v>7</v>
      </c>
      <c r="G593" s="21" t="str">
        <f>'Raw Data'!G593</f>
        <v>Credit Card</v>
      </c>
      <c r="H593" s="21" t="str">
        <f>'Raw Data'!H593</f>
        <v>Female</v>
      </c>
      <c r="I593" s="21">
        <f>IF('Raw Data'!I593="",ROUND(AVERAGE('Raw Data'!$I$2:$I$1501),1),'Raw Data'!I593)</f>
        <v>2.1</v>
      </c>
      <c r="J593" s="21">
        <f>'Raw Data'!J593</f>
        <v>3</v>
      </c>
      <c r="K593" s="21" t="str">
        <f>'Raw Data'!K593</f>
        <v>Laptop &amp; Accessory</v>
      </c>
      <c r="L593" s="21">
        <f>'Raw Data'!L593</f>
        <v>5</v>
      </c>
      <c r="M593" s="21" t="str">
        <f>'Raw Data'!M593</f>
        <v>Married</v>
      </c>
      <c r="N593" s="21">
        <f>'Raw Data'!N593</f>
        <v>7</v>
      </c>
      <c r="O593" s="21">
        <f>'Raw Data'!O593</f>
        <v>0</v>
      </c>
      <c r="P593" s="21">
        <f>IF('Raw Data'!P593="",ROUND(AVERAGE('Raw Data'!$P$2:$P$1501),1),'Raw Data'!P593)</f>
        <v>15.4</v>
      </c>
      <c r="Q593" s="21">
        <f>IF('Raw Data'!Q593="",ROUND(AVERAGE('Raw Data'!$Q$2:$Q$1501),0),'Raw Data'!Q593)</f>
        <v>1</v>
      </c>
      <c r="R593" s="21">
        <f>'Raw Data'!R593</f>
        <v>3</v>
      </c>
      <c r="S593" s="21">
        <f>IF('Raw Data'!S593="",ROUND(AVERAGE('Raw Data'!$S$2:$S$1501),0),'Raw Data'!S593)</f>
        <v>3</v>
      </c>
      <c r="T593" s="21">
        <f>'Raw Data'!T593</f>
        <v>167.91</v>
      </c>
      <c r="U593" s="21" t="str">
        <f>INDEX('Lookup Tables'!$C$7:$C$9,MATCH(E593,'Lookup Tables'!$B$7:$B$9,0))</f>
        <v>Tier 3 (Semi-urban/Rural)</v>
      </c>
      <c r="V593" s="21" t="str">
        <f t="shared" si="27"/>
        <v>0-6 months</v>
      </c>
      <c r="W593" s="21" t="str">
        <f t="shared" si="28"/>
        <v>Low Risk</v>
      </c>
      <c r="X593" s="21" t="str">
        <f t="shared" si="29"/>
        <v>No</v>
      </c>
    </row>
    <row r="594" spans="1:24" x14ac:dyDescent="0.3">
      <c r="A594" s="21">
        <f>'Raw Data'!A594</f>
        <v>50593</v>
      </c>
      <c r="B594" s="21">
        <f>'Raw Data'!B594</f>
        <v>0</v>
      </c>
      <c r="C594" s="21">
        <f>'Raw Data'!C594</f>
        <v>2</v>
      </c>
      <c r="D594" s="21" t="str">
        <f>'Raw Data'!D594</f>
        <v>Phone</v>
      </c>
      <c r="E594" s="21">
        <f>'Raw Data'!E594</f>
        <v>1</v>
      </c>
      <c r="F594" s="21">
        <f>IF('Raw Data'!F594="",ROUND(AVERAGE('Raw Data'!$F$2:$F$1501),1),'Raw Data'!F594)</f>
        <v>24</v>
      </c>
      <c r="G594" s="21" t="str">
        <f>'Raw Data'!G594</f>
        <v>Debit Card</v>
      </c>
      <c r="H594" s="21" t="str">
        <f>'Raw Data'!H594</f>
        <v>Female</v>
      </c>
      <c r="I594" s="21">
        <f>IF('Raw Data'!I594="",ROUND(AVERAGE('Raw Data'!$I$2:$I$1501),1),'Raw Data'!I594)</f>
        <v>3.8</v>
      </c>
      <c r="J594" s="21">
        <f>'Raw Data'!J594</f>
        <v>2</v>
      </c>
      <c r="K594" s="21" t="str">
        <f>'Raw Data'!K594</f>
        <v>Mobile Phone</v>
      </c>
      <c r="L594" s="21">
        <f>'Raw Data'!L594</f>
        <v>4</v>
      </c>
      <c r="M594" s="21" t="str">
        <f>'Raw Data'!M594</f>
        <v>Single</v>
      </c>
      <c r="N594" s="21">
        <f>'Raw Data'!N594</f>
        <v>5</v>
      </c>
      <c r="O594" s="21">
        <f>'Raw Data'!O594</f>
        <v>1</v>
      </c>
      <c r="P594" s="21">
        <f>IF('Raw Data'!P594="",ROUND(AVERAGE('Raw Data'!$P$2:$P$1501),1),'Raw Data'!P594)</f>
        <v>16.3</v>
      </c>
      <c r="Q594" s="21">
        <f>IF('Raw Data'!Q594="",ROUND(AVERAGE('Raw Data'!$Q$2:$Q$1501),0),'Raw Data'!Q594)</f>
        <v>2</v>
      </c>
      <c r="R594" s="21">
        <f>'Raw Data'!R594</f>
        <v>5</v>
      </c>
      <c r="S594" s="21">
        <f>IF('Raw Data'!S594="",ROUND(AVERAGE('Raw Data'!$S$2:$S$1501),0),'Raw Data'!S594)</f>
        <v>5</v>
      </c>
      <c r="T594" s="21">
        <f>'Raw Data'!T594</f>
        <v>161.26</v>
      </c>
      <c r="U594" s="21" t="str">
        <f>INDEX('Lookup Tables'!$C$7:$C$9,MATCH(E594,'Lookup Tables'!$B$7:$B$9,0))</f>
        <v>Tier 1 (Metro)</v>
      </c>
      <c r="V594" s="21" t="str">
        <f t="shared" si="27"/>
        <v>0-6 months</v>
      </c>
      <c r="W594" s="21" t="str">
        <f t="shared" si="28"/>
        <v>Low Risk</v>
      </c>
      <c r="X594" s="21" t="str">
        <f t="shared" si="29"/>
        <v>No</v>
      </c>
    </row>
    <row r="595" spans="1:24" x14ac:dyDescent="0.3">
      <c r="A595" s="21">
        <f>'Raw Data'!A595</f>
        <v>50594</v>
      </c>
      <c r="B595" s="21">
        <f>'Raw Data'!B595</f>
        <v>0</v>
      </c>
      <c r="C595" s="21">
        <f>'Raw Data'!C595</f>
        <v>0</v>
      </c>
      <c r="D595" s="21" t="str">
        <f>'Raw Data'!D595</f>
        <v>Mobile Phone</v>
      </c>
      <c r="E595" s="21">
        <f>'Raw Data'!E595</f>
        <v>2</v>
      </c>
      <c r="F595" s="21">
        <f>IF('Raw Data'!F595="",ROUND(AVERAGE('Raw Data'!$F$2:$F$1501),1),'Raw Data'!F595)</f>
        <v>11</v>
      </c>
      <c r="G595" s="21" t="str">
        <f>'Raw Data'!G595</f>
        <v>Cash on Delivery</v>
      </c>
      <c r="H595" s="21" t="str">
        <f>'Raw Data'!H595</f>
        <v>Female</v>
      </c>
      <c r="I595" s="21">
        <f>IF('Raw Data'!I595="",ROUND(AVERAGE('Raw Data'!$I$2:$I$1501),1),'Raw Data'!I595)</f>
        <v>2.1</v>
      </c>
      <c r="J595" s="21">
        <f>'Raw Data'!J595</f>
        <v>1</v>
      </c>
      <c r="K595" s="21" t="str">
        <f>'Raw Data'!K595</f>
        <v>Laptop &amp; Accessory</v>
      </c>
      <c r="L595" s="21">
        <f>'Raw Data'!L595</f>
        <v>5</v>
      </c>
      <c r="M595" s="21" t="str">
        <f>'Raw Data'!M595</f>
        <v>Married</v>
      </c>
      <c r="N595" s="21">
        <f>'Raw Data'!N595</f>
        <v>4</v>
      </c>
      <c r="O595" s="21">
        <f>'Raw Data'!O595</f>
        <v>0</v>
      </c>
      <c r="P595" s="21">
        <f>IF('Raw Data'!P595="",ROUND(AVERAGE('Raw Data'!$P$2:$P$1501),1),'Raw Data'!P595)</f>
        <v>18.399999999999999</v>
      </c>
      <c r="Q595" s="21">
        <f>IF('Raw Data'!Q595="",ROUND(AVERAGE('Raw Data'!$Q$2:$Q$1501),0),'Raw Data'!Q595)</f>
        <v>2</v>
      </c>
      <c r="R595" s="21">
        <f>'Raw Data'!R595</f>
        <v>4</v>
      </c>
      <c r="S595" s="21">
        <f>IF('Raw Data'!S595="",ROUND(AVERAGE('Raw Data'!$S$2:$S$1501),0),'Raw Data'!S595)</f>
        <v>1</v>
      </c>
      <c r="T595" s="21">
        <f>'Raw Data'!T595</f>
        <v>184.15</v>
      </c>
      <c r="U595" s="21" t="str">
        <f>INDEX('Lookup Tables'!$C$7:$C$9,MATCH(E595,'Lookup Tables'!$B$7:$B$9,0))</f>
        <v>Tier 2 (Urban)</v>
      </c>
      <c r="V595" s="21" t="str">
        <f t="shared" si="27"/>
        <v>0-6 months</v>
      </c>
      <c r="W595" s="21" t="str">
        <f t="shared" si="28"/>
        <v>Low Risk</v>
      </c>
      <c r="X595" s="21" t="str">
        <f t="shared" si="29"/>
        <v>No</v>
      </c>
    </row>
    <row r="596" spans="1:24" x14ac:dyDescent="0.3">
      <c r="A596" s="21">
        <f>'Raw Data'!A596</f>
        <v>50595</v>
      </c>
      <c r="B596" s="21">
        <f>'Raw Data'!B596</f>
        <v>0</v>
      </c>
      <c r="C596" s="21">
        <f>'Raw Data'!C596</f>
        <v>1</v>
      </c>
      <c r="D596" s="21" t="str">
        <f>'Raw Data'!D596</f>
        <v>Phone</v>
      </c>
      <c r="E596" s="21">
        <f>'Raw Data'!E596</f>
        <v>3</v>
      </c>
      <c r="F596" s="21">
        <f>IF('Raw Data'!F596="",ROUND(AVERAGE('Raw Data'!$F$2:$F$1501),1),'Raw Data'!F596)</f>
        <v>23</v>
      </c>
      <c r="G596" s="21" t="str">
        <f>'Raw Data'!G596</f>
        <v>Debit Card</v>
      </c>
      <c r="H596" s="21" t="str">
        <f>'Raw Data'!H596</f>
        <v>Male</v>
      </c>
      <c r="I596" s="21">
        <f>IF('Raw Data'!I596="",ROUND(AVERAGE('Raw Data'!$I$2:$I$1501),1),'Raw Data'!I596)</f>
        <v>3.3</v>
      </c>
      <c r="J596" s="21">
        <f>'Raw Data'!J596</f>
        <v>4</v>
      </c>
      <c r="K596" s="21" t="str">
        <f>'Raw Data'!K596</f>
        <v>Fashion</v>
      </c>
      <c r="L596" s="21">
        <f>'Raw Data'!L596</f>
        <v>3</v>
      </c>
      <c r="M596" s="21" t="str">
        <f>'Raw Data'!M596</f>
        <v>Single</v>
      </c>
      <c r="N596" s="21">
        <f>'Raw Data'!N596</f>
        <v>1</v>
      </c>
      <c r="O596" s="21">
        <f>'Raw Data'!O596</f>
        <v>0</v>
      </c>
      <c r="P596" s="21">
        <f>IF('Raw Data'!P596="",ROUND(AVERAGE('Raw Data'!$P$2:$P$1501),1),'Raw Data'!P596)</f>
        <v>18.2</v>
      </c>
      <c r="Q596" s="21">
        <f>IF('Raw Data'!Q596="",ROUND(AVERAGE('Raw Data'!$Q$2:$Q$1501),0),'Raw Data'!Q596)</f>
        <v>4</v>
      </c>
      <c r="R596" s="21">
        <f>'Raw Data'!R596</f>
        <v>5</v>
      </c>
      <c r="S596" s="21">
        <f>IF('Raw Data'!S596="",ROUND(AVERAGE('Raw Data'!$S$2:$S$1501),0),'Raw Data'!S596)</f>
        <v>0</v>
      </c>
      <c r="T596" s="21">
        <f>'Raw Data'!T596</f>
        <v>317.74</v>
      </c>
      <c r="U596" s="21" t="str">
        <f>INDEX('Lookup Tables'!$C$7:$C$9,MATCH(E596,'Lookup Tables'!$B$7:$B$9,0))</f>
        <v>Tier 3 (Semi-urban/Rural)</v>
      </c>
      <c r="V596" s="21" t="str">
        <f t="shared" si="27"/>
        <v>0-6 months</v>
      </c>
      <c r="W596" s="21" t="str">
        <f t="shared" si="28"/>
        <v>Medium Risk</v>
      </c>
      <c r="X596" s="21" t="str">
        <f t="shared" si="29"/>
        <v>No</v>
      </c>
    </row>
    <row r="597" spans="1:24" x14ac:dyDescent="0.3">
      <c r="A597" s="21">
        <f>'Raw Data'!A597</f>
        <v>50596</v>
      </c>
      <c r="B597" s="21">
        <f>'Raw Data'!B597</f>
        <v>0</v>
      </c>
      <c r="C597" s="21">
        <f>'Raw Data'!C597</f>
        <v>7</v>
      </c>
      <c r="D597" s="21" t="str">
        <f>'Raw Data'!D597</f>
        <v>Mobile Phone</v>
      </c>
      <c r="E597" s="21">
        <f>'Raw Data'!E597</f>
        <v>2</v>
      </c>
      <c r="F597" s="21">
        <f>IF('Raw Data'!F597="",ROUND(AVERAGE('Raw Data'!$F$2:$F$1501),1),'Raw Data'!F597)</f>
        <v>19</v>
      </c>
      <c r="G597" s="21" t="str">
        <f>'Raw Data'!G597</f>
        <v>Credit Card</v>
      </c>
      <c r="H597" s="21" t="str">
        <f>'Raw Data'!H597</f>
        <v>Male</v>
      </c>
      <c r="I597" s="21">
        <f>IF('Raw Data'!I597="",ROUND(AVERAGE('Raw Data'!$I$2:$I$1501),1),'Raw Data'!I597)</f>
        <v>2.5</v>
      </c>
      <c r="J597" s="21">
        <f>'Raw Data'!J597</f>
        <v>2</v>
      </c>
      <c r="K597" s="21" t="str">
        <f>'Raw Data'!K597</f>
        <v>Others</v>
      </c>
      <c r="L597" s="21">
        <f>'Raw Data'!L597</f>
        <v>4</v>
      </c>
      <c r="M597" s="21" t="str">
        <f>'Raw Data'!M597</f>
        <v>Married</v>
      </c>
      <c r="N597" s="21">
        <f>'Raw Data'!N597</f>
        <v>5</v>
      </c>
      <c r="O597" s="21">
        <f>'Raw Data'!O597</f>
        <v>1</v>
      </c>
      <c r="P597" s="21">
        <f>IF('Raw Data'!P597="",ROUND(AVERAGE('Raw Data'!$P$2:$P$1501),1),'Raw Data'!P597)</f>
        <v>16.600000000000001</v>
      </c>
      <c r="Q597" s="21">
        <f>IF('Raw Data'!Q597="",ROUND(AVERAGE('Raw Data'!$Q$2:$Q$1501),0),'Raw Data'!Q597)</f>
        <v>4</v>
      </c>
      <c r="R597" s="21">
        <f>'Raw Data'!R597</f>
        <v>8</v>
      </c>
      <c r="S597" s="21">
        <f>IF('Raw Data'!S597="",ROUND(AVERAGE('Raw Data'!$S$2:$S$1501),0),'Raw Data'!S597)</f>
        <v>4</v>
      </c>
      <c r="T597" s="21">
        <f>'Raw Data'!T597</f>
        <v>181.69</v>
      </c>
      <c r="U597" s="21" t="str">
        <f>INDEX('Lookup Tables'!$C$7:$C$9,MATCH(E597,'Lookup Tables'!$B$7:$B$9,0))</f>
        <v>Tier 2 (Urban)</v>
      </c>
      <c r="V597" s="21" t="str">
        <f t="shared" si="27"/>
        <v>7-12 months</v>
      </c>
      <c r="W597" s="21" t="str">
        <f t="shared" si="28"/>
        <v>Low Risk</v>
      </c>
      <c r="X597" s="21" t="str">
        <f t="shared" si="29"/>
        <v>No</v>
      </c>
    </row>
    <row r="598" spans="1:24" x14ac:dyDescent="0.3">
      <c r="A598" s="21">
        <f>'Raw Data'!A598</f>
        <v>50597</v>
      </c>
      <c r="B598" s="21">
        <f>'Raw Data'!B598</f>
        <v>0</v>
      </c>
      <c r="C598" s="21">
        <f>'Raw Data'!C598</f>
        <v>4</v>
      </c>
      <c r="D598" s="21" t="str">
        <f>'Raw Data'!D598</f>
        <v>Mobile Phone</v>
      </c>
      <c r="E598" s="21">
        <f>'Raw Data'!E598</f>
        <v>1</v>
      </c>
      <c r="F598" s="21">
        <f>IF('Raw Data'!F598="",ROUND(AVERAGE('Raw Data'!$F$2:$F$1501),1),'Raw Data'!F598)</f>
        <v>33</v>
      </c>
      <c r="G598" s="21" t="str">
        <f>'Raw Data'!G598</f>
        <v>Credit Card</v>
      </c>
      <c r="H598" s="21" t="str">
        <f>'Raw Data'!H598</f>
        <v>Male</v>
      </c>
      <c r="I598" s="21">
        <f>IF('Raw Data'!I598="",ROUND(AVERAGE('Raw Data'!$I$2:$I$1501),1),'Raw Data'!I598)</f>
        <v>4</v>
      </c>
      <c r="J598" s="21">
        <f>'Raw Data'!J598</f>
        <v>3</v>
      </c>
      <c r="K598" s="21" t="str">
        <f>'Raw Data'!K598</f>
        <v>Grocery</v>
      </c>
      <c r="L598" s="21">
        <f>'Raw Data'!L598</f>
        <v>4</v>
      </c>
      <c r="M598" s="21" t="str">
        <f>'Raw Data'!M598</f>
        <v>Single</v>
      </c>
      <c r="N598" s="21">
        <f>'Raw Data'!N598</f>
        <v>1</v>
      </c>
      <c r="O598" s="21">
        <f>'Raw Data'!O598</f>
        <v>0</v>
      </c>
      <c r="P598" s="21">
        <f>IF('Raw Data'!P598="",ROUND(AVERAGE('Raw Data'!$P$2:$P$1501),1),'Raw Data'!P598)</f>
        <v>16.399999999999999</v>
      </c>
      <c r="Q598" s="21">
        <f>IF('Raw Data'!Q598="",ROUND(AVERAGE('Raw Data'!$Q$2:$Q$1501),0),'Raw Data'!Q598)</f>
        <v>4</v>
      </c>
      <c r="R598" s="21">
        <f>'Raw Data'!R598</f>
        <v>5</v>
      </c>
      <c r="S598" s="21">
        <f>IF('Raw Data'!S598="",ROUND(AVERAGE('Raw Data'!$S$2:$S$1501),0),'Raw Data'!S598)</f>
        <v>0</v>
      </c>
      <c r="T598" s="21">
        <f>'Raw Data'!T598</f>
        <v>132.99</v>
      </c>
      <c r="U598" s="21" t="str">
        <f>INDEX('Lookup Tables'!$C$7:$C$9,MATCH(E598,'Lookup Tables'!$B$7:$B$9,0))</f>
        <v>Tier 1 (Metro)</v>
      </c>
      <c r="V598" s="21" t="str">
        <f t="shared" si="27"/>
        <v>0-6 months</v>
      </c>
      <c r="W598" s="21" t="str">
        <f t="shared" si="28"/>
        <v>Low Risk</v>
      </c>
      <c r="X598" s="21" t="str">
        <f t="shared" si="29"/>
        <v>No</v>
      </c>
    </row>
    <row r="599" spans="1:24" x14ac:dyDescent="0.3">
      <c r="A599" s="21">
        <f>'Raw Data'!A599</f>
        <v>50598</v>
      </c>
      <c r="B599" s="21">
        <f>'Raw Data'!B599</f>
        <v>0</v>
      </c>
      <c r="C599" s="21">
        <f>'Raw Data'!C599</f>
        <v>17</v>
      </c>
      <c r="D599" s="21" t="str">
        <f>'Raw Data'!D599</f>
        <v>Mobile Phone</v>
      </c>
      <c r="E599" s="21">
        <f>'Raw Data'!E599</f>
        <v>3</v>
      </c>
      <c r="F599" s="21">
        <f>IF('Raw Data'!F599="",ROUND(AVERAGE('Raw Data'!$F$2:$F$1501),1),'Raw Data'!F599)</f>
        <v>5</v>
      </c>
      <c r="G599" s="21" t="str">
        <f>'Raw Data'!G599</f>
        <v>Debit Card</v>
      </c>
      <c r="H599" s="21" t="str">
        <f>'Raw Data'!H599</f>
        <v>Male</v>
      </c>
      <c r="I599" s="21">
        <f>IF('Raw Data'!I599="",ROUND(AVERAGE('Raw Data'!$I$2:$I$1501),1),'Raw Data'!I599)</f>
        <v>2.4</v>
      </c>
      <c r="J599" s="21">
        <f>'Raw Data'!J599</f>
        <v>4</v>
      </c>
      <c r="K599" s="21" t="str">
        <f>'Raw Data'!K599</f>
        <v>Mobile Phone</v>
      </c>
      <c r="L599" s="21">
        <f>'Raw Data'!L599</f>
        <v>3</v>
      </c>
      <c r="M599" s="21" t="str">
        <f>'Raw Data'!M599</f>
        <v>Single</v>
      </c>
      <c r="N599" s="21">
        <f>'Raw Data'!N599</f>
        <v>1</v>
      </c>
      <c r="O599" s="21">
        <f>'Raw Data'!O599</f>
        <v>0</v>
      </c>
      <c r="P599" s="21">
        <f>IF('Raw Data'!P599="",ROUND(AVERAGE('Raw Data'!$P$2:$P$1501),1),'Raw Data'!P599)</f>
        <v>18.5</v>
      </c>
      <c r="Q599" s="21">
        <f>IF('Raw Data'!Q599="",ROUND(AVERAGE('Raw Data'!$Q$2:$Q$1501),0),'Raw Data'!Q599)</f>
        <v>1</v>
      </c>
      <c r="R599" s="21">
        <f>'Raw Data'!R599</f>
        <v>6</v>
      </c>
      <c r="S599" s="21">
        <f>IF('Raw Data'!S599="",ROUND(AVERAGE('Raw Data'!$S$2:$S$1501),0),'Raw Data'!S599)</f>
        <v>4</v>
      </c>
      <c r="T599" s="21">
        <f>'Raw Data'!T599</f>
        <v>116.5</v>
      </c>
      <c r="U599" s="21" t="str">
        <f>INDEX('Lookup Tables'!$C$7:$C$9,MATCH(E599,'Lookup Tables'!$B$7:$B$9,0))</f>
        <v>Tier 3 (Semi-urban/Rural)</v>
      </c>
      <c r="V599" s="21" t="str">
        <f t="shared" si="27"/>
        <v>13-24 months</v>
      </c>
      <c r="W599" s="21" t="str">
        <f t="shared" si="28"/>
        <v>Medium Risk</v>
      </c>
      <c r="X599" s="21" t="str">
        <f t="shared" si="29"/>
        <v>No</v>
      </c>
    </row>
    <row r="600" spans="1:24" x14ac:dyDescent="0.3">
      <c r="A600" s="21">
        <f>'Raw Data'!A600</f>
        <v>50599</v>
      </c>
      <c r="B600" s="21">
        <f>'Raw Data'!B600</f>
        <v>0</v>
      </c>
      <c r="C600" s="21">
        <f>'Raw Data'!C600</f>
        <v>5</v>
      </c>
      <c r="D600" s="21" t="str">
        <f>'Raw Data'!D600</f>
        <v>Phone</v>
      </c>
      <c r="E600" s="21">
        <f>'Raw Data'!E600</f>
        <v>2</v>
      </c>
      <c r="F600" s="21">
        <f>IF('Raw Data'!F600="",ROUND(AVERAGE('Raw Data'!$F$2:$F$1501),1),'Raw Data'!F600)</f>
        <v>25</v>
      </c>
      <c r="G600" s="21" t="str">
        <f>'Raw Data'!G600</f>
        <v>Credit Card</v>
      </c>
      <c r="H600" s="21" t="str">
        <f>'Raw Data'!H600</f>
        <v>Male</v>
      </c>
      <c r="I600" s="21">
        <f>IF('Raw Data'!I600="",ROUND(AVERAGE('Raw Data'!$I$2:$I$1501),1),'Raw Data'!I600)</f>
        <v>3.7</v>
      </c>
      <c r="J600" s="21">
        <f>'Raw Data'!J600</f>
        <v>3</v>
      </c>
      <c r="K600" s="21" t="str">
        <f>'Raw Data'!K600</f>
        <v>Mobile Phone</v>
      </c>
      <c r="L600" s="21">
        <f>'Raw Data'!L600</f>
        <v>5</v>
      </c>
      <c r="M600" s="21" t="str">
        <f>'Raw Data'!M600</f>
        <v>Married</v>
      </c>
      <c r="N600" s="21">
        <f>'Raw Data'!N600</f>
        <v>3</v>
      </c>
      <c r="O600" s="21">
        <f>'Raw Data'!O600</f>
        <v>0</v>
      </c>
      <c r="P600" s="21">
        <f>IF('Raw Data'!P600="",ROUND(AVERAGE('Raw Data'!$P$2:$P$1501),1),'Raw Data'!P600)</f>
        <v>13</v>
      </c>
      <c r="Q600" s="21">
        <f>IF('Raw Data'!Q600="",ROUND(AVERAGE('Raw Data'!$Q$2:$Q$1501),0),'Raw Data'!Q600)</f>
        <v>1</v>
      </c>
      <c r="R600" s="21">
        <f>'Raw Data'!R600</f>
        <v>2</v>
      </c>
      <c r="S600" s="21">
        <f>IF('Raw Data'!S600="",ROUND(AVERAGE('Raw Data'!$S$2:$S$1501),0),'Raw Data'!S600)</f>
        <v>7</v>
      </c>
      <c r="T600" s="21">
        <f>'Raw Data'!T600</f>
        <v>248.9</v>
      </c>
      <c r="U600" s="21" t="str">
        <f>INDEX('Lookup Tables'!$C$7:$C$9,MATCH(E600,'Lookup Tables'!$B$7:$B$9,0))</f>
        <v>Tier 2 (Urban)</v>
      </c>
      <c r="V600" s="21" t="str">
        <f t="shared" si="27"/>
        <v>0-6 months</v>
      </c>
      <c r="W600" s="21" t="str">
        <f t="shared" si="28"/>
        <v>Low Risk</v>
      </c>
      <c r="X600" s="21" t="str">
        <f t="shared" si="29"/>
        <v>No</v>
      </c>
    </row>
    <row r="601" spans="1:24" x14ac:dyDescent="0.3">
      <c r="A601" s="21">
        <f>'Raw Data'!A601</f>
        <v>50600</v>
      </c>
      <c r="B601" s="21">
        <f>'Raw Data'!B601</f>
        <v>0</v>
      </c>
      <c r="C601" s="21">
        <f>'Raw Data'!C601</f>
        <v>2</v>
      </c>
      <c r="D601" s="21" t="str">
        <f>'Raw Data'!D601</f>
        <v>Mobile Phone</v>
      </c>
      <c r="E601" s="21">
        <f>'Raw Data'!E601</f>
        <v>1</v>
      </c>
      <c r="F601" s="21">
        <f>IF('Raw Data'!F601="",ROUND(AVERAGE('Raw Data'!$F$2:$F$1501),1),'Raw Data'!F601)</f>
        <v>24</v>
      </c>
      <c r="G601" s="21" t="str">
        <f>'Raw Data'!G601</f>
        <v>E wallet</v>
      </c>
      <c r="H601" s="21" t="str">
        <f>'Raw Data'!H601</f>
        <v>Male</v>
      </c>
      <c r="I601" s="21">
        <f>IF('Raw Data'!I601="",ROUND(AVERAGE('Raw Data'!$I$2:$I$1501),1),'Raw Data'!I601)</f>
        <v>3</v>
      </c>
      <c r="J601" s="21">
        <f>'Raw Data'!J601</f>
        <v>2</v>
      </c>
      <c r="K601" s="21" t="str">
        <f>'Raw Data'!K601</f>
        <v>Grocery</v>
      </c>
      <c r="L601" s="21">
        <f>'Raw Data'!L601</f>
        <v>5</v>
      </c>
      <c r="M601" s="21" t="str">
        <f>'Raw Data'!M601</f>
        <v>Married</v>
      </c>
      <c r="N601" s="21">
        <f>'Raw Data'!N601</f>
        <v>1</v>
      </c>
      <c r="O601" s="21">
        <f>'Raw Data'!O601</f>
        <v>0</v>
      </c>
      <c r="P601" s="21">
        <f>IF('Raw Data'!P601="",ROUND(AVERAGE('Raw Data'!$P$2:$P$1501),1),'Raw Data'!P601)</f>
        <v>21.9</v>
      </c>
      <c r="Q601" s="21">
        <f>IF('Raw Data'!Q601="",ROUND(AVERAGE('Raw Data'!$Q$2:$Q$1501),0),'Raw Data'!Q601)</f>
        <v>3</v>
      </c>
      <c r="R601" s="21">
        <f>'Raw Data'!R601</f>
        <v>3</v>
      </c>
      <c r="S601" s="21">
        <f>IF('Raw Data'!S601="",ROUND(AVERAGE('Raw Data'!$S$2:$S$1501),0),'Raw Data'!S601)</f>
        <v>1</v>
      </c>
      <c r="T601" s="21">
        <f>'Raw Data'!T601</f>
        <v>132.74</v>
      </c>
      <c r="U601" s="21" t="str">
        <f>INDEX('Lookup Tables'!$C$7:$C$9,MATCH(E601,'Lookup Tables'!$B$7:$B$9,0))</f>
        <v>Tier 1 (Metro)</v>
      </c>
      <c r="V601" s="21" t="str">
        <f t="shared" si="27"/>
        <v>0-6 months</v>
      </c>
      <c r="W601" s="21" t="str">
        <f t="shared" si="28"/>
        <v>Low Risk</v>
      </c>
      <c r="X601" s="21" t="str">
        <f t="shared" si="29"/>
        <v>No</v>
      </c>
    </row>
    <row r="602" spans="1:24" x14ac:dyDescent="0.3">
      <c r="A602" s="21">
        <f>'Raw Data'!A602</f>
        <v>50601</v>
      </c>
      <c r="B602" s="21">
        <f>'Raw Data'!B602</f>
        <v>0</v>
      </c>
      <c r="C602" s="21">
        <f>'Raw Data'!C602</f>
        <v>9</v>
      </c>
      <c r="D602" s="21" t="str">
        <f>'Raw Data'!D602</f>
        <v>Phone</v>
      </c>
      <c r="E602" s="21">
        <f>'Raw Data'!E602</f>
        <v>1</v>
      </c>
      <c r="F602" s="21">
        <f>IF('Raw Data'!F602="",ROUND(AVERAGE('Raw Data'!$F$2:$F$1501),1),'Raw Data'!F602)</f>
        <v>7</v>
      </c>
      <c r="G602" s="21" t="str">
        <f>'Raw Data'!G602</f>
        <v>E wallet</v>
      </c>
      <c r="H602" s="21" t="str">
        <f>'Raw Data'!H602</f>
        <v>Female</v>
      </c>
      <c r="I602" s="21">
        <f>IF('Raw Data'!I602="",ROUND(AVERAGE('Raw Data'!$I$2:$I$1501),1),'Raw Data'!I602)</f>
        <v>3.1</v>
      </c>
      <c r="J602" s="21">
        <f>'Raw Data'!J602</f>
        <v>3</v>
      </c>
      <c r="K602" s="21" t="str">
        <f>'Raw Data'!K602</f>
        <v>Others</v>
      </c>
      <c r="L602" s="21">
        <f>'Raw Data'!L602</f>
        <v>3</v>
      </c>
      <c r="M602" s="21" t="str">
        <f>'Raw Data'!M602</f>
        <v>Single</v>
      </c>
      <c r="N602" s="21">
        <f>'Raw Data'!N602</f>
        <v>3</v>
      </c>
      <c r="O602" s="21">
        <f>'Raw Data'!O602</f>
        <v>0</v>
      </c>
      <c r="P602" s="21">
        <f>IF('Raw Data'!P602="",ROUND(AVERAGE('Raw Data'!$P$2:$P$1501),1),'Raw Data'!P602)</f>
        <v>11</v>
      </c>
      <c r="Q602" s="21">
        <f>IF('Raw Data'!Q602="",ROUND(AVERAGE('Raw Data'!$Q$2:$Q$1501),0),'Raw Data'!Q602)</f>
        <v>2</v>
      </c>
      <c r="R602" s="21">
        <f>'Raw Data'!R602</f>
        <v>5</v>
      </c>
      <c r="S602" s="21">
        <f>IF('Raw Data'!S602="",ROUND(AVERAGE('Raw Data'!$S$2:$S$1501),0),'Raw Data'!S602)</f>
        <v>3</v>
      </c>
      <c r="T602" s="21">
        <f>'Raw Data'!T602</f>
        <v>216.5</v>
      </c>
      <c r="U602" s="21" t="str">
        <f>INDEX('Lookup Tables'!$C$7:$C$9,MATCH(E602,'Lookup Tables'!$B$7:$B$9,0))</f>
        <v>Tier 1 (Metro)</v>
      </c>
      <c r="V602" s="21" t="str">
        <f t="shared" si="27"/>
        <v>7-12 months</v>
      </c>
      <c r="W602" s="21" t="str">
        <f t="shared" si="28"/>
        <v>Medium Risk</v>
      </c>
      <c r="X602" s="21" t="str">
        <f t="shared" si="29"/>
        <v>No</v>
      </c>
    </row>
    <row r="603" spans="1:24" x14ac:dyDescent="0.3">
      <c r="A603" s="21">
        <f>'Raw Data'!A603</f>
        <v>50602</v>
      </c>
      <c r="B603" s="21">
        <f>'Raw Data'!B603</f>
        <v>1</v>
      </c>
      <c r="C603" s="21">
        <f>'Raw Data'!C603</f>
        <v>12</v>
      </c>
      <c r="D603" s="21" t="str">
        <f>'Raw Data'!D603</f>
        <v>Phone</v>
      </c>
      <c r="E603" s="21">
        <f>'Raw Data'!E603</f>
        <v>1</v>
      </c>
      <c r="F603" s="21">
        <f>IF('Raw Data'!F603="",ROUND(AVERAGE('Raw Data'!$F$2:$F$1501),1),'Raw Data'!F603)</f>
        <v>23</v>
      </c>
      <c r="G603" s="21" t="str">
        <f>'Raw Data'!G603</f>
        <v>Debit Card</v>
      </c>
      <c r="H603" s="21" t="str">
        <f>'Raw Data'!H603</f>
        <v>Female</v>
      </c>
      <c r="I603" s="21">
        <f>IF('Raw Data'!I603="",ROUND(AVERAGE('Raw Data'!$I$2:$I$1501),1),'Raw Data'!I603)</f>
        <v>1.5</v>
      </c>
      <c r="J603" s="21">
        <f>'Raw Data'!J603</f>
        <v>4</v>
      </c>
      <c r="K603" s="21" t="str">
        <f>'Raw Data'!K603</f>
        <v>Others</v>
      </c>
      <c r="L603" s="21">
        <f>'Raw Data'!L603</f>
        <v>3</v>
      </c>
      <c r="M603" s="21" t="str">
        <f>'Raw Data'!M603</f>
        <v>Single</v>
      </c>
      <c r="N603" s="21">
        <f>'Raw Data'!N603</f>
        <v>3</v>
      </c>
      <c r="O603" s="21">
        <f>'Raw Data'!O603</f>
        <v>0</v>
      </c>
      <c r="P603" s="21">
        <f>IF('Raw Data'!P603="",ROUND(AVERAGE('Raw Data'!$P$2:$P$1501),1),'Raw Data'!P603)</f>
        <v>21.1</v>
      </c>
      <c r="Q603" s="21">
        <f>IF('Raw Data'!Q603="",ROUND(AVERAGE('Raw Data'!$Q$2:$Q$1501),0),'Raw Data'!Q603)</f>
        <v>2</v>
      </c>
      <c r="R603" s="21">
        <f>'Raw Data'!R603</f>
        <v>1</v>
      </c>
      <c r="S603" s="21">
        <f>IF('Raw Data'!S603="",ROUND(AVERAGE('Raw Data'!$S$2:$S$1501),0),'Raw Data'!S603)</f>
        <v>13</v>
      </c>
      <c r="T603" s="21">
        <f>'Raw Data'!T603</f>
        <v>142.62</v>
      </c>
      <c r="U603" s="21" t="str">
        <f>INDEX('Lookup Tables'!$C$7:$C$9,MATCH(E603,'Lookup Tables'!$B$7:$B$9,0))</f>
        <v>Tier 1 (Metro)</v>
      </c>
      <c r="V603" s="21" t="str">
        <f t="shared" si="27"/>
        <v>7-12 months</v>
      </c>
      <c r="W603" s="21" t="str">
        <f t="shared" si="28"/>
        <v>Medium Risk</v>
      </c>
      <c r="X603" s="21" t="str">
        <f t="shared" si="29"/>
        <v>Yes</v>
      </c>
    </row>
    <row r="604" spans="1:24" x14ac:dyDescent="0.3">
      <c r="A604" s="21">
        <f>'Raw Data'!A604</f>
        <v>50603</v>
      </c>
      <c r="B604" s="21">
        <f>'Raw Data'!B604</f>
        <v>1</v>
      </c>
      <c r="C604" s="21">
        <f>'Raw Data'!C604</f>
        <v>1</v>
      </c>
      <c r="D604" s="21" t="str">
        <f>'Raw Data'!D604</f>
        <v>Mobile Phone</v>
      </c>
      <c r="E604" s="21">
        <f>'Raw Data'!E604</f>
        <v>1</v>
      </c>
      <c r="F604" s="21">
        <f>IF('Raw Data'!F604="",ROUND(AVERAGE('Raw Data'!$F$2:$F$1501),1),'Raw Data'!F604)</f>
        <v>17</v>
      </c>
      <c r="G604" s="21" t="str">
        <f>'Raw Data'!G604</f>
        <v>Cash on Delivery</v>
      </c>
      <c r="H604" s="21" t="str">
        <f>'Raw Data'!H604</f>
        <v>Female</v>
      </c>
      <c r="I604" s="21">
        <f>IF('Raw Data'!I604="",ROUND(AVERAGE('Raw Data'!$I$2:$I$1501),1),'Raw Data'!I604)</f>
        <v>1.4</v>
      </c>
      <c r="J604" s="21">
        <f>'Raw Data'!J604</f>
        <v>2</v>
      </c>
      <c r="K604" s="21" t="str">
        <f>'Raw Data'!K604</f>
        <v>Mobile Phone</v>
      </c>
      <c r="L604" s="21">
        <f>'Raw Data'!L604</f>
        <v>3</v>
      </c>
      <c r="M604" s="21" t="str">
        <f>'Raw Data'!M604</f>
        <v>Married</v>
      </c>
      <c r="N604" s="21">
        <f>'Raw Data'!N604</f>
        <v>1</v>
      </c>
      <c r="O604" s="21">
        <f>'Raw Data'!O604</f>
        <v>1</v>
      </c>
      <c r="P604" s="21">
        <f>IF('Raw Data'!P604="",ROUND(AVERAGE('Raw Data'!$P$2:$P$1501),1),'Raw Data'!P604)</f>
        <v>15.8</v>
      </c>
      <c r="Q604" s="21">
        <f>IF('Raw Data'!Q604="",ROUND(AVERAGE('Raw Data'!$Q$2:$Q$1501),0),'Raw Data'!Q604)</f>
        <v>2</v>
      </c>
      <c r="R604" s="21">
        <f>'Raw Data'!R604</f>
        <v>4</v>
      </c>
      <c r="S604" s="21">
        <f>IF('Raw Data'!S604="",ROUND(AVERAGE('Raw Data'!$S$2:$S$1501),0),'Raw Data'!S604)</f>
        <v>3</v>
      </c>
      <c r="T604" s="21">
        <f>'Raw Data'!T604</f>
        <v>110.33</v>
      </c>
      <c r="U604" s="21" t="str">
        <f>INDEX('Lookup Tables'!$C$7:$C$9,MATCH(E604,'Lookup Tables'!$B$7:$B$9,0))</f>
        <v>Tier 1 (Metro)</v>
      </c>
      <c r="V604" s="21" t="str">
        <f t="shared" si="27"/>
        <v>0-6 months</v>
      </c>
      <c r="W604" s="21" t="str">
        <f t="shared" si="28"/>
        <v>Medium Risk</v>
      </c>
      <c r="X604" s="21" t="str">
        <f t="shared" si="29"/>
        <v>Yes</v>
      </c>
    </row>
    <row r="605" spans="1:24" x14ac:dyDescent="0.3">
      <c r="A605" s="21">
        <f>'Raw Data'!A605</f>
        <v>50604</v>
      </c>
      <c r="B605" s="21">
        <f>'Raw Data'!B605</f>
        <v>1</v>
      </c>
      <c r="C605" s="21">
        <f>'Raw Data'!C605</f>
        <v>1</v>
      </c>
      <c r="D605" s="21" t="str">
        <f>'Raw Data'!D605</f>
        <v>Mobile Phone</v>
      </c>
      <c r="E605" s="21">
        <f>'Raw Data'!E605</f>
        <v>3</v>
      </c>
      <c r="F605" s="21">
        <f>IF('Raw Data'!F605="",ROUND(AVERAGE('Raw Data'!$F$2:$F$1501),1),'Raw Data'!F605)</f>
        <v>13</v>
      </c>
      <c r="G605" s="21" t="str">
        <f>'Raw Data'!G605</f>
        <v>Debit Card</v>
      </c>
      <c r="H605" s="21" t="str">
        <f>'Raw Data'!H605</f>
        <v>Female</v>
      </c>
      <c r="I605" s="21">
        <f>IF('Raw Data'!I605="",ROUND(AVERAGE('Raw Data'!$I$2:$I$1501),1),'Raw Data'!I605)</f>
        <v>2.7</v>
      </c>
      <c r="J605" s="21">
        <f>'Raw Data'!J605</f>
        <v>3</v>
      </c>
      <c r="K605" s="21" t="str">
        <f>'Raw Data'!K605</f>
        <v>Others</v>
      </c>
      <c r="L605" s="21">
        <f>'Raw Data'!L605</f>
        <v>5</v>
      </c>
      <c r="M605" s="21" t="str">
        <f>'Raw Data'!M605</f>
        <v>Married</v>
      </c>
      <c r="N605" s="21">
        <f>'Raw Data'!N605</f>
        <v>3</v>
      </c>
      <c r="O605" s="21">
        <f>'Raw Data'!O605</f>
        <v>1</v>
      </c>
      <c r="P605" s="21">
        <f>IF('Raw Data'!P605="",ROUND(AVERAGE('Raw Data'!$P$2:$P$1501),1),'Raw Data'!P605)</f>
        <v>19.5</v>
      </c>
      <c r="Q605" s="21">
        <f>IF('Raw Data'!Q605="",ROUND(AVERAGE('Raw Data'!$Q$2:$Q$1501),0),'Raw Data'!Q605)</f>
        <v>2</v>
      </c>
      <c r="R605" s="21">
        <f>'Raw Data'!R605</f>
        <v>2</v>
      </c>
      <c r="S605" s="21">
        <f>IF('Raw Data'!S605="",ROUND(AVERAGE('Raw Data'!$S$2:$S$1501),0),'Raw Data'!S605)</f>
        <v>28</v>
      </c>
      <c r="T605" s="21">
        <f>'Raw Data'!T605</f>
        <v>213.29</v>
      </c>
      <c r="U605" s="21" t="str">
        <f>INDEX('Lookup Tables'!$C$7:$C$9,MATCH(E605,'Lookup Tables'!$B$7:$B$9,0))</f>
        <v>Tier 3 (Semi-urban/Rural)</v>
      </c>
      <c r="V605" s="21" t="str">
        <f t="shared" si="27"/>
        <v>0-6 months</v>
      </c>
      <c r="W605" s="21" t="str">
        <f t="shared" si="28"/>
        <v>Medium Risk</v>
      </c>
      <c r="X605" s="21" t="str">
        <f t="shared" si="29"/>
        <v>Yes</v>
      </c>
    </row>
    <row r="606" spans="1:24" x14ac:dyDescent="0.3">
      <c r="A606" s="21">
        <f>'Raw Data'!A606</f>
        <v>50605</v>
      </c>
      <c r="B606" s="21">
        <f>'Raw Data'!B606</f>
        <v>0</v>
      </c>
      <c r="C606" s="21">
        <f>'Raw Data'!C606</f>
        <v>0</v>
      </c>
      <c r="D606" s="21" t="str">
        <f>'Raw Data'!D606</f>
        <v>Computer</v>
      </c>
      <c r="E606" s="21">
        <f>'Raw Data'!E606</f>
        <v>1</v>
      </c>
      <c r="F606" s="21">
        <f>IF('Raw Data'!F606="",ROUND(AVERAGE('Raw Data'!$F$2:$F$1501),1),'Raw Data'!F606)</f>
        <v>8</v>
      </c>
      <c r="G606" s="21" t="str">
        <f>'Raw Data'!G606</f>
        <v>Debit Card</v>
      </c>
      <c r="H606" s="21" t="str">
        <f>'Raw Data'!H606</f>
        <v>Female</v>
      </c>
      <c r="I606" s="21">
        <f>IF('Raw Data'!I606="",ROUND(AVERAGE('Raw Data'!$I$2:$I$1501),1),'Raw Data'!I606)</f>
        <v>3.1</v>
      </c>
      <c r="J606" s="21">
        <f>'Raw Data'!J606</f>
        <v>1</v>
      </c>
      <c r="K606" s="21" t="str">
        <f>'Raw Data'!K606</f>
        <v>Laptop &amp; Accessory</v>
      </c>
      <c r="L606" s="21">
        <f>'Raw Data'!L606</f>
        <v>4</v>
      </c>
      <c r="M606" s="21" t="str">
        <f>'Raw Data'!M606</f>
        <v>Single</v>
      </c>
      <c r="N606" s="21">
        <f>'Raw Data'!N606</f>
        <v>9</v>
      </c>
      <c r="O606" s="21">
        <f>'Raw Data'!O606</f>
        <v>1</v>
      </c>
      <c r="P606" s="21">
        <f>IF('Raw Data'!P606="",ROUND(AVERAGE('Raw Data'!$P$2:$P$1501),1),'Raw Data'!P606)</f>
        <v>17.3</v>
      </c>
      <c r="Q606" s="21">
        <f>IF('Raw Data'!Q606="",ROUND(AVERAGE('Raw Data'!$Q$2:$Q$1501),0),'Raw Data'!Q606)</f>
        <v>1</v>
      </c>
      <c r="R606" s="21">
        <f>'Raw Data'!R606</f>
        <v>3</v>
      </c>
      <c r="S606" s="21">
        <f>IF('Raw Data'!S606="",ROUND(AVERAGE('Raw Data'!$S$2:$S$1501),0),'Raw Data'!S606)</f>
        <v>0</v>
      </c>
      <c r="T606" s="21">
        <f>'Raw Data'!T606</f>
        <v>145.31</v>
      </c>
      <c r="U606" s="21" t="str">
        <f>INDEX('Lookup Tables'!$C$7:$C$9,MATCH(E606,'Lookup Tables'!$B$7:$B$9,0))</f>
        <v>Tier 1 (Metro)</v>
      </c>
      <c r="V606" s="21" t="str">
        <f t="shared" si="27"/>
        <v>0-6 months</v>
      </c>
      <c r="W606" s="21" t="str">
        <f t="shared" si="28"/>
        <v>Low Risk</v>
      </c>
      <c r="X606" s="21" t="str">
        <f t="shared" si="29"/>
        <v>No</v>
      </c>
    </row>
    <row r="607" spans="1:24" x14ac:dyDescent="0.3">
      <c r="A607" s="21">
        <f>'Raw Data'!A607</f>
        <v>50606</v>
      </c>
      <c r="B607" s="21">
        <f>'Raw Data'!B607</f>
        <v>0</v>
      </c>
      <c r="C607" s="21">
        <f>'Raw Data'!C607</f>
        <v>13</v>
      </c>
      <c r="D607" s="21" t="str">
        <f>'Raw Data'!D607</f>
        <v>Mobile Phone</v>
      </c>
      <c r="E607" s="21">
        <f>'Raw Data'!E607</f>
        <v>1</v>
      </c>
      <c r="F607" s="21">
        <f>IF('Raw Data'!F607="",ROUND(AVERAGE('Raw Data'!$F$2:$F$1501),1),'Raw Data'!F607)</f>
        <v>9</v>
      </c>
      <c r="G607" s="21" t="str">
        <f>'Raw Data'!G607</f>
        <v>Debit Card</v>
      </c>
      <c r="H607" s="21" t="str">
        <f>'Raw Data'!H607</f>
        <v>Male</v>
      </c>
      <c r="I607" s="21">
        <f>IF('Raw Data'!I607="",ROUND(AVERAGE('Raw Data'!$I$2:$I$1501),1),'Raw Data'!I607)</f>
        <v>2.1</v>
      </c>
      <c r="J607" s="21">
        <f>'Raw Data'!J607</f>
        <v>3</v>
      </c>
      <c r="K607" s="21" t="str">
        <f>'Raw Data'!K607</f>
        <v>Laptop &amp; Accessory</v>
      </c>
      <c r="L607" s="21">
        <f>'Raw Data'!L607</f>
        <v>1</v>
      </c>
      <c r="M607" s="21" t="str">
        <f>'Raw Data'!M607</f>
        <v>Married</v>
      </c>
      <c r="N607" s="21">
        <f>'Raw Data'!N607</f>
        <v>1</v>
      </c>
      <c r="O607" s="21">
        <f>'Raw Data'!O607</f>
        <v>0</v>
      </c>
      <c r="P607" s="21">
        <f>IF('Raw Data'!P607="",ROUND(AVERAGE('Raw Data'!$P$2:$P$1501),1),'Raw Data'!P607)</f>
        <v>17.2</v>
      </c>
      <c r="Q607" s="21">
        <f>IF('Raw Data'!Q607="",ROUND(AVERAGE('Raw Data'!$Q$2:$Q$1501),0),'Raw Data'!Q607)</f>
        <v>1</v>
      </c>
      <c r="R607" s="21">
        <f>'Raw Data'!R607</f>
        <v>3</v>
      </c>
      <c r="S607" s="21">
        <f>IF('Raw Data'!S607="",ROUND(AVERAGE('Raw Data'!$S$2:$S$1501),0),'Raw Data'!S607)</f>
        <v>6</v>
      </c>
      <c r="T607" s="21">
        <f>'Raw Data'!T607</f>
        <v>203.4</v>
      </c>
      <c r="U607" s="21" t="str">
        <f>INDEX('Lookup Tables'!$C$7:$C$9,MATCH(E607,'Lookup Tables'!$B$7:$B$9,0))</f>
        <v>Tier 1 (Metro)</v>
      </c>
      <c r="V607" s="21" t="str">
        <f t="shared" si="27"/>
        <v>13-24 months</v>
      </c>
      <c r="W607" s="21" t="str">
        <f t="shared" si="28"/>
        <v>Low Risk</v>
      </c>
      <c r="X607" s="21" t="str">
        <f t="shared" si="29"/>
        <v>No</v>
      </c>
    </row>
    <row r="608" spans="1:24" x14ac:dyDescent="0.3">
      <c r="A608" s="21">
        <f>'Raw Data'!A608</f>
        <v>50607</v>
      </c>
      <c r="B608" s="21">
        <f>'Raw Data'!B608</f>
        <v>0</v>
      </c>
      <c r="C608" s="21">
        <f>'Raw Data'!C608</f>
        <v>10</v>
      </c>
      <c r="D608" s="21" t="str">
        <f>'Raw Data'!D608</f>
        <v>Computer</v>
      </c>
      <c r="E608" s="21">
        <f>'Raw Data'!E608</f>
        <v>2</v>
      </c>
      <c r="F608" s="21">
        <f>IF('Raw Data'!F608="",ROUND(AVERAGE('Raw Data'!$F$2:$F$1501),1),'Raw Data'!F608)</f>
        <v>31</v>
      </c>
      <c r="G608" s="21" t="str">
        <f>'Raw Data'!G608</f>
        <v>Debit Card</v>
      </c>
      <c r="H608" s="21" t="str">
        <f>'Raw Data'!H608</f>
        <v>Male</v>
      </c>
      <c r="I608" s="21">
        <f>IF('Raw Data'!I608="",ROUND(AVERAGE('Raw Data'!$I$2:$I$1501),1),'Raw Data'!I608)</f>
        <v>2.1</v>
      </c>
      <c r="J608" s="21">
        <f>'Raw Data'!J608</f>
        <v>3</v>
      </c>
      <c r="K608" s="21" t="str">
        <f>'Raw Data'!K608</f>
        <v>Laptop &amp; Accessory</v>
      </c>
      <c r="L608" s="21">
        <f>'Raw Data'!L608</f>
        <v>3</v>
      </c>
      <c r="M608" s="21" t="str">
        <f>'Raw Data'!M608</f>
        <v>Single</v>
      </c>
      <c r="N608" s="21">
        <f>'Raw Data'!N608</f>
        <v>3</v>
      </c>
      <c r="O608" s="21">
        <f>'Raw Data'!O608</f>
        <v>1</v>
      </c>
      <c r="P608" s="21">
        <f>IF('Raw Data'!P608="",ROUND(AVERAGE('Raw Data'!$P$2:$P$1501),1),'Raw Data'!P608)</f>
        <v>17.899999999999999</v>
      </c>
      <c r="Q608" s="21">
        <f>IF('Raw Data'!Q608="",ROUND(AVERAGE('Raw Data'!$Q$2:$Q$1501),0),'Raw Data'!Q608)</f>
        <v>1</v>
      </c>
      <c r="R608" s="21">
        <f>'Raw Data'!R608</f>
        <v>4</v>
      </c>
      <c r="S608" s="21">
        <f>IF('Raw Data'!S608="",ROUND(AVERAGE('Raw Data'!$S$2:$S$1501),0),'Raw Data'!S608)</f>
        <v>5</v>
      </c>
      <c r="T608" s="21">
        <f>'Raw Data'!T608</f>
        <v>207.46</v>
      </c>
      <c r="U608" s="21" t="str">
        <f>INDEX('Lookup Tables'!$C$7:$C$9,MATCH(E608,'Lookup Tables'!$B$7:$B$9,0))</f>
        <v>Tier 2 (Urban)</v>
      </c>
      <c r="V608" s="21" t="str">
        <f t="shared" si="27"/>
        <v>7-12 months</v>
      </c>
      <c r="W608" s="21" t="str">
        <f t="shared" si="28"/>
        <v>Medium Risk</v>
      </c>
      <c r="X608" s="21" t="str">
        <f t="shared" si="29"/>
        <v>No</v>
      </c>
    </row>
    <row r="609" spans="1:24" x14ac:dyDescent="0.3">
      <c r="A609" s="21">
        <f>'Raw Data'!A609</f>
        <v>50608</v>
      </c>
      <c r="B609" s="21">
        <f>'Raw Data'!B609</f>
        <v>0</v>
      </c>
      <c r="C609" s="21">
        <f>'Raw Data'!C609</f>
        <v>6</v>
      </c>
      <c r="D609" s="21" t="str">
        <f>'Raw Data'!D609</f>
        <v>Mobile Phone</v>
      </c>
      <c r="E609" s="21">
        <f>'Raw Data'!E609</f>
        <v>1</v>
      </c>
      <c r="F609" s="21">
        <f>IF('Raw Data'!F609="",ROUND(AVERAGE('Raw Data'!$F$2:$F$1501),1),'Raw Data'!F609)</f>
        <v>15</v>
      </c>
      <c r="G609" s="21" t="str">
        <f>'Raw Data'!G609</f>
        <v>Debit Card</v>
      </c>
      <c r="H609" s="21" t="str">
        <f>'Raw Data'!H609</f>
        <v>Male</v>
      </c>
      <c r="I609" s="21">
        <f>IF('Raw Data'!I609="",ROUND(AVERAGE('Raw Data'!$I$2:$I$1501),1),'Raw Data'!I609)</f>
        <v>3.3</v>
      </c>
      <c r="J609" s="21">
        <f>'Raw Data'!J609</f>
        <v>2</v>
      </c>
      <c r="K609" s="21" t="str">
        <f>'Raw Data'!K609</f>
        <v>Laptop &amp; Accessory</v>
      </c>
      <c r="L609" s="21">
        <f>'Raw Data'!L609</f>
        <v>1</v>
      </c>
      <c r="M609" s="21" t="str">
        <f>'Raw Data'!M609</f>
        <v>Married</v>
      </c>
      <c r="N609" s="21">
        <f>'Raw Data'!N609</f>
        <v>1</v>
      </c>
      <c r="O609" s="21">
        <f>'Raw Data'!O609</f>
        <v>0</v>
      </c>
      <c r="P609" s="21">
        <f>IF('Raw Data'!P609="",ROUND(AVERAGE('Raw Data'!$P$2:$P$1501),1),'Raw Data'!P609)</f>
        <v>18.8</v>
      </c>
      <c r="Q609" s="21">
        <f>IF('Raw Data'!Q609="",ROUND(AVERAGE('Raw Data'!$Q$2:$Q$1501),0),'Raw Data'!Q609)</f>
        <v>1</v>
      </c>
      <c r="R609" s="21">
        <f>'Raw Data'!R609</f>
        <v>4</v>
      </c>
      <c r="S609" s="21">
        <f>IF('Raw Data'!S609="",ROUND(AVERAGE('Raw Data'!$S$2:$S$1501),0),'Raw Data'!S609)</f>
        <v>10</v>
      </c>
      <c r="T609" s="21">
        <f>'Raw Data'!T609</f>
        <v>210.04</v>
      </c>
      <c r="U609" s="21" t="str">
        <f>INDEX('Lookup Tables'!$C$7:$C$9,MATCH(E609,'Lookup Tables'!$B$7:$B$9,0))</f>
        <v>Tier 1 (Metro)</v>
      </c>
      <c r="V609" s="21" t="str">
        <f t="shared" si="27"/>
        <v>0-6 months</v>
      </c>
      <c r="W609" s="21" t="str">
        <f t="shared" si="28"/>
        <v>Low Risk</v>
      </c>
      <c r="X609" s="21" t="str">
        <f t="shared" si="29"/>
        <v>No</v>
      </c>
    </row>
    <row r="610" spans="1:24" x14ac:dyDescent="0.3">
      <c r="A610" s="21">
        <f>'Raw Data'!A610</f>
        <v>50609</v>
      </c>
      <c r="B610" s="21">
        <f>'Raw Data'!B610</f>
        <v>0</v>
      </c>
      <c r="C610" s="21">
        <f>'Raw Data'!C610</f>
        <v>18</v>
      </c>
      <c r="D610" s="21" t="str">
        <f>'Raw Data'!D610</f>
        <v>Mobile Phone</v>
      </c>
      <c r="E610" s="21">
        <f>'Raw Data'!E610</f>
        <v>3</v>
      </c>
      <c r="F610" s="21">
        <f>IF('Raw Data'!F610="",ROUND(AVERAGE('Raw Data'!$F$2:$F$1501),1),'Raw Data'!F610)</f>
        <v>21</v>
      </c>
      <c r="G610" s="21" t="str">
        <f>'Raw Data'!G610</f>
        <v>Cash on Delivery</v>
      </c>
      <c r="H610" s="21" t="str">
        <f>'Raw Data'!H610</f>
        <v>Female</v>
      </c>
      <c r="I610" s="21">
        <f>IF('Raw Data'!I610="",ROUND(AVERAGE('Raw Data'!$I$2:$I$1501),1),'Raw Data'!I610)</f>
        <v>3.3</v>
      </c>
      <c r="J610" s="21">
        <f>'Raw Data'!J610</f>
        <v>3</v>
      </c>
      <c r="K610" s="21" t="str">
        <f>'Raw Data'!K610</f>
        <v>Fashion</v>
      </c>
      <c r="L610" s="21">
        <f>'Raw Data'!L610</f>
        <v>4</v>
      </c>
      <c r="M610" s="21" t="str">
        <f>'Raw Data'!M610</f>
        <v>Single</v>
      </c>
      <c r="N610" s="21">
        <f>'Raw Data'!N610</f>
        <v>2</v>
      </c>
      <c r="O610" s="21">
        <f>'Raw Data'!O610</f>
        <v>0</v>
      </c>
      <c r="P610" s="21">
        <f>IF('Raw Data'!P610="",ROUND(AVERAGE('Raw Data'!$P$2:$P$1501),1),'Raw Data'!P610)</f>
        <v>14.8</v>
      </c>
      <c r="Q610" s="21">
        <f>IF('Raw Data'!Q610="",ROUND(AVERAGE('Raw Data'!$Q$2:$Q$1501),0),'Raw Data'!Q610)</f>
        <v>6</v>
      </c>
      <c r="R610" s="21">
        <f>'Raw Data'!R610</f>
        <v>4</v>
      </c>
      <c r="S610" s="21">
        <f>IF('Raw Data'!S610="",ROUND(AVERAGE('Raw Data'!$S$2:$S$1501),0),'Raw Data'!S610)</f>
        <v>0</v>
      </c>
      <c r="T610" s="21">
        <f>'Raw Data'!T610</f>
        <v>165.25</v>
      </c>
      <c r="U610" s="21" t="str">
        <f>INDEX('Lookup Tables'!$C$7:$C$9,MATCH(E610,'Lookup Tables'!$B$7:$B$9,0))</f>
        <v>Tier 3 (Semi-urban/Rural)</v>
      </c>
      <c r="V610" s="21" t="str">
        <f t="shared" si="27"/>
        <v>13-24 months</v>
      </c>
      <c r="W610" s="21" t="str">
        <f t="shared" si="28"/>
        <v>Low Risk</v>
      </c>
      <c r="X610" s="21" t="str">
        <f t="shared" si="29"/>
        <v>No</v>
      </c>
    </row>
    <row r="611" spans="1:24" x14ac:dyDescent="0.3">
      <c r="A611" s="21">
        <f>'Raw Data'!A611</f>
        <v>50610</v>
      </c>
      <c r="B611" s="21">
        <f>'Raw Data'!B611</f>
        <v>1</v>
      </c>
      <c r="C611" s="21">
        <f>'Raw Data'!C611</f>
        <v>16</v>
      </c>
      <c r="D611" s="21" t="str">
        <f>'Raw Data'!D611</f>
        <v>Computer</v>
      </c>
      <c r="E611" s="21">
        <f>'Raw Data'!E611</f>
        <v>1</v>
      </c>
      <c r="F611" s="21">
        <f>IF('Raw Data'!F611="",ROUND(AVERAGE('Raw Data'!$F$2:$F$1501),1),'Raw Data'!F611)</f>
        <v>8</v>
      </c>
      <c r="G611" s="21" t="str">
        <f>'Raw Data'!G611</f>
        <v>Debit Card</v>
      </c>
      <c r="H611" s="21" t="str">
        <f>'Raw Data'!H611</f>
        <v>Male</v>
      </c>
      <c r="I611" s="21">
        <f>IF('Raw Data'!I611="",ROUND(AVERAGE('Raw Data'!$I$2:$I$1501),1),'Raw Data'!I611)</f>
        <v>2.8</v>
      </c>
      <c r="J611" s="21">
        <f>'Raw Data'!J611</f>
        <v>2</v>
      </c>
      <c r="K611" s="21" t="str">
        <f>'Raw Data'!K611</f>
        <v>Grocery</v>
      </c>
      <c r="L611" s="21">
        <f>'Raw Data'!L611</f>
        <v>3</v>
      </c>
      <c r="M611" s="21" t="str">
        <f>'Raw Data'!M611</f>
        <v>Single</v>
      </c>
      <c r="N611" s="21">
        <f>'Raw Data'!N611</f>
        <v>1</v>
      </c>
      <c r="O611" s="21">
        <f>'Raw Data'!O611</f>
        <v>0</v>
      </c>
      <c r="P611" s="21">
        <f>IF('Raw Data'!P611="",ROUND(AVERAGE('Raw Data'!$P$2:$P$1501),1),'Raw Data'!P611)</f>
        <v>19.600000000000001</v>
      </c>
      <c r="Q611" s="21">
        <f>IF('Raw Data'!Q611="",ROUND(AVERAGE('Raw Data'!$Q$2:$Q$1501),0),'Raw Data'!Q611)</f>
        <v>1</v>
      </c>
      <c r="R611" s="21">
        <f>'Raw Data'!R611</f>
        <v>4</v>
      </c>
      <c r="S611" s="21">
        <f>IF('Raw Data'!S611="",ROUND(AVERAGE('Raw Data'!$S$2:$S$1501),0),'Raw Data'!S611)</f>
        <v>1</v>
      </c>
      <c r="T611" s="21">
        <f>'Raw Data'!T611</f>
        <v>217.74</v>
      </c>
      <c r="U611" s="21" t="str">
        <f>INDEX('Lookup Tables'!$C$7:$C$9,MATCH(E611,'Lookup Tables'!$B$7:$B$9,0))</f>
        <v>Tier 1 (Metro)</v>
      </c>
      <c r="V611" s="21" t="str">
        <f t="shared" si="27"/>
        <v>13-24 months</v>
      </c>
      <c r="W611" s="21" t="str">
        <f t="shared" si="28"/>
        <v>Medium Risk</v>
      </c>
      <c r="X611" s="21" t="str">
        <f t="shared" si="29"/>
        <v>Yes</v>
      </c>
    </row>
    <row r="612" spans="1:24" x14ac:dyDescent="0.3">
      <c r="A612" s="21">
        <f>'Raw Data'!A612</f>
        <v>50611</v>
      </c>
      <c r="B612" s="21">
        <f>'Raw Data'!B612</f>
        <v>0</v>
      </c>
      <c r="C612" s="21">
        <f>'Raw Data'!C612</f>
        <v>8</v>
      </c>
      <c r="D612" s="21" t="str">
        <f>'Raw Data'!D612</f>
        <v>Mobile Phone</v>
      </c>
      <c r="E612" s="21">
        <f>'Raw Data'!E612</f>
        <v>1</v>
      </c>
      <c r="F612" s="21">
        <f>IF('Raw Data'!F612="",ROUND(AVERAGE('Raw Data'!$F$2:$F$1501),1),'Raw Data'!F612)</f>
        <v>8</v>
      </c>
      <c r="G612" s="21" t="str">
        <f>'Raw Data'!G612</f>
        <v>Debit Card</v>
      </c>
      <c r="H612" s="21" t="str">
        <f>'Raw Data'!H612</f>
        <v>Female</v>
      </c>
      <c r="I612" s="21">
        <f>IF('Raw Data'!I612="",ROUND(AVERAGE('Raw Data'!$I$2:$I$1501),1),'Raw Data'!I612)</f>
        <v>3.4</v>
      </c>
      <c r="J612" s="21">
        <f>'Raw Data'!J612</f>
        <v>3</v>
      </c>
      <c r="K612" s="21" t="str">
        <f>'Raw Data'!K612</f>
        <v>Fashion</v>
      </c>
      <c r="L612" s="21">
        <f>'Raw Data'!L612</f>
        <v>3</v>
      </c>
      <c r="M612" s="21" t="str">
        <f>'Raw Data'!M612</f>
        <v>Single</v>
      </c>
      <c r="N612" s="21">
        <f>'Raw Data'!N612</f>
        <v>1</v>
      </c>
      <c r="O612" s="21">
        <f>'Raw Data'!O612</f>
        <v>0</v>
      </c>
      <c r="P612" s="21">
        <f>IF('Raw Data'!P612="",ROUND(AVERAGE('Raw Data'!$P$2:$P$1501),1),'Raw Data'!P612)</f>
        <v>12.2</v>
      </c>
      <c r="Q612" s="21">
        <f>IF('Raw Data'!Q612="",ROUND(AVERAGE('Raw Data'!$Q$2:$Q$1501),0),'Raw Data'!Q612)</f>
        <v>4</v>
      </c>
      <c r="R612" s="21">
        <f>'Raw Data'!R612</f>
        <v>3</v>
      </c>
      <c r="S612" s="21">
        <f>IF('Raw Data'!S612="",ROUND(AVERAGE('Raw Data'!$S$2:$S$1501),0),'Raw Data'!S612)</f>
        <v>0</v>
      </c>
      <c r="T612" s="21">
        <f>'Raw Data'!T612</f>
        <v>129.26</v>
      </c>
      <c r="U612" s="21" t="str">
        <f>INDEX('Lookup Tables'!$C$7:$C$9,MATCH(E612,'Lookup Tables'!$B$7:$B$9,0))</f>
        <v>Tier 1 (Metro)</v>
      </c>
      <c r="V612" s="21" t="str">
        <f t="shared" si="27"/>
        <v>7-12 months</v>
      </c>
      <c r="W612" s="21" t="str">
        <f t="shared" si="28"/>
        <v>Medium Risk</v>
      </c>
      <c r="X612" s="21" t="str">
        <f t="shared" si="29"/>
        <v>No</v>
      </c>
    </row>
    <row r="613" spans="1:24" x14ac:dyDescent="0.3">
      <c r="A613" s="21">
        <f>'Raw Data'!A613</f>
        <v>50612</v>
      </c>
      <c r="B613" s="21">
        <f>'Raw Data'!B613</f>
        <v>0</v>
      </c>
      <c r="C613" s="21">
        <f>'Raw Data'!C613</f>
        <v>20</v>
      </c>
      <c r="D613" s="21" t="str">
        <f>'Raw Data'!D613</f>
        <v>Mobile Phone</v>
      </c>
      <c r="E613" s="21">
        <f>'Raw Data'!E613</f>
        <v>1</v>
      </c>
      <c r="F613" s="21">
        <f>IF('Raw Data'!F613="",ROUND(AVERAGE('Raw Data'!$F$2:$F$1501),1),'Raw Data'!F613)</f>
        <v>23</v>
      </c>
      <c r="G613" s="21" t="str">
        <f>'Raw Data'!G613</f>
        <v>Debit Card</v>
      </c>
      <c r="H613" s="21" t="str">
        <f>'Raw Data'!H613</f>
        <v>Male</v>
      </c>
      <c r="I613" s="21">
        <f>IF('Raw Data'!I613="",ROUND(AVERAGE('Raw Data'!$I$2:$I$1501),1),'Raw Data'!I613)</f>
        <v>2.1</v>
      </c>
      <c r="J613" s="21">
        <f>'Raw Data'!J613</f>
        <v>4</v>
      </c>
      <c r="K613" s="21" t="str">
        <f>'Raw Data'!K613</f>
        <v>Fashion</v>
      </c>
      <c r="L613" s="21">
        <f>'Raw Data'!L613</f>
        <v>4</v>
      </c>
      <c r="M613" s="21" t="str">
        <f>'Raw Data'!M613</f>
        <v>Married</v>
      </c>
      <c r="N613" s="21">
        <f>'Raw Data'!N613</f>
        <v>1</v>
      </c>
      <c r="O613" s="21">
        <f>'Raw Data'!O613</f>
        <v>0</v>
      </c>
      <c r="P613" s="21">
        <f>IF('Raw Data'!P613="",ROUND(AVERAGE('Raw Data'!$P$2:$P$1501),1),'Raw Data'!P613)</f>
        <v>16</v>
      </c>
      <c r="Q613" s="21">
        <f>IF('Raw Data'!Q613="",ROUND(AVERAGE('Raw Data'!$Q$2:$Q$1501),0),'Raw Data'!Q613)</f>
        <v>0</v>
      </c>
      <c r="R613" s="21">
        <f>'Raw Data'!R613</f>
        <v>4</v>
      </c>
      <c r="S613" s="21">
        <f>IF('Raw Data'!S613="",ROUND(AVERAGE('Raw Data'!$S$2:$S$1501),0),'Raw Data'!S613)</f>
        <v>13</v>
      </c>
      <c r="T613" s="21">
        <f>'Raw Data'!T613</f>
        <v>45.03</v>
      </c>
      <c r="U613" s="21" t="str">
        <f>INDEX('Lookup Tables'!$C$7:$C$9,MATCH(E613,'Lookup Tables'!$B$7:$B$9,0))</f>
        <v>Tier 1 (Metro)</v>
      </c>
      <c r="V613" s="21" t="str">
        <f t="shared" si="27"/>
        <v>13-24 months</v>
      </c>
      <c r="W613" s="21" t="str">
        <f t="shared" si="28"/>
        <v>Low Risk</v>
      </c>
      <c r="X613" s="21" t="str">
        <f t="shared" si="29"/>
        <v>No</v>
      </c>
    </row>
    <row r="614" spans="1:24" x14ac:dyDescent="0.3">
      <c r="A614" s="21">
        <f>'Raw Data'!A614</f>
        <v>50613</v>
      </c>
      <c r="B614" s="21">
        <f>'Raw Data'!B614</f>
        <v>0</v>
      </c>
      <c r="C614" s="21">
        <f>'Raw Data'!C614</f>
        <v>2</v>
      </c>
      <c r="D614" s="21" t="str">
        <f>'Raw Data'!D614</f>
        <v>Mobile Phone</v>
      </c>
      <c r="E614" s="21">
        <f>'Raw Data'!E614</f>
        <v>1</v>
      </c>
      <c r="F614" s="21">
        <f>IF('Raw Data'!F614="",ROUND(AVERAGE('Raw Data'!$F$2:$F$1501),1),'Raw Data'!F614)</f>
        <v>5</v>
      </c>
      <c r="G614" s="21" t="str">
        <f>'Raw Data'!G614</f>
        <v>E wallet</v>
      </c>
      <c r="H614" s="21" t="str">
        <f>'Raw Data'!H614</f>
        <v>Male</v>
      </c>
      <c r="I614" s="21">
        <f>IF('Raw Data'!I614="",ROUND(AVERAGE('Raw Data'!$I$2:$I$1501),1),'Raw Data'!I614)</f>
        <v>2.7</v>
      </c>
      <c r="J614" s="21">
        <f>'Raw Data'!J614</f>
        <v>2</v>
      </c>
      <c r="K614" s="21" t="str">
        <f>'Raw Data'!K614</f>
        <v>Mobile Phone</v>
      </c>
      <c r="L614" s="21">
        <f>'Raw Data'!L614</f>
        <v>1</v>
      </c>
      <c r="M614" s="21" t="str">
        <f>'Raw Data'!M614</f>
        <v>Married</v>
      </c>
      <c r="N614" s="21">
        <f>'Raw Data'!N614</f>
        <v>13</v>
      </c>
      <c r="O614" s="21">
        <f>'Raw Data'!O614</f>
        <v>1</v>
      </c>
      <c r="P614" s="21">
        <f>IF('Raw Data'!P614="",ROUND(AVERAGE('Raw Data'!$P$2:$P$1501),1),'Raw Data'!P614)</f>
        <v>18.899999999999999</v>
      </c>
      <c r="Q614" s="21">
        <f>IF('Raw Data'!Q614="",ROUND(AVERAGE('Raw Data'!$Q$2:$Q$1501),0),'Raw Data'!Q614)</f>
        <v>2</v>
      </c>
      <c r="R614" s="21">
        <f>'Raw Data'!R614</f>
        <v>2</v>
      </c>
      <c r="S614" s="21">
        <f>IF('Raw Data'!S614="",ROUND(AVERAGE('Raw Data'!$S$2:$S$1501),0),'Raw Data'!S614)</f>
        <v>4</v>
      </c>
      <c r="T614" s="21">
        <f>'Raw Data'!T614</f>
        <v>218.88</v>
      </c>
      <c r="U614" s="21" t="str">
        <f>INDEX('Lookup Tables'!$C$7:$C$9,MATCH(E614,'Lookup Tables'!$B$7:$B$9,0))</f>
        <v>Tier 1 (Metro)</v>
      </c>
      <c r="V614" s="21" t="str">
        <f t="shared" si="27"/>
        <v>0-6 months</v>
      </c>
      <c r="W614" s="21" t="str">
        <f t="shared" si="28"/>
        <v>High Risk</v>
      </c>
      <c r="X614" s="21" t="str">
        <f t="shared" si="29"/>
        <v>No</v>
      </c>
    </row>
    <row r="615" spans="1:24" x14ac:dyDescent="0.3">
      <c r="A615" s="21">
        <f>'Raw Data'!A615</f>
        <v>50614</v>
      </c>
      <c r="B615" s="21">
        <f>'Raw Data'!B615</f>
        <v>0</v>
      </c>
      <c r="C615" s="21">
        <f>'Raw Data'!C615</f>
        <v>1</v>
      </c>
      <c r="D615" s="21" t="str">
        <f>'Raw Data'!D615</f>
        <v>Mobile Phone</v>
      </c>
      <c r="E615" s="21">
        <f>'Raw Data'!E615</f>
        <v>1</v>
      </c>
      <c r="F615" s="21">
        <f>IF('Raw Data'!F615="",ROUND(AVERAGE('Raw Data'!$F$2:$F$1501),1),'Raw Data'!F615)</f>
        <v>11</v>
      </c>
      <c r="G615" s="21" t="str">
        <f>'Raw Data'!G615</f>
        <v>UPI</v>
      </c>
      <c r="H615" s="21" t="str">
        <f>'Raw Data'!H615</f>
        <v>Female</v>
      </c>
      <c r="I615" s="21">
        <f>IF('Raw Data'!I615="",ROUND(AVERAGE('Raw Data'!$I$2:$I$1501),1),'Raw Data'!I615)</f>
        <v>4.0999999999999996</v>
      </c>
      <c r="J615" s="21">
        <f>'Raw Data'!J615</f>
        <v>3</v>
      </c>
      <c r="K615" s="21" t="str">
        <f>'Raw Data'!K615</f>
        <v>Fashion</v>
      </c>
      <c r="L615" s="21">
        <f>'Raw Data'!L615</f>
        <v>2</v>
      </c>
      <c r="M615" s="21" t="str">
        <f>'Raw Data'!M615</f>
        <v>Married</v>
      </c>
      <c r="N615" s="21">
        <f>'Raw Data'!N615</f>
        <v>3</v>
      </c>
      <c r="O615" s="21">
        <f>'Raw Data'!O615</f>
        <v>0</v>
      </c>
      <c r="P615" s="21">
        <f>IF('Raw Data'!P615="",ROUND(AVERAGE('Raw Data'!$P$2:$P$1501),1),'Raw Data'!P615)</f>
        <v>19.5</v>
      </c>
      <c r="Q615" s="21">
        <f>IF('Raw Data'!Q615="",ROUND(AVERAGE('Raw Data'!$Q$2:$Q$1501),0),'Raw Data'!Q615)</f>
        <v>1</v>
      </c>
      <c r="R615" s="21">
        <f>'Raw Data'!R615</f>
        <v>4</v>
      </c>
      <c r="S615" s="21">
        <f>IF('Raw Data'!S615="",ROUND(AVERAGE('Raw Data'!$S$2:$S$1501),0),'Raw Data'!S615)</f>
        <v>12</v>
      </c>
      <c r="T615" s="21">
        <f>'Raw Data'!T615</f>
        <v>189.11</v>
      </c>
      <c r="U615" s="21" t="str">
        <f>INDEX('Lookup Tables'!$C$7:$C$9,MATCH(E615,'Lookup Tables'!$B$7:$B$9,0))</f>
        <v>Tier 1 (Metro)</v>
      </c>
      <c r="V615" s="21" t="str">
        <f t="shared" si="27"/>
        <v>0-6 months</v>
      </c>
      <c r="W615" s="21" t="str">
        <f t="shared" si="28"/>
        <v>Low Risk</v>
      </c>
      <c r="X615" s="21" t="str">
        <f t="shared" si="29"/>
        <v>No</v>
      </c>
    </row>
    <row r="616" spans="1:24" x14ac:dyDescent="0.3">
      <c r="A616" s="21">
        <f>'Raw Data'!A616</f>
        <v>50615</v>
      </c>
      <c r="B616" s="21">
        <f>'Raw Data'!B616</f>
        <v>0</v>
      </c>
      <c r="C616" s="21">
        <f>'Raw Data'!C616</f>
        <v>3</v>
      </c>
      <c r="D616" s="21" t="str">
        <f>'Raw Data'!D616</f>
        <v>Mobile Phone</v>
      </c>
      <c r="E616" s="21">
        <f>'Raw Data'!E616</f>
        <v>3</v>
      </c>
      <c r="F616" s="21">
        <f>IF('Raw Data'!F616="",ROUND(AVERAGE('Raw Data'!$F$2:$F$1501),1),'Raw Data'!F616)</f>
        <v>15</v>
      </c>
      <c r="G616" s="21" t="str">
        <f>'Raw Data'!G616</f>
        <v>Debit Card</v>
      </c>
      <c r="H616" s="21" t="str">
        <f>'Raw Data'!H616</f>
        <v>Male</v>
      </c>
      <c r="I616" s="21">
        <f>IF('Raw Data'!I616="",ROUND(AVERAGE('Raw Data'!$I$2:$I$1501),1),'Raw Data'!I616)</f>
        <v>2.9</v>
      </c>
      <c r="J616" s="21">
        <f>'Raw Data'!J616</f>
        <v>4</v>
      </c>
      <c r="K616" s="21" t="str">
        <f>'Raw Data'!K616</f>
        <v>Mobile Phone</v>
      </c>
      <c r="L616" s="21">
        <f>'Raw Data'!L616</f>
        <v>3</v>
      </c>
      <c r="M616" s="21" t="str">
        <f>'Raw Data'!M616</f>
        <v>Single</v>
      </c>
      <c r="N616" s="21">
        <f>'Raw Data'!N616</f>
        <v>2</v>
      </c>
      <c r="O616" s="21">
        <f>'Raw Data'!O616</f>
        <v>0</v>
      </c>
      <c r="P616" s="21">
        <f>IF('Raw Data'!P616="",ROUND(AVERAGE('Raw Data'!$P$2:$P$1501),1),'Raw Data'!P616)</f>
        <v>17.600000000000001</v>
      </c>
      <c r="Q616" s="21">
        <f>IF('Raw Data'!Q616="",ROUND(AVERAGE('Raw Data'!$Q$2:$Q$1501),0),'Raw Data'!Q616)</f>
        <v>3</v>
      </c>
      <c r="R616" s="21">
        <f>'Raw Data'!R616</f>
        <v>4</v>
      </c>
      <c r="S616" s="21">
        <f>IF('Raw Data'!S616="",ROUND(AVERAGE('Raw Data'!$S$2:$S$1501),0),'Raw Data'!S616)</f>
        <v>1</v>
      </c>
      <c r="T616" s="21">
        <f>'Raw Data'!T616</f>
        <v>146.44999999999999</v>
      </c>
      <c r="U616" s="21" t="str">
        <f>INDEX('Lookup Tables'!$C$7:$C$9,MATCH(E616,'Lookup Tables'!$B$7:$B$9,0))</f>
        <v>Tier 3 (Semi-urban/Rural)</v>
      </c>
      <c r="V616" s="21" t="str">
        <f t="shared" si="27"/>
        <v>0-6 months</v>
      </c>
      <c r="W616" s="21" t="str">
        <f t="shared" si="28"/>
        <v>Medium Risk</v>
      </c>
      <c r="X616" s="21" t="str">
        <f t="shared" si="29"/>
        <v>No</v>
      </c>
    </row>
    <row r="617" spans="1:24" x14ac:dyDescent="0.3">
      <c r="A617" s="21">
        <f>'Raw Data'!A617</f>
        <v>50616</v>
      </c>
      <c r="B617" s="21">
        <f>'Raw Data'!B617</f>
        <v>0</v>
      </c>
      <c r="C617" s="21">
        <f>'Raw Data'!C617</f>
        <v>0</v>
      </c>
      <c r="D617" s="21" t="str">
        <f>'Raw Data'!D617</f>
        <v>Phone</v>
      </c>
      <c r="E617" s="21">
        <f>'Raw Data'!E617</f>
        <v>3</v>
      </c>
      <c r="F617" s="21">
        <f>IF('Raw Data'!F617="",ROUND(AVERAGE('Raw Data'!$F$2:$F$1501),1),'Raw Data'!F617)</f>
        <v>15</v>
      </c>
      <c r="G617" s="21" t="str">
        <f>'Raw Data'!G617</f>
        <v>Debit Card</v>
      </c>
      <c r="H617" s="21" t="str">
        <f>'Raw Data'!H617</f>
        <v>Male</v>
      </c>
      <c r="I617" s="21">
        <f>IF('Raw Data'!I617="",ROUND(AVERAGE('Raw Data'!$I$2:$I$1501),1),'Raw Data'!I617)</f>
        <v>3</v>
      </c>
      <c r="J617" s="21">
        <f>'Raw Data'!J617</f>
        <v>4</v>
      </c>
      <c r="K617" s="21" t="str">
        <f>'Raw Data'!K617</f>
        <v>Grocery</v>
      </c>
      <c r="L617" s="21">
        <f>'Raw Data'!L617</f>
        <v>2</v>
      </c>
      <c r="M617" s="21" t="str">
        <f>'Raw Data'!M617</f>
        <v>Single</v>
      </c>
      <c r="N617" s="21">
        <f>'Raw Data'!N617</f>
        <v>1</v>
      </c>
      <c r="O617" s="21">
        <f>'Raw Data'!O617</f>
        <v>0</v>
      </c>
      <c r="P617" s="21">
        <f>IF('Raw Data'!P617="",ROUND(AVERAGE('Raw Data'!$P$2:$P$1501),1),'Raw Data'!P617)</f>
        <v>14.6</v>
      </c>
      <c r="Q617" s="21">
        <f>IF('Raw Data'!Q617="",ROUND(AVERAGE('Raw Data'!$Q$2:$Q$1501),0),'Raw Data'!Q617)</f>
        <v>1</v>
      </c>
      <c r="R617" s="21">
        <f>'Raw Data'!R617</f>
        <v>6</v>
      </c>
      <c r="S617" s="21">
        <f>IF('Raw Data'!S617="",ROUND(AVERAGE('Raw Data'!$S$2:$S$1501),0),'Raw Data'!S617)</f>
        <v>0</v>
      </c>
      <c r="T617" s="21">
        <f>'Raw Data'!T617</f>
        <v>99.09</v>
      </c>
      <c r="U617" s="21" t="str">
        <f>INDEX('Lookup Tables'!$C$7:$C$9,MATCH(E617,'Lookup Tables'!$B$7:$B$9,0))</f>
        <v>Tier 3 (Semi-urban/Rural)</v>
      </c>
      <c r="V617" s="21" t="str">
        <f t="shared" si="27"/>
        <v>0-6 months</v>
      </c>
      <c r="W617" s="21" t="str">
        <f t="shared" si="28"/>
        <v>Low Risk</v>
      </c>
      <c r="X617" s="21" t="str">
        <f t="shared" si="29"/>
        <v>No</v>
      </c>
    </row>
    <row r="618" spans="1:24" x14ac:dyDescent="0.3">
      <c r="A618" s="21">
        <f>'Raw Data'!A618</f>
        <v>50617</v>
      </c>
      <c r="B618" s="21">
        <f>'Raw Data'!B618</f>
        <v>0</v>
      </c>
      <c r="C618" s="21">
        <f>'Raw Data'!C618</f>
        <v>7</v>
      </c>
      <c r="D618" s="21" t="str">
        <f>'Raw Data'!D618</f>
        <v>Mobile Phone</v>
      </c>
      <c r="E618" s="21">
        <f>'Raw Data'!E618</f>
        <v>1</v>
      </c>
      <c r="F618" s="21">
        <f>IF('Raw Data'!F618="",ROUND(AVERAGE('Raw Data'!$F$2:$F$1501),1),'Raw Data'!F618)</f>
        <v>13</v>
      </c>
      <c r="G618" s="21" t="str">
        <f>'Raw Data'!G618</f>
        <v>Debit Card</v>
      </c>
      <c r="H618" s="21" t="str">
        <f>'Raw Data'!H618</f>
        <v>Male</v>
      </c>
      <c r="I618" s="21">
        <f>IF('Raw Data'!I618="",ROUND(AVERAGE('Raw Data'!$I$2:$I$1501),1),'Raw Data'!I618)</f>
        <v>4.5</v>
      </c>
      <c r="J618" s="21">
        <f>'Raw Data'!J618</f>
        <v>2</v>
      </c>
      <c r="K618" s="21" t="str">
        <f>'Raw Data'!K618</f>
        <v>Fashion</v>
      </c>
      <c r="L618" s="21">
        <f>'Raw Data'!L618</f>
        <v>3</v>
      </c>
      <c r="M618" s="21" t="str">
        <f>'Raw Data'!M618</f>
        <v>Married</v>
      </c>
      <c r="N618" s="21">
        <f>'Raw Data'!N618</f>
        <v>2</v>
      </c>
      <c r="O618" s="21">
        <f>'Raw Data'!O618</f>
        <v>1</v>
      </c>
      <c r="P618" s="21">
        <f>IF('Raw Data'!P618="",ROUND(AVERAGE('Raw Data'!$P$2:$P$1501),1),'Raw Data'!P618)</f>
        <v>19.100000000000001</v>
      </c>
      <c r="Q618" s="21">
        <f>IF('Raw Data'!Q618="",ROUND(AVERAGE('Raw Data'!$Q$2:$Q$1501),0),'Raw Data'!Q618)</f>
        <v>1</v>
      </c>
      <c r="R618" s="21">
        <f>'Raw Data'!R618</f>
        <v>7</v>
      </c>
      <c r="S618" s="21">
        <f>IF('Raw Data'!S618="",ROUND(AVERAGE('Raw Data'!$S$2:$S$1501),0),'Raw Data'!S618)</f>
        <v>1</v>
      </c>
      <c r="T618" s="21">
        <f>'Raw Data'!T618</f>
        <v>67.989999999999995</v>
      </c>
      <c r="U618" s="21" t="str">
        <f>INDEX('Lookup Tables'!$C$7:$C$9,MATCH(E618,'Lookup Tables'!$B$7:$B$9,0))</f>
        <v>Tier 1 (Metro)</v>
      </c>
      <c r="V618" s="21" t="str">
        <f t="shared" si="27"/>
        <v>7-12 months</v>
      </c>
      <c r="W618" s="21" t="str">
        <f t="shared" si="28"/>
        <v>Medium Risk</v>
      </c>
      <c r="X618" s="21" t="str">
        <f t="shared" si="29"/>
        <v>No</v>
      </c>
    </row>
    <row r="619" spans="1:24" x14ac:dyDescent="0.3">
      <c r="A619" s="21">
        <f>'Raw Data'!A619</f>
        <v>50618</v>
      </c>
      <c r="B619" s="21">
        <f>'Raw Data'!B619</f>
        <v>0</v>
      </c>
      <c r="C619" s="21">
        <f>'Raw Data'!C619</f>
        <v>27</v>
      </c>
      <c r="D619" s="21" t="str">
        <f>'Raw Data'!D619</f>
        <v>Mobile Phone</v>
      </c>
      <c r="E619" s="21">
        <f>'Raw Data'!E619</f>
        <v>2</v>
      </c>
      <c r="F619" s="21">
        <f>IF('Raw Data'!F619="",ROUND(AVERAGE('Raw Data'!$F$2:$F$1501),1),'Raw Data'!F619)</f>
        <v>18</v>
      </c>
      <c r="G619" s="21" t="str">
        <f>'Raw Data'!G619</f>
        <v>Debit Card</v>
      </c>
      <c r="H619" s="21" t="str">
        <f>'Raw Data'!H619</f>
        <v>Male</v>
      </c>
      <c r="I619" s="21">
        <f>IF('Raw Data'!I619="",ROUND(AVERAGE('Raw Data'!$I$2:$I$1501),1),'Raw Data'!I619)</f>
        <v>1.9</v>
      </c>
      <c r="J619" s="21">
        <f>'Raw Data'!J619</f>
        <v>3</v>
      </c>
      <c r="K619" s="21" t="str">
        <f>'Raw Data'!K619</f>
        <v>Fashion</v>
      </c>
      <c r="L619" s="21">
        <f>'Raw Data'!L619</f>
        <v>5</v>
      </c>
      <c r="M619" s="21" t="str">
        <f>'Raw Data'!M619</f>
        <v>Single</v>
      </c>
      <c r="N619" s="21">
        <f>'Raw Data'!N619</f>
        <v>1</v>
      </c>
      <c r="O619" s="21">
        <f>'Raw Data'!O619</f>
        <v>0</v>
      </c>
      <c r="P619" s="21">
        <f>IF('Raw Data'!P619="",ROUND(AVERAGE('Raw Data'!$P$2:$P$1501),1),'Raw Data'!P619)</f>
        <v>13.7</v>
      </c>
      <c r="Q619" s="21">
        <f>IF('Raw Data'!Q619="",ROUND(AVERAGE('Raw Data'!$Q$2:$Q$1501),0),'Raw Data'!Q619)</f>
        <v>0</v>
      </c>
      <c r="R619" s="21">
        <f>'Raw Data'!R619</f>
        <v>2</v>
      </c>
      <c r="S619" s="21">
        <f>IF('Raw Data'!S619="",ROUND(AVERAGE('Raw Data'!$S$2:$S$1501),0),'Raw Data'!S619)</f>
        <v>4</v>
      </c>
      <c r="T619" s="21">
        <f>'Raw Data'!T619</f>
        <v>182.85</v>
      </c>
      <c r="U619" s="21" t="str">
        <f>INDEX('Lookup Tables'!$C$7:$C$9,MATCH(E619,'Lookup Tables'!$B$7:$B$9,0))</f>
        <v>Tier 2 (Urban)</v>
      </c>
      <c r="V619" s="21" t="str">
        <f t="shared" si="27"/>
        <v>25+ months</v>
      </c>
      <c r="W619" s="21" t="str">
        <f t="shared" si="28"/>
        <v>Low Risk</v>
      </c>
      <c r="X619" s="21" t="str">
        <f t="shared" si="29"/>
        <v>No</v>
      </c>
    </row>
    <row r="620" spans="1:24" x14ac:dyDescent="0.3">
      <c r="A620" s="21">
        <f>'Raw Data'!A620</f>
        <v>50619</v>
      </c>
      <c r="B620" s="21">
        <f>'Raw Data'!B620</f>
        <v>0</v>
      </c>
      <c r="C620" s="21">
        <f>'Raw Data'!C620</f>
        <v>0</v>
      </c>
      <c r="D620" s="21" t="str">
        <f>'Raw Data'!D620</f>
        <v>Computer</v>
      </c>
      <c r="E620" s="21">
        <f>'Raw Data'!E620</f>
        <v>3</v>
      </c>
      <c r="F620" s="21">
        <f>IF('Raw Data'!F620="",ROUND(AVERAGE('Raw Data'!$F$2:$F$1501),1),'Raw Data'!F620)</f>
        <v>20</v>
      </c>
      <c r="G620" s="21" t="str">
        <f>'Raw Data'!G620</f>
        <v>Debit Card</v>
      </c>
      <c r="H620" s="21" t="str">
        <f>'Raw Data'!H620</f>
        <v>Female</v>
      </c>
      <c r="I620" s="21">
        <f>IF('Raw Data'!I620="",ROUND(AVERAGE('Raw Data'!$I$2:$I$1501),1),'Raw Data'!I620)</f>
        <v>3.5</v>
      </c>
      <c r="J620" s="21">
        <f>'Raw Data'!J620</f>
        <v>3</v>
      </c>
      <c r="K620" s="21" t="str">
        <f>'Raw Data'!K620</f>
        <v>Mobile Phone</v>
      </c>
      <c r="L620" s="21">
        <f>'Raw Data'!L620</f>
        <v>4</v>
      </c>
      <c r="M620" s="21" t="str">
        <f>'Raw Data'!M620</f>
        <v>Married</v>
      </c>
      <c r="N620" s="21">
        <f>'Raw Data'!N620</f>
        <v>1</v>
      </c>
      <c r="O620" s="21">
        <f>'Raw Data'!O620</f>
        <v>0</v>
      </c>
      <c r="P620" s="21">
        <f>IF('Raw Data'!P620="",ROUND(AVERAGE('Raw Data'!$P$2:$P$1501),1),'Raw Data'!P620)</f>
        <v>22.1</v>
      </c>
      <c r="Q620" s="21">
        <f>IF('Raw Data'!Q620="",ROUND(AVERAGE('Raw Data'!$Q$2:$Q$1501),0),'Raw Data'!Q620)</f>
        <v>4</v>
      </c>
      <c r="R620" s="21">
        <f>'Raw Data'!R620</f>
        <v>3</v>
      </c>
      <c r="S620" s="21">
        <f>IF('Raw Data'!S620="",ROUND(AVERAGE('Raw Data'!$S$2:$S$1501),0),'Raw Data'!S620)</f>
        <v>9</v>
      </c>
      <c r="T620" s="21">
        <f>'Raw Data'!T620</f>
        <v>270.68</v>
      </c>
      <c r="U620" s="21" t="str">
        <f>INDEX('Lookup Tables'!$C$7:$C$9,MATCH(E620,'Lookup Tables'!$B$7:$B$9,0))</f>
        <v>Tier 3 (Semi-urban/Rural)</v>
      </c>
      <c r="V620" s="21" t="str">
        <f t="shared" si="27"/>
        <v>0-6 months</v>
      </c>
      <c r="W620" s="21" t="str">
        <f t="shared" si="28"/>
        <v>Low Risk</v>
      </c>
      <c r="X620" s="21" t="str">
        <f t="shared" si="29"/>
        <v>No</v>
      </c>
    </row>
    <row r="621" spans="1:24" x14ac:dyDescent="0.3">
      <c r="A621" s="21">
        <f>'Raw Data'!A621</f>
        <v>50620</v>
      </c>
      <c r="B621" s="21">
        <f>'Raw Data'!B621</f>
        <v>0</v>
      </c>
      <c r="C621" s="21">
        <f>'Raw Data'!C621</f>
        <v>1</v>
      </c>
      <c r="D621" s="21" t="str">
        <f>'Raw Data'!D621</f>
        <v>Mobile Phone</v>
      </c>
      <c r="E621" s="21">
        <f>'Raw Data'!E621</f>
        <v>3</v>
      </c>
      <c r="F621" s="21">
        <f>IF('Raw Data'!F621="",ROUND(AVERAGE('Raw Data'!$F$2:$F$1501),1),'Raw Data'!F621)</f>
        <v>20</v>
      </c>
      <c r="G621" s="21" t="str">
        <f>'Raw Data'!G621</f>
        <v>Credit Card</v>
      </c>
      <c r="H621" s="21" t="str">
        <f>'Raw Data'!H621</f>
        <v>Male</v>
      </c>
      <c r="I621" s="21">
        <f>IF('Raw Data'!I621="",ROUND(AVERAGE('Raw Data'!$I$2:$I$1501),1),'Raw Data'!I621)</f>
        <v>4.0999999999999996</v>
      </c>
      <c r="J621" s="21">
        <f>'Raw Data'!J621</f>
        <v>3</v>
      </c>
      <c r="K621" s="21" t="str">
        <f>'Raw Data'!K621</f>
        <v>Grocery</v>
      </c>
      <c r="L621" s="21">
        <f>'Raw Data'!L621</f>
        <v>5</v>
      </c>
      <c r="M621" s="21" t="str">
        <f>'Raw Data'!M621</f>
        <v>Single</v>
      </c>
      <c r="N621" s="21">
        <f>'Raw Data'!N621</f>
        <v>2</v>
      </c>
      <c r="O621" s="21">
        <f>'Raw Data'!O621</f>
        <v>0</v>
      </c>
      <c r="P621" s="21">
        <f>IF('Raw Data'!P621="",ROUND(AVERAGE('Raw Data'!$P$2:$P$1501),1),'Raw Data'!P621)</f>
        <v>15.7</v>
      </c>
      <c r="Q621" s="21">
        <f>IF('Raw Data'!Q621="",ROUND(AVERAGE('Raw Data'!$Q$2:$Q$1501),0),'Raw Data'!Q621)</f>
        <v>4</v>
      </c>
      <c r="R621" s="21">
        <f>'Raw Data'!R621</f>
        <v>6</v>
      </c>
      <c r="S621" s="21">
        <f>IF('Raw Data'!S621="",ROUND(AVERAGE('Raw Data'!$S$2:$S$1501),0),'Raw Data'!S621)</f>
        <v>2</v>
      </c>
      <c r="T621" s="21">
        <f>'Raw Data'!T621</f>
        <v>172.38</v>
      </c>
      <c r="U621" s="21" t="str">
        <f>INDEX('Lookup Tables'!$C$7:$C$9,MATCH(E621,'Lookup Tables'!$B$7:$B$9,0))</f>
        <v>Tier 3 (Semi-urban/Rural)</v>
      </c>
      <c r="V621" s="21" t="str">
        <f t="shared" si="27"/>
        <v>0-6 months</v>
      </c>
      <c r="W621" s="21" t="str">
        <f t="shared" si="28"/>
        <v>Low Risk</v>
      </c>
      <c r="X621" s="21" t="str">
        <f t="shared" si="29"/>
        <v>No</v>
      </c>
    </row>
    <row r="622" spans="1:24" x14ac:dyDescent="0.3">
      <c r="A622" s="21">
        <f>'Raw Data'!A622</f>
        <v>50621</v>
      </c>
      <c r="B622" s="21">
        <f>'Raw Data'!B622</f>
        <v>0</v>
      </c>
      <c r="C622" s="21">
        <f>'Raw Data'!C622</f>
        <v>6</v>
      </c>
      <c r="D622" s="21" t="str">
        <f>'Raw Data'!D622</f>
        <v>Mobile Phone</v>
      </c>
      <c r="E622" s="21">
        <f>'Raw Data'!E622</f>
        <v>1</v>
      </c>
      <c r="F622" s="21">
        <f>IF('Raw Data'!F622="",ROUND(AVERAGE('Raw Data'!$F$2:$F$1501),1),'Raw Data'!F622)</f>
        <v>7</v>
      </c>
      <c r="G622" s="21" t="str">
        <f>'Raw Data'!G622</f>
        <v>Debit Card</v>
      </c>
      <c r="H622" s="21" t="str">
        <f>'Raw Data'!H622</f>
        <v>Male</v>
      </c>
      <c r="I622" s="21">
        <f>IF('Raw Data'!I622="",ROUND(AVERAGE('Raw Data'!$I$2:$I$1501),1),'Raw Data'!I622)</f>
        <v>2.7</v>
      </c>
      <c r="J622" s="21">
        <f>'Raw Data'!J622</f>
        <v>1</v>
      </c>
      <c r="K622" s="21" t="str">
        <f>'Raw Data'!K622</f>
        <v>Laptop &amp; Accessory</v>
      </c>
      <c r="L622" s="21">
        <f>'Raw Data'!L622</f>
        <v>5</v>
      </c>
      <c r="M622" s="21" t="str">
        <f>'Raw Data'!M622</f>
        <v>Married</v>
      </c>
      <c r="N622" s="21">
        <f>'Raw Data'!N622</f>
        <v>1</v>
      </c>
      <c r="O622" s="21">
        <f>'Raw Data'!O622</f>
        <v>0</v>
      </c>
      <c r="P622" s="21">
        <f>IF('Raw Data'!P622="",ROUND(AVERAGE('Raw Data'!$P$2:$P$1501),1),'Raw Data'!P622)</f>
        <v>11</v>
      </c>
      <c r="Q622" s="21">
        <f>IF('Raw Data'!Q622="",ROUND(AVERAGE('Raw Data'!$Q$2:$Q$1501),0),'Raw Data'!Q622)</f>
        <v>2</v>
      </c>
      <c r="R622" s="21">
        <f>'Raw Data'!R622</f>
        <v>4</v>
      </c>
      <c r="S622" s="21">
        <f>IF('Raw Data'!S622="",ROUND(AVERAGE('Raw Data'!$S$2:$S$1501),0),'Raw Data'!S622)</f>
        <v>12</v>
      </c>
      <c r="T622" s="21">
        <f>'Raw Data'!T622</f>
        <v>160.13</v>
      </c>
      <c r="U622" s="21" t="str">
        <f>INDEX('Lookup Tables'!$C$7:$C$9,MATCH(E622,'Lookup Tables'!$B$7:$B$9,0))</f>
        <v>Tier 1 (Metro)</v>
      </c>
      <c r="V622" s="21" t="str">
        <f t="shared" si="27"/>
        <v>0-6 months</v>
      </c>
      <c r="W622" s="21" t="str">
        <f t="shared" si="28"/>
        <v>Low Risk</v>
      </c>
      <c r="X622" s="21" t="str">
        <f t="shared" si="29"/>
        <v>No</v>
      </c>
    </row>
    <row r="623" spans="1:24" x14ac:dyDescent="0.3">
      <c r="A623" s="21">
        <f>'Raw Data'!A623</f>
        <v>50622</v>
      </c>
      <c r="B623" s="21">
        <f>'Raw Data'!B623</f>
        <v>0</v>
      </c>
      <c r="C623" s="21">
        <f>'Raw Data'!C623</f>
        <v>27</v>
      </c>
      <c r="D623" s="21" t="str">
        <f>'Raw Data'!D623</f>
        <v>Phone</v>
      </c>
      <c r="E623" s="21">
        <f>'Raw Data'!E623</f>
        <v>1</v>
      </c>
      <c r="F623" s="21">
        <f>IF('Raw Data'!F623="",ROUND(AVERAGE('Raw Data'!$F$2:$F$1501),1),'Raw Data'!F623)</f>
        <v>12</v>
      </c>
      <c r="G623" s="21" t="str">
        <f>'Raw Data'!G623</f>
        <v>Credit Card</v>
      </c>
      <c r="H623" s="21" t="str">
        <f>'Raw Data'!H623</f>
        <v>Male</v>
      </c>
      <c r="I623" s="21">
        <f>IF('Raw Data'!I623="",ROUND(AVERAGE('Raw Data'!$I$2:$I$1501),1),'Raw Data'!I623)</f>
        <v>3.5</v>
      </c>
      <c r="J623" s="21">
        <f>'Raw Data'!J623</f>
        <v>4</v>
      </c>
      <c r="K623" s="21" t="str">
        <f>'Raw Data'!K623</f>
        <v>Mobile Phone</v>
      </c>
      <c r="L623" s="21">
        <f>'Raw Data'!L623</f>
        <v>3</v>
      </c>
      <c r="M623" s="21" t="str">
        <f>'Raw Data'!M623</f>
        <v>Married</v>
      </c>
      <c r="N623" s="21">
        <f>'Raw Data'!N623</f>
        <v>1</v>
      </c>
      <c r="O623" s="21">
        <f>'Raw Data'!O623</f>
        <v>1</v>
      </c>
      <c r="P623" s="21">
        <f>IF('Raw Data'!P623="",ROUND(AVERAGE('Raw Data'!$P$2:$P$1501),1),'Raw Data'!P623)</f>
        <v>11.8</v>
      </c>
      <c r="Q623" s="21">
        <f>IF('Raw Data'!Q623="",ROUND(AVERAGE('Raw Data'!$Q$2:$Q$1501),0),'Raw Data'!Q623)</f>
        <v>0</v>
      </c>
      <c r="R623" s="21">
        <f>'Raw Data'!R623</f>
        <v>4</v>
      </c>
      <c r="S623" s="21">
        <f>IF('Raw Data'!S623="",ROUND(AVERAGE('Raw Data'!$S$2:$S$1501),0),'Raw Data'!S623)</f>
        <v>1</v>
      </c>
      <c r="T623" s="21">
        <f>'Raw Data'!T623</f>
        <v>178.66</v>
      </c>
      <c r="U623" s="21" t="str">
        <f>INDEX('Lookup Tables'!$C$7:$C$9,MATCH(E623,'Lookup Tables'!$B$7:$B$9,0))</f>
        <v>Tier 1 (Metro)</v>
      </c>
      <c r="V623" s="21" t="str">
        <f t="shared" si="27"/>
        <v>25+ months</v>
      </c>
      <c r="W623" s="21" t="str">
        <f t="shared" si="28"/>
        <v>Medium Risk</v>
      </c>
      <c r="X623" s="21" t="str">
        <f t="shared" si="29"/>
        <v>No</v>
      </c>
    </row>
    <row r="624" spans="1:24" x14ac:dyDescent="0.3">
      <c r="A624" s="21">
        <f>'Raw Data'!A624</f>
        <v>50623</v>
      </c>
      <c r="B624" s="21">
        <f>'Raw Data'!B624</f>
        <v>0</v>
      </c>
      <c r="C624" s="21">
        <f>'Raw Data'!C624</f>
        <v>3</v>
      </c>
      <c r="D624" s="21" t="str">
        <f>'Raw Data'!D624</f>
        <v>Computer</v>
      </c>
      <c r="E624" s="21">
        <f>'Raw Data'!E624</f>
        <v>1</v>
      </c>
      <c r="F624" s="21">
        <f>IF('Raw Data'!F624="",ROUND(AVERAGE('Raw Data'!$F$2:$F$1501),1),'Raw Data'!F624)</f>
        <v>24</v>
      </c>
      <c r="G624" s="21" t="str">
        <f>'Raw Data'!G624</f>
        <v>Debit Card</v>
      </c>
      <c r="H624" s="21" t="str">
        <f>'Raw Data'!H624</f>
        <v>Female</v>
      </c>
      <c r="I624" s="21">
        <f>IF('Raw Data'!I624="",ROUND(AVERAGE('Raw Data'!$I$2:$I$1501),1),'Raw Data'!I624)</f>
        <v>2.2000000000000002</v>
      </c>
      <c r="J624" s="21">
        <f>'Raw Data'!J624</f>
        <v>5</v>
      </c>
      <c r="K624" s="21" t="str">
        <f>'Raw Data'!K624</f>
        <v>Fashion</v>
      </c>
      <c r="L624" s="21">
        <f>'Raw Data'!L624</f>
        <v>3</v>
      </c>
      <c r="M624" s="21" t="str">
        <f>'Raw Data'!M624</f>
        <v>Divorced</v>
      </c>
      <c r="N624" s="21">
        <f>'Raw Data'!N624</f>
        <v>2</v>
      </c>
      <c r="O624" s="21">
        <f>'Raw Data'!O624</f>
        <v>0</v>
      </c>
      <c r="P624" s="21">
        <f>IF('Raw Data'!P624="",ROUND(AVERAGE('Raw Data'!$P$2:$P$1501),1),'Raw Data'!P624)</f>
        <v>16.2</v>
      </c>
      <c r="Q624" s="21">
        <f>IF('Raw Data'!Q624="",ROUND(AVERAGE('Raw Data'!$Q$2:$Q$1501),0),'Raw Data'!Q624)</f>
        <v>3</v>
      </c>
      <c r="R624" s="21">
        <f>'Raw Data'!R624</f>
        <v>4</v>
      </c>
      <c r="S624" s="21">
        <f>IF('Raw Data'!S624="",ROUND(AVERAGE('Raw Data'!$S$2:$S$1501),0),'Raw Data'!S624)</f>
        <v>5</v>
      </c>
      <c r="T624" s="21">
        <f>'Raw Data'!T624</f>
        <v>299.86</v>
      </c>
      <c r="U624" s="21" t="str">
        <f>INDEX('Lookup Tables'!$C$7:$C$9,MATCH(E624,'Lookup Tables'!$B$7:$B$9,0))</f>
        <v>Tier 1 (Metro)</v>
      </c>
      <c r="V624" s="21" t="str">
        <f t="shared" si="27"/>
        <v>0-6 months</v>
      </c>
      <c r="W624" s="21" t="str">
        <f t="shared" si="28"/>
        <v>Medium Risk</v>
      </c>
      <c r="X624" s="21" t="str">
        <f t="shared" si="29"/>
        <v>No</v>
      </c>
    </row>
    <row r="625" spans="1:24" x14ac:dyDescent="0.3">
      <c r="A625" s="21">
        <f>'Raw Data'!A625</f>
        <v>50624</v>
      </c>
      <c r="B625" s="21">
        <f>'Raw Data'!B625</f>
        <v>0</v>
      </c>
      <c r="C625" s="21">
        <f>'Raw Data'!C625</f>
        <v>7</v>
      </c>
      <c r="D625" s="21" t="str">
        <f>'Raw Data'!D625</f>
        <v>Computer</v>
      </c>
      <c r="E625" s="21">
        <f>'Raw Data'!E625</f>
        <v>3</v>
      </c>
      <c r="F625" s="21">
        <f>IF('Raw Data'!F625="",ROUND(AVERAGE('Raw Data'!$F$2:$F$1501),1),'Raw Data'!F625)</f>
        <v>14.8</v>
      </c>
      <c r="G625" s="21" t="str">
        <f>'Raw Data'!G625</f>
        <v>Cash on Delivery</v>
      </c>
      <c r="H625" s="21" t="str">
        <f>'Raw Data'!H625</f>
        <v>Male</v>
      </c>
      <c r="I625" s="21">
        <f>IF('Raw Data'!I625="",ROUND(AVERAGE('Raw Data'!$I$2:$I$1501),1),'Raw Data'!I625)</f>
        <v>2.4</v>
      </c>
      <c r="J625" s="21">
        <f>'Raw Data'!J625</f>
        <v>3</v>
      </c>
      <c r="K625" s="21" t="str">
        <f>'Raw Data'!K625</f>
        <v>Mobile Phone</v>
      </c>
      <c r="L625" s="21">
        <f>'Raw Data'!L625</f>
        <v>2</v>
      </c>
      <c r="M625" s="21" t="str">
        <f>'Raw Data'!M625</f>
        <v>Single</v>
      </c>
      <c r="N625" s="21">
        <f>'Raw Data'!N625</f>
        <v>6</v>
      </c>
      <c r="O625" s="21">
        <f>'Raw Data'!O625</f>
        <v>0</v>
      </c>
      <c r="P625" s="21">
        <f>IF('Raw Data'!P625="",ROUND(AVERAGE('Raw Data'!$P$2:$P$1501),1),'Raw Data'!P625)</f>
        <v>16.5</v>
      </c>
      <c r="Q625" s="21">
        <f>IF('Raw Data'!Q625="",ROUND(AVERAGE('Raw Data'!$Q$2:$Q$1501),0),'Raw Data'!Q625)</f>
        <v>1</v>
      </c>
      <c r="R625" s="21">
        <f>'Raw Data'!R625</f>
        <v>1</v>
      </c>
      <c r="S625" s="21">
        <f>IF('Raw Data'!S625="",ROUND(AVERAGE('Raw Data'!$S$2:$S$1501),0),'Raw Data'!S625)</f>
        <v>6</v>
      </c>
      <c r="T625" s="21">
        <f>'Raw Data'!T625</f>
        <v>221.35</v>
      </c>
      <c r="U625" s="21" t="str">
        <f>INDEX('Lookup Tables'!$C$7:$C$9,MATCH(E625,'Lookup Tables'!$B$7:$B$9,0))</f>
        <v>Tier 3 (Semi-urban/Rural)</v>
      </c>
      <c r="V625" s="21" t="str">
        <f t="shared" si="27"/>
        <v>7-12 months</v>
      </c>
      <c r="W625" s="21" t="str">
        <f t="shared" si="28"/>
        <v>Low Risk</v>
      </c>
      <c r="X625" s="21" t="str">
        <f t="shared" si="29"/>
        <v>No</v>
      </c>
    </row>
    <row r="626" spans="1:24" x14ac:dyDescent="0.3">
      <c r="A626" s="21">
        <f>'Raw Data'!A626</f>
        <v>50625</v>
      </c>
      <c r="B626" s="21">
        <f>'Raw Data'!B626</f>
        <v>0</v>
      </c>
      <c r="C626" s="21">
        <f>'Raw Data'!C626</f>
        <v>0</v>
      </c>
      <c r="D626" s="21" t="str">
        <f>'Raw Data'!D626</f>
        <v>Computer</v>
      </c>
      <c r="E626" s="21">
        <f>'Raw Data'!E626</f>
        <v>3</v>
      </c>
      <c r="F626" s="21">
        <f>IF('Raw Data'!F626="",ROUND(AVERAGE('Raw Data'!$F$2:$F$1501),1),'Raw Data'!F626)</f>
        <v>5</v>
      </c>
      <c r="G626" s="21" t="str">
        <f>'Raw Data'!G626</f>
        <v>Cash on Delivery</v>
      </c>
      <c r="H626" s="21" t="str">
        <f>'Raw Data'!H626</f>
        <v>Female</v>
      </c>
      <c r="I626" s="21">
        <f>IF('Raw Data'!I626="",ROUND(AVERAGE('Raw Data'!$I$2:$I$1501),1),'Raw Data'!I626)</f>
        <v>3.2</v>
      </c>
      <c r="J626" s="21">
        <f>'Raw Data'!J626</f>
        <v>2</v>
      </c>
      <c r="K626" s="21" t="str">
        <f>'Raw Data'!K626</f>
        <v>Grocery</v>
      </c>
      <c r="L626" s="21">
        <f>'Raw Data'!L626</f>
        <v>5</v>
      </c>
      <c r="M626" s="21" t="str">
        <f>'Raw Data'!M626</f>
        <v>Single</v>
      </c>
      <c r="N626" s="21">
        <f>'Raw Data'!N626</f>
        <v>1</v>
      </c>
      <c r="O626" s="21">
        <f>'Raw Data'!O626</f>
        <v>0</v>
      </c>
      <c r="P626" s="21">
        <f>IF('Raw Data'!P626="",ROUND(AVERAGE('Raw Data'!$P$2:$P$1501),1),'Raw Data'!P626)</f>
        <v>22.9</v>
      </c>
      <c r="Q626" s="21">
        <f>IF('Raw Data'!Q626="",ROUND(AVERAGE('Raw Data'!$Q$2:$Q$1501),0),'Raw Data'!Q626)</f>
        <v>1</v>
      </c>
      <c r="R626" s="21">
        <f>'Raw Data'!R626</f>
        <v>1</v>
      </c>
      <c r="S626" s="21">
        <f>IF('Raw Data'!S626="",ROUND(AVERAGE('Raw Data'!$S$2:$S$1501),0),'Raw Data'!S626)</f>
        <v>1</v>
      </c>
      <c r="T626" s="21">
        <f>'Raw Data'!T626</f>
        <v>128.65</v>
      </c>
      <c r="U626" s="21" t="str">
        <f>INDEX('Lookup Tables'!$C$7:$C$9,MATCH(E626,'Lookup Tables'!$B$7:$B$9,0))</f>
        <v>Tier 3 (Semi-urban/Rural)</v>
      </c>
      <c r="V626" s="21" t="str">
        <f t="shared" si="27"/>
        <v>0-6 months</v>
      </c>
      <c r="W626" s="21" t="str">
        <f t="shared" si="28"/>
        <v>Low Risk</v>
      </c>
      <c r="X626" s="21" t="str">
        <f t="shared" si="29"/>
        <v>No</v>
      </c>
    </row>
    <row r="627" spans="1:24" x14ac:dyDescent="0.3">
      <c r="A627" s="21">
        <f>'Raw Data'!A627</f>
        <v>50626</v>
      </c>
      <c r="B627" s="21">
        <f>'Raw Data'!B627</f>
        <v>0</v>
      </c>
      <c r="C627" s="21">
        <f>'Raw Data'!C627</f>
        <v>1</v>
      </c>
      <c r="D627" s="21" t="str">
        <f>'Raw Data'!D627</f>
        <v>Mobile Phone</v>
      </c>
      <c r="E627" s="21">
        <f>'Raw Data'!E627</f>
        <v>1</v>
      </c>
      <c r="F627" s="21">
        <f>IF('Raw Data'!F627="",ROUND(AVERAGE('Raw Data'!$F$2:$F$1501),1),'Raw Data'!F627)</f>
        <v>17</v>
      </c>
      <c r="G627" s="21" t="str">
        <f>'Raw Data'!G627</f>
        <v>Credit Card</v>
      </c>
      <c r="H627" s="21" t="str">
        <f>'Raw Data'!H627</f>
        <v>Female</v>
      </c>
      <c r="I627" s="21">
        <f>IF('Raw Data'!I627="",ROUND(AVERAGE('Raw Data'!$I$2:$I$1501),1),'Raw Data'!I627)</f>
        <v>3.5</v>
      </c>
      <c r="J627" s="21">
        <f>'Raw Data'!J627</f>
        <v>3</v>
      </c>
      <c r="K627" s="21" t="str">
        <f>'Raw Data'!K627</f>
        <v>Mobile Phone</v>
      </c>
      <c r="L627" s="21">
        <f>'Raw Data'!L627</f>
        <v>4</v>
      </c>
      <c r="M627" s="21" t="str">
        <f>'Raw Data'!M627</f>
        <v>Married</v>
      </c>
      <c r="N627" s="21">
        <f>'Raw Data'!N627</f>
        <v>1</v>
      </c>
      <c r="O627" s="21">
        <f>'Raw Data'!O627</f>
        <v>1</v>
      </c>
      <c r="P627" s="21">
        <f>IF('Raw Data'!P627="",ROUND(AVERAGE('Raw Data'!$P$2:$P$1501),1),'Raw Data'!P627)</f>
        <v>12.4</v>
      </c>
      <c r="Q627" s="21">
        <f>IF('Raw Data'!Q627="",ROUND(AVERAGE('Raw Data'!$Q$2:$Q$1501),0),'Raw Data'!Q627)</f>
        <v>0</v>
      </c>
      <c r="R627" s="21">
        <f>'Raw Data'!R627</f>
        <v>2</v>
      </c>
      <c r="S627" s="21">
        <f>IF('Raw Data'!S627="",ROUND(AVERAGE('Raw Data'!$S$2:$S$1501),0),'Raw Data'!S627)</f>
        <v>0</v>
      </c>
      <c r="T627" s="21">
        <f>'Raw Data'!T627</f>
        <v>181.55</v>
      </c>
      <c r="U627" s="21" t="str">
        <f>INDEX('Lookup Tables'!$C$7:$C$9,MATCH(E627,'Lookup Tables'!$B$7:$B$9,0))</f>
        <v>Tier 1 (Metro)</v>
      </c>
      <c r="V627" s="21" t="str">
        <f t="shared" si="27"/>
        <v>0-6 months</v>
      </c>
      <c r="W627" s="21" t="str">
        <f t="shared" si="28"/>
        <v>Low Risk</v>
      </c>
      <c r="X627" s="21" t="str">
        <f t="shared" si="29"/>
        <v>No</v>
      </c>
    </row>
    <row r="628" spans="1:24" x14ac:dyDescent="0.3">
      <c r="A628" s="21">
        <f>'Raw Data'!A628</f>
        <v>50627</v>
      </c>
      <c r="B628" s="21">
        <f>'Raw Data'!B628</f>
        <v>0</v>
      </c>
      <c r="C628" s="21">
        <f>'Raw Data'!C628</f>
        <v>43</v>
      </c>
      <c r="D628" s="21" t="str">
        <f>'Raw Data'!D628</f>
        <v>Computer</v>
      </c>
      <c r="E628" s="21">
        <f>'Raw Data'!E628</f>
        <v>1</v>
      </c>
      <c r="F628" s="21">
        <f>IF('Raw Data'!F628="",ROUND(AVERAGE('Raw Data'!$F$2:$F$1501),1),'Raw Data'!F628)</f>
        <v>5</v>
      </c>
      <c r="G628" s="21" t="str">
        <f>'Raw Data'!G628</f>
        <v>Credit Card</v>
      </c>
      <c r="H628" s="21" t="str">
        <f>'Raw Data'!H628</f>
        <v>Male</v>
      </c>
      <c r="I628" s="21">
        <f>IF('Raw Data'!I628="",ROUND(AVERAGE('Raw Data'!$I$2:$I$1501),1),'Raw Data'!I628)</f>
        <v>3.7</v>
      </c>
      <c r="J628" s="21">
        <f>'Raw Data'!J628</f>
        <v>5</v>
      </c>
      <c r="K628" s="21" t="str">
        <f>'Raw Data'!K628</f>
        <v>Mobile Phone</v>
      </c>
      <c r="L628" s="21">
        <f>'Raw Data'!L628</f>
        <v>2</v>
      </c>
      <c r="M628" s="21" t="str">
        <f>'Raw Data'!M628</f>
        <v>Divorced</v>
      </c>
      <c r="N628" s="21">
        <f>'Raw Data'!N628</f>
        <v>1</v>
      </c>
      <c r="O628" s="21">
        <f>'Raw Data'!O628</f>
        <v>0</v>
      </c>
      <c r="P628" s="21">
        <f>IF('Raw Data'!P628="",ROUND(AVERAGE('Raw Data'!$P$2:$P$1501),1),'Raw Data'!P628)</f>
        <v>16.100000000000001</v>
      </c>
      <c r="Q628" s="21">
        <f>IF('Raw Data'!Q628="",ROUND(AVERAGE('Raw Data'!$Q$2:$Q$1501),0),'Raw Data'!Q628)</f>
        <v>2</v>
      </c>
      <c r="R628" s="21">
        <f>'Raw Data'!R628</f>
        <v>4</v>
      </c>
      <c r="S628" s="21">
        <f>IF('Raw Data'!S628="",ROUND(AVERAGE('Raw Data'!$S$2:$S$1501),0),'Raw Data'!S628)</f>
        <v>2</v>
      </c>
      <c r="T628" s="21">
        <f>'Raw Data'!T628</f>
        <v>198.28</v>
      </c>
      <c r="U628" s="21" t="str">
        <f>INDEX('Lookup Tables'!$C$7:$C$9,MATCH(E628,'Lookup Tables'!$B$7:$B$9,0))</f>
        <v>Tier 1 (Metro)</v>
      </c>
      <c r="V628" s="21" t="str">
        <f t="shared" si="27"/>
        <v>25+ months</v>
      </c>
      <c r="W628" s="21" t="str">
        <f t="shared" si="28"/>
        <v>Low Risk</v>
      </c>
      <c r="X628" s="21" t="str">
        <f t="shared" si="29"/>
        <v>No</v>
      </c>
    </row>
    <row r="629" spans="1:24" x14ac:dyDescent="0.3">
      <c r="A629" s="21">
        <f>'Raw Data'!A629</f>
        <v>50628</v>
      </c>
      <c r="B629" s="21">
        <f>'Raw Data'!B629</f>
        <v>0</v>
      </c>
      <c r="C629" s="21">
        <f>'Raw Data'!C629</f>
        <v>33</v>
      </c>
      <c r="D629" s="21" t="str">
        <f>'Raw Data'!D629</f>
        <v>Mobile Phone</v>
      </c>
      <c r="E629" s="21">
        <f>'Raw Data'!E629</f>
        <v>3</v>
      </c>
      <c r="F629" s="21">
        <f>IF('Raw Data'!F629="",ROUND(AVERAGE('Raw Data'!$F$2:$F$1501),1),'Raw Data'!F629)</f>
        <v>15</v>
      </c>
      <c r="G629" s="21" t="str">
        <f>'Raw Data'!G629</f>
        <v>Credit Card</v>
      </c>
      <c r="H629" s="21" t="str">
        <f>'Raw Data'!H629</f>
        <v>Female</v>
      </c>
      <c r="I629" s="21">
        <f>IF('Raw Data'!I629="",ROUND(AVERAGE('Raw Data'!$I$2:$I$1501),1),'Raw Data'!I629)</f>
        <v>4</v>
      </c>
      <c r="J629" s="21">
        <f>'Raw Data'!J629</f>
        <v>4</v>
      </c>
      <c r="K629" s="21" t="str">
        <f>'Raw Data'!K629</f>
        <v>Grocery</v>
      </c>
      <c r="L629" s="21">
        <f>'Raw Data'!L629</f>
        <v>3</v>
      </c>
      <c r="M629" s="21" t="str">
        <f>'Raw Data'!M629</f>
        <v>Divorced</v>
      </c>
      <c r="N629" s="21">
        <f>'Raw Data'!N629</f>
        <v>13</v>
      </c>
      <c r="O629" s="21">
        <f>'Raw Data'!O629</f>
        <v>0</v>
      </c>
      <c r="P629" s="21">
        <f>IF('Raw Data'!P629="",ROUND(AVERAGE('Raw Data'!$P$2:$P$1501),1),'Raw Data'!P629)</f>
        <v>12.3</v>
      </c>
      <c r="Q629" s="21">
        <f>IF('Raw Data'!Q629="",ROUND(AVERAGE('Raw Data'!$Q$2:$Q$1501),0),'Raw Data'!Q629)</f>
        <v>4</v>
      </c>
      <c r="R629" s="21">
        <f>'Raw Data'!R629</f>
        <v>5</v>
      </c>
      <c r="S629" s="21">
        <f>IF('Raw Data'!S629="",ROUND(AVERAGE('Raw Data'!$S$2:$S$1501),0),'Raw Data'!S629)</f>
        <v>0</v>
      </c>
      <c r="T629" s="21">
        <f>'Raw Data'!T629</f>
        <v>121.9</v>
      </c>
      <c r="U629" s="21" t="str">
        <f>INDEX('Lookup Tables'!$C$7:$C$9,MATCH(E629,'Lookup Tables'!$B$7:$B$9,0))</f>
        <v>Tier 3 (Semi-urban/Rural)</v>
      </c>
      <c r="V629" s="21" t="str">
        <f t="shared" si="27"/>
        <v>25+ months</v>
      </c>
      <c r="W629" s="21" t="str">
        <f t="shared" si="28"/>
        <v>Medium Risk</v>
      </c>
      <c r="X629" s="21" t="str">
        <f t="shared" si="29"/>
        <v>No</v>
      </c>
    </row>
    <row r="630" spans="1:24" x14ac:dyDescent="0.3">
      <c r="A630" s="21">
        <f>'Raw Data'!A630</f>
        <v>50629</v>
      </c>
      <c r="B630" s="21">
        <f>'Raw Data'!B630</f>
        <v>0</v>
      </c>
      <c r="C630" s="21">
        <f>'Raw Data'!C630</f>
        <v>0</v>
      </c>
      <c r="D630" s="21" t="str">
        <f>'Raw Data'!D630</f>
        <v>Mobile Phone</v>
      </c>
      <c r="E630" s="21">
        <f>'Raw Data'!E630</f>
        <v>3</v>
      </c>
      <c r="F630" s="21">
        <f>IF('Raw Data'!F630="",ROUND(AVERAGE('Raw Data'!$F$2:$F$1501),1),'Raw Data'!F630)</f>
        <v>30</v>
      </c>
      <c r="G630" s="21" t="str">
        <f>'Raw Data'!G630</f>
        <v>Credit Card</v>
      </c>
      <c r="H630" s="21" t="str">
        <f>'Raw Data'!H630</f>
        <v>Female</v>
      </c>
      <c r="I630" s="21">
        <f>IF('Raw Data'!I630="",ROUND(AVERAGE('Raw Data'!$I$2:$I$1501),1),'Raw Data'!I630)</f>
        <v>2.9</v>
      </c>
      <c r="J630" s="21">
        <f>'Raw Data'!J630</f>
        <v>4</v>
      </c>
      <c r="K630" s="21" t="str">
        <f>'Raw Data'!K630</f>
        <v>Mobile Phone</v>
      </c>
      <c r="L630" s="21">
        <f>'Raw Data'!L630</f>
        <v>3</v>
      </c>
      <c r="M630" s="21" t="str">
        <f>'Raw Data'!M630</f>
        <v>Married</v>
      </c>
      <c r="N630" s="21">
        <f>'Raw Data'!N630</f>
        <v>6</v>
      </c>
      <c r="O630" s="21">
        <f>'Raw Data'!O630</f>
        <v>0</v>
      </c>
      <c r="P630" s="21">
        <f>IF('Raw Data'!P630="",ROUND(AVERAGE('Raw Data'!$P$2:$P$1501),1),'Raw Data'!P630)</f>
        <v>14.3</v>
      </c>
      <c r="Q630" s="21">
        <f>IF('Raw Data'!Q630="",ROUND(AVERAGE('Raw Data'!$Q$2:$Q$1501),0),'Raw Data'!Q630)</f>
        <v>2</v>
      </c>
      <c r="R630" s="21">
        <f>'Raw Data'!R630</f>
        <v>4</v>
      </c>
      <c r="S630" s="21">
        <f>IF('Raw Data'!S630="",ROUND(AVERAGE('Raw Data'!$S$2:$S$1501),0),'Raw Data'!S630)</f>
        <v>11</v>
      </c>
      <c r="T630" s="21">
        <f>'Raw Data'!T630</f>
        <v>221.75</v>
      </c>
      <c r="U630" s="21" t="str">
        <f>INDEX('Lookup Tables'!$C$7:$C$9,MATCH(E630,'Lookup Tables'!$B$7:$B$9,0))</f>
        <v>Tier 3 (Semi-urban/Rural)</v>
      </c>
      <c r="V630" s="21" t="str">
        <f t="shared" si="27"/>
        <v>0-6 months</v>
      </c>
      <c r="W630" s="21" t="str">
        <f t="shared" si="28"/>
        <v>Medium Risk</v>
      </c>
      <c r="X630" s="21" t="str">
        <f t="shared" si="29"/>
        <v>No</v>
      </c>
    </row>
    <row r="631" spans="1:24" x14ac:dyDescent="0.3">
      <c r="A631" s="21">
        <f>'Raw Data'!A631</f>
        <v>50630</v>
      </c>
      <c r="B631" s="21">
        <f>'Raw Data'!B631</f>
        <v>0</v>
      </c>
      <c r="C631" s="21">
        <f>'Raw Data'!C631</f>
        <v>30</v>
      </c>
      <c r="D631" s="21" t="str">
        <f>'Raw Data'!D631</f>
        <v>Mobile Phone</v>
      </c>
      <c r="E631" s="21">
        <f>'Raw Data'!E631</f>
        <v>3</v>
      </c>
      <c r="F631" s="21">
        <f>IF('Raw Data'!F631="",ROUND(AVERAGE('Raw Data'!$F$2:$F$1501),1),'Raw Data'!F631)</f>
        <v>7</v>
      </c>
      <c r="G631" s="21" t="str">
        <f>'Raw Data'!G631</f>
        <v>E wallet</v>
      </c>
      <c r="H631" s="21" t="str">
        <f>'Raw Data'!H631</f>
        <v>Male</v>
      </c>
      <c r="I631" s="21">
        <f>IF('Raw Data'!I631="",ROUND(AVERAGE('Raw Data'!$I$2:$I$1501),1),'Raw Data'!I631)</f>
        <v>3.7</v>
      </c>
      <c r="J631" s="21">
        <f>'Raw Data'!J631</f>
        <v>4</v>
      </c>
      <c r="K631" s="21" t="str">
        <f>'Raw Data'!K631</f>
        <v>Mobile Phone</v>
      </c>
      <c r="L631" s="21">
        <f>'Raw Data'!L631</f>
        <v>3</v>
      </c>
      <c r="M631" s="21" t="str">
        <f>'Raw Data'!M631</f>
        <v>Married</v>
      </c>
      <c r="N631" s="21">
        <f>'Raw Data'!N631</f>
        <v>3</v>
      </c>
      <c r="O631" s="21">
        <f>'Raw Data'!O631</f>
        <v>0</v>
      </c>
      <c r="P631" s="21">
        <f>IF('Raw Data'!P631="",ROUND(AVERAGE('Raw Data'!$P$2:$P$1501),1),'Raw Data'!P631)</f>
        <v>21.9</v>
      </c>
      <c r="Q631" s="21">
        <f>IF('Raw Data'!Q631="",ROUND(AVERAGE('Raw Data'!$Q$2:$Q$1501),0),'Raw Data'!Q631)</f>
        <v>2</v>
      </c>
      <c r="R631" s="21">
        <f>'Raw Data'!R631</f>
        <v>3</v>
      </c>
      <c r="S631" s="21">
        <f>IF('Raw Data'!S631="",ROUND(AVERAGE('Raw Data'!$S$2:$S$1501),0),'Raw Data'!S631)</f>
        <v>15</v>
      </c>
      <c r="T631" s="21">
        <f>'Raw Data'!T631</f>
        <v>135.02000000000001</v>
      </c>
      <c r="U631" s="21" t="str">
        <f>INDEX('Lookup Tables'!$C$7:$C$9,MATCH(E631,'Lookup Tables'!$B$7:$B$9,0))</f>
        <v>Tier 3 (Semi-urban/Rural)</v>
      </c>
      <c r="V631" s="21" t="str">
        <f t="shared" si="27"/>
        <v>25+ months</v>
      </c>
      <c r="W631" s="21" t="str">
        <f t="shared" si="28"/>
        <v>Medium Risk</v>
      </c>
      <c r="X631" s="21" t="str">
        <f t="shared" si="29"/>
        <v>No</v>
      </c>
    </row>
    <row r="632" spans="1:24" x14ac:dyDescent="0.3">
      <c r="A632" s="21">
        <f>'Raw Data'!A632</f>
        <v>50631</v>
      </c>
      <c r="B632" s="21">
        <f>'Raw Data'!B632</f>
        <v>0</v>
      </c>
      <c r="C632" s="21">
        <f>'Raw Data'!C632</f>
        <v>10</v>
      </c>
      <c r="D632" s="21" t="str">
        <f>'Raw Data'!D632</f>
        <v>Mobile Phone</v>
      </c>
      <c r="E632" s="21">
        <f>'Raw Data'!E632</f>
        <v>3</v>
      </c>
      <c r="F632" s="21">
        <f>IF('Raw Data'!F632="",ROUND(AVERAGE('Raw Data'!$F$2:$F$1501),1),'Raw Data'!F632)</f>
        <v>14.8</v>
      </c>
      <c r="G632" s="21" t="str">
        <f>'Raw Data'!G632</f>
        <v>Credit Card</v>
      </c>
      <c r="H632" s="21" t="str">
        <f>'Raw Data'!H632</f>
        <v>Male</v>
      </c>
      <c r="I632" s="21">
        <f>IF('Raw Data'!I632="",ROUND(AVERAGE('Raw Data'!$I$2:$I$1501),1),'Raw Data'!I632)</f>
        <v>2.7</v>
      </c>
      <c r="J632" s="21">
        <f>'Raw Data'!J632</f>
        <v>3</v>
      </c>
      <c r="K632" s="21" t="str">
        <f>'Raw Data'!K632</f>
        <v>Mobile Phone</v>
      </c>
      <c r="L632" s="21">
        <f>'Raw Data'!L632</f>
        <v>5</v>
      </c>
      <c r="M632" s="21" t="str">
        <f>'Raw Data'!M632</f>
        <v>Married</v>
      </c>
      <c r="N632" s="21">
        <f>'Raw Data'!N632</f>
        <v>9</v>
      </c>
      <c r="O632" s="21">
        <f>'Raw Data'!O632</f>
        <v>1</v>
      </c>
      <c r="P632" s="21">
        <f>IF('Raw Data'!P632="",ROUND(AVERAGE('Raw Data'!$P$2:$P$1501),1),'Raw Data'!P632)</f>
        <v>12</v>
      </c>
      <c r="Q632" s="21">
        <f>IF('Raw Data'!Q632="",ROUND(AVERAGE('Raw Data'!$Q$2:$Q$1501),0),'Raw Data'!Q632)</f>
        <v>3</v>
      </c>
      <c r="R632" s="21">
        <f>'Raw Data'!R632</f>
        <v>4</v>
      </c>
      <c r="S632" s="21">
        <f>IF('Raw Data'!S632="",ROUND(AVERAGE('Raw Data'!$S$2:$S$1501),0),'Raw Data'!S632)</f>
        <v>6</v>
      </c>
      <c r="T632" s="21">
        <f>'Raw Data'!T632</f>
        <v>96.9</v>
      </c>
      <c r="U632" s="21" t="str">
        <f>INDEX('Lookup Tables'!$C$7:$C$9,MATCH(E632,'Lookup Tables'!$B$7:$B$9,0))</f>
        <v>Tier 3 (Semi-urban/Rural)</v>
      </c>
      <c r="V632" s="21" t="str">
        <f t="shared" si="27"/>
        <v>7-12 months</v>
      </c>
      <c r="W632" s="21" t="str">
        <f t="shared" si="28"/>
        <v>Low Risk</v>
      </c>
      <c r="X632" s="21" t="str">
        <f t="shared" si="29"/>
        <v>No</v>
      </c>
    </row>
    <row r="633" spans="1:24" x14ac:dyDescent="0.3">
      <c r="A633" s="21">
        <f>'Raw Data'!A633</f>
        <v>50632</v>
      </c>
      <c r="B633" s="21">
        <f>'Raw Data'!B633</f>
        <v>0</v>
      </c>
      <c r="C633" s="21">
        <f>'Raw Data'!C633</f>
        <v>20</v>
      </c>
      <c r="D633" s="21" t="str">
        <f>'Raw Data'!D633</f>
        <v>Mobile Phone</v>
      </c>
      <c r="E633" s="21">
        <f>'Raw Data'!E633</f>
        <v>1</v>
      </c>
      <c r="F633" s="21">
        <f>IF('Raw Data'!F633="",ROUND(AVERAGE('Raw Data'!$F$2:$F$1501),1),'Raw Data'!F633)</f>
        <v>21</v>
      </c>
      <c r="G633" s="21" t="str">
        <f>'Raw Data'!G633</f>
        <v>UPI</v>
      </c>
      <c r="H633" s="21" t="str">
        <f>'Raw Data'!H633</f>
        <v>Female</v>
      </c>
      <c r="I633" s="21">
        <f>IF('Raw Data'!I633="",ROUND(AVERAGE('Raw Data'!$I$2:$I$1501),1),'Raw Data'!I633)</f>
        <v>3.5</v>
      </c>
      <c r="J633" s="21">
        <f>'Raw Data'!J633</f>
        <v>3</v>
      </c>
      <c r="K633" s="21" t="str">
        <f>'Raw Data'!K633</f>
        <v>Laptop &amp; Accessory</v>
      </c>
      <c r="L633" s="21">
        <f>'Raw Data'!L633</f>
        <v>3</v>
      </c>
      <c r="M633" s="21" t="str">
        <f>'Raw Data'!M633</f>
        <v>Married</v>
      </c>
      <c r="N633" s="21">
        <f>'Raw Data'!N633</f>
        <v>2</v>
      </c>
      <c r="O633" s="21">
        <f>'Raw Data'!O633</f>
        <v>1</v>
      </c>
      <c r="P633" s="21">
        <f>IF('Raw Data'!P633="",ROUND(AVERAGE('Raw Data'!$P$2:$P$1501),1),'Raw Data'!P633)</f>
        <v>18.100000000000001</v>
      </c>
      <c r="Q633" s="21">
        <f>IF('Raw Data'!Q633="",ROUND(AVERAGE('Raw Data'!$Q$2:$Q$1501),0),'Raw Data'!Q633)</f>
        <v>2</v>
      </c>
      <c r="R633" s="21">
        <f>'Raw Data'!R633</f>
        <v>2</v>
      </c>
      <c r="S633" s="21">
        <f>IF('Raw Data'!S633="",ROUND(AVERAGE('Raw Data'!$S$2:$S$1501),0),'Raw Data'!S633)</f>
        <v>6</v>
      </c>
      <c r="T633" s="21">
        <f>'Raw Data'!T633</f>
        <v>184.19</v>
      </c>
      <c r="U633" s="21" t="str">
        <f>INDEX('Lookup Tables'!$C$7:$C$9,MATCH(E633,'Lookup Tables'!$B$7:$B$9,0))</f>
        <v>Tier 1 (Metro)</v>
      </c>
      <c r="V633" s="21" t="str">
        <f t="shared" si="27"/>
        <v>13-24 months</v>
      </c>
      <c r="W633" s="21" t="str">
        <f t="shared" si="28"/>
        <v>Medium Risk</v>
      </c>
      <c r="X633" s="21" t="str">
        <f t="shared" si="29"/>
        <v>No</v>
      </c>
    </row>
    <row r="634" spans="1:24" x14ac:dyDescent="0.3">
      <c r="A634" s="21">
        <f>'Raw Data'!A634</f>
        <v>50633</v>
      </c>
      <c r="B634" s="21">
        <f>'Raw Data'!B634</f>
        <v>0</v>
      </c>
      <c r="C634" s="21">
        <f>'Raw Data'!C634</f>
        <v>6</v>
      </c>
      <c r="D634" s="21" t="str">
        <f>'Raw Data'!D634</f>
        <v>Phone</v>
      </c>
      <c r="E634" s="21">
        <f>'Raw Data'!E634</f>
        <v>2</v>
      </c>
      <c r="F634" s="21">
        <f>IF('Raw Data'!F634="",ROUND(AVERAGE('Raw Data'!$F$2:$F$1501),1),'Raw Data'!F634)</f>
        <v>5</v>
      </c>
      <c r="G634" s="21" t="str">
        <f>'Raw Data'!G634</f>
        <v>Cash on Delivery</v>
      </c>
      <c r="H634" s="21" t="str">
        <f>'Raw Data'!H634</f>
        <v>Female</v>
      </c>
      <c r="I634" s="21">
        <f>IF('Raw Data'!I634="",ROUND(AVERAGE('Raw Data'!$I$2:$I$1501),1),'Raw Data'!I634)</f>
        <v>3</v>
      </c>
      <c r="J634" s="21">
        <f>'Raw Data'!J634</f>
        <v>3</v>
      </c>
      <c r="K634" s="21" t="str">
        <f>'Raw Data'!K634</f>
        <v>Fashion</v>
      </c>
      <c r="L634" s="21">
        <f>'Raw Data'!L634</f>
        <v>5</v>
      </c>
      <c r="M634" s="21" t="str">
        <f>'Raw Data'!M634</f>
        <v>Married</v>
      </c>
      <c r="N634" s="21">
        <f>'Raw Data'!N634</f>
        <v>14</v>
      </c>
      <c r="O634" s="21">
        <f>'Raw Data'!O634</f>
        <v>1</v>
      </c>
      <c r="P634" s="21">
        <f>IF('Raw Data'!P634="",ROUND(AVERAGE('Raw Data'!$P$2:$P$1501),1),'Raw Data'!P634)</f>
        <v>17.399999999999999</v>
      </c>
      <c r="Q634" s="21">
        <f>IF('Raw Data'!Q634="",ROUND(AVERAGE('Raw Data'!$Q$2:$Q$1501),0),'Raw Data'!Q634)</f>
        <v>3</v>
      </c>
      <c r="R634" s="21">
        <f>'Raw Data'!R634</f>
        <v>2</v>
      </c>
      <c r="S634" s="21">
        <f>IF('Raw Data'!S634="",ROUND(AVERAGE('Raw Data'!$S$2:$S$1501),0),'Raw Data'!S634)</f>
        <v>1</v>
      </c>
      <c r="T634" s="21">
        <f>'Raw Data'!T634</f>
        <v>175.48</v>
      </c>
      <c r="U634" s="21" t="str">
        <f>INDEX('Lookup Tables'!$C$7:$C$9,MATCH(E634,'Lookup Tables'!$B$7:$B$9,0))</f>
        <v>Tier 2 (Urban)</v>
      </c>
      <c r="V634" s="21" t="str">
        <f t="shared" si="27"/>
        <v>0-6 months</v>
      </c>
      <c r="W634" s="21" t="str">
        <f t="shared" si="28"/>
        <v>Low Risk</v>
      </c>
      <c r="X634" s="21" t="str">
        <f t="shared" si="29"/>
        <v>No</v>
      </c>
    </row>
    <row r="635" spans="1:24" x14ac:dyDescent="0.3">
      <c r="A635" s="21">
        <f>'Raw Data'!A635</f>
        <v>50634</v>
      </c>
      <c r="B635" s="21">
        <f>'Raw Data'!B635</f>
        <v>0</v>
      </c>
      <c r="C635" s="21">
        <f>'Raw Data'!C635</f>
        <v>7</v>
      </c>
      <c r="D635" s="21" t="str">
        <f>'Raw Data'!D635</f>
        <v>Mobile Phone</v>
      </c>
      <c r="E635" s="21">
        <f>'Raw Data'!E635</f>
        <v>2</v>
      </c>
      <c r="F635" s="21">
        <f>IF('Raw Data'!F635="",ROUND(AVERAGE('Raw Data'!$F$2:$F$1501),1),'Raw Data'!F635)</f>
        <v>9</v>
      </c>
      <c r="G635" s="21" t="str">
        <f>'Raw Data'!G635</f>
        <v>Debit Card</v>
      </c>
      <c r="H635" s="21" t="str">
        <f>'Raw Data'!H635</f>
        <v>Male</v>
      </c>
      <c r="I635" s="21">
        <f>IF('Raw Data'!I635="",ROUND(AVERAGE('Raw Data'!$I$2:$I$1501),1),'Raw Data'!I635)</f>
        <v>3.2</v>
      </c>
      <c r="J635" s="21">
        <f>'Raw Data'!J635</f>
        <v>4</v>
      </c>
      <c r="K635" s="21" t="str">
        <f>'Raw Data'!K635</f>
        <v>Laptop &amp; Accessory</v>
      </c>
      <c r="L635" s="21">
        <f>'Raw Data'!L635</f>
        <v>3</v>
      </c>
      <c r="M635" s="21" t="str">
        <f>'Raw Data'!M635</f>
        <v>Married</v>
      </c>
      <c r="N635" s="21">
        <f>'Raw Data'!N635</f>
        <v>1</v>
      </c>
      <c r="O635" s="21">
        <f>'Raw Data'!O635</f>
        <v>1</v>
      </c>
      <c r="P635" s="21">
        <f>IF('Raw Data'!P635="",ROUND(AVERAGE('Raw Data'!$P$2:$P$1501),1),'Raw Data'!P635)</f>
        <v>16.3</v>
      </c>
      <c r="Q635" s="21">
        <f>IF('Raw Data'!Q635="",ROUND(AVERAGE('Raw Data'!$Q$2:$Q$1501),0),'Raw Data'!Q635)</f>
        <v>2</v>
      </c>
      <c r="R635" s="21">
        <f>'Raw Data'!R635</f>
        <v>2</v>
      </c>
      <c r="S635" s="21">
        <f>IF('Raw Data'!S635="",ROUND(AVERAGE('Raw Data'!$S$2:$S$1501),0),'Raw Data'!S635)</f>
        <v>0</v>
      </c>
      <c r="T635" s="21">
        <f>'Raw Data'!T635</f>
        <v>179.94</v>
      </c>
      <c r="U635" s="21" t="str">
        <f>INDEX('Lookup Tables'!$C$7:$C$9,MATCH(E635,'Lookup Tables'!$B$7:$B$9,0))</f>
        <v>Tier 2 (Urban)</v>
      </c>
      <c r="V635" s="21" t="str">
        <f t="shared" si="27"/>
        <v>7-12 months</v>
      </c>
      <c r="W635" s="21" t="str">
        <f t="shared" si="28"/>
        <v>Medium Risk</v>
      </c>
      <c r="X635" s="21" t="str">
        <f t="shared" si="29"/>
        <v>No</v>
      </c>
    </row>
    <row r="636" spans="1:24" x14ac:dyDescent="0.3">
      <c r="A636" s="21">
        <f>'Raw Data'!A636</f>
        <v>50635</v>
      </c>
      <c r="B636" s="21">
        <f>'Raw Data'!B636</f>
        <v>0</v>
      </c>
      <c r="C636" s="21">
        <f>'Raw Data'!C636</f>
        <v>6</v>
      </c>
      <c r="D636" s="21" t="str">
        <f>'Raw Data'!D636</f>
        <v>Mobile Phone</v>
      </c>
      <c r="E636" s="21">
        <f>'Raw Data'!E636</f>
        <v>1</v>
      </c>
      <c r="F636" s="21">
        <f>IF('Raw Data'!F636="",ROUND(AVERAGE('Raw Data'!$F$2:$F$1501),1),'Raw Data'!F636)</f>
        <v>19</v>
      </c>
      <c r="G636" s="21" t="str">
        <f>'Raw Data'!G636</f>
        <v>Credit Card</v>
      </c>
      <c r="H636" s="21" t="str">
        <f>'Raw Data'!H636</f>
        <v>Male</v>
      </c>
      <c r="I636" s="21">
        <f>IF('Raw Data'!I636="",ROUND(AVERAGE('Raw Data'!$I$2:$I$1501),1),'Raw Data'!I636)</f>
        <v>3.2</v>
      </c>
      <c r="J636" s="21">
        <f>'Raw Data'!J636</f>
        <v>5</v>
      </c>
      <c r="K636" s="21" t="str">
        <f>'Raw Data'!K636</f>
        <v>Grocery</v>
      </c>
      <c r="L636" s="21">
        <f>'Raw Data'!L636</f>
        <v>4</v>
      </c>
      <c r="M636" s="21" t="str">
        <f>'Raw Data'!M636</f>
        <v>Married</v>
      </c>
      <c r="N636" s="21">
        <f>'Raw Data'!N636</f>
        <v>1</v>
      </c>
      <c r="O636" s="21">
        <f>'Raw Data'!O636</f>
        <v>1</v>
      </c>
      <c r="P636" s="21">
        <f>IF('Raw Data'!P636="",ROUND(AVERAGE('Raw Data'!$P$2:$P$1501),1),'Raw Data'!P636)</f>
        <v>17.8</v>
      </c>
      <c r="Q636" s="21">
        <f>IF('Raw Data'!Q636="",ROUND(AVERAGE('Raw Data'!$Q$2:$Q$1501),0),'Raw Data'!Q636)</f>
        <v>1</v>
      </c>
      <c r="R636" s="21">
        <f>'Raw Data'!R636</f>
        <v>4</v>
      </c>
      <c r="S636" s="21">
        <f>IF('Raw Data'!S636="",ROUND(AVERAGE('Raw Data'!$S$2:$S$1501),0),'Raw Data'!S636)</f>
        <v>8</v>
      </c>
      <c r="T636" s="21">
        <f>'Raw Data'!T636</f>
        <v>137.94</v>
      </c>
      <c r="U636" s="21" t="str">
        <f>INDEX('Lookup Tables'!$C$7:$C$9,MATCH(E636,'Lookup Tables'!$B$7:$B$9,0))</f>
        <v>Tier 1 (Metro)</v>
      </c>
      <c r="V636" s="21" t="str">
        <f t="shared" si="27"/>
        <v>0-6 months</v>
      </c>
      <c r="W636" s="21" t="str">
        <f t="shared" si="28"/>
        <v>Low Risk</v>
      </c>
      <c r="X636" s="21" t="str">
        <f t="shared" si="29"/>
        <v>No</v>
      </c>
    </row>
    <row r="637" spans="1:24" x14ac:dyDescent="0.3">
      <c r="A637" s="21">
        <f>'Raw Data'!A637</f>
        <v>50636</v>
      </c>
      <c r="B637" s="21">
        <f>'Raw Data'!B637</f>
        <v>0</v>
      </c>
      <c r="C637" s="21">
        <f>'Raw Data'!C637</f>
        <v>10</v>
      </c>
      <c r="D637" s="21" t="str">
        <f>'Raw Data'!D637</f>
        <v>Mobile Phone</v>
      </c>
      <c r="E637" s="21">
        <f>'Raw Data'!E637</f>
        <v>2</v>
      </c>
      <c r="F637" s="21">
        <f>IF('Raw Data'!F637="",ROUND(AVERAGE('Raw Data'!$F$2:$F$1501),1),'Raw Data'!F637)</f>
        <v>9</v>
      </c>
      <c r="G637" s="21" t="str">
        <f>'Raw Data'!G637</f>
        <v>Debit Card</v>
      </c>
      <c r="H637" s="21" t="str">
        <f>'Raw Data'!H637</f>
        <v>Female</v>
      </c>
      <c r="I637" s="21">
        <f>IF('Raw Data'!I637="",ROUND(AVERAGE('Raw Data'!$I$2:$I$1501),1),'Raw Data'!I637)</f>
        <v>1.8</v>
      </c>
      <c r="J637" s="21">
        <f>'Raw Data'!J637</f>
        <v>4</v>
      </c>
      <c r="K637" s="21" t="str">
        <f>'Raw Data'!K637</f>
        <v>Fashion</v>
      </c>
      <c r="L637" s="21">
        <f>'Raw Data'!L637</f>
        <v>5</v>
      </c>
      <c r="M637" s="21" t="str">
        <f>'Raw Data'!M637</f>
        <v>Married</v>
      </c>
      <c r="N637" s="21">
        <f>'Raw Data'!N637</f>
        <v>3</v>
      </c>
      <c r="O637" s="21">
        <f>'Raw Data'!O637</f>
        <v>0</v>
      </c>
      <c r="P637" s="21">
        <f>IF('Raw Data'!P637="",ROUND(AVERAGE('Raw Data'!$P$2:$P$1501),1),'Raw Data'!P637)</f>
        <v>11.9</v>
      </c>
      <c r="Q637" s="21">
        <f>IF('Raw Data'!Q637="",ROUND(AVERAGE('Raw Data'!$Q$2:$Q$1501),0),'Raw Data'!Q637)</f>
        <v>1</v>
      </c>
      <c r="R637" s="21">
        <f>'Raw Data'!R637</f>
        <v>4</v>
      </c>
      <c r="S637" s="21">
        <f>IF('Raw Data'!S637="",ROUND(AVERAGE('Raw Data'!$S$2:$S$1501),0),'Raw Data'!S637)</f>
        <v>4</v>
      </c>
      <c r="T637" s="21">
        <f>'Raw Data'!T637</f>
        <v>145.62</v>
      </c>
      <c r="U637" s="21" t="str">
        <f>INDEX('Lookup Tables'!$C$7:$C$9,MATCH(E637,'Lookup Tables'!$B$7:$B$9,0))</f>
        <v>Tier 2 (Urban)</v>
      </c>
      <c r="V637" s="21" t="str">
        <f t="shared" si="27"/>
        <v>7-12 months</v>
      </c>
      <c r="W637" s="21" t="str">
        <f t="shared" si="28"/>
        <v>Low Risk</v>
      </c>
      <c r="X637" s="21" t="str">
        <f t="shared" si="29"/>
        <v>No</v>
      </c>
    </row>
    <row r="638" spans="1:24" x14ac:dyDescent="0.3">
      <c r="A638" s="21">
        <f>'Raw Data'!A638</f>
        <v>50637</v>
      </c>
      <c r="B638" s="21">
        <f>'Raw Data'!B638</f>
        <v>0</v>
      </c>
      <c r="C638" s="21">
        <f>'Raw Data'!C638</f>
        <v>1</v>
      </c>
      <c r="D638" s="21" t="str">
        <f>'Raw Data'!D638</f>
        <v>Mobile Phone</v>
      </c>
      <c r="E638" s="21">
        <f>'Raw Data'!E638</f>
        <v>3</v>
      </c>
      <c r="F638" s="21">
        <f>IF('Raw Data'!F638="",ROUND(AVERAGE('Raw Data'!$F$2:$F$1501),1),'Raw Data'!F638)</f>
        <v>13</v>
      </c>
      <c r="G638" s="21" t="str">
        <f>'Raw Data'!G638</f>
        <v>Debit Card</v>
      </c>
      <c r="H638" s="21" t="str">
        <f>'Raw Data'!H638</f>
        <v>Female</v>
      </c>
      <c r="I638" s="21">
        <f>IF('Raw Data'!I638="",ROUND(AVERAGE('Raw Data'!$I$2:$I$1501),1),'Raw Data'!I638)</f>
        <v>2.1</v>
      </c>
      <c r="J638" s="21">
        <f>'Raw Data'!J638</f>
        <v>2</v>
      </c>
      <c r="K638" s="21" t="str">
        <f>'Raw Data'!K638</f>
        <v>Laptop &amp; Accessory</v>
      </c>
      <c r="L638" s="21">
        <f>'Raw Data'!L638</f>
        <v>5</v>
      </c>
      <c r="M638" s="21" t="str">
        <f>'Raw Data'!M638</f>
        <v>Married</v>
      </c>
      <c r="N638" s="21">
        <f>'Raw Data'!N638</f>
        <v>1</v>
      </c>
      <c r="O638" s="21">
        <f>'Raw Data'!O638</f>
        <v>1</v>
      </c>
      <c r="P638" s="21">
        <f>IF('Raw Data'!P638="",ROUND(AVERAGE('Raw Data'!$P$2:$P$1501),1),'Raw Data'!P638)</f>
        <v>21.8</v>
      </c>
      <c r="Q638" s="21">
        <f>IF('Raw Data'!Q638="",ROUND(AVERAGE('Raw Data'!$Q$2:$Q$1501),0),'Raw Data'!Q638)</f>
        <v>2</v>
      </c>
      <c r="R638" s="21">
        <f>'Raw Data'!R638</f>
        <v>4</v>
      </c>
      <c r="S638" s="21">
        <f>IF('Raw Data'!S638="",ROUND(AVERAGE('Raw Data'!$S$2:$S$1501),0),'Raw Data'!S638)</f>
        <v>5</v>
      </c>
      <c r="T638" s="21">
        <f>'Raw Data'!T638</f>
        <v>242.06</v>
      </c>
      <c r="U638" s="21" t="str">
        <f>INDEX('Lookup Tables'!$C$7:$C$9,MATCH(E638,'Lookup Tables'!$B$7:$B$9,0))</f>
        <v>Tier 3 (Semi-urban/Rural)</v>
      </c>
      <c r="V638" s="21" t="str">
        <f t="shared" si="27"/>
        <v>0-6 months</v>
      </c>
      <c r="W638" s="21" t="str">
        <f t="shared" si="28"/>
        <v>Low Risk</v>
      </c>
      <c r="X638" s="21" t="str">
        <f t="shared" si="29"/>
        <v>No</v>
      </c>
    </row>
    <row r="639" spans="1:24" x14ac:dyDescent="0.3">
      <c r="A639" s="21">
        <f>'Raw Data'!A639</f>
        <v>50638</v>
      </c>
      <c r="B639" s="21">
        <f>'Raw Data'!B639</f>
        <v>0</v>
      </c>
      <c r="C639" s="21">
        <f>'Raw Data'!C639</f>
        <v>0</v>
      </c>
      <c r="D639" s="21" t="str">
        <f>'Raw Data'!D639</f>
        <v>Computer</v>
      </c>
      <c r="E639" s="21">
        <f>'Raw Data'!E639</f>
        <v>1</v>
      </c>
      <c r="F639" s="21">
        <f>IF('Raw Data'!F639="",ROUND(AVERAGE('Raw Data'!$F$2:$F$1501),1),'Raw Data'!F639)</f>
        <v>20</v>
      </c>
      <c r="G639" s="21" t="str">
        <f>'Raw Data'!G639</f>
        <v>Credit Card</v>
      </c>
      <c r="H639" s="21" t="str">
        <f>'Raw Data'!H639</f>
        <v>Female</v>
      </c>
      <c r="I639" s="21">
        <f>IF('Raw Data'!I639="",ROUND(AVERAGE('Raw Data'!$I$2:$I$1501),1),'Raw Data'!I639)</f>
        <v>3</v>
      </c>
      <c r="J639" s="21">
        <f>'Raw Data'!J639</f>
        <v>3</v>
      </c>
      <c r="K639" s="21" t="str">
        <f>'Raw Data'!K639</f>
        <v>Fashion</v>
      </c>
      <c r="L639" s="21">
        <f>'Raw Data'!L639</f>
        <v>1</v>
      </c>
      <c r="M639" s="21" t="str">
        <f>'Raw Data'!M639</f>
        <v>Married</v>
      </c>
      <c r="N639" s="21">
        <f>'Raw Data'!N639</f>
        <v>3</v>
      </c>
      <c r="O639" s="21">
        <f>'Raw Data'!O639</f>
        <v>0</v>
      </c>
      <c r="P639" s="21">
        <f>IF('Raw Data'!P639="",ROUND(AVERAGE('Raw Data'!$P$2:$P$1501),1),'Raw Data'!P639)</f>
        <v>22.7</v>
      </c>
      <c r="Q639" s="21">
        <f>IF('Raw Data'!Q639="",ROUND(AVERAGE('Raw Data'!$Q$2:$Q$1501),0),'Raw Data'!Q639)</f>
        <v>0</v>
      </c>
      <c r="R639" s="21">
        <f>'Raw Data'!R639</f>
        <v>6</v>
      </c>
      <c r="S639" s="21">
        <f>IF('Raw Data'!S639="",ROUND(AVERAGE('Raw Data'!$S$2:$S$1501),0),'Raw Data'!S639)</f>
        <v>7</v>
      </c>
      <c r="T639" s="21">
        <f>'Raw Data'!T639</f>
        <v>204.26</v>
      </c>
      <c r="U639" s="21" t="str">
        <f>INDEX('Lookup Tables'!$C$7:$C$9,MATCH(E639,'Lookup Tables'!$B$7:$B$9,0))</f>
        <v>Tier 1 (Metro)</v>
      </c>
      <c r="V639" s="21" t="str">
        <f t="shared" si="27"/>
        <v>0-6 months</v>
      </c>
      <c r="W639" s="21" t="str">
        <f t="shared" si="28"/>
        <v>Low Risk</v>
      </c>
      <c r="X639" s="21" t="str">
        <f t="shared" si="29"/>
        <v>No</v>
      </c>
    </row>
    <row r="640" spans="1:24" x14ac:dyDescent="0.3">
      <c r="A640" s="21">
        <f>'Raw Data'!A640</f>
        <v>50639</v>
      </c>
      <c r="B640" s="21">
        <f>'Raw Data'!B640</f>
        <v>0</v>
      </c>
      <c r="C640" s="21">
        <f>'Raw Data'!C640</f>
        <v>3</v>
      </c>
      <c r="D640" s="21" t="str">
        <f>'Raw Data'!D640</f>
        <v>Mobile Phone</v>
      </c>
      <c r="E640" s="21">
        <f>'Raw Data'!E640</f>
        <v>3</v>
      </c>
      <c r="F640" s="21">
        <f>IF('Raw Data'!F640="",ROUND(AVERAGE('Raw Data'!$F$2:$F$1501),1),'Raw Data'!F640)</f>
        <v>18</v>
      </c>
      <c r="G640" s="21" t="str">
        <f>'Raw Data'!G640</f>
        <v>Debit Card</v>
      </c>
      <c r="H640" s="21" t="str">
        <f>'Raw Data'!H640</f>
        <v>Male</v>
      </c>
      <c r="I640" s="21">
        <f>IF('Raw Data'!I640="",ROUND(AVERAGE('Raw Data'!$I$2:$I$1501),1),'Raw Data'!I640)</f>
        <v>1.7</v>
      </c>
      <c r="J640" s="21">
        <f>'Raw Data'!J640</f>
        <v>4</v>
      </c>
      <c r="K640" s="21" t="str">
        <f>'Raw Data'!K640</f>
        <v>Fashion</v>
      </c>
      <c r="L640" s="21">
        <f>'Raw Data'!L640</f>
        <v>2</v>
      </c>
      <c r="M640" s="21" t="str">
        <f>'Raw Data'!M640</f>
        <v>Married</v>
      </c>
      <c r="N640" s="21">
        <f>'Raw Data'!N640</f>
        <v>1</v>
      </c>
      <c r="O640" s="21">
        <f>'Raw Data'!O640</f>
        <v>0</v>
      </c>
      <c r="P640" s="21">
        <f>IF('Raw Data'!P640="",ROUND(AVERAGE('Raw Data'!$P$2:$P$1501),1),'Raw Data'!P640)</f>
        <v>16.2</v>
      </c>
      <c r="Q640" s="21">
        <f>IF('Raw Data'!Q640="",ROUND(AVERAGE('Raw Data'!$Q$2:$Q$1501),0),'Raw Data'!Q640)</f>
        <v>1</v>
      </c>
      <c r="R640" s="21">
        <f>'Raw Data'!R640</f>
        <v>6</v>
      </c>
      <c r="S640" s="21">
        <f>IF('Raw Data'!S640="",ROUND(AVERAGE('Raw Data'!$S$2:$S$1501),0),'Raw Data'!S640)</f>
        <v>2</v>
      </c>
      <c r="T640" s="21">
        <f>'Raw Data'!T640</f>
        <v>127.38</v>
      </c>
      <c r="U640" s="21" t="str">
        <f>INDEX('Lookup Tables'!$C$7:$C$9,MATCH(E640,'Lookup Tables'!$B$7:$B$9,0))</f>
        <v>Tier 3 (Semi-urban/Rural)</v>
      </c>
      <c r="V640" s="21" t="str">
        <f t="shared" si="27"/>
        <v>0-6 months</v>
      </c>
      <c r="W640" s="21" t="str">
        <f t="shared" si="28"/>
        <v>Low Risk</v>
      </c>
      <c r="X640" s="21" t="str">
        <f t="shared" si="29"/>
        <v>No</v>
      </c>
    </row>
    <row r="641" spans="1:24" x14ac:dyDescent="0.3">
      <c r="A641" s="21">
        <f>'Raw Data'!A641</f>
        <v>50640</v>
      </c>
      <c r="B641" s="21">
        <f>'Raw Data'!B641</f>
        <v>0</v>
      </c>
      <c r="C641" s="21">
        <f>'Raw Data'!C641</f>
        <v>12</v>
      </c>
      <c r="D641" s="21" t="str">
        <f>'Raw Data'!D641</f>
        <v>Mobile Phone</v>
      </c>
      <c r="E641" s="21">
        <f>'Raw Data'!E641</f>
        <v>2</v>
      </c>
      <c r="F641" s="21">
        <f>IF('Raw Data'!F641="",ROUND(AVERAGE('Raw Data'!$F$2:$F$1501),1),'Raw Data'!F641)</f>
        <v>17</v>
      </c>
      <c r="G641" s="21" t="str">
        <f>'Raw Data'!G641</f>
        <v>UPI</v>
      </c>
      <c r="H641" s="21" t="str">
        <f>'Raw Data'!H641</f>
        <v>Female</v>
      </c>
      <c r="I641" s="21">
        <f>IF('Raw Data'!I641="",ROUND(AVERAGE('Raw Data'!$I$2:$I$1501),1),'Raw Data'!I641)</f>
        <v>3.5</v>
      </c>
      <c r="J641" s="21">
        <f>'Raw Data'!J641</f>
        <v>4</v>
      </c>
      <c r="K641" s="21" t="str">
        <f>'Raw Data'!K641</f>
        <v>Laptop &amp; Accessory</v>
      </c>
      <c r="L641" s="21">
        <f>'Raw Data'!L641</f>
        <v>3</v>
      </c>
      <c r="M641" s="21" t="str">
        <f>'Raw Data'!M641</f>
        <v>Married</v>
      </c>
      <c r="N641" s="21">
        <f>'Raw Data'!N641</f>
        <v>3</v>
      </c>
      <c r="O641" s="21">
        <f>'Raw Data'!O641</f>
        <v>0</v>
      </c>
      <c r="P641" s="21">
        <f>IF('Raw Data'!P641="",ROUND(AVERAGE('Raw Data'!$P$2:$P$1501),1),'Raw Data'!P641)</f>
        <v>24.5</v>
      </c>
      <c r="Q641" s="21">
        <f>IF('Raw Data'!Q641="",ROUND(AVERAGE('Raw Data'!$Q$2:$Q$1501),0),'Raw Data'!Q641)</f>
        <v>0</v>
      </c>
      <c r="R641" s="21">
        <f>'Raw Data'!R641</f>
        <v>6</v>
      </c>
      <c r="S641" s="21">
        <f>IF('Raw Data'!S641="",ROUND(AVERAGE('Raw Data'!$S$2:$S$1501),0),'Raw Data'!S641)</f>
        <v>0</v>
      </c>
      <c r="T641" s="21">
        <f>'Raw Data'!T641</f>
        <v>72.709999999999994</v>
      </c>
      <c r="U641" s="21" t="str">
        <f>INDEX('Lookup Tables'!$C$7:$C$9,MATCH(E641,'Lookup Tables'!$B$7:$B$9,0))</f>
        <v>Tier 2 (Urban)</v>
      </c>
      <c r="V641" s="21" t="str">
        <f t="shared" si="27"/>
        <v>7-12 months</v>
      </c>
      <c r="W641" s="21" t="str">
        <f t="shared" si="28"/>
        <v>Medium Risk</v>
      </c>
      <c r="X641" s="21" t="str">
        <f t="shared" si="29"/>
        <v>No</v>
      </c>
    </row>
    <row r="642" spans="1:24" x14ac:dyDescent="0.3">
      <c r="A642" s="21">
        <f>'Raw Data'!A642</f>
        <v>50641</v>
      </c>
      <c r="B642" s="21">
        <f>'Raw Data'!B642</f>
        <v>1</v>
      </c>
      <c r="C642" s="21">
        <f>'Raw Data'!C642</f>
        <v>2</v>
      </c>
      <c r="D642" s="21" t="str">
        <f>'Raw Data'!D642</f>
        <v>Mobile Phone</v>
      </c>
      <c r="E642" s="21">
        <f>'Raw Data'!E642</f>
        <v>3</v>
      </c>
      <c r="F642" s="21">
        <f>IF('Raw Data'!F642="",ROUND(AVERAGE('Raw Data'!$F$2:$F$1501),1),'Raw Data'!F642)</f>
        <v>12</v>
      </c>
      <c r="G642" s="21" t="str">
        <f>'Raw Data'!G642</f>
        <v>Debit Card</v>
      </c>
      <c r="H642" s="21" t="str">
        <f>'Raw Data'!H642</f>
        <v>Male</v>
      </c>
      <c r="I642" s="21">
        <f>IF('Raw Data'!I642="",ROUND(AVERAGE('Raw Data'!$I$2:$I$1501),1),'Raw Data'!I642)</f>
        <v>3.5</v>
      </c>
      <c r="J642" s="21">
        <f>'Raw Data'!J642</f>
        <v>3</v>
      </c>
      <c r="K642" s="21" t="str">
        <f>'Raw Data'!K642</f>
        <v>Laptop &amp; Accessory</v>
      </c>
      <c r="L642" s="21">
        <f>'Raw Data'!L642</f>
        <v>3</v>
      </c>
      <c r="M642" s="21" t="str">
        <f>'Raw Data'!M642</f>
        <v>Single</v>
      </c>
      <c r="N642" s="21">
        <f>'Raw Data'!N642</f>
        <v>1</v>
      </c>
      <c r="O642" s="21">
        <f>'Raw Data'!O642</f>
        <v>1</v>
      </c>
      <c r="P642" s="21">
        <f>IF('Raw Data'!P642="",ROUND(AVERAGE('Raw Data'!$P$2:$P$1501),1),'Raw Data'!P642)</f>
        <v>14.6</v>
      </c>
      <c r="Q642" s="21">
        <f>IF('Raw Data'!Q642="",ROUND(AVERAGE('Raw Data'!$Q$2:$Q$1501),0),'Raw Data'!Q642)</f>
        <v>0</v>
      </c>
      <c r="R642" s="21">
        <f>'Raw Data'!R642</f>
        <v>4</v>
      </c>
      <c r="S642" s="21">
        <f>IF('Raw Data'!S642="",ROUND(AVERAGE('Raw Data'!$S$2:$S$1501),0),'Raw Data'!S642)</f>
        <v>7</v>
      </c>
      <c r="T642" s="21">
        <f>'Raw Data'!T642</f>
        <v>129.71</v>
      </c>
      <c r="U642" s="21" t="str">
        <f>INDEX('Lookup Tables'!$C$7:$C$9,MATCH(E642,'Lookup Tables'!$B$7:$B$9,0))</f>
        <v>Tier 3 (Semi-urban/Rural)</v>
      </c>
      <c r="V642" s="21" t="str">
        <f t="shared" ref="V642:V705" si="30">IF(C642&lt;=6,"0-6 months",IF(C642&lt;=12,"7-12 months",IF(C642&lt;=24,"13-24 months","25+ months")))</f>
        <v>0-6 months</v>
      </c>
      <c r="W642" s="21" t="str">
        <f t="shared" ref="W642:W705" si="31">IF(AND(O642=1,L642&lt;=2),"High Risk",IF(OR(L642=3,S642&gt;15),"Medium Risk","Low Risk"))</f>
        <v>Medium Risk</v>
      </c>
      <c r="X642" s="21" t="str">
        <f t="shared" ref="X642:X705" si="32">IF(B642=1,"Yes","No")</f>
        <v>Yes</v>
      </c>
    </row>
    <row r="643" spans="1:24" x14ac:dyDescent="0.3">
      <c r="A643" s="21">
        <f>'Raw Data'!A643</f>
        <v>50642</v>
      </c>
      <c r="B643" s="21">
        <f>'Raw Data'!B643</f>
        <v>0</v>
      </c>
      <c r="C643" s="21">
        <f>'Raw Data'!C643</f>
        <v>11</v>
      </c>
      <c r="D643" s="21" t="str">
        <f>'Raw Data'!D643</f>
        <v>Computer</v>
      </c>
      <c r="E643" s="21">
        <f>'Raw Data'!E643</f>
        <v>1</v>
      </c>
      <c r="F643" s="21">
        <f>IF('Raw Data'!F643="",ROUND(AVERAGE('Raw Data'!$F$2:$F$1501),1),'Raw Data'!F643)</f>
        <v>17</v>
      </c>
      <c r="G643" s="21" t="str">
        <f>'Raw Data'!G643</f>
        <v>Credit Card</v>
      </c>
      <c r="H643" s="21" t="str">
        <f>'Raw Data'!H643</f>
        <v>Male</v>
      </c>
      <c r="I643" s="21">
        <f>IF('Raw Data'!I643="",ROUND(AVERAGE('Raw Data'!$I$2:$I$1501),1),'Raw Data'!I643)</f>
        <v>3.1</v>
      </c>
      <c r="J643" s="21">
        <f>'Raw Data'!J643</f>
        <v>6</v>
      </c>
      <c r="K643" s="21" t="str">
        <f>'Raw Data'!K643</f>
        <v>Mobile Phone</v>
      </c>
      <c r="L643" s="21">
        <f>'Raw Data'!L643</f>
        <v>4</v>
      </c>
      <c r="M643" s="21" t="str">
        <f>'Raw Data'!M643</f>
        <v>Single</v>
      </c>
      <c r="N643" s="21">
        <f>'Raw Data'!N643</f>
        <v>1</v>
      </c>
      <c r="O643" s="21">
        <f>'Raw Data'!O643</f>
        <v>0</v>
      </c>
      <c r="P643" s="21">
        <f>IF('Raw Data'!P643="",ROUND(AVERAGE('Raw Data'!$P$2:$P$1501),1),'Raw Data'!P643)</f>
        <v>17.399999999999999</v>
      </c>
      <c r="Q643" s="21">
        <f>IF('Raw Data'!Q643="",ROUND(AVERAGE('Raw Data'!$Q$2:$Q$1501),0),'Raw Data'!Q643)</f>
        <v>2</v>
      </c>
      <c r="R643" s="21">
        <f>'Raw Data'!R643</f>
        <v>2</v>
      </c>
      <c r="S643" s="21">
        <f>IF('Raw Data'!S643="",ROUND(AVERAGE('Raw Data'!$S$2:$S$1501),0),'Raw Data'!S643)</f>
        <v>3</v>
      </c>
      <c r="T643" s="21">
        <f>'Raw Data'!T643</f>
        <v>188.65</v>
      </c>
      <c r="U643" s="21" t="str">
        <f>INDEX('Lookup Tables'!$C$7:$C$9,MATCH(E643,'Lookup Tables'!$B$7:$B$9,0))</f>
        <v>Tier 1 (Metro)</v>
      </c>
      <c r="V643" s="21" t="str">
        <f t="shared" si="30"/>
        <v>7-12 months</v>
      </c>
      <c r="W643" s="21" t="str">
        <f t="shared" si="31"/>
        <v>Low Risk</v>
      </c>
      <c r="X643" s="21" t="str">
        <f t="shared" si="32"/>
        <v>No</v>
      </c>
    </row>
    <row r="644" spans="1:24" x14ac:dyDescent="0.3">
      <c r="A644" s="21">
        <f>'Raw Data'!A644</f>
        <v>50643</v>
      </c>
      <c r="B644" s="21">
        <f>'Raw Data'!B644</f>
        <v>0</v>
      </c>
      <c r="C644" s="21">
        <f>'Raw Data'!C644</f>
        <v>35</v>
      </c>
      <c r="D644" s="21" t="str">
        <f>'Raw Data'!D644</f>
        <v>Mobile Phone</v>
      </c>
      <c r="E644" s="21">
        <f>'Raw Data'!E644</f>
        <v>1</v>
      </c>
      <c r="F644" s="21">
        <f>IF('Raw Data'!F644="",ROUND(AVERAGE('Raw Data'!$F$2:$F$1501),1),'Raw Data'!F644)</f>
        <v>14</v>
      </c>
      <c r="G644" s="21" t="str">
        <f>'Raw Data'!G644</f>
        <v>E wallet</v>
      </c>
      <c r="H644" s="21" t="str">
        <f>'Raw Data'!H644</f>
        <v>Female</v>
      </c>
      <c r="I644" s="21">
        <f>IF('Raw Data'!I644="",ROUND(AVERAGE('Raw Data'!$I$2:$I$1501),1),'Raw Data'!I644)</f>
        <v>2.1</v>
      </c>
      <c r="J644" s="21">
        <f>'Raw Data'!J644</f>
        <v>2</v>
      </c>
      <c r="K644" s="21" t="str">
        <f>'Raw Data'!K644</f>
        <v>Fashion</v>
      </c>
      <c r="L644" s="21">
        <f>'Raw Data'!L644</f>
        <v>5</v>
      </c>
      <c r="M644" s="21" t="str">
        <f>'Raw Data'!M644</f>
        <v>Married</v>
      </c>
      <c r="N644" s="21">
        <f>'Raw Data'!N644</f>
        <v>8</v>
      </c>
      <c r="O644" s="21">
        <f>'Raw Data'!O644</f>
        <v>1</v>
      </c>
      <c r="P644" s="21">
        <f>IF('Raw Data'!P644="",ROUND(AVERAGE('Raw Data'!$P$2:$P$1501),1),'Raw Data'!P644)</f>
        <v>21</v>
      </c>
      <c r="Q644" s="21">
        <f>IF('Raw Data'!Q644="",ROUND(AVERAGE('Raw Data'!$Q$2:$Q$1501),0),'Raw Data'!Q644)</f>
        <v>3</v>
      </c>
      <c r="R644" s="21">
        <f>'Raw Data'!R644</f>
        <v>3</v>
      </c>
      <c r="S644" s="21">
        <f>IF('Raw Data'!S644="",ROUND(AVERAGE('Raw Data'!$S$2:$S$1501),0),'Raw Data'!S644)</f>
        <v>8</v>
      </c>
      <c r="T644" s="21">
        <f>'Raw Data'!T644</f>
        <v>145.24</v>
      </c>
      <c r="U644" s="21" t="str">
        <f>INDEX('Lookup Tables'!$C$7:$C$9,MATCH(E644,'Lookup Tables'!$B$7:$B$9,0))</f>
        <v>Tier 1 (Metro)</v>
      </c>
      <c r="V644" s="21" t="str">
        <f t="shared" si="30"/>
        <v>25+ months</v>
      </c>
      <c r="W644" s="21" t="str">
        <f t="shared" si="31"/>
        <v>Low Risk</v>
      </c>
      <c r="X644" s="21" t="str">
        <f t="shared" si="32"/>
        <v>No</v>
      </c>
    </row>
    <row r="645" spans="1:24" x14ac:dyDescent="0.3">
      <c r="A645" s="21">
        <f>'Raw Data'!A645</f>
        <v>50644</v>
      </c>
      <c r="B645" s="21">
        <f>'Raw Data'!B645</f>
        <v>1</v>
      </c>
      <c r="C645" s="21">
        <f>'Raw Data'!C645</f>
        <v>0</v>
      </c>
      <c r="D645" s="21" t="str">
        <f>'Raw Data'!D645</f>
        <v>Mobile Phone</v>
      </c>
      <c r="E645" s="21">
        <f>'Raw Data'!E645</f>
        <v>2</v>
      </c>
      <c r="F645" s="21">
        <f>IF('Raw Data'!F645="",ROUND(AVERAGE('Raw Data'!$F$2:$F$1501),1),'Raw Data'!F645)</f>
        <v>18</v>
      </c>
      <c r="G645" s="21" t="str">
        <f>'Raw Data'!G645</f>
        <v>E wallet</v>
      </c>
      <c r="H645" s="21" t="str">
        <f>'Raw Data'!H645</f>
        <v>Female</v>
      </c>
      <c r="I645" s="21">
        <f>IF('Raw Data'!I645="",ROUND(AVERAGE('Raw Data'!$I$2:$I$1501),1),'Raw Data'!I645)</f>
        <v>3.9</v>
      </c>
      <c r="J645" s="21">
        <f>'Raw Data'!J645</f>
        <v>2</v>
      </c>
      <c r="K645" s="21" t="str">
        <f>'Raw Data'!K645</f>
        <v>Fashion</v>
      </c>
      <c r="L645" s="21">
        <f>'Raw Data'!L645</f>
        <v>2</v>
      </c>
      <c r="M645" s="21" t="str">
        <f>'Raw Data'!M645</f>
        <v>Married</v>
      </c>
      <c r="N645" s="21">
        <f>'Raw Data'!N645</f>
        <v>7</v>
      </c>
      <c r="O645" s="21">
        <f>'Raw Data'!O645</f>
        <v>0</v>
      </c>
      <c r="P645" s="21">
        <f>IF('Raw Data'!P645="",ROUND(AVERAGE('Raw Data'!$P$2:$P$1501),1),'Raw Data'!P645)</f>
        <v>14.4</v>
      </c>
      <c r="Q645" s="21">
        <f>IF('Raw Data'!Q645="",ROUND(AVERAGE('Raw Data'!$Q$2:$Q$1501),0),'Raw Data'!Q645)</f>
        <v>5</v>
      </c>
      <c r="R645" s="21">
        <f>'Raw Data'!R645</f>
        <v>3</v>
      </c>
      <c r="S645" s="21">
        <f>IF('Raw Data'!S645="",ROUND(AVERAGE('Raw Data'!$S$2:$S$1501),0),'Raw Data'!S645)</f>
        <v>2</v>
      </c>
      <c r="T645" s="21">
        <f>'Raw Data'!T645</f>
        <v>140.97</v>
      </c>
      <c r="U645" s="21" t="str">
        <f>INDEX('Lookup Tables'!$C$7:$C$9,MATCH(E645,'Lookup Tables'!$B$7:$B$9,0))</f>
        <v>Tier 2 (Urban)</v>
      </c>
      <c r="V645" s="21" t="str">
        <f t="shared" si="30"/>
        <v>0-6 months</v>
      </c>
      <c r="W645" s="21" t="str">
        <f t="shared" si="31"/>
        <v>Low Risk</v>
      </c>
      <c r="X645" s="21" t="str">
        <f t="shared" si="32"/>
        <v>Yes</v>
      </c>
    </row>
    <row r="646" spans="1:24" x14ac:dyDescent="0.3">
      <c r="A646" s="21">
        <f>'Raw Data'!A646</f>
        <v>50645</v>
      </c>
      <c r="B646" s="21">
        <f>'Raw Data'!B646</f>
        <v>0</v>
      </c>
      <c r="C646" s="21">
        <f>'Raw Data'!C646</f>
        <v>11</v>
      </c>
      <c r="D646" s="21" t="str">
        <f>'Raw Data'!D646</f>
        <v>Mobile Phone</v>
      </c>
      <c r="E646" s="21">
        <f>'Raw Data'!E646</f>
        <v>1</v>
      </c>
      <c r="F646" s="21">
        <f>IF('Raw Data'!F646="",ROUND(AVERAGE('Raw Data'!$F$2:$F$1501),1),'Raw Data'!F646)</f>
        <v>14.8</v>
      </c>
      <c r="G646" s="21" t="str">
        <f>'Raw Data'!G646</f>
        <v>Credit Card</v>
      </c>
      <c r="H646" s="21" t="str">
        <f>'Raw Data'!H646</f>
        <v>Male</v>
      </c>
      <c r="I646" s="21">
        <f>IF('Raw Data'!I646="",ROUND(AVERAGE('Raw Data'!$I$2:$I$1501),1),'Raw Data'!I646)</f>
        <v>4.3</v>
      </c>
      <c r="J646" s="21">
        <f>'Raw Data'!J646</f>
        <v>3</v>
      </c>
      <c r="K646" s="21" t="str">
        <f>'Raw Data'!K646</f>
        <v>Mobile Phone</v>
      </c>
      <c r="L646" s="21">
        <f>'Raw Data'!L646</f>
        <v>3</v>
      </c>
      <c r="M646" s="21" t="str">
        <f>'Raw Data'!M646</f>
        <v>Single</v>
      </c>
      <c r="N646" s="21">
        <f>'Raw Data'!N646</f>
        <v>12</v>
      </c>
      <c r="O646" s="21">
        <f>'Raw Data'!O646</f>
        <v>0</v>
      </c>
      <c r="P646" s="21">
        <f>IF('Raw Data'!P646="",ROUND(AVERAGE('Raw Data'!$P$2:$P$1501),1),'Raw Data'!P646)</f>
        <v>11.2</v>
      </c>
      <c r="Q646" s="21">
        <f>IF('Raw Data'!Q646="",ROUND(AVERAGE('Raw Data'!$Q$2:$Q$1501),0),'Raw Data'!Q646)</f>
        <v>2</v>
      </c>
      <c r="R646" s="21">
        <f>'Raw Data'!R646</f>
        <v>1</v>
      </c>
      <c r="S646" s="21">
        <f>IF('Raw Data'!S646="",ROUND(AVERAGE('Raw Data'!$S$2:$S$1501),0),'Raw Data'!S646)</f>
        <v>1</v>
      </c>
      <c r="T646" s="21">
        <f>'Raw Data'!T646</f>
        <v>147.6</v>
      </c>
      <c r="U646" s="21" t="str">
        <f>INDEX('Lookup Tables'!$C$7:$C$9,MATCH(E646,'Lookup Tables'!$B$7:$B$9,0))</f>
        <v>Tier 1 (Metro)</v>
      </c>
      <c r="V646" s="21" t="str">
        <f t="shared" si="30"/>
        <v>7-12 months</v>
      </c>
      <c r="W646" s="21" t="str">
        <f t="shared" si="31"/>
        <v>Medium Risk</v>
      </c>
      <c r="X646" s="21" t="str">
        <f t="shared" si="32"/>
        <v>No</v>
      </c>
    </row>
    <row r="647" spans="1:24" x14ac:dyDescent="0.3">
      <c r="A647" s="21">
        <f>'Raw Data'!A647</f>
        <v>50646</v>
      </c>
      <c r="B647" s="21">
        <f>'Raw Data'!B647</f>
        <v>1</v>
      </c>
      <c r="C647" s="21">
        <f>'Raw Data'!C647</f>
        <v>5</v>
      </c>
      <c r="D647" s="21" t="str">
        <f>'Raw Data'!D647</f>
        <v>Mobile Phone</v>
      </c>
      <c r="E647" s="21">
        <f>'Raw Data'!E647</f>
        <v>3</v>
      </c>
      <c r="F647" s="21">
        <f>IF('Raw Data'!F647="",ROUND(AVERAGE('Raw Data'!$F$2:$F$1501),1),'Raw Data'!F647)</f>
        <v>13</v>
      </c>
      <c r="G647" s="21" t="str">
        <f>'Raw Data'!G647</f>
        <v>UPI</v>
      </c>
      <c r="H647" s="21" t="str">
        <f>'Raw Data'!H647</f>
        <v>Male</v>
      </c>
      <c r="I647" s="21">
        <f>IF('Raw Data'!I647="",ROUND(AVERAGE('Raw Data'!$I$2:$I$1501),1),'Raw Data'!I647)</f>
        <v>3</v>
      </c>
      <c r="J647" s="21">
        <f>'Raw Data'!J647</f>
        <v>5</v>
      </c>
      <c r="K647" s="21" t="str">
        <f>'Raw Data'!K647</f>
        <v>Fashion</v>
      </c>
      <c r="L647" s="21">
        <f>'Raw Data'!L647</f>
        <v>2</v>
      </c>
      <c r="M647" s="21" t="str">
        <f>'Raw Data'!M647</f>
        <v>Married</v>
      </c>
      <c r="N647" s="21">
        <f>'Raw Data'!N647</f>
        <v>4</v>
      </c>
      <c r="O647" s="21">
        <f>'Raw Data'!O647</f>
        <v>0</v>
      </c>
      <c r="P647" s="21">
        <f>IF('Raw Data'!P647="",ROUND(AVERAGE('Raw Data'!$P$2:$P$1501),1),'Raw Data'!P647)</f>
        <v>11</v>
      </c>
      <c r="Q647" s="21">
        <f>IF('Raw Data'!Q647="",ROUND(AVERAGE('Raw Data'!$Q$2:$Q$1501),0),'Raw Data'!Q647)</f>
        <v>0</v>
      </c>
      <c r="R647" s="21">
        <f>'Raw Data'!R647</f>
        <v>3</v>
      </c>
      <c r="S647" s="21">
        <f>IF('Raw Data'!S647="",ROUND(AVERAGE('Raw Data'!$S$2:$S$1501),0),'Raw Data'!S647)</f>
        <v>0</v>
      </c>
      <c r="T647" s="21">
        <f>'Raw Data'!T647</f>
        <v>176</v>
      </c>
      <c r="U647" s="21" t="str">
        <f>INDEX('Lookup Tables'!$C$7:$C$9,MATCH(E647,'Lookup Tables'!$B$7:$B$9,0))</f>
        <v>Tier 3 (Semi-urban/Rural)</v>
      </c>
      <c r="V647" s="21" t="str">
        <f t="shared" si="30"/>
        <v>0-6 months</v>
      </c>
      <c r="W647" s="21" t="str">
        <f t="shared" si="31"/>
        <v>Low Risk</v>
      </c>
      <c r="X647" s="21" t="str">
        <f t="shared" si="32"/>
        <v>Yes</v>
      </c>
    </row>
    <row r="648" spans="1:24" x14ac:dyDescent="0.3">
      <c r="A648" s="21">
        <f>'Raw Data'!A648</f>
        <v>50647</v>
      </c>
      <c r="B648" s="21">
        <f>'Raw Data'!B648</f>
        <v>0</v>
      </c>
      <c r="C648" s="21">
        <f>'Raw Data'!C648</f>
        <v>20</v>
      </c>
      <c r="D648" s="21" t="str">
        <f>'Raw Data'!D648</f>
        <v>Mobile Phone</v>
      </c>
      <c r="E648" s="21">
        <f>'Raw Data'!E648</f>
        <v>3</v>
      </c>
      <c r="F648" s="21">
        <f>IF('Raw Data'!F648="",ROUND(AVERAGE('Raw Data'!$F$2:$F$1501),1),'Raw Data'!F648)</f>
        <v>7</v>
      </c>
      <c r="G648" s="21" t="str">
        <f>'Raw Data'!G648</f>
        <v>Credit Card</v>
      </c>
      <c r="H648" s="21" t="str">
        <f>'Raw Data'!H648</f>
        <v>Female</v>
      </c>
      <c r="I648" s="21">
        <f>IF('Raw Data'!I648="",ROUND(AVERAGE('Raw Data'!$I$2:$I$1501),1),'Raw Data'!I648)</f>
        <v>3.3</v>
      </c>
      <c r="J648" s="21">
        <f>'Raw Data'!J648</f>
        <v>2</v>
      </c>
      <c r="K648" s="21" t="str">
        <f>'Raw Data'!K648</f>
        <v>Fashion</v>
      </c>
      <c r="L648" s="21">
        <f>'Raw Data'!L648</f>
        <v>5</v>
      </c>
      <c r="M648" s="21" t="str">
        <f>'Raw Data'!M648</f>
        <v>Single</v>
      </c>
      <c r="N648" s="21">
        <f>'Raw Data'!N648</f>
        <v>4</v>
      </c>
      <c r="O648" s="21">
        <f>'Raw Data'!O648</f>
        <v>0</v>
      </c>
      <c r="P648" s="21">
        <f>IF('Raw Data'!P648="",ROUND(AVERAGE('Raw Data'!$P$2:$P$1501),1),'Raw Data'!P648)</f>
        <v>23.2</v>
      </c>
      <c r="Q648" s="21">
        <f>IF('Raw Data'!Q648="",ROUND(AVERAGE('Raw Data'!$Q$2:$Q$1501),0),'Raw Data'!Q648)</f>
        <v>3</v>
      </c>
      <c r="R648" s="21">
        <f>'Raw Data'!R648</f>
        <v>3</v>
      </c>
      <c r="S648" s="21">
        <f>IF('Raw Data'!S648="",ROUND(AVERAGE('Raw Data'!$S$2:$S$1501),0),'Raw Data'!S648)</f>
        <v>6</v>
      </c>
      <c r="T648" s="21">
        <f>'Raw Data'!T648</f>
        <v>223.15</v>
      </c>
      <c r="U648" s="21" t="str">
        <f>INDEX('Lookup Tables'!$C$7:$C$9,MATCH(E648,'Lookup Tables'!$B$7:$B$9,0))</f>
        <v>Tier 3 (Semi-urban/Rural)</v>
      </c>
      <c r="V648" s="21" t="str">
        <f t="shared" si="30"/>
        <v>13-24 months</v>
      </c>
      <c r="W648" s="21" t="str">
        <f t="shared" si="31"/>
        <v>Low Risk</v>
      </c>
      <c r="X648" s="21" t="str">
        <f t="shared" si="32"/>
        <v>No</v>
      </c>
    </row>
    <row r="649" spans="1:24" x14ac:dyDescent="0.3">
      <c r="A649" s="21">
        <f>'Raw Data'!A649</f>
        <v>50648</v>
      </c>
      <c r="B649" s="21">
        <f>'Raw Data'!B649</f>
        <v>0</v>
      </c>
      <c r="C649" s="21">
        <f>'Raw Data'!C649</f>
        <v>1</v>
      </c>
      <c r="D649" s="21" t="str">
        <f>'Raw Data'!D649</f>
        <v>Computer</v>
      </c>
      <c r="E649" s="21">
        <f>'Raw Data'!E649</f>
        <v>1</v>
      </c>
      <c r="F649" s="21">
        <f>IF('Raw Data'!F649="",ROUND(AVERAGE('Raw Data'!$F$2:$F$1501),1),'Raw Data'!F649)</f>
        <v>14</v>
      </c>
      <c r="G649" s="21" t="str">
        <f>'Raw Data'!G649</f>
        <v>Credit Card</v>
      </c>
      <c r="H649" s="21" t="str">
        <f>'Raw Data'!H649</f>
        <v>Male</v>
      </c>
      <c r="I649" s="21">
        <f>IF('Raw Data'!I649="",ROUND(AVERAGE('Raw Data'!$I$2:$I$1501),1),'Raw Data'!I649)</f>
        <v>3</v>
      </c>
      <c r="J649" s="21">
        <f>'Raw Data'!J649</f>
        <v>3</v>
      </c>
      <c r="K649" s="21" t="str">
        <f>'Raw Data'!K649</f>
        <v>Fashion</v>
      </c>
      <c r="L649" s="21">
        <f>'Raw Data'!L649</f>
        <v>5</v>
      </c>
      <c r="M649" s="21" t="str">
        <f>'Raw Data'!M649</f>
        <v>Single</v>
      </c>
      <c r="N649" s="21">
        <f>'Raw Data'!N649</f>
        <v>2</v>
      </c>
      <c r="O649" s="21">
        <f>'Raw Data'!O649</f>
        <v>0</v>
      </c>
      <c r="P649" s="21">
        <f>IF('Raw Data'!P649="",ROUND(AVERAGE('Raw Data'!$P$2:$P$1501),1),'Raw Data'!P649)</f>
        <v>14.1</v>
      </c>
      <c r="Q649" s="21">
        <f>IF('Raw Data'!Q649="",ROUND(AVERAGE('Raw Data'!$Q$2:$Q$1501),0),'Raw Data'!Q649)</f>
        <v>1</v>
      </c>
      <c r="R649" s="21">
        <f>'Raw Data'!R649</f>
        <v>2</v>
      </c>
      <c r="S649" s="21">
        <f>IF('Raw Data'!S649="",ROUND(AVERAGE('Raw Data'!$S$2:$S$1501),0),'Raw Data'!S649)</f>
        <v>4</v>
      </c>
      <c r="T649" s="21">
        <f>'Raw Data'!T649</f>
        <v>179.98</v>
      </c>
      <c r="U649" s="21" t="str">
        <f>INDEX('Lookup Tables'!$C$7:$C$9,MATCH(E649,'Lookup Tables'!$B$7:$B$9,0))</f>
        <v>Tier 1 (Metro)</v>
      </c>
      <c r="V649" s="21" t="str">
        <f t="shared" si="30"/>
        <v>0-6 months</v>
      </c>
      <c r="W649" s="21" t="str">
        <f t="shared" si="31"/>
        <v>Low Risk</v>
      </c>
      <c r="X649" s="21" t="str">
        <f t="shared" si="32"/>
        <v>No</v>
      </c>
    </row>
    <row r="650" spans="1:24" x14ac:dyDescent="0.3">
      <c r="A650" s="21">
        <f>'Raw Data'!A650</f>
        <v>50649</v>
      </c>
      <c r="B650" s="21">
        <f>'Raw Data'!B650</f>
        <v>0</v>
      </c>
      <c r="C650" s="21">
        <f>'Raw Data'!C650</f>
        <v>11</v>
      </c>
      <c r="D650" s="21" t="str">
        <f>'Raw Data'!D650</f>
        <v>Computer</v>
      </c>
      <c r="E650" s="21">
        <f>'Raw Data'!E650</f>
        <v>2</v>
      </c>
      <c r="F650" s="21">
        <f>IF('Raw Data'!F650="",ROUND(AVERAGE('Raw Data'!$F$2:$F$1501),1),'Raw Data'!F650)</f>
        <v>8</v>
      </c>
      <c r="G650" s="21" t="str">
        <f>'Raw Data'!G650</f>
        <v>Debit Card</v>
      </c>
      <c r="H650" s="21" t="str">
        <f>'Raw Data'!H650</f>
        <v>Female</v>
      </c>
      <c r="I650" s="21">
        <f>IF('Raw Data'!I650="",ROUND(AVERAGE('Raw Data'!$I$2:$I$1501),1),'Raw Data'!I650)</f>
        <v>3.3</v>
      </c>
      <c r="J650" s="21">
        <f>'Raw Data'!J650</f>
        <v>4</v>
      </c>
      <c r="K650" s="21" t="str">
        <f>'Raw Data'!K650</f>
        <v>Grocery</v>
      </c>
      <c r="L650" s="21">
        <f>'Raw Data'!L650</f>
        <v>3</v>
      </c>
      <c r="M650" s="21" t="str">
        <f>'Raw Data'!M650</f>
        <v>Divorced</v>
      </c>
      <c r="N650" s="21">
        <f>'Raw Data'!N650</f>
        <v>1</v>
      </c>
      <c r="O650" s="21">
        <f>'Raw Data'!O650</f>
        <v>0</v>
      </c>
      <c r="P650" s="21">
        <f>IF('Raw Data'!P650="",ROUND(AVERAGE('Raw Data'!$P$2:$P$1501),1),'Raw Data'!P650)</f>
        <v>15.3</v>
      </c>
      <c r="Q650" s="21">
        <f>IF('Raw Data'!Q650="",ROUND(AVERAGE('Raw Data'!$Q$2:$Q$1501),0),'Raw Data'!Q650)</f>
        <v>3</v>
      </c>
      <c r="R650" s="21">
        <f>'Raw Data'!R650</f>
        <v>3</v>
      </c>
      <c r="S650" s="21">
        <f>IF('Raw Data'!S650="",ROUND(AVERAGE('Raw Data'!$S$2:$S$1501),0),'Raw Data'!S650)</f>
        <v>2</v>
      </c>
      <c r="T650" s="21">
        <f>'Raw Data'!T650</f>
        <v>183.41</v>
      </c>
      <c r="U650" s="21" t="str">
        <f>INDEX('Lookup Tables'!$C$7:$C$9,MATCH(E650,'Lookup Tables'!$B$7:$B$9,0))</f>
        <v>Tier 2 (Urban)</v>
      </c>
      <c r="V650" s="21" t="str">
        <f t="shared" si="30"/>
        <v>7-12 months</v>
      </c>
      <c r="W650" s="21" t="str">
        <f t="shared" si="31"/>
        <v>Medium Risk</v>
      </c>
      <c r="X650" s="21" t="str">
        <f t="shared" si="32"/>
        <v>No</v>
      </c>
    </row>
    <row r="651" spans="1:24" x14ac:dyDescent="0.3">
      <c r="A651" s="21">
        <f>'Raw Data'!A651</f>
        <v>50650</v>
      </c>
      <c r="B651" s="21">
        <f>'Raw Data'!B651</f>
        <v>0</v>
      </c>
      <c r="C651" s="21">
        <f>'Raw Data'!C651</f>
        <v>18</v>
      </c>
      <c r="D651" s="21" t="str">
        <f>'Raw Data'!D651</f>
        <v>Phone</v>
      </c>
      <c r="E651" s="21">
        <f>'Raw Data'!E651</f>
        <v>2</v>
      </c>
      <c r="F651" s="21">
        <f>IF('Raw Data'!F651="",ROUND(AVERAGE('Raw Data'!$F$2:$F$1501),1),'Raw Data'!F651)</f>
        <v>6</v>
      </c>
      <c r="G651" s="21" t="str">
        <f>'Raw Data'!G651</f>
        <v>Credit Card</v>
      </c>
      <c r="H651" s="21" t="str">
        <f>'Raw Data'!H651</f>
        <v>Female</v>
      </c>
      <c r="I651" s="21">
        <f>IF('Raw Data'!I651="",ROUND(AVERAGE('Raw Data'!$I$2:$I$1501),1),'Raw Data'!I651)</f>
        <v>2.8</v>
      </c>
      <c r="J651" s="21">
        <f>'Raw Data'!J651</f>
        <v>3</v>
      </c>
      <c r="K651" s="21" t="str">
        <f>'Raw Data'!K651</f>
        <v>Mobile Phone</v>
      </c>
      <c r="L651" s="21">
        <f>'Raw Data'!L651</f>
        <v>2</v>
      </c>
      <c r="M651" s="21" t="str">
        <f>'Raw Data'!M651</f>
        <v>Married</v>
      </c>
      <c r="N651" s="21">
        <f>'Raw Data'!N651</f>
        <v>1</v>
      </c>
      <c r="O651" s="21">
        <f>'Raw Data'!O651</f>
        <v>1</v>
      </c>
      <c r="P651" s="21">
        <f>IF('Raw Data'!P651="",ROUND(AVERAGE('Raw Data'!$P$2:$P$1501),1),'Raw Data'!P651)</f>
        <v>12.1</v>
      </c>
      <c r="Q651" s="21">
        <f>IF('Raw Data'!Q651="",ROUND(AVERAGE('Raw Data'!$Q$2:$Q$1501),0),'Raw Data'!Q651)</f>
        <v>1</v>
      </c>
      <c r="R651" s="21">
        <f>'Raw Data'!R651</f>
        <v>3</v>
      </c>
      <c r="S651" s="21">
        <f>IF('Raw Data'!S651="",ROUND(AVERAGE('Raw Data'!$S$2:$S$1501),0),'Raw Data'!S651)</f>
        <v>3</v>
      </c>
      <c r="T651" s="21">
        <f>'Raw Data'!T651</f>
        <v>167.63</v>
      </c>
      <c r="U651" s="21" t="str">
        <f>INDEX('Lookup Tables'!$C$7:$C$9,MATCH(E651,'Lookup Tables'!$B$7:$B$9,0))</f>
        <v>Tier 2 (Urban)</v>
      </c>
      <c r="V651" s="21" t="str">
        <f t="shared" si="30"/>
        <v>13-24 months</v>
      </c>
      <c r="W651" s="21" t="str">
        <f t="shared" si="31"/>
        <v>High Risk</v>
      </c>
      <c r="X651" s="21" t="str">
        <f t="shared" si="32"/>
        <v>No</v>
      </c>
    </row>
    <row r="652" spans="1:24" x14ac:dyDescent="0.3">
      <c r="A652" s="21">
        <f>'Raw Data'!A652</f>
        <v>50651</v>
      </c>
      <c r="B652" s="21">
        <f>'Raw Data'!B652</f>
        <v>0</v>
      </c>
      <c r="C652" s="21">
        <f>'Raw Data'!C652</f>
        <v>28</v>
      </c>
      <c r="D652" s="21" t="str">
        <f>'Raw Data'!D652</f>
        <v>Mobile Phone</v>
      </c>
      <c r="E652" s="21">
        <f>'Raw Data'!E652</f>
        <v>1</v>
      </c>
      <c r="F652" s="21">
        <f>IF('Raw Data'!F652="",ROUND(AVERAGE('Raw Data'!$F$2:$F$1501),1),'Raw Data'!F652)</f>
        <v>17</v>
      </c>
      <c r="G652" s="21" t="str">
        <f>'Raw Data'!G652</f>
        <v>UPI</v>
      </c>
      <c r="H652" s="21" t="str">
        <f>'Raw Data'!H652</f>
        <v>Male</v>
      </c>
      <c r="I652" s="21">
        <f>IF('Raw Data'!I652="",ROUND(AVERAGE('Raw Data'!$I$2:$I$1501),1),'Raw Data'!I652)</f>
        <v>2.9</v>
      </c>
      <c r="J652" s="21">
        <f>'Raw Data'!J652</f>
        <v>3</v>
      </c>
      <c r="K652" s="21" t="str">
        <f>'Raw Data'!K652</f>
        <v>Grocery</v>
      </c>
      <c r="L652" s="21">
        <f>'Raw Data'!L652</f>
        <v>4</v>
      </c>
      <c r="M652" s="21" t="str">
        <f>'Raw Data'!M652</f>
        <v>Single</v>
      </c>
      <c r="N652" s="21">
        <f>'Raw Data'!N652</f>
        <v>1</v>
      </c>
      <c r="O652" s="21">
        <f>'Raw Data'!O652</f>
        <v>0</v>
      </c>
      <c r="P652" s="21">
        <f>IF('Raw Data'!P652="",ROUND(AVERAGE('Raw Data'!$P$2:$P$1501),1),'Raw Data'!P652)</f>
        <v>19.3</v>
      </c>
      <c r="Q652" s="21">
        <f>IF('Raw Data'!Q652="",ROUND(AVERAGE('Raw Data'!$Q$2:$Q$1501),0),'Raw Data'!Q652)</f>
        <v>1</v>
      </c>
      <c r="R652" s="21">
        <f>'Raw Data'!R652</f>
        <v>5</v>
      </c>
      <c r="S652" s="21">
        <f>IF('Raw Data'!S652="",ROUND(AVERAGE('Raw Data'!$S$2:$S$1501),0),'Raw Data'!S652)</f>
        <v>3</v>
      </c>
      <c r="T652" s="21">
        <f>'Raw Data'!T652</f>
        <v>152.54</v>
      </c>
      <c r="U652" s="21" t="str">
        <f>INDEX('Lookup Tables'!$C$7:$C$9,MATCH(E652,'Lookup Tables'!$B$7:$B$9,0))</f>
        <v>Tier 1 (Metro)</v>
      </c>
      <c r="V652" s="21" t="str">
        <f t="shared" si="30"/>
        <v>25+ months</v>
      </c>
      <c r="W652" s="21" t="str">
        <f t="shared" si="31"/>
        <v>Low Risk</v>
      </c>
      <c r="X652" s="21" t="str">
        <f t="shared" si="32"/>
        <v>No</v>
      </c>
    </row>
    <row r="653" spans="1:24" x14ac:dyDescent="0.3">
      <c r="A653" s="21">
        <f>'Raw Data'!A653</f>
        <v>50652</v>
      </c>
      <c r="B653" s="21">
        <f>'Raw Data'!B653</f>
        <v>0</v>
      </c>
      <c r="C653" s="21">
        <f>'Raw Data'!C653</f>
        <v>11</v>
      </c>
      <c r="D653" s="21" t="str">
        <f>'Raw Data'!D653</f>
        <v>Mobile Phone</v>
      </c>
      <c r="E653" s="21">
        <f>'Raw Data'!E653</f>
        <v>3</v>
      </c>
      <c r="F653" s="21">
        <f>IF('Raw Data'!F653="",ROUND(AVERAGE('Raw Data'!$F$2:$F$1501),1),'Raw Data'!F653)</f>
        <v>16</v>
      </c>
      <c r="G653" s="21" t="str">
        <f>'Raw Data'!G653</f>
        <v>E wallet</v>
      </c>
      <c r="H653" s="21" t="str">
        <f>'Raw Data'!H653</f>
        <v>Female</v>
      </c>
      <c r="I653" s="21">
        <f>IF('Raw Data'!I653="",ROUND(AVERAGE('Raw Data'!$I$2:$I$1501),1),'Raw Data'!I653)</f>
        <v>3.5</v>
      </c>
      <c r="J653" s="21">
        <f>'Raw Data'!J653</f>
        <v>4</v>
      </c>
      <c r="K653" s="21" t="str">
        <f>'Raw Data'!K653</f>
        <v>Fashion</v>
      </c>
      <c r="L653" s="21">
        <f>'Raw Data'!L653</f>
        <v>4</v>
      </c>
      <c r="M653" s="21" t="str">
        <f>'Raw Data'!M653</f>
        <v>Married</v>
      </c>
      <c r="N653" s="21">
        <f>'Raw Data'!N653</f>
        <v>7</v>
      </c>
      <c r="O653" s="21">
        <f>'Raw Data'!O653</f>
        <v>0</v>
      </c>
      <c r="P653" s="21">
        <f>IF('Raw Data'!P653="",ROUND(AVERAGE('Raw Data'!$P$2:$P$1501),1),'Raw Data'!P653)</f>
        <v>13.3</v>
      </c>
      <c r="Q653" s="21">
        <f>IF('Raw Data'!Q653="",ROUND(AVERAGE('Raw Data'!$Q$2:$Q$1501),0),'Raw Data'!Q653)</f>
        <v>1</v>
      </c>
      <c r="R653" s="21">
        <f>'Raw Data'!R653</f>
        <v>2</v>
      </c>
      <c r="S653" s="21">
        <f>IF('Raw Data'!S653="",ROUND(AVERAGE('Raw Data'!$S$2:$S$1501),0),'Raw Data'!S653)</f>
        <v>1</v>
      </c>
      <c r="T653" s="21">
        <f>'Raw Data'!T653</f>
        <v>229.18</v>
      </c>
      <c r="U653" s="21" t="str">
        <f>INDEX('Lookup Tables'!$C$7:$C$9,MATCH(E653,'Lookup Tables'!$B$7:$B$9,0))</f>
        <v>Tier 3 (Semi-urban/Rural)</v>
      </c>
      <c r="V653" s="21" t="str">
        <f t="shared" si="30"/>
        <v>7-12 months</v>
      </c>
      <c r="W653" s="21" t="str">
        <f t="shared" si="31"/>
        <v>Low Risk</v>
      </c>
      <c r="X653" s="21" t="str">
        <f t="shared" si="32"/>
        <v>No</v>
      </c>
    </row>
    <row r="654" spans="1:24" x14ac:dyDescent="0.3">
      <c r="A654" s="21">
        <f>'Raw Data'!A654</f>
        <v>50653</v>
      </c>
      <c r="B654" s="21">
        <f>'Raw Data'!B654</f>
        <v>0</v>
      </c>
      <c r="C654" s="21">
        <f>'Raw Data'!C654</f>
        <v>6</v>
      </c>
      <c r="D654" s="21" t="str">
        <f>'Raw Data'!D654</f>
        <v>Mobile Phone</v>
      </c>
      <c r="E654" s="21">
        <f>'Raw Data'!E654</f>
        <v>3</v>
      </c>
      <c r="F654" s="21">
        <f>IF('Raw Data'!F654="",ROUND(AVERAGE('Raw Data'!$F$2:$F$1501),1),'Raw Data'!F654)</f>
        <v>21</v>
      </c>
      <c r="G654" s="21" t="str">
        <f>'Raw Data'!G654</f>
        <v>UPI</v>
      </c>
      <c r="H654" s="21" t="str">
        <f>'Raw Data'!H654</f>
        <v>Female</v>
      </c>
      <c r="I654" s="21">
        <f>IF('Raw Data'!I654="",ROUND(AVERAGE('Raw Data'!$I$2:$I$1501),1),'Raw Data'!I654)</f>
        <v>4.5</v>
      </c>
      <c r="J654" s="21">
        <f>'Raw Data'!J654</f>
        <v>3</v>
      </c>
      <c r="K654" s="21" t="str">
        <f>'Raw Data'!K654</f>
        <v>Grocery</v>
      </c>
      <c r="L654" s="21">
        <f>'Raw Data'!L654</f>
        <v>3</v>
      </c>
      <c r="M654" s="21" t="str">
        <f>'Raw Data'!M654</f>
        <v>Single</v>
      </c>
      <c r="N654" s="21">
        <f>'Raw Data'!N654</f>
        <v>1</v>
      </c>
      <c r="O654" s="21">
        <f>'Raw Data'!O654</f>
        <v>0</v>
      </c>
      <c r="P654" s="21">
        <f>IF('Raw Data'!P654="",ROUND(AVERAGE('Raw Data'!$P$2:$P$1501),1),'Raw Data'!P654)</f>
        <v>14.3</v>
      </c>
      <c r="Q654" s="21">
        <f>IF('Raw Data'!Q654="",ROUND(AVERAGE('Raw Data'!$Q$2:$Q$1501),0),'Raw Data'!Q654)</f>
        <v>3</v>
      </c>
      <c r="R654" s="21">
        <f>'Raw Data'!R654</f>
        <v>8</v>
      </c>
      <c r="S654" s="21">
        <f>IF('Raw Data'!S654="",ROUND(AVERAGE('Raw Data'!$S$2:$S$1501),0),'Raw Data'!S654)</f>
        <v>2</v>
      </c>
      <c r="T654" s="21">
        <f>'Raw Data'!T654</f>
        <v>220.83</v>
      </c>
      <c r="U654" s="21" t="str">
        <f>INDEX('Lookup Tables'!$C$7:$C$9,MATCH(E654,'Lookup Tables'!$B$7:$B$9,0))</f>
        <v>Tier 3 (Semi-urban/Rural)</v>
      </c>
      <c r="V654" s="21" t="str">
        <f t="shared" si="30"/>
        <v>0-6 months</v>
      </c>
      <c r="W654" s="21" t="str">
        <f t="shared" si="31"/>
        <v>Medium Risk</v>
      </c>
      <c r="X654" s="21" t="str">
        <f t="shared" si="32"/>
        <v>No</v>
      </c>
    </row>
    <row r="655" spans="1:24" x14ac:dyDescent="0.3">
      <c r="A655" s="21">
        <f>'Raw Data'!A655</f>
        <v>50654</v>
      </c>
      <c r="B655" s="21">
        <f>'Raw Data'!B655</f>
        <v>0</v>
      </c>
      <c r="C655" s="21">
        <f>'Raw Data'!C655</f>
        <v>9</v>
      </c>
      <c r="D655" s="21" t="str">
        <f>'Raw Data'!D655</f>
        <v>Phone</v>
      </c>
      <c r="E655" s="21">
        <f>'Raw Data'!E655</f>
        <v>2</v>
      </c>
      <c r="F655" s="21">
        <f>IF('Raw Data'!F655="",ROUND(AVERAGE('Raw Data'!$F$2:$F$1501),1),'Raw Data'!F655)</f>
        <v>11</v>
      </c>
      <c r="G655" s="21" t="str">
        <f>'Raw Data'!G655</f>
        <v>Credit Card</v>
      </c>
      <c r="H655" s="21" t="str">
        <f>'Raw Data'!H655</f>
        <v>Female</v>
      </c>
      <c r="I655" s="21">
        <f>IF('Raw Data'!I655="",ROUND(AVERAGE('Raw Data'!$I$2:$I$1501),1),'Raw Data'!I655)</f>
        <v>1.9</v>
      </c>
      <c r="J655" s="21">
        <f>'Raw Data'!J655</f>
        <v>4</v>
      </c>
      <c r="K655" s="21" t="str">
        <f>'Raw Data'!K655</f>
        <v>Mobile Phone</v>
      </c>
      <c r="L655" s="21">
        <f>'Raw Data'!L655</f>
        <v>5</v>
      </c>
      <c r="M655" s="21" t="str">
        <f>'Raw Data'!M655</f>
        <v>Divorced</v>
      </c>
      <c r="N655" s="21">
        <f>'Raw Data'!N655</f>
        <v>8</v>
      </c>
      <c r="O655" s="21">
        <f>'Raw Data'!O655</f>
        <v>0</v>
      </c>
      <c r="P655" s="21">
        <f>IF('Raw Data'!P655="",ROUND(AVERAGE('Raw Data'!$P$2:$P$1501),1),'Raw Data'!P655)</f>
        <v>17</v>
      </c>
      <c r="Q655" s="21">
        <f>IF('Raw Data'!Q655="",ROUND(AVERAGE('Raw Data'!$Q$2:$Q$1501),0),'Raw Data'!Q655)</f>
        <v>2</v>
      </c>
      <c r="R655" s="21">
        <f>'Raw Data'!R655</f>
        <v>6</v>
      </c>
      <c r="S655" s="21">
        <f>IF('Raw Data'!S655="",ROUND(AVERAGE('Raw Data'!$S$2:$S$1501),0),'Raw Data'!S655)</f>
        <v>1</v>
      </c>
      <c r="T655" s="21">
        <f>'Raw Data'!T655</f>
        <v>292.49</v>
      </c>
      <c r="U655" s="21" t="str">
        <f>INDEX('Lookup Tables'!$C$7:$C$9,MATCH(E655,'Lookup Tables'!$B$7:$B$9,0))</f>
        <v>Tier 2 (Urban)</v>
      </c>
      <c r="V655" s="21" t="str">
        <f t="shared" si="30"/>
        <v>7-12 months</v>
      </c>
      <c r="W655" s="21" t="str">
        <f t="shared" si="31"/>
        <v>Low Risk</v>
      </c>
      <c r="X655" s="21" t="str">
        <f t="shared" si="32"/>
        <v>No</v>
      </c>
    </row>
    <row r="656" spans="1:24" x14ac:dyDescent="0.3">
      <c r="A656" s="21">
        <f>'Raw Data'!A656</f>
        <v>50655</v>
      </c>
      <c r="B656" s="21">
        <f>'Raw Data'!B656</f>
        <v>0</v>
      </c>
      <c r="C656" s="21">
        <f>'Raw Data'!C656</f>
        <v>20</v>
      </c>
      <c r="D656" s="21" t="str">
        <f>'Raw Data'!D656</f>
        <v>Computer</v>
      </c>
      <c r="E656" s="21">
        <f>'Raw Data'!E656</f>
        <v>3</v>
      </c>
      <c r="F656" s="21">
        <f>IF('Raw Data'!F656="",ROUND(AVERAGE('Raw Data'!$F$2:$F$1501),1),'Raw Data'!F656)</f>
        <v>18</v>
      </c>
      <c r="G656" s="21" t="str">
        <f>'Raw Data'!G656</f>
        <v>Debit Card</v>
      </c>
      <c r="H656" s="21" t="str">
        <f>'Raw Data'!H656</f>
        <v>Female</v>
      </c>
      <c r="I656" s="21">
        <f>IF('Raw Data'!I656="",ROUND(AVERAGE('Raw Data'!$I$2:$I$1501),1),'Raw Data'!I656)</f>
        <v>2.8</v>
      </c>
      <c r="J656" s="21">
        <f>'Raw Data'!J656</f>
        <v>4</v>
      </c>
      <c r="K656" s="21" t="str">
        <f>'Raw Data'!K656</f>
        <v>Laptop &amp; Accessory</v>
      </c>
      <c r="L656" s="21">
        <f>'Raw Data'!L656</f>
        <v>5</v>
      </c>
      <c r="M656" s="21" t="str">
        <f>'Raw Data'!M656</f>
        <v>Single</v>
      </c>
      <c r="N656" s="21">
        <f>'Raw Data'!N656</f>
        <v>2</v>
      </c>
      <c r="O656" s="21">
        <f>'Raw Data'!O656</f>
        <v>0</v>
      </c>
      <c r="P656" s="21">
        <f>IF('Raw Data'!P656="",ROUND(AVERAGE('Raw Data'!$P$2:$P$1501),1),'Raw Data'!P656)</f>
        <v>12.3</v>
      </c>
      <c r="Q656" s="21">
        <f>IF('Raw Data'!Q656="",ROUND(AVERAGE('Raw Data'!$Q$2:$Q$1501),0),'Raw Data'!Q656)</f>
        <v>2</v>
      </c>
      <c r="R656" s="21">
        <f>'Raw Data'!R656</f>
        <v>3</v>
      </c>
      <c r="S656" s="21">
        <f>IF('Raw Data'!S656="",ROUND(AVERAGE('Raw Data'!$S$2:$S$1501),0),'Raw Data'!S656)</f>
        <v>2</v>
      </c>
      <c r="T656" s="21">
        <f>'Raw Data'!T656</f>
        <v>213.58</v>
      </c>
      <c r="U656" s="21" t="str">
        <f>INDEX('Lookup Tables'!$C$7:$C$9,MATCH(E656,'Lookup Tables'!$B$7:$B$9,0))</f>
        <v>Tier 3 (Semi-urban/Rural)</v>
      </c>
      <c r="V656" s="21" t="str">
        <f t="shared" si="30"/>
        <v>13-24 months</v>
      </c>
      <c r="W656" s="21" t="str">
        <f t="shared" si="31"/>
        <v>Low Risk</v>
      </c>
      <c r="X656" s="21" t="str">
        <f t="shared" si="32"/>
        <v>No</v>
      </c>
    </row>
    <row r="657" spans="1:24" x14ac:dyDescent="0.3">
      <c r="A657" s="21">
        <f>'Raw Data'!A657</f>
        <v>50656</v>
      </c>
      <c r="B657" s="21">
        <f>'Raw Data'!B657</f>
        <v>0</v>
      </c>
      <c r="C657" s="21">
        <f>'Raw Data'!C657</f>
        <v>8</v>
      </c>
      <c r="D657" s="21" t="str">
        <f>'Raw Data'!D657</f>
        <v>Computer</v>
      </c>
      <c r="E657" s="21">
        <f>'Raw Data'!E657</f>
        <v>1</v>
      </c>
      <c r="F657" s="21">
        <f>IF('Raw Data'!F657="",ROUND(AVERAGE('Raw Data'!$F$2:$F$1501),1),'Raw Data'!F657)</f>
        <v>19</v>
      </c>
      <c r="G657" s="21" t="str">
        <f>'Raw Data'!G657</f>
        <v>Debit Card</v>
      </c>
      <c r="H657" s="21" t="str">
        <f>'Raw Data'!H657</f>
        <v>Female</v>
      </c>
      <c r="I657" s="21">
        <f>IF('Raw Data'!I657="",ROUND(AVERAGE('Raw Data'!$I$2:$I$1501),1),'Raw Data'!I657)</f>
        <v>2.1</v>
      </c>
      <c r="J657" s="21">
        <f>'Raw Data'!J657</f>
        <v>4</v>
      </c>
      <c r="K657" s="21" t="str">
        <f>'Raw Data'!K657</f>
        <v>Mobile Phone</v>
      </c>
      <c r="L657" s="21">
        <f>'Raw Data'!L657</f>
        <v>4</v>
      </c>
      <c r="M657" s="21" t="str">
        <f>'Raw Data'!M657</f>
        <v>Single</v>
      </c>
      <c r="N657" s="21">
        <f>'Raw Data'!N657</f>
        <v>4</v>
      </c>
      <c r="O657" s="21">
        <f>'Raw Data'!O657</f>
        <v>0</v>
      </c>
      <c r="P657" s="21">
        <f>IF('Raw Data'!P657="",ROUND(AVERAGE('Raw Data'!$P$2:$P$1501),1),'Raw Data'!P657)</f>
        <v>15.4</v>
      </c>
      <c r="Q657" s="21">
        <f>IF('Raw Data'!Q657="",ROUND(AVERAGE('Raw Data'!$Q$2:$Q$1501),0),'Raw Data'!Q657)</f>
        <v>2</v>
      </c>
      <c r="R657" s="21">
        <f>'Raw Data'!R657</f>
        <v>2</v>
      </c>
      <c r="S657" s="21">
        <f>IF('Raw Data'!S657="",ROUND(AVERAGE('Raw Data'!$S$2:$S$1501),0),'Raw Data'!S657)</f>
        <v>3</v>
      </c>
      <c r="T657" s="21">
        <f>'Raw Data'!T657</f>
        <v>152.59</v>
      </c>
      <c r="U657" s="21" t="str">
        <f>INDEX('Lookup Tables'!$C$7:$C$9,MATCH(E657,'Lookup Tables'!$B$7:$B$9,0))</f>
        <v>Tier 1 (Metro)</v>
      </c>
      <c r="V657" s="21" t="str">
        <f t="shared" si="30"/>
        <v>7-12 months</v>
      </c>
      <c r="W657" s="21" t="str">
        <f t="shared" si="31"/>
        <v>Low Risk</v>
      </c>
      <c r="X657" s="21" t="str">
        <f t="shared" si="32"/>
        <v>No</v>
      </c>
    </row>
    <row r="658" spans="1:24" x14ac:dyDescent="0.3">
      <c r="A658" s="21">
        <f>'Raw Data'!A658</f>
        <v>50657</v>
      </c>
      <c r="B658" s="21">
        <f>'Raw Data'!B658</f>
        <v>0</v>
      </c>
      <c r="C658" s="21">
        <f>'Raw Data'!C658</f>
        <v>0</v>
      </c>
      <c r="D658" s="21" t="str">
        <f>'Raw Data'!D658</f>
        <v>Mobile Phone</v>
      </c>
      <c r="E658" s="21">
        <f>'Raw Data'!E658</f>
        <v>3</v>
      </c>
      <c r="F658" s="21">
        <f>IF('Raw Data'!F658="",ROUND(AVERAGE('Raw Data'!$F$2:$F$1501),1),'Raw Data'!F658)</f>
        <v>18</v>
      </c>
      <c r="G658" s="21" t="str">
        <f>'Raw Data'!G658</f>
        <v>Debit Card</v>
      </c>
      <c r="H658" s="21" t="str">
        <f>'Raw Data'!H658</f>
        <v>Male</v>
      </c>
      <c r="I658" s="21">
        <f>IF('Raw Data'!I658="",ROUND(AVERAGE('Raw Data'!$I$2:$I$1501),1),'Raw Data'!I658)</f>
        <v>4</v>
      </c>
      <c r="J658" s="21">
        <f>'Raw Data'!J658</f>
        <v>3</v>
      </c>
      <c r="K658" s="21" t="str">
        <f>'Raw Data'!K658</f>
        <v>Mobile Phone</v>
      </c>
      <c r="L658" s="21">
        <f>'Raw Data'!L658</f>
        <v>4</v>
      </c>
      <c r="M658" s="21" t="str">
        <f>'Raw Data'!M658</f>
        <v>Married</v>
      </c>
      <c r="N658" s="21">
        <f>'Raw Data'!N658</f>
        <v>1</v>
      </c>
      <c r="O658" s="21">
        <f>'Raw Data'!O658</f>
        <v>0</v>
      </c>
      <c r="P658" s="21">
        <f>IF('Raw Data'!P658="",ROUND(AVERAGE('Raw Data'!$P$2:$P$1501),1),'Raw Data'!P658)</f>
        <v>20.9</v>
      </c>
      <c r="Q658" s="21">
        <f>IF('Raw Data'!Q658="",ROUND(AVERAGE('Raw Data'!$Q$2:$Q$1501),0),'Raw Data'!Q658)</f>
        <v>1</v>
      </c>
      <c r="R658" s="21">
        <f>'Raw Data'!R658</f>
        <v>3</v>
      </c>
      <c r="S658" s="21">
        <f>IF('Raw Data'!S658="",ROUND(AVERAGE('Raw Data'!$S$2:$S$1501),0),'Raw Data'!S658)</f>
        <v>0</v>
      </c>
      <c r="T658" s="21">
        <f>'Raw Data'!T658</f>
        <v>130.24</v>
      </c>
      <c r="U658" s="21" t="str">
        <f>INDEX('Lookup Tables'!$C$7:$C$9,MATCH(E658,'Lookup Tables'!$B$7:$B$9,0))</f>
        <v>Tier 3 (Semi-urban/Rural)</v>
      </c>
      <c r="V658" s="21" t="str">
        <f t="shared" si="30"/>
        <v>0-6 months</v>
      </c>
      <c r="W658" s="21" t="str">
        <f t="shared" si="31"/>
        <v>Low Risk</v>
      </c>
      <c r="X658" s="21" t="str">
        <f t="shared" si="32"/>
        <v>No</v>
      </c>
    </row>
    <row r="659" spans="1:24" x14ac:dyDescent="0.3">
      <c r="A659" s="21">
        <f>'Raw Data'!A659</f>
        <v>50658</v>
      </c>
      <c r="B659" s="21">
        <f>'Raw Data'!B659</f>
        <v>0</v>
      </c>
      <c r="C659" s="21">
        <f>'Raw Data'!C659</f>
        <v>26</v>
      </c>
      <c r="D659" s="21" t="str">
        <f>'Raw Data'!D659</f>
        <v>Mobile Phone</v>
      </c>
      <c r="E659" s="21">
        <f>'Raw Data'!E659</f>
        <v>2</v>
      </c>
      <c r="F659" s="21">
        <f>IF('Raw Data'!F659="",ROUND(AVERAGE('Raw Data'!$F$2:$F$1501),1),'Raw Data'!F659)</f>
        <v>8</v>
      </c>
      <c r="G659" s="21" t="str">
        <f>'Raw Data'!G659</f>
        <v>E wallet</v>
      </c>
      <c r="H659" s="21" t="str">
        <f>'Raw Data'!H659</f>
        <v>Male</v>
      </c>
      <c r="I659" s="21">
        <f>IF('Raw Data'!I659="",ROUND(AVERAGE('Raw Data'!$I$2:$I$1501),1),'Raw Data'!I659)</f>
        <v>2.5</v>
      </c>
      <c r="J659" s="21">
        <f>'Raw Data'!J659</f>
        <v>3</v>
      </c>
      <c r="K659" s="21" t="str">
        <f>'Raw Data'!K659</f>
        <v>Fashion</v>
      </c>
      <c r="L659" s="21">
        <f>'Raw Data'!L659</f>
        <v>3</v>
      </c>
      <c r="M659" s="21" t="str">
        <f>'Raw Data'!M659</f>
        <v>Married</v>
      </c>
      <c r="N659" s="21">
        <f>'Raw Data'!N659</f>
        <v>1</v>
      </c>
      <c r="O659" s="21">
        <f>'Raw Data'!O659</f>
        <v>0</v>
      </c>
      <c r="P659" s="21">
        <f>IF('Raw Data'!P659="",ROUND(AVERAGE('Raw Data'!$P$2:$P$1501),1),'Raw Data'!P659)</f>
        <v>17.5</v>
      </c>
      <c r="Q659" s="21">
        <f>IF('Raw Data'!Q659="",ROUND(AVERAGE('Raw Data'!$Q$2:$Q$1501),0),'Raw Data'!Q659)</f>
        <v>1</v>
      </c>
      <c r="R659" s="21">
        <f>'Raw Data'!R659</f>
        <v>5</v>
      </c>
      <c r="S659" s="21">
        <f>IF('Raw Data'!S659="",ROUND(AVERAGE('Raw Data'!$S$2:$S$1501),0),'Raw Data'!S659)</f>
        <v>2</v>
      </c>
      <c r="T659" s="21">
        <f>'Raw Data'!T659</f>
        <v>232.41</v>
      </c>
      <c r="U659" s="21" t="str">
        <f>INDEX('Lookup Tables'!$C$7:$C$9,MATCH(E659,'Lookup Tables'!$B$7:$B$9,0))</f>
        <v>Tier 2 (Urban)</v>
      </c>
      <c r="V659" s="21" t="str">
        <f t="shared" si="30"/>
        <v>25+ months</v>
      </c>
      <c r="W659" s="21" t="str">
        <f t="shared" si="31"/>
        <v>Medium Risk</v>
      </c>
      <c r="X659" s="21" t="str">
        <f t="shared" si="32"/>
        <v>No</v>
      </c>
    </row>
    <row r="660" spans="1:24" x14ac:dyDescent="0.3">
      <c r="A660" s="21">
        <f>'Raw Data'!A660</f>
        <v>50659</v>
      </c>
      <c r="B660" s="21">
        <f>'Raw Data'!B660</f>
        <v>0</v>
      </c>
      <c r="C660" s="21">
        <f>'Raw Data'!C660</f>
        <v>11</v>
      </c>
      <c r="D660" s="21" t="str">
        <f>'Raw Data'!D660</f>
        <v>Mobile Phone</v>
      </c>
      <c r="E660" s="21">
        <f>'Raw Data'!E660</f>
        <v>3</v>
      </c>
      <c r="F660" s="21">
        <f>IF('Raw Data'!F660="",ROUND(AVERAGE('Raw Data'!$F$2:$F$1501),1),'Raw Data'!F660)</f>
        <v>16</v>
      </c>
      <c r="G660" s="21" t="str">
        <f>'Raw Data'!G660</f>
        <v>UPI</v>
      </c>
      <c r="H660" s="21" t="str">
        <f>'Raw Data'!H660</f>
        <v>Female</v>
      </c>
      <c r="I660" s="21">
        <f>IF('Raw Data'!I660="",ROUND(AVERAGE('Raw Data'!$I$2:$I$1501),1),'Raw Data'!I660)</f>
        <v>1.9</v>
      </c>
      <c r="J660" s="21">
        <f>'Raw Data'!J660</f>
        <v>4</v>
      </c>
      <c r="K660" s="21" t="str">
        <f>'Raw Data'!K660</f>
        <v>Mobile Phone</v>
      </c>
      <c r="L660" s="21">
        <f>'Raw Data'!L660</f>
        <v>4</v>
      </c>
      <c r="M660" s="21" t="str">
        <f>'Raw Data'!M660</f>
        <v>Single</v>
      </c>
      <c r="N660" s="21">
        <f>'Raw Data'!N660</f>
        <v>11</v>
      </c>
      <c r="O660" s="21">
        <f>'Raw Data'!O660</f>
        <v>1</v>
      </c>
      <c r="P660" s="21">
        <f>IF('Raw Data'!P660="",ROUND(AVERAGE('Raw Data'!$P$2:$P$1501),1),'Raw Data'!P660)</f>
        <v>16.5</v>
      </c>
      <c r="Q660" s="21">
        <f>IF('Raw Data'!Q660="",ROUND(AVERAGE('Raw Data'!$Q$2:$Q$1501),0),'Raw Data'!Q660)</f>
        <v>1</v>
      </c>
      <c r="R660" s="21">
        <f>'Raw Data'!R660</f>
        <v>2</v>
      </c>
      <c r="S660" s="21">
        <f>IF('Raw Data'!S660="",ROUND(AVERAGE('Raw Data'!$S$2:$S$1501),0),'Raw Data'!S660)</f>
        <v>2</v>
      </c>
      <c r="T660" s="21">
        <f>'Raw Data'!T660</f>
        <v>135.18</v>
      </c>
      <c r="U660" s="21" t="str">
        <f>INDEX('Lookup Tables'!$C$7:$C$9,MATCH(E660,'Lookup Tables'!$B$7:$B$9,0))</f>
        <v>Tier 3 (Semi-urban/Rural)</v>
      </c>
      <c r="V660" s="21" t="str">
        <f t="shared" si="30"/>
        <v>7-12 months</v>
      </c>
      <c r="W660" s="21" t="str">
        <f t="shared" si="31"/>
        <v>Low Risk</v>
      </c>
      <c r="X660" s="21" t="str">
        <f t="shared" si="32"/>
        <v>No</v>
      </c>
    </row>
    <row r="661" spans="1:24" x14ac:dyDescent="0.3">
      <c r="A661" s="21">
        <f>'Raw Data'!A661</f>
        <v>50660</v>
      </c>
      <c r="B661" s="21">
        <f>'Raw Data'!B661</f>
        <v>0</v>
      </c>
      <c r="C661" s="21">
        <f>'Raw Data'!C661</f>
        <v>11</v>
      </c>
      <c r="D661" s="21" t="str">
        <f>'Raw Data'!D661</f>
        <v>Computer</v>
      </c>
      <c r="E661" s="21">
        <f>'Raw Data'!E661</f>
        <v>3</v>
      </c>
      <c r="F661" s="21">
        <f>IF('Raw Data'!F661="",ROUND(AVERAGE('Raw Data'!$F$2:$F$1501),1),'Raw Data'!F661)</f>
        <v>17</v>
      </c>
      <c r="G661" s="21" t="str">
        <f>'Raw Data'!G661</f>
        <v>Debit Card</v>
      </c>
      <c r="H661" s="21" t="str">
        <f>'Raw Data'!H661</f>
        <v>Male</v>
      </c>
      <c r="I661" s="21">
        <f>IF('Raw Data'!I661="",ROUND(AVERAGE('Raw Data'!$I$2:$I$1501),1),'Raw Data'!I661)</f>
        <v>3.3</v>
      </c>
      <c r="J661" s="21">
        <f>'Raw Data'!J661</f>
        <v>3</v>
      </c>
      <c r="K661" s="21" t="str">
        <f>'Raw Data'!K661</f>
        <v>Grocery</v>
      </c>
      <c r="L661" s="21">
        <f>'Raw Data'!L661</f>
        <v>3</v>
      </c>
      <c r="M661" s="21" t="str">
        <f>'Raw Data'!M661</f>
        <v>Married</v>
      </c>
      <c r="N661" s="21">
        <f>'Raw Data'!N661</f>
        <v>1</v>
      </c>
      <c r="O661" s="21">
        <f>'Raw Data'!O661</f>
        <v>1</v>
      </c>
      <c r="P661" s="21">
        <f>IF('Raw Data'!P661="",ROUND(AVERAGE('Raw Data'!$P$2:$P$1501),1),'Raw Data'!P661)</f>
        <v>16.8</v>
      </c>
      <c r="Q661" s="21">
        <f>IF('Raw Data'!Q661="",ROUND(AVERAGE('Raw Data'!$Q$2:$Q$1501),0),'Raw Data'!Q661)</f>
        <v>0</v>
      </c>
      <c r="R661" s="21">
        <f>'Raw Data'!R661</f>
        <v>4</v>
      </c>
      <c r="S661" s="21">
        <f>IF('Raw Data'!S661="",ROUND(AVERAGE('Raw Data'!$S$2:$S$1501),0),'Raw Data'!S661)</f>
        <v>1</v>
      </c>
      <c r="T661" s="21">
        <f>'Raw Data'!T661</f>
        <v>224.54</v>
      </c>
      <c r="U661" s="21" t="str">
        <f>INDEX('Lookup Tables'!$C$7:$C$9,MATCH(E661,'Lookup Tables'!$B$7:$B$9,0))</f>
        <v>Tier 3 (Semi-urban/Rural)</v>
      </c>
      <c r="V661" s="21" t="str">
        <f t="shared" si="30"/>
        <v>7-12 months</v>
      </c>
      <c r="W661" s="21" t="str">
        <f t="shared" si="31"/>
        <v>Medium Risk</v>
      </c>
      <c r="X661" s="21" t="str">
        <f t="shared" si="32"/>
        <v>No</v>
      </c>
    </row>
    <row r="662" spans="1:24" x14ac:dyDescent="0.3">
      <c r="A662" s="21">
        <f>'Raw Data'!A662</f>
        <v>50661</v>
      </c>
      <c r="B662" s="21">
        <f>'Raw Data'!B662</f>
        <v>0</v>
      </c>
      <c r="C662" s="21">
        <f>'Raw Data'!C662</f>
        <v>2</v>
      </c>
      <c r="D662" s="21" t="str">
        <f>'Raw Data'!D662</f>
        <v>Phone</v>
      </c>
      <c r="E662" s="21">
        <f>'Raw Data'!E662</f>
        <v>1</v>
      </c>
      <c r="F662" s="21">
        <f>IF('Raw Data'!F662="",ROUND(AVERAGE('Raw Data'!$F$2:$F$1501),1),'Raw Data'!F662)</f>
        <v>15</v>
      </c>
      <c r="G662" s="21" t="str">
        <f>'Raw Data'!G662</f>
        <v>Credit Card</v>
      </c>
      <c r="H662" s="21" t="str">
        <f>'Raw Data'!H662</f>
        <v>Male</v>
      </c>
      <c r="I662" s="21">
        <f>IF('Raw Data'!I662="",ROUND(AVERAGE('Raw Data'!$I$2:$I$1501),1),'Raw Data'!I662)</f>
        <v>4.0999999999999996</v>
      </c>
      <c r="J662" s="21">
        <f>'Raw Data'!J662</f>
        <v>3</v>
      </c>
      <c r="K662" s="21" t="str">
        <f>'Raw Data'!K662</f>
        <v>Fashion</v>
      </c>
      <c r="L662" s="21">
        <f>'Raw Data'!L662</f>
        <v>3</v>
      </c>
      <c r="M662" s="21" t="str">
        <f>'Raw Data'!M662</f>
        <v>Single</v>
      </c>
      <c r="N662" s="21">
        <f>'Raw Data'!N662</f>
        <v>1</v>
      </c>
      <c r="O662" s="21">
        <f>'Raw Data'!O662</f>
        <v>0</v>
      </c>
      <c r="P662" s="21">
        <f>IF('Raw Data'!P662="",ROUND(AVERAGE('Raw Data'!$P$2:$P$1501),1),'Raw Data'!P662)</f>
        <v>14.6</v>
      </c>
      <c r="Q662" s="21">
        <f>IF('Raw Data'!Q662="",ROUND(AVERAGE('Raw Data'!$Q$2:$Q$1501),0),'Raw Data'!Q662)</f>
        <v>2</v>
      </c>
      <c r="R662" s="21">
        <f>'Raw Data'!R662</f>
        <v>9</v>
      </c>
      <c r="S662" s="21">
        <f>IF('Raw Data'!S662="",ROUND(AVERAGE('Raw Data'!$S$2:$S$1501),0),'Raw Data'!S662)</f>
        <v>32</v>
      </c>
      <c r="T662" s="21">
        <f>'Raw Data'!T662</f>
        <v>138.19999999999999</v>
      </c>
      <c r="U662" s="21" t="str">
        <f>INDEX('Lookup Tables'!$C$7:$C$9,MATCH(E662,'Lookup Tables'!$B$7:$B$9,0))</f>
        <v>Tier 1 (Metro)</v>
      </c>
      <c r="V662" s="21" t="str">
        <f t="shared" si="30"/>
        <v>0-6 months</v>
      </c>
      <c r="W662" s="21" t="str">
        <f t="shared" si="31"/>
        <v>Medium Risk</v>
      </c>
      <c r="X662" s="21" t="str">
        <f t="shared" si="32"/>
        <v>No</v>
      </c>
    </row>
    <row r="663" spans="1:24" x14ac:dyDescent="0.3">
      <c r="A663" s="21">
        <f>'Raw Data'!A663</f>
        <v>50662</v>
      </c>
      <c r="B663" s="21">
        <f>'Raw Data'!B663</f>
        <v>0</v>
      </c>
      <c r="C663" s="21">
        <f>'Raw Data'!C663</f>
        <v>10</v>
      </c>
      <c r="D663" s="21" t="str">
        <f>'Raw Data'!D663</f>
        <v>Phone</v>
      </c>
      <c r="E663" s="21">
        <f>'Raw Data'!E663</f>
        <v>3</v>
      </c>
      <c r="F663" s="21">
        <f>IF('Raw Data'!F663="",ROUND(AVERAGE('Raw Data'!$F$2:$F$1501),1),'Raw Data'!F663)</f>
        <v>5</v>
      </c>
      <c r="G663" s="21" t="str">
        <f>'Raw Data'!G663</f>
        <v>Credit Card</v>
      </c>
      <c r="H663" s="21" t="str">
        <f>'Raw Data'!H663</f>
        <v>Female</v>
      </c>
      <c r="I663" s="21">
        <f>IF('Raw Data'!I663="",ROUND(AVERAGE('Raw Data'!$I$2:$I$1501),1),'Raw Data'!I663)</f>
        <v>3.4</v>
      </c>
      <c r="J663" s="21">
        <f>'Raw Data'!J663</f>
        <v>4</v>
      </c>
      <c r="K663" s="21" t="str">
        <f>'Raw Data'!K663</f>
        <v>Fashion</v>
      </c>
      <c r="L663" s="21">
        <f>'Raw Data'!L663</f>
        <v>1</v>
      </c>
      <c r="M663" s="21" t="str">
        <f>'Raw Data'!M663</f>
        <v>Divorced</v>
      </c>
      <c r="N663" s="21">
        <f>'Raw Data'!N663</f>
        <v>1</v>
      </c>
      <c r="O663" s="21">
        <f>'Raw Data'!O663</f>
        <v>0</v>
      </c>
      <c r="P663" s="21">
        <f>IF('Raw Data'!P663="",ROUND(AVERAGE('Raw Data'!$P$2:$P$1501),1),'Raw Data'!P663)</f>
        <v>23</v>
      </c>
      <c r="Q663" s="21">
        <f>IF('Raw Data'!Q663="",ROUND(AVERAGE('Raw Data'!$Q$2:$Q$1501),0),'Raw Data'!Q663)</f>
        <v>2</v>
      </c>
      <c r="R663" s="21">
        <f>'Raw Data'!R663</f>
        <v>3</v>
      </c>
      <c r="S663" s="21">
        <f>IF('Raw Data'!S663="",ROUND(AVERAGE('Raw Data'!$S$2:$S$1501),0),'Raw Data'!S663)</f>
        <v>0</v>
      </c>
      <c r="T663" s="21">
        <f>'Raw Data'!T663</f>
        <v>199.2</v>
      </c>
      <c r="U663" s="21" t="str">
        <f>INDEX('Lookup Tables'!$C$7:$C$9,MATCH(E663,'Lookup Tables'!$B$7:$B$9,0))</f>
        <v>Tier 3 (Semi-urban/Rural)</v>
      </c>
      <c r="V663" s="21" t="str">
        <f t="shared" si="30"/>
        <v>7-12 months</v>
      </c>
      <c r="W663" s="21" t="str">
        <f t="shared" si="31"/>
        <v>Low Risk</v>
      </c>
      <c r="X663" s="21" t="str">
        <f t="shared" si="32"/>
        <v>No</v>
      </c>
    </row>
    <row r="664" spans="1:24" x14ac:dyDescent="0.3">
      <c r="A664" s="21">
        <f>'Raw Data'!A664</f>
        <v>50663</v>
      </c>
      <c r="B664" s="21">
        <f>'Raw Data'!B664</f>
        <v>0</v>
      </c>
      <c r="C664" s="21">
        <f>'Raw Data'!C664</f>
        <v>5</v>
      </c>
      <c r="D664" s="21" t="str">
        <f>'Raw Data'!D664</f>
        <v>Mobile Phone</v>
      </c>
      <c r="E664" s="21">
        <f>'Raw Data'!E664</f>
        <v>1</v>
      </c>
      <c r="F664" s="21">
        <f>IF('Raw Data'!F664="",ROUND(AVERAGE('Raw Data'!$F$2:$F$1501),1),'Raw Data'!F664)</f>
        <v>16</v>
      </c>
      <c r="G664" s="21" t="str">
        <f>'Raw Data'!G664</f>
        <v>Credit Card</v>
      </c>
      <c r="H664" s="21" t="str">
        <f>'Raw Data'!H664</f>
        <v>Female</v>
      </c>
      <c r="I664" s="21">
        <f>IF('Raw Data'!I664="",ROUND(AVERAGE('Raw Data'!$I$2:$I$1501),1),'Raw Data'!I664)</f>
        <v>3</v>
      </c>
      <c r="J664" s="21">
        <f>'Raw Data'!J664</f>
        <v>5</v>
      </c>
      <c r="K664" s="21" t="str">
        <f>'Raw Data'!K664</f>
        <v>Laptop &amp; Accessory</v>
      </c>
      <c r="L664" s="21">
        <f>'Raw Data'!L664</f>
        <v>3</v>
      </c>
      <c r="M664" s="21" t="str">
        <f>'Raw Data'!M664</f>
        <v>Single</v>
      </c>
      <c r="N664" s="21">
        <f>'Raw Data'!N664</f>
        <v>1</v>
      </c>
      <c r="O664" s="21">
        <f>'Raw Data'!O664</f>
        <v>0</v>
      </c>
      <c r="P664" s="21">
        <f>IF('Raw Data'!P664="",ROUND(AVERAGE('Raw Data'!$P$2:$P$1501),1),'Raw Data'!P664)</f>
        <v>13.2</v>
      </c>
      <c r="Q664" s="21">
        <f>IF('Raw Data'!Q664="",ROUND(AVERAGE('Raw Data'!$Q$2:$Q$1501),0),'Raw Data'!Q664)</f>
        <v>3</v>
      </c>
      <c r="R664" s="21">
        <f>'Raw Data'!R664</f>
        <v>4</v>
      </c>
      <c r="S664" s="21">
        <f>IF('Raw Data'!S664="",ROUND(AVERAGE('Raw Data'!$S$2:$S$1501),0),'Raw Data'!S664)</f>
        <v>5</v>
      </c>
      <c r="T664" s="21">
        <f>'Raw Data'!T664</f>
        <v>121.71</v>
      </c>
      <c r="U664" s="21" t="str">
        <f>INDEX('Lookup Tables'!$C$7:$C$9,MATCH(E664,'Lookup Tables'!$B$7:$B$9,0))</f>
        <v>Tier 1 (Metro)</v>
      </c>
      <c r="V664" s="21" t="str">
        <f t="shared" si="30"/>
        <v>0-6 months</v>
      </c>
      <c r="W664" s="21" t="str">
        <f t="shared" si="31"/>
        <v>Medium Risk</v>
      </c>
      <c r="X664" s="21" t="str">
        <f t="shared" si="32"/>
        <v>No</v>
      </c>
    </row>
    <row r="665" spans="1:24" x14ac:dyDescent="0.3">
      <c r="A665" s="21">
        <f>'Raw Data'!A665</f>
        <v>50664</v>
      </c>
      <c r="B665" s="21">
        <f>'Raw Data'!B665</f>
        <v>0</v>
      </c>
      <c r="C665" s="21">
        <f>'Raw Data'!C665</f>
        <v>10</v>
      </c>
      <c r="D665" s="21" t="str">
        <f>'Raw Data'!D665</f>
        <v>Mobile Phone</v>
      </c>
      <c r="E665" s="21">
        <f>'Raw Data'!E665</f>
        <v>1</v>
      </c>
      <c r="F665" s="21">
        <f>IF('Raw Data'!F665="",ROUND(AVERAGE('Raw Data'!$F$2:$F$1501),1),'Raw Data'!F665)</f>
        <v>32</v>
      </c>
      <c r="G665" s="21" t="str">
        <f>'Raw Data'!G665</f>
        <v>Debit Card</v>
      </c>
      <c r="H665" s="21" t="str">
        <f>'Raw Data'!H665</f>
        <v>Male</v>
      </c>
      <c r="I665" s="21">
        <f>IF('Raw Data'!I665="",ROUND(AVERAGE('Raw Data'!$I$2:$I$1501),1),'Raw Data'!I665)</f>
        <v>3.2</v>
      </c>
      <c r="J665" s="21">
        <f>'Raw Data'!J665</f>
        <v>2</v>
      </c>
      <c r="K665" s="21" t="str">
        <f>'Raw Data'!K665</f>
        <v>Others</v>
      </c>
      <c r="L665" s="21">
        <f>'Raw Data'!L665</f>
        <v>2</v>
      </c>
      <c r="M665" s="21" t="str">
        <f>'Raw Data'!M665</f>
        <v>Divorced</v>
      </c>
      <c r="N665" s="21">
        <f>'Raw Data'!N665</f>
        <v>1</v>
      </c>
      <c r="O665" s="21">
        <f>'Raw Data'!O665</f>
        <v>0</v>
      </c>
      <c r="P665" s="21">
        <f>IF('Raw Data'!P665="",ROUND(AVERAGE('Raw Data'!$P$2:$P$1501),1),'Raw Data'!P665)</f>
        <v>16.7</v>
      </c>
      <c r="Q665" s="21">
        <f>IF('Raw Data'!Q665="",ROUND(AVERAGE('Raw Data'!$Q$2:$Q$1501),0),'Raw Data'!Q665)</f>
        <v>2</v>
      </c>
      <c r="R665" s="21">
        <f>'Raw Data'!R665</f>
        <v>3</v>
      </c>
      <c r="S665" s="21">
        <f>IF('Raw Data'!S665="",ROUND(AVERAGE('Raw Data'!$S$2:$S$1501),0),'Raw Data'!S665)</f>
        <v>0</v>
      </c>
      <c r="T665" s="21">
        <f>'Raw Data'!T665</f>
        <v>222.89</v>
      </c>
      <c r="U665" s="21" t="str">
        <f>INDEX('Lookup Tables'!$C$7:$C$9,MATCH(E665,'Lookup Tables'!$B$7:$B$9,0))</f>
        <v>Tier 1 (Metro)</v>
      </c>
      <c r="V665" s="21" t="str">
        <f t="shared" si="30"/>
        <v>7-12 months</v>
      </c>
      <c r="W665" s="21" t="str">
        <f t="shared" si="31"/>
        <v>Low Risk</v>
      </c>
      <c r="X665" s="21" t="str">
        <f t="shared" si="32"/>
        <v>No</v>
      </c>
    </row>
    <row r="666" spans="1:24" x14ac:dyDescent="0.3">
      <c r="A666" s="21">
        <f>'Raw Data'!A666</f>
        <v>50665</v>
      </c>
      <c r="B666" s="21">
        <f>'Raw Data'!B666</f>
        <v>0</v>
      </c>
      <c r="C666" s="21">
        <f>'Raw Data'!C666</f>
        <v>1</v>
      </c>
      <c r="D666" s="21" t="str">
        <f>'Raw Data'!D666</f>
        <v>Phone</v>
      </c>
      <c r="E666" s="21">
        <f>'Raw Data'!E666</f>
        <v>1</v>
      </c>
      <c r="F666" s="21">
        <f>IF('Raw Data'!F666="",ROUND(AVERAGE('Raw Data'!$F$2:$F$1501),1),'Raw Data'!F666)</f>
        <v>12</v>
      </c>
      <c r="G666" s="21" t="str">
        <f>'Raw Data'!G666</f>
        <v>Debit Card</v>
      </c>
      <c r="H666" s="21" t="str">
        <f>'Raw Data'!H666</f>
        <v>Female</v>
      </c>
      <c r="I666" s="21">
        <f>IF('Raw Data'!I666="",ROUND(AVERAGE('Raw Data'!$I$2:$I$1501),1),'Raw Data'!I666)</f>
        <v>3.9</v>
      </c>
      <c r="J666" s="21">
        <f>'Raw Data'!J666</f>
        <v>3</v>
      </c>
      <c r="K666" s="21" t="str">
        <f>'Raw Data'!K666</f>
        <v>Grocery</v>
      </c>
      <c r="L666" s="21">
        <f>'Raw Data'!L666</f>
        <v>3</v>
      </c>
      <c r="M666" s="21" t="str">
        <f>'Raw Data'!M666</f>
        <v>Married</v>
      </c>
      <c r="N666" s="21">
        <f>'Raw Data'!N666</f>
        <v>3</v>
      </c>
      <c r="O666" s="21">
        <f>'Raw Data'!O666</f>
        <v>1</v>
      </c>
      <c r="P666" s="21">
        <f>IF('Raw Data'!P666="",ROUND(AVERAGE('Raw Data'!$P$2:$P$1501),1),'Raw Data'!P666)</f>
        <v>16.399999999999999</v>
      </c>
      <c r="Q666" s="21">
        <f>IF('Raw Data'!Q666="",ROUND(AVERAGE('Raw Data'!$Q$2:$Q$1501),0),'Raw Data'!Q666)</f>
        <v>1</v>
      </c>
      <c r="R666" s="21">
        <f>'Raw Data'!R666</f>
        <v>3</v>
      </c>
      <c r="S666" s="21">
        <f>IF('Raw Data'!S666="",ROUND(AVERAGE('Raw Data'!$S$2:$S$1501),0),'Raw Data'!S666)</f>
        <v>9</v>
      </c>
      <c r="T666" s="21">
        <f>'Raw Data'!T666</f>
        <v>112.15</v>
      </c>
      <c r="U666" s="21" t="str">
        <f>INDEX('Lookup Tables'!$C$7:$C$9,MATCH(E666,'Lookup Tables'!$B$7:$B$9,0))</f>
        <v>Tier 1 (Metro)</v>
      </c>
      <c r="V666" s="21" t="str">
        <f t="shared" si="30"/>
        <v>0-6 months</v>
      </c>
      <c r="W666" s="21" t="str">
        <f t="shared" si="31"/>
        <v>Medium Risk</v>
      </c>
      <c r="X666" s="21" t="str">
        <f t="shared" si="32"/>
        <v>No</v>
      </c>
    </row>
    <row r="667" spans="1:24" x14ac:dyDescent="0.3">
      <c r="A667" s="21">
        <f>'Raw Data'!A667</f>
        <v>50666</v>
      </c>
      <c r="B667" s="21">
        <f>'Raw Data'!B667</f>
        <v>1</v>
      </c>
      <c r="C667" s="21">
        <f>'Raw Data'!C667</f>
        <v>10</v>
      </c>
      <c r="D667" s="21" t="str">
        <f>'Raw Data'!D667</f>
        <v>Computer</v>
      </c>
      <c r="E667" s="21">
        <f>'Raw Data'!E667</f>
        <v>3</v>
      </c>
      <c r="F667" s="21">
        <f>IF('Raw Data'!F667="",ROUND(AVERAGE('Raw Data'!$F$2:$F$1501),1),'Raw Data'!F667)</f>
        <v>9</v>
      </c>
      <c r="G667" s="21" t="str">
        <f>'Raw Data'!G667</f>
        <v>Debit Card</v>
      </c>
      <c r="H667" s="21" t="str">
        <f>'Raw Data'!H667</f>
        <v>Female</v>
      </c>
      <c r="I667" s="21">
        <f>IF('Raw Data'!I667="",ROUND(AVERAGE('Raw Data'!$I$2:$I$1501),1),'Raw Data'!I667)</f>
        <v>2.2999999999999998</v>
      </c>
      <c r="J667" s="21">
        <f>'Raw Data'!J667</f>
        <v>3</v>
      </c>
      <c r="K667" s="21" t="str">
        <f>'Raw Data'!K667</f>
        <v>Grocery</v>
      </c>
      <c r="L667" s="21">
        <f>'Raw Data'!L667</f>
        <v>4</v>
      </c>
      <c r="M667" s="21" t="str">
        <f>'Raw Data'!M667</f>
        <v>Married</v>
      </c>
      <c r="N667" s="21">
        <f>'Raw Data'!N667</f>
        <v>2</v>
      </c>
      <c r="O667" s="21">
        <f>'Raw Data'!O667</f>
        <v>0</v>
      </c>
      <c r="P667" s="21">
        <f>IF('Raw Data'!P667="",ROUND(AVERAGE('Raw Data'!$P$2:$P$1501),1),'Raw Data'!P667)</f>
        <v>19.5</v>
      </c>
      <c r="Q667" s="21">
        <f>IF('Raw Data'!Q667="",ROUND(AVERAGE('Raw Data'!$Q$2:$Q$1501),0),'Raw Data'!Q667)</f>
        <v>0</v>
      </c>
      <c r="R667" s="21">
        <f>'Raw Data'!R667</f>
        <v>5</v>
      </c>
      <c r="S667" s="21">
        <f>IF('Raw Data'!S667="",ROUND(AVERAGE('Raw Data'!$S$2:$S$1501),0),'Raw Data'!S667)</f>
        <v>12</v>
      </c>
      <c r="T667" s="21">
        <f>'Raw Data'!T667</f>
        <v>195.01</v>
      </c>
      <c r="U667" s="21" t="str">
        <f>INDEX('Lookup Tables'!$C$7:$C$9,MATCH(E667,'Lookup Tables'!$B$7:$B$9,0))</f>
        <v>Tier 3 (Semi-urban/Rural)</v>
      </c>
      <c r="V667" s="21" t="str">
        <f t="shared" si="30"/>
        <v>7-12 months</v>
      </c>
      <c r="W667" s="21" t="str">
        <f t="shared" si="31"/>
        <v>Low Risk</v>
      </c>
      <c r="X667" s="21" t="str">
        <f t="shared" si="32"/>
        <v>Yes</v>
      </c>
    </row>
    <row r="668" spans="1:24" x14ac:dyDescent="0.3">
      <c r="A668" s="21">
        <f>'Raw Data'!A668</f>
        <v>50667</v>
      </c>
      <c r="B668" s="21">
        <f>'Raw Data'!B668</f>
        <v>0</v>
      </c>
      <c r="C668" s="21">
        <f>'Raw Data'!C668</f>
        <v>60</v>
      </c>
      <c r="D668" s="21" t="str">
        <f>'Raw Data'!D668</f>
        <v>Mobile Phone</v>
      </c>
      <c r="E668" s="21">
        <f>'Raw Data'!E668</f>
        <v>3</v>
      </c>
      <c r="F668" s="21">
        <f>IF('Raw Data'!F668="",ROUND(AVERAGE('Raw Data'!$F$2:$F$1501),1),'Raw Data'!F668)</f>
        <v>17</v>
      </c>
      <c r="G668" s="21" t="str">
        <f>'Raw Data'!G668</f>
        <v>Debit Card</v>
      </c>
      <c r="H668" s="21" t="str">
        <f>'Raw Data'!H668</f>
        <v>Male</v>
      </c>
      <c r="I668" s="21">
        <f>IF('Raw Data'!I668="",ROUND(AVERAGE('Raw Data'!$I$2:$I$1501),1),'Raw Data'!I668)</f>
        <v>2.8</v>
      </c>
      <c r="J668" s="21">
        <f>'Raw Data'!J668</f>
        <v>3</v>
      </c>
      <c r="K668" s="21" t="str">
        <f>'Raw Data'!K668</f>
        <v>Mobile Phone</v>
      </c>
      <c r="L668" s="21">
        <f>'Raw Data'!L668</f>
        <v>4</v>
      </c>
      <c r="M668" s="21" t="str">
        <f>'Raw Data'!M668</f>
        <v>Divorced</v>
      </c>
      <c r="N668" s="21">
        <f>'Raw Data'!N668</f>
        <v>2</v>
      </c>
      <c r="O668" s="21">
        <f>'Raw Data'!O668</f>
        <v>0</v>
      </c>
      <c r="P668" s="21">
        <f>IF('Raw Data'!P668="",ROUND(AVERAGE('Raw Data'!$P$2:$P$1501),1),'Raw Data'!P668)</f>
        <v>19.899999999999999</v>
      </c>
      <c r="Q668" s="21">
        <f>IF('Raw Data'!Q668="",ROUND(AVERAGE('Raw Data'!$Q$2:$Q$1501),0),'Raw Data'!Q668)</f>
        <v>1</v>
      </c>
      <c r="R668" s="21">
        <f>'Raw Data'!R668</f>
        <v>10</v>
      </c>
      <c r="S668" s="21">
        <f>IF('Raw Data'!S668="",ROUND(AVERAGE('Raw Data'!$S$2:$S$1501),0),'Raw Data'!S668)</f>
        <v>2</v>
      </c>
      <c r="T668" s="21">
        <f>'Raw Data'!T668</f>
        <v>169.12</v>
      </c>
      <c r="U668" s="21" t="str">
        <f>INDEX('Lookup Tables'!$C$7:$C$9,MATCH(E668,'Lookup Tables'!$B$7:$B$9,0))</f>
        <v>Tier 3 (Semi-urban/Rural)</v>
      </c>
      <c r="V668" s="21" t="str">
        <f t="shared" si="30"/>
        <v>25+ months</v>
      </c>
      <c r="W668" s="21" t="str">
        <f t="shared" si="31"/>
        <v>Low Risk</v>
      </c>
      <c r="X668" s="21" t="str">
        <f t="shared" si="32"/>
        <v>No</v>
      </c>
    </row>
    <row r="669" spans="1:24" x14ac:dyDescent="0.3">
      <c r="A669" s="21">
        <f>'Raw Data'!A669</f>
        <v>50668</v>
      </c>
      <c r="B669" s="21">
        <f>'Raw Data'!B669</f>
        <v>0</v>
      </c>
      <c r="C669" s="21">
        <f>'Raw Data'!C669</f>
        <v>0</v>
      </c>
      <c r="D669" s="21" t="str">
        <f>'Raw Data'!D669</f>
        <v>Mobile Phone</v>
      </c>
      <c r="E669" s="21">
        <f>'Raw Data'!E669</f>
        <v>3</v>
      </c>
      <c r="F669" s="21">
        <f>IF('Raw Data'!F669="",ROUND(AVERAGE('Raw Data'!$F$2:$F$1501),1),'Raw Data'!F669)</f>
        <v>17</v>
      </c>
      <c r="G669" s="21" t="str">
        <f>'Raw Data'!G669</f>
        <v>Debit Card</v>
      </c>
      <c r="H669" s="21" t="str">
        <f>'Raw Data'!H669</f>
        <v>Female</v>
      </c>
      <c r="I669" s="21">
        <f>IF('Raw Data'!I669="",ROUND(AVERAGE('Raw Data'!$I$2:$I$1501),1),'Raw Data'!I669)</f>
        <v>2.6</v>
      </c>
      <c r="J669" s="21">
        <f>'Raw Data'!J669</f>
        <v>4</v>
      </c>
      <c r="K669" s="21" t="str">
        <f>'Raw Data'!K669</f>
        <v>Mobile Phone</v>
      </c>
      <c r="L669" s="21">
        <f>'Raw Data'!L669</f>
        <v>3</v>
      </c>
      <c r="M669" s="21" t="str">
        <f>'Raw Data'!M669</f>
        <v>Divorced</v>
      </c>
      <c r="N669" s="21">
        <f>'Raw Data'!N669</f>
        <v>1</v>
      </c>
      <c r="O669" s="21">
        <f>'Raw Data'!O669</f>
        <v>0</v>
      </c>
      <c r="P669" s="21">
        <f>IF('Raw Data'!P669="",ROUND(AVERAGE('Raw Data'!$P$2:$P$1501),1),'Raw Data'!P669)</f>
        <v>15.9</v>
      </c>
      <c r="Q669" s="21">
        <f>IF('Raw Data'!Q669="",ROUND(AVERAGE('Raw Data'!$Q$2:$Q$1501),0),'Raw Data'!Q669)</f>
        <v>2</v>
      </c>
      <c r="R669" s="21">
        <f>'Raw Data'!R669</f>
        <v>4</v>
      </c>
      <c r="S669" s="21">
        <f>IF('Raw Data'!S669="",ROUND(AVERAGE('Raw Data'!$S$2:$S$1501),0),'Raw Data'!S669)</f>
        <v>8</v>
      </c>
      <c r="T669" s="21">
        <f>'Raw Data'!T669</f>
        <v>185.6</v>
      </c>
      <c r="U669" s="21" t="str">
        <f>INDEX('Lookup Tables'!$C$7:$C$9,MATCH(E669,'Lookup Tables'!$B$7:$B$9,0))</f>
        <v>Tier 3 (Semi-urban/Rural)</v>
      </c>
      <c r="V669" s="21" t="str">
        <f t="shared" si="30"/>
        <v>0-6 months</v>
      </c>
      <c r="W669" s="21" t="str">
        <f t="shared" si="31"/>
        <v>Medium Risk</v>
      </c>
      <c r="X669" s="21" t="str">
        <f t="shared" si="32"/>
        <v>No</v>
      </c>
    </row>
    <row r="670" spans="1:24" x14ac:dyDescent="0.3">
      <c r="A670" s="21">
        <f>'Raw Data'!A670</f>
        <v>50669</v>
      </c>
      <c r="B670" s="21">
        <f>'Raw Data'!B670</f>
        <v>0</v>
      </c>
      <c r="C670" s="21">
        <f>'Raw Data'!C670</f>
        <v>37</v>
      </c>
      <c r="D670" s="21" t="str">
        <f>'Raw Data'!D670</f>
        <v>Mobile Phone</v>
      </c>
      <c r="E670" s="21">
        <f>'Raw Data'!E670</f>
        <v>3</v>
      </c>
      <c r="F670" s="21">
        <f>IF('Raw Data'!F670="",ROUND(AVERAGE('Raw Data'!$F$2:$F$1501),1),'Raw Data'!F670)</f>
        <v>24</v>
      </c>
      <c r="G670" s="21" t="str">
        <f>'Raw Data'!G670</f>
        <v>Debit Card</v>
      </c>
      <c r="H670" s="21" t="str">
        <f>'Raw Data'!H670</f>
        <v>Male</v>
      </c>
      <c r="I670" s="21">
        <f>IF('Raw Data'!I670="",ROUND(AVERAGE('Raw Data'!$I$2:$I$1501),1),'Raw Data'!I670)</f>
        <v>2.1</v>
      </c>
      <c r="J670" s="21">
        <f>'Raw Data'!J670</f>
        <v>4</v>
      </c>
      <c r="K670" s="21" t="str">
        <f>'Raw Data'!K670</f>
        <v>Laptop &amp; Accessory</v>
      </c>
      <c r="L670" s="21">
        <f>'Raw Data'!L670</f>
        <v>3</v>
      </c>
      <c r="M670" s="21" t="str">
        <f>'Raw Data'!M670</f>
        <v>Married</v>
      </c>
      <c r="N670" s="21">
        <f>'Raw Data'!N670</f>
        <v>5</v>
      </c>
      <c r="O670" s="21">
        <f>'Raw Data'!O670</f>
        <v>1</v>
      </c>
      <c r="P670" s="21">
        <f>IF('Raw Data'!P670="",ROUND(AVERAGE('Raw Data'!$P$2:$P$1501),1),'Raw Data'!P670)</f>
        <v>17</v>
      </c>
      <c r="Q670" s="21">
        <f>IF('Raw Data'!Q670="",ROUND(AVERAGE('Raw Data'!$Q$2:$Q$1501),0),'Raw Data'!Q670)</f>
        <v>0</v>
      </c>
      <c r="R670" s="21">
        <f>'Raw Data'!R670</f>
        <v>6</v>
      </c>
      <c r="S670" s="21">
        <f>IF('Raw Data'!S670="",ROUND(AVERAGE('Raw Data'!$S$2:$S$1501),0),'Raw Data'!S670)</f>
        <v>1</v>
      </c>
      <c r="T670" s="21">
        <f>'Raw Data'!T670</f>
        <v>158.22999999999999</v>
      </c>
      <c r="U670" s="21" t="str">
        <f>INDEX('Lookup Tables'!$C$7:$C$9,MATCH(E670,'Lookup Tables'!$B$7:$B$9,0))</f>
        <v>Tier 3 (Semi-urban/Rural)</v>
      </c>
      <c r="V670" s="21" t="str">
        <f t="shared" si="30"/>
        <v>25+ months</v>
      </c>
      <c r="W670" s="21" t="str">
        <f t="shared" si="31"/>
        <v>Medium Risk</v>
      </c>
      <c r="X670" s="21" t="str">
        <f t="shared" si="32"/>
        <v>No</v>
      </c>
    </row>
    <row r="671" spans="1:24" x14ac:dyDescent="0.3">
      <c r="A671" s="21">
        <f>'Raw Data'!A671</f>
        <v>50670</v>
      </c>
      <c r="B671" s="21">
        <f>'Raw Data'!B671</f>
        <v>0</v>
      </c>
      <c r="C671" s="21">
        <f>'Raw Data'!C671</f>
        <v>5</v>
      </c>
      <c r="D671" s="21" t="str">
        <f>'Raw Data'!D671</f>
        <v>Mobile Phone</v>
      </c>
      <c r="E671" s="21">
        <f>'Raw Data'!E671</f>
        <v>2</v>
      </c>
      <c r="F671" s="21">
        <f>IF('Raw Data'!F671="",ROUND(AVERAGE('Raw Data'!$F$2:$F$1501),1),'Raw Data'!F671)</f>
        <v>5</v>
      </c>
      <c r="G671" s="21" t="str">
        <f>'Raw Data'!G671</f>
        <v>E wallet</v>
      </c>
      <c r="H671" s="21" t="str">
        <f>'Raw Data'!H671</f>
        <v>Male</v>
      </c>
      <c r="I671" s="21">
        <f>IF('Raw Data'!I671="",ROUND(AVERAGE('Raw Data'!$I$2:$I$1501),1),'Raw Data'!I671)</f>
        <v>2.7</v>
      </c>
      <c r="J671" s="21">
        <f>'Raw Data'!J671</f>
        <v>3</v>
      </c>
      <c r="K671" s="21" t="str">
        <f>'Raw Data'!K671</f>
        <v>Mobile Phone</v>
      </c>
      <c r="L671" s="21">
        <f>'Raw Data'!L671</f>
        <v>5</v>
      </c>
      <c r="M671" s="21" t="str">
        <f>'Raw Data'!M671</f>
        <v>Single</v>
      </c>
      <c r="N671" s="21">
        <f>'Raw Data'!N671</f>
        <v>5</v>
      </c>
      <c r="O671" s="21">
        <f>'Raw Data'!O671</f>
        <v>1</v>
      </c>
      <c r="P671" s="21">
        <f>IF('Raw Data'!P671="",ROUND(AVERAGE('Raw Data'!$P$2:$P$1501),1),'Raw Data'!P671)</f>
        <v>17.100000000000001</v>
      </c>
      <c r="Q671" s="21">
        <f>IF('Raw Data'!Q671="",ROUND(AVERAGE('Raw Data'!$Q$2:$Q$1501),0),'Raw Data'!Q671)</f>
        <v>2</v>
      </c>
      <c r="R671" s="21">
        <f>'Raw Data'!R671</f>
        <v>4</v>
      </c>
      <c r="S671" s="21">
        <f>IF('Raw Data'!S671="",ROUND(AVERAGE('Raw Data'!$S$2:$S$1501),0),'Raw Data'!S671)</f>
        <v>0</v>
      </c>
      <c r="T671" s="21">
        <f>'Raw Data'!T671</f>
        <v>156.94</v>
      </c>
      <c r="U671" s="21" t="str">
        <f>INDEX('Lookup Tables'!$C$7:$C$9,MATCH(E671,'Lookup Tables'!$B$7:$B$9,0))</f>
        <v>Tier 2 (Urban)</v>
      </c>
      <c r="V671" s="21" t="str">
        <f t="shared" si="30"/>
        <v>0-6 months</v>
      </c>
      <c r="W671" s="21" t="str">
        <f t="shared" si="31"/>
        <v>Low Risk</v>
      </c>
      <c r="X671" s="21" t="str">
        <f t="shared" si="32"/>
        <v>No</v>
      </c>
    </row>
    <row r="672" spans="1:24" x14ac:dyDescent="0.3">
      <c r="A672" s="21">
        <f>'Raw Data'!A672</f>
        <v>50671</v>
      </c>
      <c r="B672" s="21">
        <f>'Raw Data'!B672</f>
        <v>0</v>
      </c>
      <c r="C672" s="21">
        <f>'Raw Data'!C672</f>
        <v>20</v>
      </c>
      <c r="D672" s="21" t="str">
        <f>'Raw Data'!D672</f>
        <v>Mobile Phone</v>
      </c>
      <c r="E672" s="21">
        <f>'Raw Data'!E672</f>
        <v>3</v>
      </c>
      <c r="F672" s="21">
        <f>IF('Raw Data'!F672="",ROUND(AVERAGE('Raw Data'!$F$2:$F$1501),1),'Raw Data'!F672)</f>
        <v>20</v>
      </c>
      <c r="G672" s="21" t="str">
        <f>'Raw Data'!G672</f>
        <v>Debit Card</v>
      </c>
      <c r="H672" s="21" t="str">
        <f>'Raw Data'!H672</f>
        <v>Male</v>
      </c>
      <c r="I672" s="21">
        <f>IF('Raw Data'!I672="",ROUND(AVERAGE('Raw Data'!$I$2:$I$1501),1),'Raw Data'!I672)</f>
        <v>3.7</v>
      </c>
      <c r="J672" s="21">
        <f>'Raw Data'!J672</f>
        <v>1</v>
      </c>
      <c r="K672" s="21" t="str">
        <f>'Raw Data'!K672</f>
        <v>Laptop &amp; Accessory</v>
      </c>
      <c r="L672" s="21">
        <f>'Raw Data'!L672</f>
        <v>3</v>
      </c>
      <c r="M672" s="21" t="str">
        <f>'Raw Data'!M672</f>
        <v>Married</v>
      </c>
      <c r="N672" s="21">
        <f>'Raw Data'!N672</f>
        <v>1</v>
      </c>
      <c r="O672" s="21">
        <f>'Raw Data'!O672</f>
        <v>1</v>
      </c>
      <c r="P672" s="21">
        <f>IF('Raw Data'!P672="",ROUND(AVERAGE('Raw Data'!$P$2:$P$1501),1),'Raw Data'!P672)</f>
        <v>11</v>
      </c>
      <c r="Q672" s="21">
        <f>IF('Raw Data'!Q672="",ROUND(AVERAGE('Raw Data'!$Q$2:$Q$1501),0),'Raw Data'!Q672)</f>
        <v>1</v>
      </c>
      <c r="R672" s="21">
        <f>'Raw Data'!R672</f>
        <v>2</v>
      </c>
      <c r="S672" s="21">
        <f>IF('Raw Data'!S672="",ROUND(AVERAGE('Raw Data'!$S$2:$S$1501),0),'Raw Data'!S672)</f>
        <v>1</v>
      </c>
      <c r="T672" s="21">
        <f>'Raw Data'!T672</f>
        <v>188.51</v>
      </c>
      <c r="U672" s="21" t="str">
        <f>INDEX('Lookup Tables'!$C$7:$C$9,MATCH(E672,'Lookup Tables'!$B$7:$B$9,0))</f>
        <v>Tier 3 (Semi-urban/Rural)</v>
      </c>
      <c r="V672" s="21" t="str">
        <f t="shared" si="30"/>
        <v>13-24 months</v>
      </c>
      <c r="W672" s="21" t="str">
        <f t="shared" si="31"/>
        <v>Medium Risk</v>
      </c>
      <c r="X672" s="21" t="str">
        <f t="shared" si="32"/>
        <v>No</v>
      </c>
    </row>
    <row r="673" spans="1:24" x14ac:dyDescent="0.3">
      <c r="A673" s="21">
        <f>'Raw Data'!A673</f>
        <v>50672</v>
      </c>
      <c r="B673" s="21">
        <f>'Raw Data'!B673</f>
        <v>0</v>
      </c>
      <c r="C673" s="21">
        <f>'Raw Data'!C673</f>
        <v>15</v>
      </c>
      <c r="D673" s="21" t="str">
        <f>'Raw Data'!D673</f>
        <v>Computer</v>
      </c>
      <c r="E673" s="21">
        <f>'Raw Data'!E673</f>
        <v>1</v>
      </c>
      <c r="F673" s="21">
        <f>IF('Raw Data'!F673="",ROUND(AVERAGE('Raw Data'!$F$2:$F$1501),1),'Raw Data'!F673)</f>
        <v>19</v>
      </c>
      <c r="G673" s="21" t="str">
        <f>'Raw Data'!G673</f>
        <v>Cash on Delivery</v>
      </c>
      <c r="H673" s="21" t="str">
        <f>'Raw Data'!H673</f>
        <v>Male</v>
      </c>
      <c r="I673" s="21">
        <f>IF('Raw Data'!I673="",ROUND(AVERAGE('Raw Data'!$I$2:$I$1501),1),'Raw Data'!I673)</f>
        <v>3.3</v>
      </c>
      <c r="J673" s="21">
        <f>'Raw Data'!J673</f>
        <v>2</v>
      </c>
      <c r="K673" s="21" t="str">
        <f>'Raw Data'!K673</f>
        <v>Mobile Phone</v>
      </c>
      <c r="L673" s="21">
        <f>'Raw Data'!L673</f>
        <v>5</v>
      </c>
      <c r="M673" s="21" t="str">
        <f>'Raw Data'!M673</f>
        <v>Married</v>
      </c>
      <c r="N673" s="21">
        <f>'Raw Data'!N673</f>
        <v>1</v>
      </c>
      <c r="O673" s="21">
        <f>'Raw Data'!O673</f>
        <v>0</v>
      </c>
      <c r="P673" s="21">
        <f>IF('Raw Data'!P673="",ROUND(AVERAGE('Raw Data'!$P$2:$P$1501),1),'Raw Data'!P673)</f>
        <v>11</v>
      </c>
      <c r="Q673" s="21">
        <f>IF('Raw Data'!Q673="",ROUND(AVERAGE('Raw Data'!$Q$2:$Q$1501),0),'Raw Data'!Q673)</f>
        <v>2</v>
      </c>
      <c r="R673" s="21">
        <f>'Raw Data'!R673</f>
        <v>3</v>
      </c>
      <c r="S673" s="21">
        <f>IF('Raw Data'!S673="",ROUND(AVERAGE('Raw Data'!$S$2:$S$1501),0),'Raw Data'!S673)</f>
        <v>2</v>
      </c>
      <c r="T673" s="21">
        <f>'Raw Data'!T673</f>
        <v>124.88</v>
      </c>
      <c r="U673" s="21" t="str">
        <f>INDEX('Lookup Tables'!$C$7:$C$9,MATCH(E673,'Lookup Tables'!$B$7:$B$9,0))</f>
        <v>Tier 1 (Metro)</v>
      </c>
      <c r="V673" s="21" t="str">
        <f t="shared" si="30"/>
        <v>13-24 months</v>
      </c>
      <c r="W673" s="21" t="str">
        <f t="shared" si="31"/>
        <v>Low Risk</v>
      </c>
      <c r="X673" s="21" t="str">
        <f t="shared" si="32"/>
        <v>No</v>
      </c>
    </row>
    <row r="674" spans="1:24" x14ac:dyDescent="0.3">
      <c r="A674" s="21">
        <f>'Raw Data'!A674</f>
        <v>50673</v>
      </c>
      <c r="B674" s="21">
        <f>'Raw Data'!B674</f>
        <v>0</v>
      </c>
      <c r="C674" s="21">
        <f>'Raw Data'!C674</f>
        <v>8</v>
      </c>
      <c r="D674" s="21" t="str">
        <f>'Raw Data'!D674</f>
        <v>Mobile Phone</v>
      </c>
      <c r="E674" s="21">
        <f>'Raw Data'!E674</f>
        <v>1</v>
      </c>
      <c r="F674" s="21">
        <f>IF('Raw Data'!F674="",ROUND(AVERAGE('Raw Data'!$F$2:$F$1501),1),'Raw Data'!F674)</f>
        <v>13</v>
      </c>
      <c r="G674" s="21" t="str">
        <f>'Raw Data'!G674</f>
        <v>Debit Card</v>
      </c>
      <c r="H674" s="21" t="str">
        <f>'Raw Data'!H674</f>
        <v>Male</v>
      </c>
      <c r="I674" s="21">
        <f>IF('Raw Data'!I674="",ROUND(AVERAGE('Raw Data'!$I$2:$I$1501),1),'Raw Data'!I674)</f>
        <v>3.4</v>
      </c>
      <c r="J674" s="21">
        <f>'Raw Data'!J674</f>
        <v>4</v>
      </c>
      <c r="K674" s="21" t="str">
        <f>'Raw Data'!K674</f>
        <v>Fashion</v>
      </c>
      <c r="L674" s="21">
        <f>'Raw Data'!L674</f>
        <v>3</v>
      </c>
      <c r="M674" s="21" t="str">
        <f>'Raw Data'!M674</f>
        <v>Married</v>
      </c>
      <c r="N674" s="21">
        <f>'Raw Data'!N674</f>
        <v>1</v>
      </c>
      <c r="O674" s="21">
        <f>'Raw Data'!O674</f>
        <v>0</v>
      </c>
      <c r="P674" s="21">
        <f>IF('Raw Data'!P674="",ROUND(AVERAGE('Raw Data'!$P$2:$P$1501),1),'Raw Data'!P674)</f>
        <v>13.9</v>
      </c>
      <c r="Q674" s="21">
        <f>IF('Raw Data'!Q674="",ROUND(AVERAGE('Raw Data'!$Q$2:$Q$1501),0),'Raw Data'!Q674)</f>
        <v>3</v>
      </c>
      <c r="R674" s="21">
        <f>'Raw Data'!R674</f>
        <v>3</v>
      </c>
      <c r="S674" s="21">
        <f>IF('Raw Data'!S674="",ROUND(AVERAGE('Raw Data'!$S$2:$S$1501),0),'Raw Data'!S674)</f>
        <v>2</v>
      </c>
      <c r="T674" s="21">
        <f>'Raw Data'!T674</f>
        <v>124.56</v>
      </c>
      <c r="U674" s="21" t="str">
        <f>INDEX('Lookup Tables'!$C$7:$C$9,MATCH(E674,'Lookup Tables'!$B$7:$B$9,0))</f>
        <v>Tier 1 (Metro)</v>
      </c>
      <c r="V674" s="21" t="str">
        <f t="shared" si="30"/>
        <v>7-12 months</v>
      </c>
      <c r="W674" s="21" t="str">
        <f t="shared" si="31"/>
        <v>Medium Risk</v>
      </c>
      <c r="X674" s="21" t="str">
        <f t="shared" si="32"/>
        <v>No</v>
      </c>
    </row>
    <row r="675" spans="1:24" x14ac:dyDescent="0.3">
      <c r="A675" s="21">
        <f>'Raw Data'!A675</f>
        <v>50674</v>
      </c>
      <c r="B675" s="21">
        <f>'Raw Data'!B675</f>
        <v>0</v>
      </c>
      <c r="C675" s="21">
        <f>'Raw Data'!C675</f>
        <v>13</v>
      </c>
      <c r="D675" s="21" t="str">
        <f>'Raw Data'!D675</f>
        <v>Mobile Phone</v>
      </c>
      <c r="E675" s="21">
        <f>'Raw Data'!E675</f>
        <v>1</v>
      </c>
      <c r="F675" s="21">
        <f>IF('Raw Data'!F675="",ROUND(AVERAGE('Raw Data'!$F$2:$F$1501),1),'Raw Data'!F675)</f>
        <v>17</v>
      </c>
      <c r="G675" s="21" t="str">
        <f>'Raw Data'!G675</f>
        <v>Debit Card</v>
      </c>
      <c r="H675" s="21" t="str">
        <f>'Raw Data'!H675</f>
        <v>Female</v>
      </c>
      <c r="I675" s="21">
        <f>IF('Raw Data'!I675="",ROUND(AVERAGE('Raw Data'!$I$2:$I$1501),1),'Raw Data'!I675)</f>
        <v>3</v>
      </c>
      <c r="J675" s="21">
        <f>'Raw Data'!J675</f>
        <v>1</v>
      </c>
      <c r="K675" s="21" t="str">
        <f>'Raw Data'!K675</f>
        <v>Mobile Phone</v>
      </c>
      <c r="L675" s="21">
        <f>'Raw Data'!L675</f>
        <v>4</v>
      </c>
      <c r="M675" s="21" t="str">
        <f>'Raw Data'!M675</f>
        <v>Married</v>
      </c>
      <c r="N675" s="21">
        <f>'Raw Data'!N675</f>
        <v>5</v>
      </c>
      <c r="O675" s="21">
        <f>'Raw Data'!O675</f>
        <v>0</v>
      </c>
      <c r="P675" s="21">
        <f>IF('Raw Data'!P675="",ROUND(AVERAGE('Raw Data'!$P$2:$P$1501),1),'Raw Data'!P675)</f>
        <v>14</v>
      </c>
      <c r="Q675" s="21">
        <f>IF('Raw Data'!Q675="",ROUND(AVERAGE('Raw Data'!$Q$2:$Q$1501),0),'Raw Data'!Q675)</f>
        <v>1</v>
      </c>
      <c r="R675" s="21">
        <f>'Raw Data'!R675</f>
        <v>6</v>
      </c>
      <c r="S675" s="21">
        <f>IF('Raw Data'!S675="",ROUND(AVERAGE('Raw Data'!$S$2:$S$1501),0),'Raw Data'!S675)</f>
        <v>2</v>
      </c>
      <c r="T675" s="21">
        <f>'Raw Data'!T675</f>
        <v>160.28</v>
      </c>
      <c r="U675" s="21" t="str">
        <f>INDEX('Lookup Tables'!$C$7:$C$9,MATCH(E675,'Lookup Tables'!$B$7:$B$9,0))</f>
        <v>Tier 1 (Metro)</v>
      </c>
      <c r="V675" s="21" t="str">
        <f t="shared" si="30"/>
        <v>13-24 months</v>
      </c>
      <c r="W675" s="21" t="str">
        <f t="shared" si="31"/>
        <v>Low Risk</v>
      </c>
      <c r="X675" s="21" t="str">
        <f t="shared" si="32"/>
        <v>No</v>
      </c>
    </row>
    <row r="676" spans="1:24" x14ac:dyDescent="0.3">
      <c r="A676" s="21">
        <f>'Raw Data'!A676</f>
        <v>50675</v>
      </c>
      <c r="B676" s="21">
        <f>'Raw Data'!B676</f>
        <v>0</v>
      </c>
      <c r="C676" s="21">
        <f>'Raw Data'!C676</f>
        <v>21</v>
      </c>
      <c r="D676" s="21" t="str">
        <f>'Raw Data'!D676</f>
        <v>Mobile Phone</v>
      </c>
      <c r="E676" s="21">
        <f>'Raw Data'!E676</f>
        <v>3</v>
      </c>
      <c r="F676" s="21">
        <f>IF('Raw Data'!F676="",ROUND(AVERAGE('Raw Data'!$F$2:$F$1501),1),'Raw Data'!F676)</f>
        <v>23</v>
      </c>
      <c r="G676" s="21" t="str">
        <f>'Raw Data'!G676</f>
        <v>Credit Card</v>
      </c>
      <c r="H676" s="21" t="str">
        <f>'Raw Data'!H676</f>
        <v>Female</v>
      </c>
      <c r="I676" s="21">
        <f>IF('Raw Data'!I676="",ROUND(AVERAGE('Raw Data'!$I$2:$I$1501),1),'Raw Data'!I676)</f>
        <v>3.3</v>
      </c>
      <c r="J676" s="21">
        <f>'Raw Data'!J676</f>
        <v>4</v>
      </c>
      <c r="K676" s="21" t="str">
        <f>'Raw Data'!K676</f>
        <v>Mobile Phone</v>
      </c>
      <c r="L676" s="21">
        <f>'Raw Data'!L676</f>
        <v>1</v>
      </c>
      <c r="M676" s="21" t="str">
        <f>'Raw Data'!M676</f>
        <v>Single</v>
      </c>
      <c r="N676" s="21">
        <f>'Raw Data'!N676</f>
        <v>4</v>
      </c>
      <c r="O676" s="21">
        <f>'Raw Data'!O676</f>
        <v>0</v>
      </c>
      <c r="P676" s="21">
        <f>IF('Raw Data'!P676="",ROUND(AVERAGE('Raw Data'!$P$2:$P$1501),1),'Raw Data'!P676)</f>
        <v>11.8</v>
      </c>
      <c r="Q676" s="21">
        <f>IF('Raw Data'!Q676="",ROUND(AVERAGE('Raw Data'!$Q$2:$Q$1501),0),'Raw Data'!Q676)</f>
        <v>0</v>
      </c>
      <c r="R676" s="21">
        <f>'Raw Data'!R676</f>
        <v>6</v>
      </c>
      <c r="S676" s="21">
        <f>IF('Raw Data'!S676="",ROUND(AVERAGE('Raw Data'!$S$2:$S$1501),0),'Raw Data'!S676)</f>
        <v>2</v>
      </c>
      <c r="T676" s="21">
        <f>'Raw Data'!T676</f>
        <v>158.13999999999999</v>
      </c>
      <c r="U676" s="21" t="str">
        <f>INDEX('Lookup Tables'!$C$7:$C$9,MATCH(E676,'Lookup Tables'!$B$7:$B$9,0))</f>
        <v>Tier 3 (Semi-urban/Rural)</v>
      </c>
      <c r="V676" s="21" t="str">
        <f t="shared" si="30"/>
        <v>13-24 months</v>
      </c>
      <c r="W676" s="21" t="str">
        <f t="shared" si="31"/>
        <v>Low Risk</v>
      </c>
      <c r="X676" s="21" t="str">
        <f t="shared" si="32"/>
        <v>No</v>
      </c>
    </row>
    <row r="677" spans="1:24" x14ac:dyDescent="0.3">
      <c r="A677" s="21">
        <f>'Raw Data'!A677</f>
        <v>50676</v>
      </c>
      <c r="B677" s="21">
        <f>'Raw Data'!B677</f>
        <v>0</v>
      </c>
      <c r="C677" s="21">
        <f>'Raw Data'!C677</f>
        <v>5</v>
      </c>
      <c r="D677" s="21" t="str">
        <f>'Raw Data'!D677</f>
        <v>Phone</v>
      </c>
      <c r="E677" s="21">
        <f>'Raw Data'!E677</f>
        <v>3</v>
      </c>
      <c r="F677" s="21">
        <f>IF('Raw Data'!F677="",ROUND(AVERAGE('Raw Data'!$F$2:$F$1501),1),'Raw Data'!F677)</f>
        <v>21</v>
      </c>
      <c r="G677" s="21" t="str">
        <f>'Raw Data'!G677</f>
        <v>Debit Card</v>
      </c>
      <c r="H677" s="21" t="str">
        <f>'Raw Data'!H677</f>
        <v>Male</v>
      </c>
      <c r="I677" s="21">
        <f>IF('Raw Data'!I677="",ROUND(AVERAGE('Raw Data'!$I$2:$I$1501),1),'Raw Data'!I677)</f>
        <v>2.2999999999999998</v>
      </c>
      <c r="J677" s="21">
        <f>'Raw Data'!J677</f>
        <v>4</v>
      </c>
      <c r="K677" s="21" t="str">
        <f>'Raw Data'!K677</f>
        <v>Grocery</v>
      </c>
      <c r="L677" s="21">
        <f>'Raw Data'!L677</f>
        <v>4</v>
      </c>
      <c r="M677" s="21" t="str">
        <f>'Raw Data'!M677</f>
        <v>Married</v>
      </c>
      <c r="N677" s="21">
        <f>'Raw Data'!N677</f>
        <v>8</v>
      </c>
      <c r="O677" s="21">
        <f>'Raw Data'!O677</f>
        <v>0</v>
      </c>
      <c r="P677" s="21">
        <f>IF('Raw Data'!P677="",ROUND(AVERAGE('Raw Data'!$P$2:$P$1501),1),'Raw Data'!P677)</f>
        <v>18.600000000000001</v>
      </c>
      <c r="Q677" s="21">
        <f>IF('Raw Data'!Q677="",ROUND(AVERAGE('Raw Data'!$Q$2:$Q$1501),0),'Raw Data'!Q677)</f>
        <v>4</v>
      </c>
      <c r="R677" s="21">
        <f>'Raw Data'!R677</f>
        <v>3</v>
      </c>
      <c r="S677" s="21">
        <f>IF('Raw Data'!S677="",ROUND(AVERAGE('Raw Data'!$S$2:$S$1501),0),'Raw Data'!S677)</f>
        <v>6</v>
      </c>
      <c r="T677" s="21">
        <f>'Raw Data'!T677</f>
        <v>124.7</v>
      </c>
      <c r="U677" s="21" t="str">
        <f>INDEX('Lookup Tables'!$C$7:$C$9,MATCH(E677,'Lookup Tables'!$B$7:$B$9,0))</f>
        <v>Tier 3 (Semi-urban/Rural)</v>
      </c>
      <c r="V677" s="21" t="str">
        <f t="shared" si="30"/>
        <v>0-6 months</v>
      </c>
      <c r="W677" s="21" t="str">
        <f t="shared" si="31"/>
        <v>Low Risk</v>
      </c>
      <c r="X677" s="21" t="str">
        <f t="shared" si="32"/>
        <v>No</v>
      </c>
    </row>
    <row r="678" spans="1:24" x14ac:dyDescent="0.3">
      <c r="A678" s="21">
        <f>'Raw Data'!A678</f>
        <v>50677</v>
      </c>
      <c r="B678" s="21">
        <f>'Raw Data'!B678</f>
        <v>0</v>
      </c>
      <c r="C678" s="21">
        <f>'Raw Data'!C678</f>
        <v>3</v>
      </c>
      <c r="D678" s="21" t="str">
        <f>'Raw Data'!D678</f>
        <v>Computer</v>
      </c>
      <c r="E678" s="21">
        <f>'Raw Data'!E678</f>
        <v>1</v>
      </c>
      <c r="F678" s="21">
        <f>IF('Raw Data'!F678="",ROUND(AVERAGE('Raw Data'!$F$2:$F$1501),1),'Raw Data'!F678)</f>
        <v>5</v>
      </c>
      <c r="G678" s="21" t="str">
        <f>'Raw Data'!G678</f>
        <v>UPI</v>
      </c>
      <c r="H678" s="21" t="str">
        <f>'Raw Data'!H678</f>
        <v>Female</v>
      </c>
      <c r="I678" s="21">
        <f>IF('Raw Data'!I678="",ROUND(AVERAGE('Raw Data'!$I$2:$I$1501),1),'Raw Data'!I678)</f>
        <v>2.7</v>
      </c>
      <c r="J678" s="21">
        <f>'Raw Data'!J678</f>
        <v>5</v>
      </c>
      <c r="K678" s="21" t="str">
        <f>'Raw Data'!K678</f>
        <v>Laptop &amp; Accessory</v>
      </c>
      <c r="L678" s="21">
        <f>'Raw Data'!L678</f>
        <v>5</v>
      </c>
      <c r="M678" s="21" t="str">
        <f>'Raw Data'!M678</f>
        <v>Married</v>
      </c>
      <c r="N678" s="21">
        <f>'Raw Data'!N678</f>
        <v>1</v>
      </c>
      <c r="O678" s="21">
        <f>'Raw Data'!O678</f>
        <v>0</v>
      </c>
      <c r="P678" s="21">
        <f>IF('Raw Data'!P678="",ROUND(AVERAGE('Raw Data'!$P$2:$P$1501),1),'Raw Data'!P678)</f>
        <v>16</v>
      </c>
      <c r="Q678" s="21">
        <f>IF('Raw Data'!Q678="",ROUND(AVERAGE('Raw Data'!$Q$2:$Q$1501),0),'Raw Data'!Q678)</f>
        <v>0</v>
      </c>
      <c r="R678" s="21">
        <f>'Raw Data'!R678</f>
        <v>3</v>
      </c>
      <c r="S678" s="21">
        <f>IF('Raw Data'!S678="",ROUND(AVERAGE('Raw Data'!$S$2:$S$1501),0),'Raw Data'!S678)</f>
        <v>1</v>
      </c>
      <c r="T678" s="21">
        <f>'Raw Data'!T678</f>
        <v>230.83</v>
      </c>
      <c r="U678" s="21" t="str">
        <f>INDEX('Lookup Tables'!$C$7:$C$9,MATCH(E678,'Lookup Tables'!$B$7:$B$9,0))</f>
        <v>Tier 1 (Metro)</v>
      </c>
      <c r="V678" s="21" t="str">
        <f t="shared" si="30"/>
        <v>0-6 months</v>
      </c>
      <c r="W678" s="21" t="str">
        <f t="shared" si="31"/>
        <v>Low Risk</v>
      </c>
      <c r="X678" s="21" t="str">
        <f t="shared" si="32"/>
        <v>No</v>
      </c>
    </row>
    <row r="679" spans="1:24" x14ac:dyDescent="0.3">
      <c r="A679" s="21">
        <f>'Raw Data'!A679</f>
        <v>50678</v>
      </c>
      <c r="B679" s="21">
        <f>'Raw Data'!B679</f>
        <v>0</v>
      </c>
      <c r="C679" s="21">
        <f>'Raw Data'!C679</f>
        <v>11</v>
      </c>
      <c r="D679" s="21" t="str">
        <f>'Raw Data'!D679</f>
        <v>Mobile Phone</v>
      </c>
      <c r="E679" s="21">
        <f>'Raw Data'!E679</f>
        <v>1</v>
      </c>
      <c r="F679" s="21">
        <f>IF('Raw Data'!F679="",ROUND(AVERAGE('Raw Data'!$F$2:$F$1501),1),'Raw Data'!F679)</f>
        <v>21</v>
      </c>
      <c r="G679" s="21" t="str">
        <f>'Raw Data'!G679</f>
        <v>Debit Card</v>
      </c>
      <c r="H679" s="21" t="str">
        <f>'Raw Data'!H679</f>
        <v>Male</v>
      </c>
      <c r="I679" s="21">
        <f>IF('Raw Data'!I679="",ROUND(AVERAGE('Raw Data'!$I$2:$I$1501),1),'Raw Data'!I679)</f>
        <v>3</v>
      </c>
      <c r="J679" s="21">
        <f>'Raw Data'!J679</f>
        <v>3</v>
      </c>
      <c r="K679" s="21" t="str">
        <f>'Raw Data'!K679</f>
        <v>Grocery</v>
      </c>
      <c r="L679" s="21">
        <f>'Raw Data'!L679</f>
        <v>5</v>
      </c>
      <c r="M679" s="21" t="str">
        <f>'Raw Data'!M679</f>
        <v>Single</v>
      </c>
      <c r="N679" s="21">
        <f>'Raw Data'!N679</f>
        <v>2</v>
      </c>
      <c r="O679" s="21">
        <f>'Raw Data'!O679</f>
        <v>0</v>
      </c>
      <c r="P679" s="21">
        <f>IF('Raw Data'!P679="",ROUND(AVERAGE('Raw Data'!$P$2:$P$1501),1),'Raw Data'!P679)</f>
        <v>15.2</v>
      </c>
      <c r="Q679" s="21">
        <f>IF('Raw Data'!Q679="",ROUND(AVERAGE('Raw Data'!$Q$2:$Q$1501),0),'Raw Data'!Q679)</f>
        <v>3</v>
      </c>
      <c r="R679" s="21">
        <f>'Raw Data'!R679</f>
        <v>7</v>
      </c>
      <c r="S679" s="21">
        <f>IF('Raw Data'!S679="",ROUND(AVERAGE('Raw Data'!$S$2:$S$1501),0),'Raw Data'!S679)</f>
        <v>4</v>
      </c>
      <c r="T679" s="21">
        <f>'Raw Data'!T679</f>
        <v>161.6</v>
      </c>
      <c r="U679" s="21" t="str">
        <f>INDEX('Lookup Tables'!$C$7:$C$9,MATCH(E679,'Lookup Tables'!$B$7:$B$9,0))</f>
        <v>Tier 1 (Metro)</v>
      </c>
      <c r="V679" s="21" t="str">
        <f t="shared" si="30"/>
        <v>7-12 months</v>
      </c>
      <c r="W679" s="21" t="str">
        <f t="shared" si="31"/>
        <v>Low Risk</v>
      </c>
      <c r="X679" s="21" t="str">
        <f t="shared" si="32"/>
        <v>No</v>
      </c>
    </row>
    <row r="680" spans="1:24" x14ac:dyDescent="0.3">
      <c r="A680" s="21">
        <f>'Raw Data'!A680</f>
        <v>50679</v>
      </c>
      <c r="B680" s="21">
        <f>'Raw Data'!B680</f>
        <v>0</v>
      </c>
      <c r="C680" s="21">
        <f>'Raw Data'!C680</f>
        <v>16</v>
      </c>
      <c r="D680" s="21" t="str">
        <f>'Raw Data'!D680</f>
        <v>Phone</v>
      </c>
      <c r="E680" s="21">
        <f>'Raw Data'!E680</f>
        <v>3</v>
      </c>
      <c r="F680" s="21">
        <f>IF('Raw Data'!F680="",ROUND(AVERAGE('Raw Data'!$F$2:$F$1501),1),'Raw Data'!F680)</f>
        <v>14</v>
      </c>
      <c r="G680" s="21" t="str">
        <f>'Raw Data'!G680</f>
        <v>Cash on Delivery</v>
      </c>
      <c r="H680" s="21" t="str">
        <f>'Raw Data'!H680</f>
        <v>Male</v>
      </c>
      <c r="I680" s="21">
        <f>IF('Raw Data'!I680="",ROUND(AVERAGE('Raw Data'!$I$2:$I$1501),1),'Raw Data'!I680)</f>
        <v>3.1</v>
      </c>
      <c r="J680" s="21">
        <f>'Raw Data'!J680</f>
        <v>1</v>
      </c>
      <c r="K680" s="21" t="str">
        <f>'Raw Data'!K680</f>
        <v>Laptop &amp; Accessory</v>
      </c>
      <c r="L680" s="21">
        <f>'Raw Data'!L680</f>
        <v>5</v>
      </c>
      <c r="M680" s="21" t="str">
        <f>'Raw Data'!M680</f>
        <v>Married</v>
      </c>
      <c r="N680" s="21">
        <f>'Raw Data'!N680</f>
        <v>1</v>
      </c>
      <c r="O680" s="21">
        <f>'Raw Data'!O680</f>
        <v>1</v>
      </c>
      <c r="P680" s="21">
        <f>IF('Raw Data'!P680="",ROUND(AVERAGE('Raw Data'!$P$2:$P$1501),1),'Raw Data'!P680)</f>
        <v>11.6</v>
      </c>
      <c r="Q680" s="21">
        <f>IF('Raw Data'!Q680="",ROUND(AVERAGE('Raw Data'!$Q$2:$Q$1501),0),'Raw Data'!Q680)</f>
        <v>0</v>
      </c>
      <c r="R680" s="21">
        <f>'Raw Data'!R680</f>
        <v>3</v>
      </c>
      <c r="S680" s="21">
        <f>IF('Raw Data'!S680="",ROUND(AVERAGE('Raw Data'!$S$2:$S$1501),0),'Raw Data'!S680)</f>
        <v>3</v>
      </c>
      <c r="T680" s="21">
        <f>'Raw Data'!T680</f>
        <v>167.53</v>
      </c>
      <c r="U680" s="21" t="str">
        <f>INDEX('Lookup Tables'!$C$7:$C$9,MATCH(E680,'Lookup Tables'!$B$7:$B$9,0))</f>
        <v>Tier 3 (Semi-urban/Rural)</v>
      </c>
      <c r="V680" s="21" t="str">
        <f t="shared" si="30"/>
        <v>13-24 months</v>
      </c>
      <c r="W680" s="21" t="str">
        <f t="shared" si="31"/>
        <v>Low Risk</v>
      </c>
      <c r="X680" s="21" t="str">
        <f t="shared" si="32"/>
        <v>No</v>
      </c>
    </row>
    <row r="681" spans="1:24" x14ac:dyDescent="0.3">
      <c r="A681" s="21">
        <f>'Raw Data'!A681</f>
        <v>50680</v>
      </c>
      <c r="B681" s="21">
        <f>'Raw Data'!B681</f>
        <v>0</v>
      </c>
      <c r="C681" s="21">
        <f>'Raw Data'!C681</f>
        <v>14</v>
      </c>
      <c r="D681" s="21" t="str">
        <f>'Raw Data'!D681</f>
        <v>Phone</v>
      </c>
      <c r="E681" s="21">
        <f>'Raw Data'!E681</f>
        <v>1</v>
      </c>
      <c r="F681" s="21">
        <f>IF('Raw Data'!F681="",ROUND(AVERAGE('Raw Data'!$F$2:$F$1501),1),'Raw Data'!F681)</f>
        <v>15</v>
      </c>
      <c r="G681" s="21" t="str">
        <f>'Raw Data'!G681</f>
        <v>UPI</v>
      </c>
      <c r="H681" s="21" t="str">
        <f>'Raw Data'!H681</f>
        <v>Female</v>
      </c>
      <c r="I681" s="21">
        <f>IF('Raw Data'!I681="",ROUND(AVERAGE('Raw Data'!$I$2:$I$1501),1),'Raw Data'!I681)</f>
        <v>3.1</v>
      </c>
      <c r="J681" s="21">
        <f>'Raw Data'!J681</f>
        <v>4</v>
      </c>
      <c r="K681" s="21" t="str">
        <f>'Raw Data'!K681</f>
        <v>Laptop &amp; Accessory</v>
      </c>
      <c r="L681" s="21">
        <f>'Raw Data'!L681</f>
        <v>3</v>
      </c>
      <c r="M681" s="21" t="str">
        <f>'Raw Data'!M681</f>
        <v>Married</v>
      </c>
      <c r="N681" s="21">
        <f>'Raw Data'!N681</f>
        <v>1</v>
      </c>
      <c r="O681" s="21">
        <f>'Raw Data'!O681</f>
        <v>0</v>
      </c>
      <c r="P681" s="21">
        <f>IF('Raw Data'!P681="",ROUND(AVERAGE('Raw Data'!$P$2:$P$1501),1),'Raw Data'!P681)</f>
        <v>15.8</v>
      </c>
      <c r="Q681" s="21">
        <f>IF('Raw Data'!Q681="",ROUND(AVERAGE('Raw Data'!$Q$2:$Q$1501),0),'Raw Data'!Q681)</f>
        <v>1</v>
      </c>
      <c r="R681" s="21">
        <f>'Raw Data'!R681</f>
        <v>7</v>
      </c>
      <c r="S681" s="21">
        <f>IF('Raw Data'!S681="",ROUND(AVERAGE('Raw Data'!$S$2:$S$1501),0),'Raw Data'!S681)</f>
        <v>2</v>
      </c>
      <c r="T681" s="21">
        <f>'Raw Data'!T681</f>
        <v>106.99</v>
      </c>
      <c r="U681" s="21" t="str">
        <f>INDEX('Lookup Tables'!$C$7:$C$9,MATCH(E681,'Lookup Tables'!$B$7:$B$9,0))</f>
        <v>Tier 1 (Metro)</v>
      </c>
      <c r="V681" s="21" t="str">
        <f t="shared" si="30"/>
        <v>13-24 months</v>
      </c>
      <c r="W681" s="21" t="str">
        <f t="shared" si="31"/>
        <v>Medium Risk</v>
      </c>
      <c r="X681" s="21" t="str">
        <f t="shared" si="32"/>
        <v>No</v>
      </c>
    </row>
    <row r="682" spans="1:24" x14ac:dyDescent="0.3">
      <c r="A682" s="21">
        <f>'Raw Data'!A682</f>
        <v>50681</v>
      </c>
      <c r="B682" s="21">
        <f>'Raw Data'!B682</f>
        <v>0</v>
      </c>
      <c r="C682" s="21">
        <f>'Raw Data'!C682</f>
        <v>15</v>
      </c>
      <c r="D682" s="21" t="str">
        <f>'Raw Data'!D682</f>
        <v>Mobile Phone</v>
      </c>
      <c r="E682" s="21">
        <f>'Raw Data'!E682</f>
        <v>3</v>
      </c>
      <c r="F682" s="21">
        <f>IF('Raw Data'!F682="",ROUND(AVERAGE('Raw Data'!$F$2:$F$1501),1),'Raw Data'!F682)</f>
        <v>14.8</v>
      </c>
      <c r="G682" s="21" t="str">
        <f>'Raw Data'!G682</f>
        <v>Credit Card</v>
      </c>
      <c r="H682" s="21" t="str">
        <f>'Raw Data'!H682</f>
        <v>Male</v>
      </c>
      <c r="I682" s="21">
        <f>IF('Raw Data'!I682="",ROUND(AVERAGE('Raw Data'!$I$2:$I$1501),1),'Raw Data'!I682)</f>
        <v>2.8</v>
      </c>
      <c r="J682" s="21">
        <f>'Raw Data'!J682</f>
        <v>4</v>
      </c>
      <c r="K682" s="21" t="str">
        <f>'Raw Data'!K682</f>
        <v>Laptop &amp; Accessory</v>
      </c>
      <c r="L682" s="21">
        <f>'Raw Data'!L682</f>
        <v>4</v>
      </c>
      <c r="M682" s="21" t="str">
        <f>'Raw Data'!M682</f>
        <v>Married</v>
      </c>
      <c r="N682" s="21">
        <f>'Raw Data'!N682</f>
        <v>2</v>
      </c>
      <c r="O682" s="21">
        <f>'Raw Data'!O682</f>
        <v>0</v>
      </c>
      <c r="P682" s="21">
        <f>IF('Raw Data'!P682="",ROUND(AVERAGE('Raw Data'!$P$2:$P$1501),1),'Raw Data'!P682)</f>
        <v>11</v>
      </c>
      <c r="Q682" s="21">
        <f>IF('Raw Data'!Q682="",ROUND(AVERAGE('Raw Data'!$Q$2:$Q$1501),0),'Raw Data'!Q682)</f>
        <v>1</v>
      </c>
      <c r="R682" s="21">
        <f>'Raw Data'!R682</f>
        <v>4</v>
      </c>
      <c r="S682" s="21">
        <f>IF('Raw Data'!S682="",ROUND(AVERAGE('Raw Data'!$S$2:$S$1501),0),'Raw Data'!S682)</f>
        <v>0</v>
      </c>
      <c r="T682" s="21">
        <f>'Raw Data'!T682</f>
        <v>293.94</v>
      </c>
      <c r="U682" s="21" t="str">
        <f>INDEX('Lookup Tables'!$C$7:$C$9,MATCH(E682,'Lookup Tables'!$B$7:$B$9,0))</f>
        <v>Tier 3 (Semi-urban/Rural)</v>
      </c>
      <c r="V682" s="21" t="str">
        <f t="shared" si="30"/>
        <v>13-24 months</v>
      </c>
      <c r="W682" s="21" t="str">
        <f t="shared" si="31"/>
        <v>Low Risk</v>
      </c>
      <c r="X682" s="21" t="str">
        <f t="shared" si="32"/>
        <v>No</v>
      </c>
    </row>
    <row r="683" spans="1:24" x14ac:dyDescent="0.3">
      <c r="A683" s="21">
        <f>'Raw Data'!A683</f>
        <v>50682</v>
      </c>
      <c r="B683" s="21">
        <f>'Raw Data'!B683</f>
        <v>0</v>
      </c>
      <c r="C683" s="21">
        <f>'Raw Data'!C683</f>
        <v>5</v>
      </c>
      <c r="D683" s="21" t="str">
        <f>'Raw Data'!D683</f>
        <v>Mobile Phone</v>
      </c>
      <c r="E683" s="21">
        <f>'Raw Data'!E683</f>
        <v>3</v>
      </c>
      <c r="F683" s="21">
        <f>IF('Raw Data'!F683="",ROUND(AVERAGE('Raw Data'!$F$2:$F$1501),1),'Raw Data'!F683)</f>
        <v>13</v>
      </c>
      <c r="G683" s="21" t="str">
        <f>'Raw Data'!G683</f>
        <v>Credit Card</v>
      </c>
      <c r="H683" s="21" t="str">
        <f>'Raw Data'!H683</f>
        <v>Male</v>
      </c>
      <c r="I683" s="21">
        <f>IF('Raw Data'!I683="",ROUND(AVERAGE('Raw Data'!$I$2:$I$1501),1),'Raw Data'!I683)</f>
        <v>2.6</v>
      </c>
      <c r="J683" s="21">
        <f>'Raw Data'!J683</f>
        <v>4</v>
      </c>
      <c r="K683" s="21" t="str">
        <f>'Raw Data'!K683</f>
        <v>Fashion</v>
      </c>
      <c r="L683" s="21">
        <f>'Raw Data'!L683</f>
        <v>3</v>
      </c>
      <c r="M683" s="21" t="str">
        <f>'Raw Data'!M683</f>
        <v>Single</v>
      </c>
      <c r="N683" s="21">
        <f>'Raw Data'!N683</f>
        <v>1</v>
      </c>
      <c r="O683" s="21">
        <f>'Raw Data'!O683</f>
        <v>0</v>
      </c>
      <c r="P683" s="21">
        <f>IF('Raw Data'!P683="",ROUND(AVERAGE('Raw Data'!$P$2:$P$1501),1),'Raw Data'!P683)</f>
        <v>15.4</v>
      </c>
      <c r="Q683" s="21">
        <f>IF('Raw Data'!Q683="",ROUND(AVERAGE('Raw Data'!$Q$2:$Q$1501),0),'Raw Data'!Q683)</f>
        <v>1</v>
      </c>
      <c r="R683" s="21">
        <f>'Raw Data'!R683</f>
        <v>3</v>
      </c>
      <c r="S683" s="21">
        <f>IF('Raw Data'!S683="",ROUND(AVERAGE('Raw Data'!$S$2:$S$1501),0),'Raw Data'!S683)</f>
        <v>0</v>
      </c>
      <c r="T683" s="21">
        <f>'Raw Data'!T683</f>
        <v>313.49</v>
      </c>
      <c r="U683" s="21" t="str">
        <f>INDEX('Lookup Tables'!$C$7:$C$9,MATCH(E683,'Lookup Tables'!$B$7:$B$9,0))</f>
        <v>Tier 3 (Semi-urban/Rural)</v>
      </c>
      <c r="V683" s="21" t="str">
        <f t="shared" si="30"/>
        <v>0-6 months</v>
      </c>
      <c r="W683" s="21" t="str">
        <f t="shared" si="31"/>
        <v>Medium Risk</v>
      </c>
      <c r="X683" s="21" t="str">
        <f t="shared" si="32"/>
        <v>No</v>
      </c>
    </row>
    <row r="684" spans="1:24" x14ac:dyDescent="0.3">
      <c r="A684" s="21">
        <f>'Raw Data'!A684</f>
        <v>50683</v>
      </c>
      <c r="B684" s="21">
        <f>'Raw Data'!B684</f>
        <v>0</v>
      </c>
      <c r="C684" s="21">
        <f>'Raw Data'!C684</f>
        <v>17</v>
      </c>
      <c r="D684" s="21" t="str">
        <f>'Raw Data'!D684</f>
        <v>Computer</v>
      </c>
      <c r="E684" s="21">
        <f>'Raw Data'!E684</f>
        <v>1</v>
      </c>
      <c r="F684" s="21">
        <f>IF('Raw Data'!F684="",ROUND(AVERAGE('Raw Data'!$F$2:$F$1501),1),'Raw Data'!F684)</f>
        <v>14.8</v>
      </c>
      <c r="G684" s="21" t="str">
        <f>'Raw Data'!G684</f>
        <v>E wallet</v>
      </c>
      <c r="H684" s="21" t="str">
        <f>'Raw Data'!H684</f>
        <v>Female</v>
      </c>
      <c r="I684" s="21">
        <f>IF('Raw Data'!I684="",ROUND(AVERAGE('Raw Data'!$I$2:$I$1501),1),'Raw Data'!I684)</f>
        <v>5</v>
      </c>
      <c r="J684" s="21">
        <f>'Raw Data'!J684</f>
        <v>3</v>
      </c>
      <c r="K684" s="21" t="str">
        <f>'Raw Data'!K684</f>
        <v>Mobile Phone</v>
      </c>
      <c r="L684" s="21">
        <f>'Raw Data'!L684</f>
        <v>4</v>
      </c>
      <c r="M684" s="21" t="str">
        <f>'Raw Data'!M684</f>
        <v>Married</v>
      </c>
      <c r="N684" s="21">
        <f>'Raw Data'!N684</f>
        <v>4</v>
      </c>
      <c r="O684" s="21">
        <f>'Raw Data'!O684</f>
        <v>0</v>
      </c>
      <c r="P684" s="21">
        <f>IF('Raw Data'!P684="",ROUND(AVERAGE('Raw Data'!$P$2:$P$1501),1),'Raw Data'!P684)</f>
        <v>16.2</v>
      </c>
      <c r="Q684" s="21">
        <f>IF('Raw Data'!Q684="",ROUND(AVERAGE('Raw Data'!$Q$2:$Q$1501),0),'Raw Data'!Q684)</f>
        <v>3</v>
      </c>
      <c r="R684" s="21">
        <f>'Raw Data'!R684</f>
        <v>4</v>
      </c>
      <c r="S684" s="21">
        <f>IF('Raw Data'!S684="",ROUND(AVERAGE('Raw Data'!$S$2:$S$1501),0),'Raw Data'!S684)</f>
        <v>3</v>
      </c>
      <c r="T684" s="21">
        <f>'Raw Data'!T684</f>
        <v>137.08000000000001</v>
      </c>
      <c r="U684" s="21" t="str">
        <f>INDEX('Lookup Tables'!$C$7:$C$9,MATCH(E684,'Lookup Tables'!$B$7:$B$9,0))</f>
        <v>Tier 1 (Metro)</v>
      </c>
      <c r="V684" s="21" t="str">
        <f t="shared" si="30"/>
        <v>13-24 months</v>
      </c>
      <c r="W684" s="21" t="str">
        <f t="shared" si="31"/>
        <v>Low Risk</v>
      </c>
      <c r="X684" s="21" t="str">
        <f t="shared" si="32"/>
        <v>No</v>
      </c>
    </row>
    <row r="685" spans="1:24" x14ac:dyDescent="0.3">
      <c r="A685" s="21">
        <f>'Raw Data'!A685</f>
        <v>50684</v>
      </c>
      <c r="B685" s="21">
        <f>'Raw Data'!B685</f>
        <v>0</v>
      </c>
      <c r="C685" s="21">
        <f>'Raw Data'!C685</f>
        <v>1</v>
      </c>
      <c r="D685" s="21" t="str">
        <f>'Raw Data'!D685</f>
        <v>Phone</v>
      </c>
      <c r="E685" s="21">
        <f>'Raw Data'!E685</f>
        <v>1</v>
      </c>
      <c r="F685" s="21">
        <f>IF('Raw Data'!F685="",ROUND(AVERAGE('Raw Data'!$F$2:$F$1501),1),'Raw Data'!F685)</f>
        <v>14</v>
      </c>
      <c r="G685" s="21" t="str">
        <f>'Raw Data'!G685</f>
        <v>Credit Card</v>
      </c>
      <c r="H685" s="21" t="str">
        <f>'Raw Data'!H685</f>
        <v>Male</v>
      </c>
      <c r="I685" s="21">
        <f>IF('Raw Data'!I685="",ROUND(AVERAGE('Raw Data'!$I$2:$I$1501),1),'Raw Data'!I685)</f>
        <v>3.5</v>
      </c>
      <c r="J685" s="21">
        <f>'Raw Data'!J685</f>
        <v>3</v>
      </c>
      <c r="K685" s="21" t="str">
        <f>'Raw Data'!K685</f>
        <v>Grocery</v>
      </c>
      <c r="L685" s="21">
        <f>'Raw Data'!L685</f>
        <v>2</v>
      </c>
      <c r="M685" s="21" t="str">
        <f>'Raw Data'!M685</f>
        <v>Single</v>
      </c>
      <c r="N685" s="21">
        <f>'Raw Data'!N685</f>
        <v>2</v>
      </c>
      <c r="O685" s="21">
        <f>'Raw Data'!O685</f>
        <v>0</v>
      </c>
      <c r="P685" s="21">
        <f>IF('Raw Data'!P685="",ROUND(AVERAGE('Raw Data'!$P$2:$P$1501),1),'Raw Data'!P685)</f>
        <v>16.8</v>
      </c>
      <c r="Q685" s="21">
        <f>IF('Raw Data'!Q685="",ROUND(AVERAGE('Raw Data'!$Q$2:$Q$1501),0),'Raw Data'!Q685)</f>
        <v>0</v>
      </c>
      <c r="R685" s="21">
        <f>'Raw Data'!R685</f>
        <v>3</v>
      </c>
      <c r="S685" s="21">
        <f>IF('Raw Data'!S685="",ROUND(AVERAGE('Raw Data'!$S$2:$S$1501),0),'Raw Data'!S685)</f>
        <v>1</v>
      </c>
      <c r="T685" s="21">
        <f>'Raw Data'!T685</f>
        <v>247.43</v>
      </c>
      <c r="U685" s="21" t="str">
        <f>INDEX('Lookup Tables'!$C$7:$C$9,MATCH(E685,'Lookup Tables'!$B$7:$B$9,0))</f>
        <v>Tier 1 (Metro)</v>
      </c>
      <c r="V685" s="21" t="str">
        <f t="shared" si="30"/>
        <v>0-6 months</v>
      </c>
      <c r="W685" s="21" t="str">
        <f t="shared" si="31"/>
        <v>Low Risk</v>
      </c>
      <c r="X685" s="21" t="str">
        <f t="shared" si="32"/>
        <v>No</v>
      </c>
    </row>
    <row r="686" spans="1:24" x14ac:dyDescent="0.3">
      <c r="A686" s="21">
        <f>'Raw Data'!A686</f>
        <v>50685</v>
      </c>
      <c r="B686" s="21">
        <f>'Raw Data'!B686</f>
        <v>0</v>
      </c>
      <c r="C686" s="21">
        <f>'Raw Data'!C686</f>
        <v>7</v>
      </c>
      <c r="D686" s="21" t="str">
        <f>'Raw Data'!D686</f>
        <v>Phone</v>
      </c>
      <c r="E686" s="21">
        <f>'Raw Data'!E686</f>
        <v>3</v>
      </c>
      <c r="F686" s="21">
        <f>IF('Raw Data'!F686="",ROUND(AVERAGE('Raw Data'!$F$2:$F$1501),1),'Raw Data'!F686)</f>
        <v>6</v>
      </c>
      <c r="G686" s="21" t="str">
        <f>'Raw Data'!G686</f>
        <v>E wallet</v>
      </c>
      <c r="H686" s="21" t="str">
        <f>'Raw Data'!H686</f>
        <v>Female</v>
      </c>
      <c r="I686" s="21">
        <f>IF('Raw Data'!I686="",ROUND(AVERAGE('Raw Data'!$I$2:$I$1501),1),'Raw Data'!I686)</f>
        <v>3.2</v>
      </c>
      <c r="J686" s="21">
        <f>'Raw Data'!J686</f>
        <v>3</v>
      </c>
      <c r="K686" s="21" t="str">
        <f>'Raw Data'!K686</f>
        <v>Mobile Phone</v>
      </c>
      <c r="L686" s="21">
        <f>'Raw Data'!L686</f>
        <v>5</v>
      </c>
      <c r="M686" s="21" t="str">
        <f>'Raw Data'!M686</f>
        <v>Married</v>
      </c>
      <c r="N686" s="21">
        <f>'Raw Data'!N686</f>
        <v>6</v>
      </c>
      <c r="O686" s="21">
        <f>'Raw Data'!O686</f>
        <v>0</v>
      </c>
      <c r="P686" s="21">
        <f>IF('Raw Data'!P686="",ROUND(AVERAGE('Raw Data'!$P$2:$P$1501),1),'Raw Data'!P686)</f>
        <v>11</v>
      </c>
      <c r="Q686" s="21">
        <f>IF('Raw Data'!Q686="",ROUND(AVERAGE('Raw Data'!$Q$2:$Q$1501),0),'Raw Data'!Q686)</f>
        <v>0</v>
      </c>
      <c r="R686" s="21">
        <f>'Raw Data'!R686</f>
        <v>6</v>
      </c>
      <c r="S686" s="21">
        <f>IF('Raw Data'!S686="",ROUND(AVERAGE('Raw Data'!$S$2:$S$1501),0),'Raw Data'!S686)</f>
        <v>10</v>
      </c>
      <c r="T686" s="21">
        <f>'Raw Data'!T686</f>
        <v>174.95</v>
      </c>
      <c r="U686" s="21" t="str">
        <f>INDEX('Lookup Tables'!$C$7:$C$9,MATCH(E686,'Lookup Tables'!$B$7:$B$9,0))</f>
        <v>Tier 3 (Semi-urban/Rural)</v>
      </c>
      <c r="V686" s="21" t="str">
        <f t="shared" si="30"/>
        <v>7-12 months</v>
      </c>
      <c r="W686" s="21" t="str">
        <f t="shared" si="31"/>
        <v>Low Risk</v>
      </c>
      <c r="X686" s="21" t="str">
        <f t="shared" si="32"/>
        <v>No</v>
      </c>
    </row>
    <row r="687" spans="1:24" x14ac:dyDescent="0.3">
      <c r="A687" s="21">
        <f>'Raw Data'!A687</f>
        <v>50686</v>
      </c>
      <c r="B687" s="21">
        <f>'Raw Data'!B687</f>
        <v>0</v>
      </c>
      <c r="C687" s="21">
        <f>'Raw Data'!C687</f>
        <v>0</v>
      </c>
      <c r="D687" s="21" t="str">
        <f>'Raw Data'!D687</f>
        <v>Phone</v>
      </c>
      <c r="E687" s="21">
        <f>'Raw Data'!E687</f>
        <v>3</v>
      </c>
      <c r="F687" s="21">
        <f>IF('Raw Data'!F687="",ROUND(AVERAGE('Raw Data'!$F$2:$F$1501),1),'Raw Data'!F687)</f>
        <v>11</v>
      </c>
      <c r="G687" s="21" t="str">
        <f>'Raw Data'!G687</f>
        <v>Debit Card</v>
      </c>
      <c r="H687" s="21" t="str">
        <f>'Raw Data'!H687</f>
        <v>Male</v>
      </c>
      <c r="I687" s="21">
        <f>IF('Raw Data'!I687="",ROUND(AVERAGE('Raw Data'!$I$2:$I$1501),1),'Raw Data'!I687)</f>
        <v>2.9</v>
      </c>
      <c r="J687" s="21">
        <f>'Raw Data'!J687</f>
        <v>2</v>
      </c>
      <c r="K687" s="21" t="str">
        <f>'Raw Data'!K687</f>
        <v>Laptop &amp; Accessory</v>
      </c>
      <c r="L687" s="21">
        <f>'Raw Data'!L687</f>
        <v>5</v>
      </c>
      <c r="M687" s="21" t="str">
        <f>'Raw Data'!M687</f>
        <v>Married</v>
      </c>
      <c r="N687" s="21">
        <f>'Raw Data'!N687</f>
        <v>1</v>
      </c>
      <c r="O687" s="21">
        <f>'Raw Data'!O687</f>
        <v>0</v>
      </c>
      <c r="P687" s="21">
        <f>IF('Raw Data'!P687="",ROUND(AVERAGE('Raw Data'!$P$2:$P$1501),1),'Raw Data'!P687)</f>
        <v>16.8</v>
      </c>
      <c r="Q687" s="21">
        <f>IF('Raw Data'!Q687="",ROUND(AVERAGE('Raw Data'!$Q$2:$Q$1501),0),'Raw Data'!Q687)</f>
        <v>1</v>
      </c>
      <c r="R687" s="21">
        <f>'Raw Data'!R687</f>
        <v>2</v>
      </c>
      <c r="S687" s="21">
        <f>IF('Raw Data'!S687="",ROUND(AVERAGE('Raw Data'!$S$2:$S$1501),0),'Raw Data'!S687)</f>
        <v>0</v>
      </c>
      <c r="T687" s="21">
        <f>'Raw Data'!T687</f>
        <v>268.20999999999998</v>
      </c>
      <c r="U687" s="21" t="str">
        <f>INDEX('Lookup Tables'!$C$7:$C$9,MATCH(E687,'Lookup Tables'!$B$7:$B$9,0))</f>
        <v>Tier 3 (Semi-urban/Rural)</v>
      </c>
      <c r="V687" s="21" t="str">
        <f t="shared" si="30"/>
        <v>0-6 months</v>
      </c>
      <c r="W687" s="21" t="str">
        <f t="shared" si="31"/>
        <v>Low Risk</v>
      </c>
      <c r="X687" s="21" t="str">
        <f t="shared" si="32"/>
        <v>No</v>
      </c>
    </row>
    <row r="688" spans="1:24" x14ac:dyDescent="0.3">
      <c r="A688" s="21">
        <f>'Raw Data'!A688</f>
        <v>50687</v>
      </c>
      <c r="B688" s="21">
        <f>'Raw Data'!B688</f>
        <v>0</v>
      </c>
      <c r="C688" s="21">
        <f>'Raw Data'!C688</f>
        <v>3</v>
      </c>
      <c r="D688" s="21" t="str">
        <f>'Raw Data'!D688</f>
        <v>Computer</v>
      </c>
      <c r="E688" s="21">
        <f>'Raw Data'!E688</f>
        <v>2</v>
      </c>
      <c r="F688" s="21">
        <f>IF('Raw Data'!F688="",ROUND(AVERAGE('Raw Data'!$F$2:$F$1501),1),'Raw Data'!F688)</f>
        <v>16</v>
      </c>
      <c r="G688" s="21" t="str">
        <f>'Raw Data'!G688</f>
        <v>Debit Card</v>
      </c>
      <c r="H688" s="21" t="str">
        <f>'Raw Data'!H688</f>
        <v>Male</v>
      </c>
      <c r="I688" s="21">
        <f>IF('Raw Data'!I688="",ROUND(AVERAGE('Raw Data'!$I$2:$I$1501),1),'Raw Data'!I688)</f>
        <v>2.6</v>
      </c>
      <c r="J688" s="21">
        <f>'Raw Data'!J688</f>
        <v>4</v>
      </c>
      <c r="K688" s="21" t="str">
        <f>'Raw Data'!K688</f>
        <v>Fashion</v>
      </c>
      <c r="L688" s="21">
        <f>'Raw Data'!L688</f>
        <v>3</v>
      </c>
      <c r="M688" s="21" t="str">
        <f>'Raw Data'!M688</f>
        <v>Married</v>
      </c>
      <c r="N688" s="21">
        <f>'Raw Data'!N688</f>
        <v>8</v>
      </c>
      <c r="O688" s="21">
        <f>'Raw Data'!O688</f>
        <v>0</v>
      </c>
      <c r="P688" s="21">
        <f>IF('Raw Data'!P688="",ROUND(AVERAGE('Raw Data'!$P$2:$P$1501),1),'Raw Data'!P688)</f>
        <v>12.4</v>
      </c>
      <c r="Q688" s="21">
        <f>IF('Raw Data'!Q688="",ROUND(AVERAGE('Raw Data'!$Q$2:$Q$1501),0),'Raw Data'!Q688)</f>
        <v>2</v>
      </c>
      <c r="R688" s="21">
        <f>'Raw Data'!R688</f>
        <v>5</v>
      </c>
      <c r="S688" s="21">
        <f>IF('Raw Data'!S688="",ROUND(AVERAGE('Raw Data'!$S$2:$S$1501),0),'Raw Data'!S688)</f>
        <v>0</v>
      </c>
      <c r="T688" s="21">
        <f>'Raw Data'!T688</f>
        <v>198.49</v>
      </c>
      <c r="U688" s="21" t="str">
        <f>INDEX('Lookup Tables'!$C$7:$C$9,MATCH(E688,'Lookup Tables'!$B$7:$B$9,0))</f>
        <v>Tier 2 (Urban)</v>
      </c>
      <c r="V688" s="21" t="str">
        <f t="shared" si="30"/>
        <v>0-6 months</v>
      </c>
      <c r="W688" s="21" t="str">
        <f t="shared" si="31"/>
        <v>Medium Risk</v>
      </c>
      <c r="X688" s="21" t="str">
        <f t="shared" si="32"/>
        <v>No</v>
      </c>
    </row>
    <row r="689" spans="1:24" x14ac:dyDescent="0.3">
      <c r="A689" s="21">
        <f>'Raw Data'!A689</f>
        <v>50688</v>
      </c>
      <c r="B689" s="21">
        <f>'Raw Data'!B689</f>
        <v>0</v>
      </c>
      <c r="C689" s="21">
        <f>'Raw Data'!C689</f>
        <v>4</v>
      </c>
      <c r="D689" s="21" t="str">
        <f>'Raw Data'!D689</f>
        <v>Mobile Phone</v>
      </c>
      <c r="E689" s="21">
        <f>'Raw Data'!E689</f>
        <v>3</v>
      </c>
      <c r="F689" s="21">
        <f>IF('Raw Data'!F689="",ROUND(AVERAGE('Raw Data'!$F$2:$F$1501),1),'Raw Data'!F689)</f>
        <v>24</v>
      </c>
      <c r="G689" s="21" t="str">
        <f>'Raw Data'!G689</f>
        <v>Credit Card</v>
      </c>
      <c r="H689" s="21" t="str">
        <f>'Raw Data'!H689</f>
        <v>Male</v>
      </c>
      <c r="I689" s="21">
        <f>IF('Raw Data'!I689="",ROUND(AVERAGE('Raw Data'!$I$2:$I$1501),1),'Raw Data'!I689)</f>
        <v>2.8</v>
      </c>
      <c r="J689" s="21">
        <f>'Raw Data'!J689</f>
        <v>2</v>
      </c>
      <c r="K689" s="21" t="str">
        <f>'Raw Data'!K689</f>
        <v>Laptop &amp; Accessory</v>
      </c>
      <c r="L689" s="21">
        <f>'Raw Data'!L689</f>
        <v>3</v>
      </c>
      <c r="M689" s="21" t="str">
        <f>'Raw Data'!M689</f>
        <v>Single</v>
      </c>
      <c r="N689" s="21">
        <f>'Raw Data'!N689</f>
        <v>22</v>
      </c>
      <c r="O689" s="21">
        <f>'Raw Data'!O689</f>
        <v>0</v>
      </c>
      <c r="P689" s="21">
        <f>IF('Raw Data'!P689="",ROUND(AVERAGE('Raw Data'!$P$2:$P$1501),1),'Raw Data'!P689)</f>
        <v>13.2</v>
      </c>
      <c r="Q689" s="21">
        <f>IF('Raw Data'!Q689="",ROUND(AVERAGE('Raw Data'!$Q$2:$Q$1501),0),'Raw Data'!Q689)</f>
        <v>3</v>
      </c>
      <c r="R689" s="21">
        <f>'Raw Data'!R689</f>
        <v>5</v>
      </c>
      <c r="S689" s="21">
        <f>IF('Raw Data'!S689="",ROUND(AVERAGE('Raw Data'!$S$2:$S$1501),0),'Raw Data'!S689)</f>
        <v>2</v>
      </c>
      <c r="T689" s="21">
        <f>'Raw Data'!T689</f>
        <v>185.49</v>
      </c>
      <c r="U689" s="21" t="str">
        <f>INDEX('Lookup Tables'!$C$7:$C$9,MATCH(E689,'Lookup Tables'!$B$7:$B$9,0))</f>
        <v>Tier 3 (Semi-urban/Rural)</v>
      </c>
      <c r="V689" s="21" t="str">
        <f t="shared" si="30"/>
        <v>0-6 months</v>
      </c>
      <c r="W689" s="21" t="str">
        <f t="shared" si="31"/>
        <v>Medium Risk</v>
      </c>
      <c r="X689" s="21" t="str">
        <f t="shared" si="32"/>
        <v>No</v>
      </c>
    </row>
    <row r="690" spans="1:24" x14ac:dyDescent="0.3">
      <c r="A690" s="21">
        <f>'Raw Data'!A690</f>
        <v>50689</v>
      </c>
      <c r="B690" s="21">
        <f>'Raw Data'!B690</f>
        <v>0</v>
      </c>
      <c r="C690" s="21">
        <f>'Raw Data'!C690</f>
        <v>5</v>
      </c>
      <c r="D690" s="21" t="str">
        <f>'Raw Data'!D690</f>
        <v>Mobile Phone</v>
      </c>
      <c r="E690" s="21">
        <f>'Raw Data'!E690</f>
        <v>1</v>
      </c>
      <c r="F690" s="21">
        <f>IF('Raw Data'!F690="",ROUND(AVERAGE('Raw Data'!$F$2:$F$1501),1),'Raw Data'!F690)</f>
        <v>19</v>
      </c>
      <c r="G690" s="21" t="str">
        <f>'Raw Data'!G690</f>
        <v>Credit Card</v>
      </c>
      <c r="H690" s="21" t="str">
        <f>'Raw Data'!H690</f>
        <v>Male</v>
      </c>
      <c r="I690" s="21">
        <f>IF('Raw Data'!I690="",ROUND(AVERAGE('Raw Data'!$I$2:$I$1501),1),'Raw Data'!I690)</f>
        <v>3.1</v>
      </c>
      <c r="J690" s="21">
        <f>'Raw Data'!J690</f>
        <v>2</v>
      </c>
      <c r="K690" s="21" t="str">
        <f>'Raw Data'!K690</f>
        <v>Grocery</v>
      </c>
      <c r="L690" s="21">
        <f>'Raw Data'!L690</f>
        <v>2</v>
      </c>
      <c r="M690" s="21" t="str">
        <f>'Raw Data'!M690</f>
        <v>Married</v>
      </c>
      <c r="N690" s="21">
        <f>'Raw Data'!N690</f>
        <v>8</v>
      </c>
      <c r="O690" s="21">
        <f>'Raw Data'!O690</f>
        <v>0</v>
      </c>
      <c r="P690" s="21">
        <f>IF('Raw Data'!P690="",ROUND(AVERAGE('Raw Data'!$P$2:$P$1501),1),'Raw Data'!P690)</f>
        <v>18.5</v>
      </c>
      <c r="Q690" s="21">
        <f>IF('Raw Data'!Q690="",ROUND(AVERAGE('Raw Data'!$Q$2:$Q$1501),0),'Raw Data'!Q690)</f>
        <v>4</v>
      </c>
      <c r="R690" s="21">
        <f>'Raw Data'!R690</f>
        <v>6</v>
      </c>
      <c r="S690" s="21">
        <f>IF('Raw Data'!S690="",ROUND(AVERAGE('Raw Data'!$S$2:$S$1501),0),'Raw Data'!S690)</f>
        <v>21</v>
      </c>
      <c r="T690" s="21">
        <f>'Raw Data'!T690</f>
        <v>42.54</v>
      </c>
      <c r="U690" s="21" t="str">
        <f>INDEX('Lookup Tables'!$C$7:$C$9,MATCH(E690,'Lookup Tables'!$B$7:$B$9,0))</f>
        <v>Tier 1 (Metro)</v>
      </c>
      <c r="V690" s="21" t="str">
        <f t="shared" si="30"/>
        <v>0-6 months</v>
      </c>
      <c r="W690" s="21" t="str">
        <f t="shared" si="31"/>
        <v>Medium Risk</v>
      </c>
      <c r="X690" s="21" t="str">
        <f t="shared" si="32"/>
        <v>No</v>
      </c>
    </row>
    <row r="691" spans="1:24" x14ac:dyDescent="0.3">
      <c r="A691" s="21">
        <f>'Raw Data'!A691</f>
        <v>50690</v>
      </c>
      <c r="B691" s="21">
        <f>'Raw Data'!B691</f>
        <v>0</v>
      </c>
      <c r="C691" s="21">
        <f>'Raw Data'!C691</f>
        <v>11</v>
      </c>
      <c r="D691" s="21" t="str">
        <f>'Raw Data'!D691</f>
        <v>Mobile Phone</v>
      </c>
      <c r="E691" s="21">
        <f>'Raw Data'!E691</f>
        <v>2</v>
      </c>
      <c r="F691" s="21">
        <f>IF('Raw Data'!F691="",ROUND(AVERAGE('Raw Data'!$F$2:$F$1501),1),'Raw Data'!F691)</f>
        <v>8</v>
      </c>
      <c r="G691" s="21" t="str">
        <f>'Raw Data'!G691</f>
        <v>UPI</v>
      </c>
      <c r="H691" s="21" t="str">
        <f>'Raw Data'!H691</f>
        <v>Male</v>
      </c>
      <c r="I691" s="21">
        <f>IF('Raw Data'!I691="",ROUND(AVERAGE('Raw Data'!$I$2:$I$1501),1),'Raw Data'!I691)</f>
        <v>1.6</v>
      </c>
      <c r="J691" s="21">
        <f>'Raw Data'!J691</f>
        <v>2</v>
      </c>
      <c r="K691" s="21" t="str">
        <f>'Raw Data'!K691</f>
        <v>Laptop &amp; Accessory</v>
      </c>
      <c r="L691" s="21">
        <f>'Raw Data'!L691</f>
        <v>4</v>
      </c>
      <c r="M691" s="21" t="str">
        <f>'Raw Data'!M691</f>
        <v>Divorced</v>
      </c>
      <c r="N691" s="21">
        <f>'Raw Data'!N691</f>
        <v>5</v>
      </c>
      <c r="O691" s="21">
        <f>'Raw Data'!O691</f>
        <v>0</v>
      </c>
      <c r="P691" s="21">
        <f>IF('Raw Data'!P691="",ROUND(AVERAGE('Raw Data'!$P$2:$P$1501),1),'Raw Data'!P691)</f>
        <v>23</v>
      </c>
      <c r="Q691" s="21">
        <f>IF('Raw Data'!Q691="",ROUND(AVERAGE('Raw Data'!$Q$2:$Q$1501),0),'Raw Data'!Q691)</f>
        <v>2</v>
      </c>
      <c r="R691" s="21">
        <f>'Raw Data'!R691</f>
        <v>5</v>
      </c>
      <c r="S691" s="21">
        <f>IF('Raw Data'!S691="",ROUND(AVERAGE('Raw Data'!$S$2:$S$1501),0),'Raw Data'!S691)</f>
        <v>5</v>
      </c>
      <c r="T691" s="21">
        <f>'Raw Data'!T691</f>
        <v>131.68</v>
      </c>
      <c r="U691" s="21" t="str">
        <f>INDEX('Lookup Tables'!$C$7:$C$9,MATCH(E691,'Lookup Tables'!$B$7:$B$9,0))</f>
        <v>Tier 2 (Urban)</v>
      </c>
      <c r="V691" s="21" t="str">
        <f t="shared" si="30"/>
        <v>7-12 months</v>
      </c>
      <c r="W691" s="21" t="str">
        <f t="shared" si="31"/>
        <v>Low Risk</v>
      </c>
      <c r="X691" s="21" t="str">
        <f t="shared" si="32"/>
        <v>No</v>
      </c>
    </row>
    <row r="692" spans="1:24" x14ac:dyDescent="0.3">
      <c r="A692" s="21">
        <f>'Raw Data'!A692</f>
        <v>50691</v>
      </c>
      <c r="B692" s="21">
        <f>'Raw Data'!B692</f>
        <v>0</v>
      </c>
      <c r="C692" s="21">
        <f>'Raw Data'!C692</f>
        <v>4</v>
      </c>
      <c r="D692" s="21" t="str">
        <f>'Raw Data'!D692</f>
        <v>Mobile Phone</v>
      </c>
      <c r="E692" s="21">
        <f>'Raw Data'!E692</f>
        <v>3</v>
      </c>
      <c r="F692" s="21">
        <f>IF('Raw Data'!F692="",ROUND(AVERAGE('Raw Data'!$F$2:$F$1501),1),'Raw Data'!F692)</f>
        <v>34</v>
      </c>
      <c r="G692" s="21" t="str">
        <f>'Raw Data'!G692</f>
        <v>Debit Card</v>
      </c>
      <c r="H692" s="21" t="str">
        <f>'Raw Data'!H692</f>
        <v>Male</v>
      </c>
      <c r="I692" s="21">
        <f>IF('Raw Data'!I692="",ROUND(AVERAGE('Raw Data'!$I$2:$I$1501),1),'Raw Data'!I692)</f>
        <v>1.8</v>
      </c>
      <c r="J692" s="21">
        <f>'Raw Data'!J692</f>
        <v>2</v>
      </c>
      <c r="K692" s="21" t="str">
        <f>'Raw Data'!K692</f>
        <v>Mobile Phone</v>
      </c>
      <c r="L692" s="21">
        <f>'Raw Data'!L692</f>
        <v>3</v>
      </c>
      <c r="M692" s="21" t="str">
        <f>'Raw Data'!M692</f>
        <v>Single</v>
      </c>
      <c r="N692" s="21">
        <f>'Raw Data'!N692</f>
        <v>5</v>
      </c>
      <c r="O692" s="21">
        <f>'Raw Data'!O692</f>
        <v>0</v>
      </c>
      <c r="P692" s="21">
        <f>IF('Raw Data'!P692="",ROUND(AVERAGE('Raw Data'!$P$2:$P$1501),1),'Raw Data'!P692)</f>
        <v>16.2</v>
      </c>
      <c r="Q692" s="21">
        <f>IF('Raw Data'!Q692="",ROUND(AVERAGE('Raw Data'!$Q$2:$Q$1501),0),'Raw Data'!Q692)</f>
        <v>1</v>
      </c>
      <c r="R692" s="21">
        <f>'Raw Data'!R692</f>
        <v>4</v>
      </c>
      <c r="S692" s="21">
        <f>IF('Raw Data'!S692="",ROUND(AVERAGE('Raw Data'!$S$2:$S$1501),0),'Raw Data'!S692)</f>
        <v>2</v>
      </c>
      <c r="T692" s="21">
        <f>'Raw Data'!T692</f>
        <v>181.13</v>
      </c>
      <c r="U692" s="21" t="str">
        <f>INDEX('Lookup Tables'!$C$7:$C$9,MATCH(E692,'Lookup Tables'!$B$7:$B$9,0))</f>
        <v>Tier 3 (Semi-urban/Rural)</v>
      </c>
      <c r="V692" s="21" t="str">
        <f t="shared" si="30"/>
        <v>0-6 months</v>
      </c>
      <c r="W692" s="21" t="str">
        <f t="shared" si="31"/>
        <v>Medium Risk</v>
      </c>
      <c r="X692" s="21" t="str">
        <f t="shared" si="32"/>
        <v>No</v>
      </c>
    </row>
    <row r="693" spans="1:24" x14ac:dyDescent="0.3">
      <c r="A693" s="21">
        <f>'Raw Data'!A693</f>
        <v>50692</v>
      </c>
      <c r="B693" s="21">
        <f>'Raw Data'!B693</f>
        <v>0</v>
      </c>
      <c r="C693" s="21">
        <f>'Raw Data'!C693</f>
        <v>5</v>
      </c>
      <c r="D693" s="21" t="str">
        <f>'Raw Data'!D693</f>
        <v>Computer</v>
      </c>
      <c r="E693" s="21">
        <f>'Raw Data'!E693</f>
        <v>3</v>
      </c>
      <c r="F693" s="21">
        <f>IF('Raw Data'!F693="",ROUND(AVERAGE('Raw Data'!$F$2:$F$1501),1),'Raw Data'!F693)</f>
        <v>17</v>
      </c>
      <c r="G693" s="21" t="str">
        <f>'Raw Data'!G693</f>
        <v>UPI</v>
      </c>
      <c r="H693" s="21" t="str">
        <f>'Raw Data'!H693</f>
        <v>Female</v>
      </c>
      <c r="I693" s="21">
        <f>IF('Raw Data'!I693="",ROUND(AVERAGE('Raw Data'!$I$2:$I$1501),1),'Raw Data'!I693)</f>
        <v>2.5</v>
      </c>
      <c r="J693" s="21">
        <f>'Raw Data'!J693</f>
        <v>3</v>
      </c>
      <c r="K693" s="21" t="str">
        <f>'Raw Data'!K693</f>
        <v>Fashion</v>
      </c>
      <c r="L693" s="21">
        <f>'Raw Data'!L693</f>
        <v>5</v>
      </c>
      <c r="M693" s="21" t="str">
        <f>'Raw Data'!M693</f>
        <v>Married</v>
      </c>
      <c r="N693" s="21">
        <f>'Raw Data'!N693</f>
        <v>2</v>
      </c>
      <c r="O693" s="21">
        <f>'Raw Data'!O693</f>
        <v>0</v>
      </c>
      <c r="P693" s="21">
        <f>IF('Raw Data'!P693="",ROUND(AVERAGE('Raw Data'!$P$2:$P$1501),1),'Raw Data'!P693)</f>
        <v>13.1</v>
      </c>
      <c r="Q693" s="21">
        <f>IF('Raw Data'!Q693="",ROUND(AVERAGE('Raw Data'!$Q$2:$Q$1501),0),'Raw Data'!Q693)</f>
        <v>1</v>
      </c>
      <c r="R693" s="21">
        <f>'Raw Data'!R693</f>
        <v>4</v>
      </c>
      <c r="S693" s="21">
        <f>IF('Raw Data'!S693="",ROUND(AVERAGE('Raw Data'!$S$2:$S$1501),0),'Raw Data'!S693)</f>
        <v>0</v>
      </c>
      <c r="T693" s="21">
        <f>'Raw Data'!T693</f>
        <v>190.93</v>
      </c>
      <c r="U693" s="21" t="str">
        <f>INDEX('Lookup Tables'!$C$7:$C$9,MATCH(E693,'Lookup Tables'!$B$7:$B$9,0))</f>
        <v>Tier 3 (Semi-urban/Rural)</v>
      </c>
      <c r="V693" s="21" t="str">
        <f t="shared" si="30"/>
        <v>0-6 months</v>
      </c>
      <c r="W693" s="21" t="str">
        <f t="shared" si="31"/>
        <v>Low Risk</v>
      </c>
      <c r="X693" s="21" t="str">
        <f t="shared" si="32"/>
        <v>No</v>
      </c>
    </row>
    <row r="694" spans="1:24" x14ac:dyDescent="0.3">
      <c r="A694" s="21">
        <f>'Raw Data'!A694</f>
        <v>50693</v>
      </c>
      <c r="B694" s="21">
        <f>'Raw Data'!B694</f>
        <v>0</v>
      </c>
      <c r="C694" s="21">
        <f>'Raw Data'!C694</f>
        <v>2</v>
      </c>
      <c r="D694" s="21" t="str">
        <f>'Raw Data'!D694</f>
        <v>Computer</v>
      </c>
      <c r="E694" s="21">
        <f>'Raw Data'!E694</f>
        <v>1</v>
      </c>
      <c r="F694" s="21">
        <f>IF('Raw Data'!F694="",ROUND(AVERAGE('Raw Data'!$F$2:$F$1501),1),'Raw Data'!F694)</f>
        <v>25</v>
      </c>
      <c r="G694" s="21" t="str">
        <f>'Raw Data'!G694</f>
        <v>Debit Card</v>
      </c>
      <c r="H694" s="21" t="str">
        <f>'Raw Data'!H694</f>
        <v>Female</v>
      </c>
      <c r="I694" s="21">
        <f>IF('Raw Data'!I694="",ROUND(AVERAGE('Raw Data'!$I$2:$I$1501),1),'Raw Data'!I694)</f>
        <v>3</v>
      </c>
      <c r="J694" s="21">
        <f>'Raw Data'!J694</f>
        <v>4</v>
      </c>
      <c r="K694" s="21" t="str">
        <f>'Raw Data'!K694</f>
        <v>Others</v>
      </c>
      <c r="L694" s="21">
        <f>'Raw Data'!L694</f>
        <v>4</v>
      </c>
      <c r="M694" s="21" t="str">
        <f>'Raw Data'!M694</f>
        <v>Married</v>
      </c>
      <c r="N694" s="21">
        <f>'Raw Data'!N694</f>
        <v>1</v>
      </c>
      <c r="O694" s="21">
        <f>'Raw Data'!O694</f>
        <v>1</v>
      </c>
      <c r="P694" s="21">
        <f>IF('Raw Data'!P694="",ROUND(AVERAGE('Raw Data'!$P$2:$P$1501),1),'Raw Data'!P694)</f>
        <v>16.7</v>
      </c>
      <c r="Q694" s="21">
        <f>IF('Raw Data'!Q694="",ROUND(AVERAGE('Raw Data'!$Q$2:$Q$1501),0),'Raw Data'!Q694)</f>
        <v>5</v>
      </c>
      <c r="R694" s="21">
        <f>'Raw Data'!R694</f>
        <v>3</v>
      </c>
      <c r="S694" s="21">
        <f>IF('Raw Data'!S694="",ROUND(AVERAGE('Raw Data'!$S$2:$S$1501),0),'Raw Data'!S694)</f>
        <v>3</v>
      </c>
      <c r="T694" s="21">
        <f>'Raw Data'!T694</f>
        <v>113.18</v>
      </c>
      <c r="U694" s="21" t="str">
        <f>INDEX('Lookup Tables'!$C$7:$C$9,MATCH(E694,'Lookup Tables'!$B$7:$B$9,0))</f>
        <v>Tier 1 (Metro)</v>
      </c>
      <c r="V694" s="21" t="str">
        <f t="shared" si="30"/>
        <v>0-6 months</v>
      </c>
      <c r="W694" s="21" t="str">
        <f t="shared" si="31"/>
        <v>Low Risk</v>
      </c>
      <c r="X694" s="21" t="str">
        <f t="shared" si="32"/>
        <v>No</v>
      </c>
    </row>
    <row r="695" spans="1:24" x14ac:dyDescent="0.3">
      <c r="A695" s="21">
        <f>'Raw Data'!A695</f>
        <v>50694</v>
      </c>
      <c r="B695" s="21">
        <f>'Raw Data'!B695</f>
        <v>0</v>
      </c>
      <c r="C695" s="21">
        <f>'Raw Data'!C695</f>
        <v>4</v>
      </c>
      <c r="D695" s="21" t="str">
        <f>'Raw Data'!D695</f>
        <v>Computer</v>
      </c>
      <c r="E695" s="21">
        <f>'Raw Data'!E695</f>
        <v>3</v>
      </c>
      <c r="F695" s="21">
        <f>IF('Raw Data'!F695="",ROUND(AVERAGE('Raw Data'!$F$2:$F$1501),1),'Raw Data'!F695)</f>
        <v>13</v>
      </c>
      <c r="G695" s="21" t="str">
        <f>'Raw Data'!G695</f>
        <v>Credit Card</v>
      </c>
      <c r="H695" s="21" t="str">
        <f>'Raw Data'!H695</f>
        <v>Male</v>
      </c>
      <c r="I695" s="21">
        <f>IF('Raw Data'!I695="",ROUND(AVERAGE('Raw Data'!$I$2:$I$1501),1),'Raw Data'!I695)</f>
        <v>2.7</v>
      </c>
      <c r="J695" s="21">
        <f>'Raw Data'!J695</f>
        <v>3</v>
      </c>
      <c r="K695" s="21" t="str">
        <f>'Raw Data'!K695</f>
        <v>Mobile Phone</v>
      </c>
      <c r="L695" s="21">
        <f>'Raw Data'!L695</f>
        <v>4</v>
      </c>
      <c r="M695" s="21" t="str">
        <f>'Raw Data'!M695</f>
        <v>Married</v>
      </c>
      <c r="N695" s="21">
        <f>'Raw Data'!N695</f>
        <v>3</v>
      </c>
      <c r="O695" s="21">
        <f>'Raw Data'!O695</f>
        <v>0</v>
      </c>
      <c r="P695" s="21">
        <f>IF('Raw Data'!P695="",ROUND(AVERAGE('Raw Data'!$P$2:$P$1501),1),'Raw Data'!P695)</f>
        <v>19.3</v>
      </c>
      <c r="Q695" s="21">
        <f>IF('Raw Data'!Q695="",ROUND(AVERAGE('Raw Data'!$Q$2:$Q$1501),0),'Raw Data'!Q695)</f>
        <v>0</v>
      </c>
      <c r="R695" s="21">
        <f>'Raw Data'!R695</f>
        <v>2</v>
      </c>
      <c r="S695" s="21">
        <f>IF('Raw Data'!S695="",ROUND(AVERAGE('Raw Data'!$S$2:$S$1501),0),'Raw Data'!S695)</f>
        <v>1</v>
      </c>
      <c r="T695" s="21">
        <f>'Raw Data'!T695</f>
        <v>139.91999999999999</v>
      </c>
      <c r="U695" s="21" t="str">
        <f>INDEX('Lookup Tables'!$C$7:$C$9,MATCH(E695,'Lookup Tables'!$B$7:$B$9,0))</f>
        <v>Tier 3 (Semi-urban/Rural)</v>
      </c>
      <c r="V695" s="21" t="str">
        <f t="shared" si="30"/>
        <v>0-6 months</v>
      </c>
      <c r="W695" s="21" t="str">
        <f t="shared" si="31"/>
        <v>Low Risk</v>
      </c>
      <c r="X695" s="21" t="str">
        <f t="shared" si="32"/>
        <v>No</v>
      </c>
    </row>
    <row r="696" spans="1:24" x14ac:dyDescent="0.3">
      <c r="A696" s="21">
        <f>'Raw Data'!A696</f>
        <v>50695</v>
      </c>
      <c r="B696" s="21">
        <f>'Raw Data'!B696</f>
        <v>0</v>
      </c>
      <c r="C696" s="21">
        <f>'Raw Data'!C696</f>
        <v>2</v>
      </c>
      <c r="D696" s="21" t="str">
        <f>'Raw Data'!D696</f>
        <v>Mobile Phone</v>
      </c>
      <c r="E696" s="21">
        <f>'Raw Data'!E696</f>
        <v>2</v>
      </c>
      <c r="F696" s="21">
        <f>IF('Raw Data'!F696="",ROUND(AVERAGE('Raw Data'!$F$2:$F$1501),1),'Raw Data'!F696)</f>
        <v>19</v>
      </c>
      <c r="G696" s="21" t="str">
        <f>'Raw Data'!G696</f>
        <v>Debit Card</v>
      </c>
      <c r="H696" s="21" t="str">
        <f>'Raw Data'!H696</f>
        <v>Male</v>
      </c>
      <c r="I696" s="21">
        <f>IF('Raw Data'!I696="",ROUND(AVERAGE('Raw Data'!$I$2:$I$1501),1),'Raw Data'!I696)</f>
        <v>2.9</v>
      </c>
      <c r="J696" s="21">
        <f>'Raw Data'!J696</f>
        <v>2</v>
      </c>
      <c r="K696" s="21" t="str">
        <f>'Raw Data'!K696</f>
        <v>Grocery</v>
      </c>
      <c r="L696" s="21">
        <f>'Raw Data'!L696</f>
        <v>4</v>
      </c>
      <c r="M696" s="21" t="str">
        <f>'Raw Data'!M696</f>
        <v>Single</v>
      </c>
      <c r="N696" s="21">
        <f>'Raw Data'!N696</f>
        <v>4</v>
      </c>
      <c r="O696" s="21">
        <f>'Raw Data'!O696</f>
        <v>0</v>
      </c>
      <c r="P696" s="21">
        <f>IF('Raw Data'!P696="",ROUND(AVERAGE('Raw Data'!$P$2:$P$1501),1),'Raw Data'!P696)</f>
        <v>18.2</v>
      </c>
      <c r="Q696" s="21">
        <f>IF('Raw Data'!Q696="",ROUND(AVERAGE('Raw Data'!$Q$2:$Q$1501),0),'Raw Data'!Q696)</f>
        <v>2</v>
      </c>
      <c r="R696" s="21">
        <f>'Raw Data'!R696</f>
        <v>3</v>
      </c>
      <c r="S696" s="21">
        <f>IF('Raw Data'!S696="",ROUND(AVERAGE('Raw Data'!$S$2:$S$1501),0),'Raw Data'!S696)</f>
        <v>5</v>
      </c>
      <c r="T696" s="21">
        <f>'Raw Data'!T696</f>
        <v>210.44</v>
      </c>
      <c r="U696" s="21" t="str">
        <f>INDEX('Lookup Tables'!$C$7:$C$9,MATCH(E696,'Lookup Tables'!$B$7:$B$9,0))</f>
        <v>Tier 2 (Urban)</v>
      </c>
      <c r="V696" s="21" t="str">
        <f t="shared" si="30"/>
        <v>0-6 months</v>
      </c>
      <c r="W696" s="21" t="str">
        <f t="shared" si="31"/>
        <v>Low Risk</v>
      </c>
      <c r="X696" s="21" t="str">
        <f t="shared" si="32"/>
        <v>No</v>
      </c>
    </row>
    <row r="697" spans="1:24" x14ac:dyDescent="0.3">
      <c r="A697" s="21">
        <f>'Raw Data'!A697</f>
        <v>50696</v>
      </c>
      <c r="B697" s="21">
        <f>'Raw Data'!B697</f>
        <v>1</v>
      </c>
      <c r="C697" s="21">
        <f>'Raw Data'!C697</f>
        <v>0</v>
      </c>
      <c r="D697" s="21" t="str">
        <f>'Raw Data'!D697</f>
        <v>Computer</v>
      </c>
      <c r="E697" s="21">
        <f>'Raw Data'!E697</f>
        <v>1</v>
      </c>
      <c r="F697" s="21">
        <f>IF('Raw Data'!F697="",ROUND(AVERAGE('Raw Data'!$F$2:$F$1501),1),'Raw Data'!F697)</f>
        <v>21</v>
      </c>
      <c r="G697" s="21" t="str">
        <f>'Raw Data'!G697</f>
        <v>Credit Card</v>
      </c>
      <c r="H697" s="21" t="str">
        <f>'Raw Data'!H697</f>
        <v>Male</v>
      </c>
      <c r="I697" s="21">
        <f>IF('Raw Data'!I697="",ROUND(AVERAGE('Raw Data'!$I$2:$I$1501),1),'Raw Data'!I697)</f>
        <v>1.9</v>
      </c>
      <c r="J697" s="21">
        <f>'Raw Data'!J697</f>
        <v>4</v>
      </c>
      <c r="K697" s="21" t="str">
        <f>'Raw Data'!K697</f>
        <v>Laptop &amp; Accessory</v>
      </c>
      <c r="L697" s="21">
        <f>'Raw Data'!L697</f>
        <v>1</v>
      </c>
      <c r="M697" s="21" t="str">
        <f>'Raw Data'!M697</f>
        <v>Single</v>
      </c>
      <c r="N697" s="21">
        <f>'Raw Data'!N697</f>
        <v>14</v>
      </c>
      <c r="O697" s="21">
        <f>'Raw Data'!O697</f>
        <v>1</v>
      </c>
      <c r="P697" s="21">
        <f>IF('Raw Data'!P697="",ROUND(AVERAGE('Raw Data'!$P$2:$P$1501),1),'Raw Data'!P697)</f>
        <v>25.6</v>
      </c>
      <c r="Q697" s="21">
        <f>IF('Raw Data'!Q697="",ROUND(AVERAGE('Raw Data'!$Q$2:$Q$1501),0),'Raw Data'!Q697)</f>
        <v>2</v>
      </c>
      <c r="R697" s="21">
        <f>'Raw Data'!R697</f>
        <v>6</v>
      </c>
      <c r="S697" s="21">
        <f>IF('Raw Data'!S697="",ROUND(AVERAGE('Raw Data'!$S$2:$S$1501),0),'Raw Data'!S697)</f>
        <v>4</v>
      </c>
      <c r="T697" s="21">
        <f>'Raw Data'!T697</f>
        <v>103.92</v>
      </c>
      <c r="U697" s="21" t="str">
        <f>INDEX('Lookup Tables'!$C$7:$C$9,MATCH(E697,'Lookup Tables'!$B$7:$B$9,0))</f>
        <v>Tier 1 (Metro)</v>
      </c>
      <c r="V697" s="21" t="str">
        <f t="shared" si="30"/>
        <v>0-6 months</v>
      </c>
      <c r="W697" s="21" t="str">
        <f t="shared" si="31"/>
        <v>High Risk</v>
      </c>
      <c r="X697" s="21" t="str">
        <f t="shared" si="32"/>
        <v>Yes</v>
      </c>
    </row>
    <row r="698" spans="1:24" x14ac:dyDescent="0.3">
      <c r="A698" s="21">
        <f>'Raw Data'!A698</f>
        <v>50697</v>
      </c>
      <c r="B698" s="21">
        <f>'Raw Data'!B698</f>
        <v>0</v>
      </c>
      <c r="C698" s="21">
        <f>'Raw Data'!C698</f>
        <v>9</v>
      </c>
      <c r="D698" s="21" t="str">
        <f>'Raw Data'!D698</f>
        <v>Mobile Phone</v>
      </c>
      <c r="E698" s="21">
        <f>'Raw Data'!E698</f>
        <v>1</v>
      </c>
      <c r="F698" s="21">
        <f>IF('Raw Data'!F698="",ROUND(AVERAGE('Raw Data'!$F$2:$F$1501),1),'Raw Data'!F698)</f>
        <v>24</v>
      </c>
      <c r="G698" s="21" t="str">
        <f>'Raw Data'!G698</f>
        <v>Debit Card</v>
      </c>
      <c r="H698" s="21" t="str">
        <f>'Raw Data'!H698</f>
        <v>Female</v>
      </c>
      <c r="I698" s="21">
        <f>IF('Raw Data'!I698="",ROUND(AVERAGE('Raw Data'!$I$2:$I$1501),1),'Raw Data'!I698)</f>
        <v>2.4</v>
      </c>
      <c r="J698" s="21">
        <f>'Raw Data'!J698</f>
        <v>5</v>
      </c>
      <c r="K698" s="21" t="str">
        <f>'Raw Data'!K698</f>
        <v>Grocery</v>
      </c>
      <c r="L698" s="21">
        <f>'Raw Data'!L698</f>
        <v>5</v>
      </c>
      <c r="M698" s="21" t="str">
        <f>'Raw Data'!M698</f>
        <v>Divorced</v>
      </c>
      <c r="N698" s="21">
        <f>'Raw Data'!N698</f>
        <v>2</v>
      </c>
      <c r="O698" s="21">
        <f>'Raw Data'!O698</f>
        <v>1</v>
      </c>
      <c r="P698" s="21">
        <f>IF('Raw Data'!P698="",ROUND(AVERAGE('Raw Data'!$P$2:$P$1501),1),'Raw Data'!P698)</f>
        <v>13.5</v>
      </c>
      <c r="Q698" s="21">
        <f>IF('Raw Data'!Q698="",ROUND(AVERAGE('Raw Data'!$Q$2:$Q$1501),0),'Raw Data'!Q698)</f>
        <v>4</v>
      </c>
      <c r="R698" s="21">
        <f>'Raw Data'!R698</f>
        <v>5</v>
      </c>
      <c r="S698" s="21">
        <f>IF('Raw Data'!S698="",ROUND(AVERAGE('Raw Data'!$S$2:$S$1501),0),'Raw Data'!S698)</f>
        <v>1</v>
      </c>
      <c r="T698" s="21">
        <f>'Raw Data'!T698</f>
        <v>187.36</v>
      </c>
      <c r="U698" s="21" t="str">
        <f>INDEX('Lookup Tables'!$C$7:$C$9,MATCH(E698,'Lookup Tables'!$B$7:$B$9,0))</f>
        <v>Tier 1 (Metro)</v>
      </c>
      <c r="V698" s="21" t="str">
        <f t="shared" si="30"/>
        <v>7-12 months</v>
      </c>
      <c r="W698" s="21" t="str">
        <f t="shared" si="31"/>
        <v>Low Risk</v>
      </c>
      <c r="X698" s="21" t="str">
        <f t="shared" si="32"/>
        <v>No</v>
      </c>
    </row>
    <row r="699" spans="1:24" x14ac:dyDescent="0.3">
      <c r="A699" s="21">
        <f>'Raw Data'!A699</f>
        <v>50698</v>
      </c>
      <c r="B699" s="21">
        <f>'Raw Data'!B699</f>
        <v>0</v>
      </c>
      <c r="C699" s="21">
        <f>'Raw Data'!C699</f>
        <v>11</v>
      </c>
      <c r="D699" s="21" t="str">
        <f>'Raw Data'!D699</f>
        <v>Mobile Phone</v>
      </c>
      <c r="E699" s="21">
        <f>'Raw Data'!E699</f>
        <v>3</v>
      </c>
      <c r="F699" s="21">
        <f>IF('Raw Data'!F699="",ROUND(AVERAGE('Raw Data'!$F$2:$F$1501),1),'Raw Data'!F699)</f>
        <v>23</v>
      </c>
      <c r="G699" s="21" t="str">
        <f>'Raw Data'!G699</f>
        <v>Credit Card</v>
      </c>
      <c r="H699" s="21" t="str">
        <f>'Raw Data'!H699</f>
        <v>Female</v>
      </c>
      <c r="I699" s="21">
        <f>IF('Raw Data'!I699="",ROUND(AVERAGE('Raw Data'!$I$2:$I$1501),1),'Raw Data'!I699)</f>
        <v>4</v>
      </c>
      <c r="J699" s="21">
        <f>'Raw Data'!J699</f>
        <v>3</v>
      </c>
      <c r="K699" s="21" t="str">
        <f>'Raw Data'!K699</f>
        <v>Fashion</v>
      </c>
      <c r="L699" s="21">
        <f>'Raw Data'!L699</f>
        <v>4</v>
      </c>
      <c r="M699" s="21" t="str">
        <f>'Raw Data'!M699</f>
        <v>Single</v>
      </c>
      <c r="N699" s="21">
        <f>'Raw Data'!N699</f>
        <v>1</v>
      </c>
      <c r="O699" s="21">
        <f>'Raw Data'!O699</f>
        <v>1</v>
      </c>
      <c r="P699" s="21">
        <f>IF('Raw Data'!P699="",ROUND(AVERAGE('Raw Data'!$P$2:$P$1501),1),'Raw Data'!P699)</f>
        <v>16.899999999999999</v>
      </c>
      <c r="Q699" s="21">
        <f>IF('Raw Data'!Q699="",ROUND(AVERAGE('Raw Data'!$Q$2:$Q$1501),0),'Raw Data'!Q699)</f>
        <v>4</v>
      </c>
      <c r="R699" s="21">
        <f>'Raw Data'!R699</f>
        <v>3</v>
      </c>
      <c r="S699" s="21">
        <f>IF('Raw Data'!S699="",ROUND(AVERAGE('Raw Data'!$S$2:$S$1501),0),'Raw Data'!S699)</f>
        <v>0</v>
      </c>
      <c r="T699" s="21">
        <f>'Raw Data'!T699</f>
        <v>248.09</v>
      </c>
      <c r="U699" s="21" t="str">
        <f>INDEX('Lookup Tables'!$C$7:$C$9,MATCH(E699,'Lookup Tables'!$B$7:$B$9,0))</f>
        <v>Tier 3 (Semi-urban/Rural)</v>
      </c>
      <c r="V699" s="21" t="str">
        <f t="shared" si="30"/>
        <v>7-12 months</v>
      </c>
      <c r="W699" s="21" t="str">
        <f t="shared" si="31"/>
        <v>Low Risk</v>
      </c>
      <c r="X699" s="21" t="str">
        <f t="shared" si="32"/>
        <v>No</v>
      </c>
    </row>
    <row r="700" spans="1:24" x14ac:dyDescent="0.3">
      <c r="A700" s="21">
        <f>'Raw Data'!A700</f>
        <v>50699</v>
      </c>
      <c r="B700" s="21">
        <f>'Raw Data'!B700</f>
        <v>0</v>
      </c>
      <c r="C700" s="21">
        <f>'Raw Data'!C700</f>
        <v>9</v>
      </c>
      <c r="D700" s="21" t="str">
        <f>'Raw Data'!D700</f>
        <v>Computer</v>
      </c>
      <c r="E700" s="21">
        <f>'Raw Data'!E700</f>
        <v>1</v>
      </c>
      <c r="F700" s="21">
        <f>IF('Raw Data'!F700="",ROUND(AVERAGE('Raw Data'!$F$2:$F$1501),1),'Raw Data'!F700)</f>
        <v>21</v>
      </c>
      <c r="G700" s="21" t="str">
        <f>'Raw Data'!G700</f>
        <v>UPI</v>
      </c>
      <c r="H700" s="21" t="str">
        <f>'Raw Data'!H700</f>
        <v>Male</v>
      </c>
      <c r="I700" s="21">
        <f>IF('Raw Data'!I700="",ROUND(AVERAGE('Raw Data'!$I$2:$I$1501),1),'Raw Data'!I700)</f>
        <v>3</v>
      </c>
      <c r="J700" s="21">
        <f>'Raw Data'!J700</f>
        <v>3</v>
      </c>
      <c r="K700" s="21" t="str">
        <f>'Raw Data'!K700</f>
        <v>Laptop &amp; Accessory</v>
      </c>
      <c r="L700" s="21">
        <f>'Raw Data'!L700</f>
        <v>5</v>
      </c>
      <c r="M700" s="21" t="str">
        <f>'Raw Data'!M700</f>
        <v>Single</v>
      </c>
      <c r="N700" s="21">
        <f>'Raw Data'!N700</f>
        <v>4</v>
      </c>
      <c r="O700" s="21">
        <f>'Raw Data'!O700</f>
        <v>0</v>
      </c>
      <c r="P700" s="21">
        <f>IF('Raw Data'!P700="",ROUND(AVERAGE('Raw Data'!$P$2:$P$1501),1),'Raw Data'!P700)</f>
        <v>21.4</v>
      </c>
      <c r="Q700" s="21">
        <f>IF('Raw Data'!Q700="",ROUND(AVERAGE('Raw Data'!$Q$2:$Q$1501),0),'Raw Data'!Q700)</f>
        <v>1</v>
      </c>
      <c r="R700" s="21">
        <f>'Raw Data'!R700</f>
        <v>4</v>
      </c>
      <c r="S700" s="21">
        <f>IF('Raw Data'!S700="",ROUND(AVERAGE('Raw Data'!$S$2:$S$1501),0),'Raw Data'!S700)</f>
        <v>4</v>
      </c>
      <c r="T700" s="21">
        <f>'Raw Data'!T700</f>
        <v>201.2</v>
      </c>
      <c r="U700" s="21" t="str">
        <f>INDEX('Lookup Tables'!$C$7:$C$9,MATCH(E700,'Lookup Tables'!$B$7:$B$9,0))</f>
        <v>Tier 1 (Metro)</v>
      </c>
      <c r="V700" s="21" t="str">
        <f t="shared" si="30"/>
        <v>7-12 months</v>
      </c>
      <c r="W700" s="21" t="str">
        <f t="shared" si="31"/>
        <v>Low Risk</v>
      </c>
      <c r="X700" s="21" t="str">
        <f t="shared" si="32"/>
        <v>No</v>
      </c>
    </row>
    <row r="701" spans="1:24" x14ac:dyDescent="0.3">
      <c r="A701" s="21">
        <f>'Raw Data'!A701</f>
        <v>50700</v>
      </c>
      <c r="B701" s="21">
        <f>'Raw Data'!B701</f>
        <v>0</v>
      </c>
      <c r="C701" s="21">
        <f>'Raw Data'!C701</f>
        <v>6</v>
      </c>
      <c r="D701" s="21" t="str">
        <f>'Raw Data'!D701</f>
        <v>Computer</v>
      </c>
      <c r="E701" s="21">
        <f>'Raw Data'!E701</f>
        <v>1</v>
      </c>
      <c r="F701" s="21">
        <f>IF('Raw Data'!F701="",ROUND(AVERAGE('Raw Data'!$F$2:$F$1501),1),'Raw Data'!F701)</f>
        <v>12</v>
      </c>
      <c r="G701" s="21" t="str">
        <f>'Raw Data'!G701</f>
        <v>Credit Card</v>
      </c>
      <c r="H701" s="21" t="str">
        <f>'Raw Data'!H701</f>
        <v>Female</v>
      </c>
      <c r="I701" s="21">
        <f>IF('Raw Data'!I701="",ROUND(AVERAGE('Raw Data'!$I$2:$I$1501),1),'Raw Data'!I701)</f>
        <v>3.5</v>
      </c>
      <c r="J701" s="21">
        <f>'Raw Data'!J701</f>
        <v>4</v>
      </c>
      <c r="K701" s="21" t="str">
        <f>'Raw Data'!K701</f>
        <v>Laptop &amp; Accessory</v>
      </c>
      <c r="L701" s="21">
        <f>'Raw Data'!L701</f>
        <v>3</v>
      </c>
      <c r="M701" s="21" t="str">
        <f>'Raw Data'!M701</f>
        <v>Married</v>
      </c>
      <c r="N701" s="21">
        <f>'Raw Data'!N701</f>
        <v>13</v>
      </c>
      <c r="O701" s="21">
        <f>'Raw Data'!O701</f>
        <v>0</v>
      </c>
      <c r="P701" s="21">
        <f>IF('Raw Data'!P701="",ROUND(AVERAGE('Raw Data'!$P$2:$P$1501),1),'Raw Data'!P701)</f>
        <v>21.2</v>
      </c>
      <c r="Q701" s="21">
        <f>IF('Raw Data'!Q701="",ROUND(AVERAGE('Raw Data'!$Q$2:$Q$1501),0),'Raw Data'!Q701)</f>
        <v>4</v>
      </c>
      <c r="R701" s="21">
        <f>'Raw Data'!R701</f>
        <v>3</v>
      </c>
      <c r="S701" s="21">
        <f>IF('Raw Data'!S701="",ROUND(AVERAGE('Raw Data'!$S$2:$S$1501),0),'Raw Data'!S701)</f>
        <v>4</v>
      </c>
      <c r="T701" s="21">
        <f>'Raw Data'!T701</f>
        <v>198.45</v>
      </c>
      <c r="U701" s="21" t="str">
        <f>INDEX('Lookup Tables'!$C$7:$C$9,MATCH(E701,'Lookup Tables'!$B$7:$B$9,0))</f>
        <v>Tier 1 (Metro)</v>
      </c>
      <c r="V701" s="21" t="str">
        <f t="shared" si="30"/>
        <v>0-6 months</v>
      </c>
      <c r="W701" s="21" t="str">
        <f t="shared" si="31"/>
        <v>Medium Risk</v>
      </c>
      <c r="X701" s="21" t="str">
        <f t="shared" si="32"/>
        <v>No</v>
      </c>
    </row>
    <row r="702" spans="1:24" x14ac:dyDescent="0.3">
      <c r="A702" s="21">
        <f>'Raw Data'!A702</f>
        <v>50701</v>
      </c>
      <c r="B702" s="21">
        <f>'Raw Data'!B702</f>
        <v>0</v>
      </c>
      <c r="C702" s="21">
        <f>'Raw Data'!C702</f>
        <v>4</v>
      </c>
      <c r="D702" s="21" t="str">
        <f>'Raw Data'!D702</f>
        <v>Phone</v>
      </c>
      <c r="E702" s="21">
        <f>'Raw Data'!E702</f>
        <v>1</v>
      </c>
      <c r="F702" s="21">
        <f>IF('Raw Data'!F702="",ROUND(AVERAGE('Raw Data'!$F$2:$F$1501),1),'Raw Data'!F702)</f>
        <v>10</v>
      </c>
      <c r="G702" s="21" t="str">
        <f>'Raw Data'!G702</f>
        <v>Credit Card</v>
      </c>
      <c r="H702" s="21" t="str">
        <f>'Raw Data'!H702</f>
        <v>Male</v>
      </c>
      <c r="I702" s="21">
        <f>IF('Raw Data'!I702="",ROUND(AVERAGE('Raw Data'!$I$2:$I$1501),1),'Raw Data'!I702)</f>
        <v>4.3</v>
      </c>
      <c r="J702" s="21">
        <f>'Raw Data'!J702</f>
        <v>5</v>
      </c>
      <c r="K702" s="21" t="str">
        <f>'Raw Data'!K702</f>
        <v>Laptop &amp; Accessory</v>
      </c>
      <c r="L702" s="21">
        <f>'Raw Data'!L702</f>
        <v>4</v>
      </c>
      <c r="M702" s="21" t="str">
        <f>'Raw Data'!M702</f>
        <v>Single</v>
      </c>
      <c r="N702" s="21">
        <f>'Raw Data'!N702</f>
        <v>1</v>
      </c>
      <c r="O702" s="21">
        <f>'Raw Data'!O702</f>
        <v>0</v>
      </c>
      <c r="P702" s="21">
        <f>IF('Raw Data'!P702="",ROUND(AVERAGE('Raw Data'!$P$2:$P$1501),1),'Raw Data'!P702)</f>
        <v>11</v>
      </c>
      <c r="Q702" s="21">
        <f>IF('Raw Data'!Q702="",ROUND(AVERAGE('Raw Data'!$Q$2:$Q$1501),0),'Raw Data'!Q702)</f>
        <v>0</v>
      </c>
      <c r="R702" s="21">
        <f>'Raw Data'!R702</f>
        <v>7</v>
      </c>
      <c r="S702" s="21">
        <f>IF('Raw Data'!S702="",ROUND(AVERAGE('Raw Data'!$S$2:$S$1501),0),'Raw Data'!S702)</f>
        <v>9</v>
      </c>
      <c r="T702" s="21">
        <f>'Raw Data'!T702</f>
        <v>68.89</v>
      </c>
      <c r="U702" s="21" t="str">
        <f>INDEX('Lookup Tables'!$C$7:$C$9,MATCH(E702,'Lookup Tables'!$B$7:$B$9,0))</f>
        <v>Tier 1 (Metro)</v>
      </c>
      <c r="V702" s="21" t="str">
        <f t="shared" si="30"/>
        <v>0-6 months</v>
      </c>
      <c r="W702" s="21" t="str">
        <f t="shared" si="31"/>
        <v>Low Risk</v>
      </c>
      <c r="X702" s="21" t="str">
        <f t="shared" si="32"/>
        <v>No</v>
      </c>
    </row>
    <row r="703" spans="1:24" x14ac:dyDescent="0.3">
      <c r="A703" s="21">
        <f>'Raw Data'!A703</f>
        <v>50702</v>
      </c>
      <c r="B703" s="21">
        <f>'Raw Data'!B703</f>
        <v>0</v>
      </c>
      <c r="C703" s="21">
        <f>'Raw Data'!C703</f>
        <v>19</v>
      </c>
      <c r="D703" s="21" t="str">
        <f>'Raw Data'!D703</f>
        <v>Mobile Phone</v>
      </c>
      <c r="E703" s="21">
        <f>'Raw Data'!E703</f>
        <v>3</v>
      </c>
      <c r="F703" s="21">
        <f>IF('Raw Data'!F703="",ROUND(AVERAGE('Raw Data'!$F$2:$F$1501),1),'Raw Data'!F703)</f>
        <v>17</v>
      </c>
      <c r="G703" s="21" t="str">
        <f>'Raw Data'!G703</f>
        <v>UPI</v>
      </c>
      <c r="H703" s="21" t="str">
        <f>'Raw Data'!H703</f>
        <v>Male</v>
      </c>
      <c r="I703" s="21">
        <f>IF('Raw Data'!I703="",ROUND(AVERAGE('Raw Data'!$I$2:$I$1501),1),'Raw Data'!I703)</f>
        <v>2.4</v>
      </c>
      <c r="J703" s="21">
        <f>'Raw Data'!J703</f>
        <v>3</v>
      </c>
      <c r="K703" s="21" t="str">
        <f>'Raw Data'!K703</f>
        <v>Mobile Phone</v>
      </c>
      <c r="L703" s="21">
        <f>'Raw Data'!L703</f>
        <v>1</v>
      </c>
      <c r="M703" s="21" t="str">
        <f>'Raw Data'!M703</f>
        <v>Married</v>
      </c>
      <c r="N703" s="21">
        <f>'Raw Data'!N703</f>
        <v>1</v>
      </c>
      <c r="O703" s="21">
        <f>'Raw Data'!O703</f>
        <v>0</v>
      </c>
      <c r="P703" s="21">
        <f>IF('Raw Data'!P703="",ROUND(AVERAGE('Raw Data'!$P$2:$P$1501),1),'Raw Data'!P703)</f>
        <v>16</v>
      </c>
      <c r="Q703" s="21">
        <f>IF('Raw Data'!Q703="",ROUND(AVERAGE('Raw Data'!$Q$2:$Q$1501),0),'Raw Data'!Q703)</f>
        <v>2</v>
      </c>
      <c r="R703" s="21">
        <f>'Raw Data'!R703</f>
        <v>5</v>
      </c>
      <c r="S703" s="21">
        <f>IF('Raw Data'!S703="",ROUND(AVERAGE('Raw Data'!$S$2:$S$1501),0),'Raw Data'!S703)</f>
        <v>1</v>
      </c>
      <c r="T703" s="21">
        <f>'Raw Data'!T703</f>
        <v>134.79</v>
      </c>
      <c r="U703" s="21" t="str">
        <f>INDEX('Lookup Tables'!$C$7:$C$9,MATCH(E703,'Lookup Tables'!$B$7:$B$9,0))</f>
        <v>Tier 3 (Semi-urban/Rural)</v>
      </c>
      <c r="V703" s="21" t="str">
        <f t="shared" si="30"/>
        <v>13-24 months</v>
      </c>
      <c r="W703" s="21" t="str">
        <f t="shared" si="31"/>
        <v>Low Risk</v>
      </c>
      <c r="X703" s="21" t="str">
        <f t="shared" si="32"/>
        <v>No</v>
      </c>
    </row>
    <row r="704" spans="1:24" x14ac:dyDescent="0.3">
      <c r="A704" s="21">
        <f>'Raw Data'!A704</f>
        <v>50703</v>
      </c>
      <c r="B704" s="21">
        <f>'Raw Data'!B704</f>
        <v>0</v>
      </c>
      <c r="C704" s="21">
        <f>'Raw Data'!C704</f>
        <v>7</v>
      </c>
      <c r="D704" s="21" t="str">
        <f>'Raw Data'!D704</f>
        <v>Mobile Phone</v>
      </c>
      <c r="E704" s="21">
        <f>'Raw Data'!E704</f>
        <v>2</v>
      </c>
      <c r="F704" s="21">
        <f>IF('Raw Data'!F704="",ROUND(AVERAGE('Raw Data'!$F$2:$F$1501),1),'Raw Data'!F704)</f>
        <v>22</v>
      </c>
      <c r="G704" s="21" t="str">
        <f>'Raw Data'!G704</f>
        <v>E wallet</v>
      </c>
      <c r="H704" s="21" t="str">
        <f>'Raw Data'!H704</f>
        <v>Male</v>
      </c>
      <c r="I704" s="21">
        <f>IF('Raw Data'!I704="",ROUND(AVERAGE('Raw Data'!$I$2:$I$1501),1),'Raw Data'!I704)</f>
        <v>2.8</v>
      </c>
      <c r="J704" s="21">
        <f>'Raw Data'!J704</f>
        <v>2</v>
      </c>
      <c r="K704" s="21" t="str">
        <f>'Raw Data'!K704</f>
        <v>Laptop &amp; Accessory</v>
      </c>
      <c r="L704" s="21">
        <f>'Raw Data'!L704</f>
        <v>4</v>
      </c>
      <c r="M704" s="21" t="str">
        <f>'Raw Data'!M704</f>
        <v>Married</v>
      </c>
      <c r="N704" s="21">
        <f>'Raw Data'!N704</f>
        <v>2</v>
      </c>
      <c r="O704" s="21">
        <f>'Raw Data'!O704</f>
        <v>1</v>
      </c>
      <c r="P704" s="21">
        <f>IF('Raw Data'!P704="",ROUND(AVERAGE('Raw Data'!$P$2:$P$1501),1),'Raw Data'!P704)</f>
        <v>21.2</v>
      </c>
      <c r="Q704" s="21">
        <f>IF('Raw Data'!Q704="",ROUND(AVERAGE('Raw Data'!$Q$2:$Q$1501),0),'Raw Data'!Q704)</f>
        <v>2</v>
      </c>
      <c r="R704" s="21">
        <f>'Raw Data'!R704</f>
        <v>7</v>
      </c>
      <c r="S704" s="21">
        <f>IF('Raw Data'!S704="",ROUND(AVERAGE('Raw Data'!$S$2:$S$1501),0),'Raw Data'!S704)</f>
        <v>5</v>
      </c>
      <c r="T704" s="21">
        <f>'Raw Data'!T704</f>
        <v>292.98</v>
      </c>
      <c r="U704" s="21" t="str">
        <f>INDEX('Lookup Tables'!$C$7:$C$9,MATCH(E704,'Lookup Tables'!$B$7:$B$9,0))</f>
        <v>Tier 2 (Urban)</v>
      </c>
      <c r="V704" s="21" t="str">
        <f t="shared" si="30"/>
        <v>7-12 months</v>
      </c>
      <c r="W704" s="21" t="str">
        <f t="shared" si="31"/>
        <v>Low Risk</v>
      </c>
      <c r="X704" s="21" t="str">
        <f t="shared" si="32"/>
        <v>No</v>
      </c>
    </row>
    <row r="705" spans="1:24" x14ac:dyDescent="0.3">
      <c r="A705" s="21">
        <f>'Raw Data'!A705</f>
        <v>50704</v>
      </c>
      <c r="B705" s="21">
        <f>'Raw Data'!B705</f>
        <v>1</v>
      </c>
      <c r="C705" s="21">
        <f>'Raw Data'!C705</f>
        <v>6</v>
      </c>
      <c r="D705" s="21" t="str">
        <f>'Raw Data'!D705</f>
        <v>Mobile Phone</v>
      </c>
      <c r="E705" s="21">
        <f>'Raw Data'!E705</f>
        <v>3</v>
      </c>
      <c r="F705" s="21">
        <f>IF('Raw Data'!F705="",ROUND(AVERAGE('Raw Data'!$F$2:$F$1501),1),'Raw Data'!F705)</f>
        <v>13</v>
      </c>
      <c r="G705" s="21" t="str">
        <f>'Raw Data'!G705</f>
        <v>Credit Card</v>
      </c>
      <c r="H705" s="21" t="str">
        <f>'Raw Data'!H705</f>
        <v>Male</v>
      </c>
      <c r="I705" s="21">
        <f>IF('Raw Data'!I705="",ROUND(AVERAGE('Raw Data'!$I$2:$I$1501),1),'Raw Data'!I705)</f>
        <v>2.7</v>
      </c>
      <c r="J705" s="21">
        <f>'Raw Data'!J705</f>
        <v>4</v>
      </c>
      <c r="K705" s="21" t="str">
        <f>'Raw Data'!K705</f>
        <v>Fashion</v>
      </c>
      <c r="L705" s="21">
        <f>'Raw Data'!L705</f>
        <v>4</v>
      </c>
      <c r="M705" s="21" t="str">
        <f>'Raw Data'!M705</f>
        <v>Married</v>
      </c>
      <c r="N705" s="21">
        <f>'Raw Data'!N705</f>
        <v>1</v>
      </c>
      <c r="O705" s="21">
        <f>'Raw Data'!O705</f>
        <v>0</v>
      </c>
      <c r="P705" s="21">
        <f>IF('Raw Data'!P705="",ROUND(AVERAGE('Raw Data'!$P$2:$P$1501),1),'Raw Data'!P705)</f>
        <v>26</v>
      </c>
      <c r="Q705" s="21">
        <f>IF('Raw Data'!Q705="",ROUND(AVERAGE('Raw Data'!$Q$2:$Q$1501),0),'Raw Data'!Q705)</f>
        <v>3</v>
      </c>
      <c r="R705" s="21">
        <f>'Raw Data'!R705</f>
        <v>4</v>
      </c>
      <c r="S705" s="21">
        <f>IF('Raw Data'!S705="",ROUND(AVERAGE('Raw Data'!$S$2:$S$1501),0),'Raw Data'!S705)</f>
        <v>0</v>
      </c>
      <c r="T705" s="21">
        <f>'Raw Data'!T705</f>
        <v>147.05000000000001</v>
      </c>
      <c r="U705" s="21" t="str">
        <f>INDEX('Lookup Tables'!$C$7:$C$9,MATCH(E705,'Lookup Tables'!$B$7:$B$9,0))</f>
        <v>Tier 3 (Semi-urban/Rural)</v>
      </c>
      <c r="V705" s="21" t="str">
        <f t="shared" si="30"/>
        <v>0-6 months</v>
      </c>
      <c r="W705" s="21" t="str">
        <f t="shared" si="31"/>
        <v>Low Risk</v>
      </c>
      <c r="X705" s="21" t="str">
        <f t="shared" si="32"/>
        <v>Yes</v>
      </c>
    </row>
    <row r="706" spans="1:24" x14ac:dyDescent="0.3">
      <c r="A706" s="21">
        <f>'Raw Data'!A706</f>
        <v>50705</v>
      </c>
      <c r="B706" s="21">
        <f>'Raw Data'!B706</f>
        <v>0</v>
      </c>
      <c r="C706" s="21">
        <f>'Raw Data'!C706</f>
        <v>0</v>
      </c>
      <c r="D706" s="21" t="str">
        <f>'Raw Data'!D706</f>
        <v>Mobile Phone</v>
      </c>
      <c r="E706" s="21">
        <f>'Raw Data'!E706</f>
        <v>1</v>
      </c>
      <c r="F706" s="21">
        <f>IF('Raw Data'!F706="",ROUND(AVERAGE('Raw Data'!$F$2:$F$1501),1),'Raw Data'!F706)</f>
        <v>23</v>
      </c>
      <c r="G706" s="21" t="str">
        <f>'Raw Data'!G706</f>
        <v>Debit Card</v>
      </c>
      <c r="H706" s="21" t="str">
        <f>'Raw Data'!H706</f>
        <v>Male</v>
      </c>
      <c r="I706" s="21">
        <f>IF('Raw Data'!I706="",ROUND(AVERAGE('Raw Data'!$I$2:$I$1501),1),'Raw Data'!I706)</f>
        <v>1.5</v>
      </c>
      <c r="J706" s="21">
        <f>'Raw Data'!J706</f>
        <v>4</v>
      </c>
      <c r="K706" s="21" t="str">
        <f>'Raw Data'!K706</f>
        <v>Others</v>
      </c>
      <c r="L706" s="21">
        <f>'Raw Data'!L706</f>
        <v>4</v>
      </c>
      <c r="M706" s="21" t="str">
        <f>'Raw Data'!M706</f>
        <v>Married</v>
      </c>
      <c r="N706" s="21">
        <f>'Raw Data'!N706</f>
        <v>1</v>
      </c>
      <c r="O706" s="21">
        <f>'Raw Data'!O706</f>
        <v>1</v>
      </c>
      <c r="P706" s="21">
        <f>IF('Raw Data'!P706="",ROUND(AVERAGE('Raw Data'!$P$2:$P$1501),1),'Raw Data'!P706)</f>
        <v>18.5</v>
      </c>
      <c r="Q706" s="21">
        <f>IF('Raw Data'!Q706="",ROUND(AVERAGE('Raw Data'!$Q$2:$Q$1501),0),'Raw Data'!Q706)</f>
        <v>1</v>
      </c>
      <c r="R706" s="21">
        <f>'Raw Data'!R706</f>
        <v>1</v>
      </c>
      <c r="S706" s="21">
        <f>IF('Raw Data'!S706="",ROUND(AVERAGE('Raw Data'!$S$2:$S$1501),0),'Raw Data'!S706)</f>
        <v>1</v>
      </c>
      <c r="T706" s="21">
        <f>'Raw Data'!T706</f>
        <v>249.55</v>
      </c>
      <c r="U706" s="21" t="str">
        <f>INDEX('Lookup Tables'!$C$7:$C$9,MATCH(E706,'Lookup Tables'!$B$7:$B$9,0))</f>
        <v>Tier 1 (Metro)</v>
      </c>
      <c r="V706" s="21" t="str">
        <f t="shared" ref="V706:V769" si="33">IF(C706&lt;=6,"0-6 months",IF(C706&lt;=12,"7-12 months",IF(C706&lt;=24,"13-24 months","25+ months")))</f>
        <v>0-6 months</v>
      </c>
      <c r="W706" s="21" t="str">
        <f t="shared" ref="W706:W769" si="34">IF(AND(O706=1,L706&lt;=2),"High Risk",IF(OR(L706=3,S706&gt;15),"Medium Risk","Low Risk"))</f>
        <v>Low Risk</v>
      </c>
      <c r="X706" s="21" t="str">
        <f t="shared" ref="X706:X769" si="35">IF(B706=1,"Yes","No")</f>
        <v>No</v>
      </c>
    </row>
    <row r="707" spans="1:24" x14ac:dyDescent="0.3">
      <c r="A707" s="21">
        <f>'Raw Data'!A707</f>
        <v>50706</v>
      </c>
      <c r="B707" s="21">
        <f>'Raw Data'!B707</f>
        <v>0</v>
      </c>
      <c r="C707" s="21">
        <f>'Raw Data'!C707</f>
        <v>4</v>
      </c>
      <c r="D707" s="21" t="str">
        <f>'Raw Data'!D707</f>
        <v>Phone</v>
      </c>
      <c r="E707" s="21">
        <f>'Raw Data'!E707</f>
        <v>2</v>
      </c>
      <c r="F707" s="21">
        <f>IF('Raw Data'!F707="",ROUND(AVERAGE('Raw Data'!$F$2:$F$1501),1),'Raw Data'!F707)</f>
        <v>26</v>
      </c>
      <c r="G707" s="21" t="str">
        <f>'Raw Data'!G707</f>
        <v>UPI</v>
      </c>
      <c r="H707" s="21" t="str">
        <f>'Raw Data'!H707</f>
        <v>Male</v>
      </c>
      <c r="I707" s="21">
        <f>IF('Raw Data'!I707="",ROUND(AVERAGE('Raw Data'!$I$2:$I$1501),1),'Raw Data'!I707)</f>
        <v>2.7</v>
      </c>
      <c r="J707" s="21">
        <f>'Raw Data'!J707</f>
        <v>3</v>
      </c>
      <c r="K707" s="21" t="str">
        <f>'Raw Data'!K707</f>
        <v>Laptop &amp; Accessory</v>
      </c>
      <c r="L707" s="21">
        <f>'Raw Data'!L707</f>
        <v>4</v>
      </c>
      <c r="M707" s="21" t="str">
        <f>'Raw Data'!M707</f>
        <v>Single</v>
      </c>
      <c r="N707" s="21">
        <f>'Raw Data'!N707</f>
        <v>1</v>
      </c>
      <c r="O707" s="21">
        <f>'Raw Data'!O707</f>
        <v>0</v>
      </c>
      <c r="P707" s="21">
        <f>IF('Raw Data'!P707="",ROUND(AVERAGE('Raw Data'!$P$2:$P$1501),1),'Raw Data'!P707)</f>
        <v>14.7</v>
      </c>
      <c r="Q707" s="21">
        <f>IF('Raw Data'!Q707="",ROUND(AVERAGE('Raw Data'!$Q$2:$Q$1501),0),'Raw Data'!Q707)</f>
        <v>2</v>
      </c>
      <c r="R707" s="21">
        <f>'Raw Data'!R707</f>
        <v>3</v>
      </c>
      <c r="S707" s="21">
        <f>IF('Raw Data'!S707="",ROUND(AVERAGE('Raw Data'!$S$2:$S$1501),0),'Raw Data'!S707)</f>
        <v>5</v>
      </c>
      <c r="T707" s="21">
        <f>'Raw Data'!T707</f>
        <v>146.4</v>
      </c>
      <c r="U707" s="21" t="str">
        <f>INDEX('Lookup Tables'!$C$7:$C$9,MATCH(E707,'Lookup Tables'!$B$7:$B$9,0))</f>
        <v>Tier 2 (Urban)</v>
      </c>
      <c r="V707" s="21" t="str">
        <f t="shared" si="33"/>
        <v>0-6 months</v>
      </c>
      <c r="W707" s="21" t="str">
        <f t="shared" si="34"/>
        <v>Low Risk</v>
      </c>
      <c r="X707" s="21" t="str">
        <f t="shared" si="35"/>
        <v>No</v>
      </c>
    </row>
    <row r="708" spans="1:24" x14ac:dyDescent="0.3">
      <c r="A708" s="21">
        <f>'Raw Data'!A708</f>
        <v>50707</v>
      </c>
      <c r="B708" s="21">
        <f>'Raw Data'!B708</f>
        <v>0</v>
      </c>
      <c r="C708" s="21">
        <f>'Raw Data'!C708</f>
        <v>4</v>
      </c>
      <c r="D708" s="21" t="str">
        <f>'Raw Data'!D708</f>
        <v>Computer</v>
      </c>
      <c r="E708" s="21">
        <f>'Raw Data'!E708</f>
        <v>2</v>
      </c>
      <c r="F708" s="21">
        <f>IF('Raw Data'!F708="",ROUND(AVERAGE('Raw Data'!$F$2:$F$1501),1),'Raw Data'!F708)</f>
        <v>7</v>
      </c>
      <c r="G708" s="21" t="str">
        <f>'Raw Data'!G708</f>
        <v>Credit Card</v>
      </c>
      <c r="H708" s="21" t="str">
        <f>'Raw Data'!H708</f>
        <v>Female</v>
      </c>
      <c r="I708" s="21">
        <f>IF('Raw Data'!I708="",ROUND(AVERAGE('Raw Data'!$I$2:$I$1501),1),'Raw Data'!I708)</f>
        <v>3.5</v>
      </c>
      <c r="J708" s="21">
        <f>'Raw Data'!J708</f>
        <v>3</v>
      </c>
      <c r="K708" s="21" t="str">
        <f>'Raw Data'!K708</f>
        <v>Mobile Phone</v>
      </c>
      <c r="L708" s="21">
        <f>'Raw Data'!L708</f>
        <v>2</v>
      </c>
      <c r="M708" s="21" t="str">
        <f>'Raw Data'!M708</f>
        <v>Single</v>
      </c>
      <c r="N708" s="21">
        <f>'Raw Data'!N708</f>
        <v>7</v>
      </c>
      <c r="O708" s="21">
        <f>'Raw Data'!O708</f>
        <v>0</v>
      </c>
      <c r="P708" s="21">
        <f>IF('Raw Data'!P708="",ROUND(AVERAGE('Raw Data'!$P$2:$P$1501),1),'Raw Data'!P708)</f>
        <v>12.5</v>
      </c>
      <c r="Q708" s="21">
        <f>IF('Raw Data'!Q708="",ROUND(AVERAGE('Raw Data'!$Q$2:$Q$1501),0),'Raw Data'!Q708)</f>
        <v>4</v>
      </c>
      <c r="R708" s="21">
        <f>'Raw Data'!R708</f>
        <v>6</v>
      </c>
      <c r="S708" s="21">
        <f>IF('Raw Data'!S708="",ROUND(AVERAGE('Raw Data'!$S$2:$S$1501),0),'Raw Data'!S708)</f>
        <v>8</v>
      </c>
      <c r="T708" s="21">
        <f>'Raw Data'!T708</f>
        <v>164.72</v>
      </c>
      <c r="U708" s="21" t="str">
        <f>INDEX('Lookup Tables'!$C$7:$C$9,MATCH(E708,'Lookup Tables'!$B$7:$B$9,0))</f>
        <v>Tier 2 (Urban)</v>
      </c>
      <c r="V708" s="21" t="str">
        <f t="shared" si="33"/>
        <v>0-6 months</v>
      </c>
      <c r="W708" s="21" t="str">
        <f t="shared" si="34"/>
        <v>Low Risk</v>
      </c>
      <c r="X708" s="21" t="str">
        <f t="shared" si="35"/>
        <v>No</v>
      </c>
    </row>
    <row r="709" spans="1:24" x14ac:dyDescent="0.3">
      <c r="A709" s="21">
        <f>'Raw Data'!A709</f>
        <v>50708</v>
      </c>
      <c r="B709" s="21">
        <f>'Raw Data'!B709</f>
        <v>0</v>
      </c>
      <c r="C709" s="21">
        <f>'Raw Data'!C709</f>
        <v>5</v>
      </c>
      <c r="D709" s="21" t="str">
        <f>'Raw Data'!D709</f>
        <v>Phone</v>
      </c>
      <c r="E709" s="21">
        <f>'Raw Data'!E709</f>
        <v>3</v>
      </c>
      <c r="F709" s="21">
        <f>IF('Raw Data'!F709="",ROUND(AVERAGE('Raw Data'!$F$2:$F$1501),1),'Raw Data'!F709)</f>
        <v>8</v>
      </c>
      <c r="G709" s="21" t="str">
        <f>'Raw Data'!G709</f>
        <v>Debit Card</v>
      </c>
      <c r="H709" s="21" t="str">
        <f>'Raw Data'!H709</f>
        <v>Male</v>
      </c>
      <c r="I709" s="21">
        <f>IF('Raw Data'!I709="",ROUND(AVERAGE('Raw Data'!$I$2:$I$1501),1),'Raw Data'!I709)</f>
        <v>3.3</v>
      </c>
      <c r="J709" s="21">
        <f>'Raw Data'!J709</f>
        <v>4</v>
      </c>
      <c r="K709" s="21" t="str">
        <f>'Raw Data'!K709</f>
        <v>Mobile Phone</v>
      </c>
      <c r="L709" s="21">
        <f>'Raw Data'!L709</f>
        <v>5</v>
      </c>
      <c r="M709" s="21" t="str">
        <f>'Raw Data'!M709</f>
        <v>Married</v>
      </c>
      <c r="N709" s="21">
        <f>'Raw Data'!N709</f>
        <v>1</v>
      </c>
      <c r="O709" s="21">
        <f>'Raw Data'!O709</f>
        <v>1</v>
      </c>
      <c r="P709" s="21">
        <f>IF('Raw Data'!P709="",ROUND(AVERAGE('Raw Data'!$P$2:$P$1501),1),'Raw Data'!P709)</f>
        <v>23.8</v>
      </c>
      <c r="Q709" s="21">
        <f>IF('Raw Data'!Q709="",ROUND(AVERAGE('Raw Data'!$Q$2:$Q$1501),0),'Raw Data'!Q709)</f>
        <v>1</v>
      </c>
      <c r="R709" s="21">
        <f>'Raw Data'!R709</f>
        <v>5</v>
      </c>
      <c r="S709" s="21">
        <f>IF('Raw Data'!S709="",ROUND(AVERAGE('Raw Data'!$S$2:$S$1501),0),'Raw Data'!S709)</f>
        <v>1</v>
      </c>
      <c r="T709" s="21">
        <f>'Raw Data'!T709</f>
        <v>208.36</v>
      </c>
      <c r="U709" s="21" t="str">
        <f>INDEX('Lookup Tables'!$C$7:$C$9,MATCH(E709,'Lookup Tables'!$B$7:$B$9,0))</f>
        <v>Tier 3 (Semi-urban/Rural)</v>
      </c>
      <c r="V709" s="21" t="str">
        <f t="shared" si="33"/>
        <v>0-6 months</v>
      </c>
      <c r="W709" s="21" t="str">
        <f t="shared" si="34"/>
        <v>Low Risk</v>
      </c>
      <c r="X709" s="21" t="str">
        <f t="shared" si="35"/>
        <v>No</v>
      </c>
    </row>
    <row r="710" spans="1:24" x14ac:dyDescent="0.3">
      <c r="A710" s="21">
        <f>'Raw Data'!A710</f>
        <v>50709</v>
      </c>
      <c r="B710" s="21">
        <f>'Raw Data'!B710</f>
        <v>0</v>
      </c>
      <c r="C710" s="21">
        <f>'Raw Data'!C710</f>
        <v>8</v>
      </c>
      <c r="D710" s="21" t="str">
        <f>'Raw Data'!D710</f>
        <v>Mobile Phone</v>
      </c>
      <c r="E710" s="21">
        <f>'Raw Data'!E710</f>
        <v>3</v>
      </c>
      <c r="F710" s="21">
        <f>IF('Raw Data'!F710="",ROUND(AVERAGE('Raw Data'!$F$2:$F$1501),1),'Raw Data'!F710)</f>
        <v>13</v>
      </c>
      <c r="G710" s="21" t="str">
        <f>'Raw Data'!G710</f>
        <v>Debit Card</v>
      </c>
      <c r="H710" s="21" t="str">
        <f>'Raw Data'!H710</f>
        <v>Male</v>
      </c>
      <c r="I710" s="21">
        <f>IF('Raw Data'!I710="",ROUND(AVERAGE('Raw Data'!$I$2:$I$1501),1),'Raw Data'!I710)</f>
        <v>3.3</v>
      </c>
      <c r="J710" s="21">
        <f>'Raw Data'!J710</f>
        <v>4</v>
      </c>
      <c r="K710" s="21" t="str">
        <f>'Raw Data'!K710</f>
        <v>Others</v>
      </c>
      <c r="L710" s="21">
        <f>'Raw Data'!L710</f>
        <v>5</v>
      </c>
      <c r="M710" s="21" t="str">
        <f>'Raw Data'!M710</f>
        <v>Married</v>
      </c>
      <c r="N710" s="21">
        <f>'Raw Data'!N710</f>
        <v>1</v>
      </c>
      <c r="O710" s="21">
        <f>'Raw Data'!O710</f>
        <v>1</v>
      </c>
      <c r="P710" s="21">
        <f>IF('Raw Data'!P710="",ROUND(AVERAGE('Raw Data'!$P$2:$P$1501),1),'Raw Data'!P710)</f>
        <v>18.600000000000001</v>
      </c>
      <c r="Q710" s="21">
        <f>IF('Raw Data'!Q710="",ROUND(AVERAGE('Raw Data'!$Q$2:$Q$1501),0),'Raw Data'!Q710)</f>
        <v>3</v>
      </c>
      <c r="R710" s="21">
        <f>'Raw Data'!R710</f>
        <v>3</v>
      </c>
      <c r="S710" s="21">
        <f>IF('Raw Data'!S710="",ROUND(AVERAGE('Raw Data'!$S$2:$S$1501),0),'Raw Data'!S710)</f>
        <v>8</v>
      </c>
      <c r="T710" s="21">
        <f>'Raw Data'!T710</f>
        <v>185.54</v>
      </c>
      <c r="U710" s="21" t="str">
        <f>INDEX('Lookup Tables'!$C$7:$C$9,MATCH(E710,'Lookup Tables'!$B$7:$B$9,0))</f>
        <v>Tier 3 (Semi-urban/Rural)</v>
      </c>
      <c r="V710" s="21" t="str">
        <f t="shared" si="33"/>
        <v>7-12 months</v>
      </c>
      <c r="W710" s="21" t="str">
        <f t="shared" si="34"/>
        <v>Low Risk</v>
      </c>
      <c r="X710" s="21" t="str">
        <f t="shared" si="35"/>
        <v>No</v>
      </c>
    </row>
    <row r="711" spans="1:24" x14ac:dyDescent="0.3">
      <c r="A711" s="21">
        <f>'Raw Data'!A711</f>
        <v>50710</v>
      </c>
      <c r="B711" s="21">
        <f>'Raw Data'!B711</f>
        <v>0</v>
      </c>
      <c r="C711" s="21">
        <f>'Raw Data'!C711</f>
        <v>7</v>
      </c>
      <c r="D711" s="21" t="str">
        <f>'Raw Data'!D711</f>
        <v>Phone</v>
      </c>
      <c r="E711" s="21">
        <f>'Raw Data'!E711</f>
        <v>1</v>
      </c>
      <c r="F711" s="21">
        <f>IF('Raw Data'!F711="",ROUND(AVERAGE('Raw Data'!$F$2:$F$1501),1),'Raw Data'!F711)</f>
        <v>17</v>
      </c>
      <c r="G711" s="21" t="str">
        <f>'Raw Data'!G711</f>
        <v>UPI</v>
      </c>
      <c r="H711" s="21" t="str">
        <f>'Raw Data'!H711</f>
        <v>Male</v>
      </c>
      <c r="I711" s="21">
        <f>IF('Raw Data'!I711="",ROUND(AVERAGE('Raw Data'!$I$2:$I$1501),1),'Raw Data'!I711)</f>
        <v>2.6</v>
      </c>
      <c r="J711" s="21">
        <f>'Raw Data'!J711</f>
        <v>2</v>
      </c>
      <c r="K711" s="21" t="str">
        <f>'Raw Data'!K711</f>
        <v>Mobile Phone</v>
      </c>
      <c r="L711" s="21">
        <f>'Raw Data'!L711</f>
        <v>1</v>
      </c>
      <c r="M711" s="21" t="str">
        <f>'Raw Data'!M711</f>
        <v>Divorced</v>
      </c>
      <c r="N711" s="21">
        <f>'Raw Data'!N711</f>
        <v>5</v>
      </c>
      <c r="O711" s="21">
        <f>'Raw Data'!O711</f>
        <v>1</v>
      </c>
      <c r="P711" s="21">
        <f>IF('Raw Data'!P711="",ROUND(AVERAGE('Raw Data'!$P$2:$P$1501),1),'Raw Data'!P711)</f>
        <v>13</v>
      </c>
      <c r="Q711" s="21">
        <f>IF('Raw Data'!Q711="",ROUND(AVERAGE('Raw Data'!$Q$2:$Q$1501),0),'Raw Data'!Q711)</f>
        <v>3</v>
      </c>
      <c r="R711" s="21">
        <f>'Raw Data'!R711</f>
        <v>2</v>
      </c>
      <c r="S711" s="21">
        <f>IF('Raw Data'!S711="",ROUND(AVERAGE('Raw Data'!$S$2:$S$1501),0),'Raw Data'!S711)</f>
        <v>5</v>
      </c>
      <c r="T711" s="21">
        <f>'Raw Data'!T711</f>
        <v>200.98</v>
      </c>
      <c r="U711" s="21" t="str">
        <f>INDEX('Lookup Tables'!$C$7:$C$9,MATCH(E711,'Lookup Tables'!$B$7:$B$9,0))</f>
        <v>Tier 1 (Metro)</v>
      </c>
      <c r="V711" s="21" t="str">
        <f t="shared" si="33"/>
        <v>7-12 months</v>
      </c>
      <c r="W711" s="21" t="str">
        <f t="shared" si="34"/>
        <v>High Risk</v>
      </c>
      <c r="X711" s="21" t="str">
        <f t="shared" si="35"/>
        <v>No</v>
      </c>
    </row>
    <row r="712" spans="1:24" x14ac:dyDescent="0.3">
      <c r="A712" s="21">
        <f>'Raw Data'!A712</f>
        <v>50711</v>
      </c>
      <c r="B712" s="21">
        <f>'Raw Data'!B712</f>
        <v>0</v>
      </c>
      <c r="C712" s="21">
        <f>'Raw Data'!C712</f>
        <v>9</v>
      </c>
      <c r="D712" s="21" t="str">
        <f>'Raw Data'!D712</f>
        <v>Mobile Phone</v>
      </c>
      <c r="E712" s="21">
        <f>'Raw Data'!E712</f>
        <v>2</v>
      </c>
      <c r="F712" s="21">
        <f>IF('Raw Data'!F712="",ROUND(AVERAGE('Raw Data'!$F$2:$F$1501),1),'Raw Data'!F712)</f>
        <v>10</v>
      </c>
      <c r="G712" s="21" t="str">
        <f>'Raw Data'!G712</f>
        <v>Debit Card</v>
      </c>
      <c r="H712" s="21" t="str">
        <f>'Raw Data'!H712</f>
        <v>Male</v>
      </c>
      <c r="I712" s="21">
        <f>IF('Raw Data'!I712="",ROUND(AVERAGE('Raw Data'!$I$2:$I$1501),1),'Raw Data'!I712)</f>
        <v>2.4</v>
      </c>
      <c r="J712" s="21">
        <f>'Raw Data'!J712</f>
        <v>3</v>
      </c>
      <c r="K712" s="21" t="str">
        <f>'Raw Data'!K712</f>
        <v>Mobile Phone</v>
      </c>
      <c r="L712" s="21">
        <f>'Raw Data'!L712</f>
        <v>5</v>
      </c>
      <c r="M712" s="21" t="str">
        <f>'Raw Data'!M712</f>
        <v>Married</v>
      </c>
      <c r="N712" s="21">
        <f>'Raw Data'!N712</f>
        <v>10</v>
      </c>
      <c r="O712" s="21">
        <f>'Raw Data'!O712</f>
        <v>1</v>
      </c>
      <c r="P712" s="21">
        <f>IF('Raw Data'!P712="",ROUND(AVERAGE('Raw Data'!$P$2:$P$1501),1),'Raw Data'!P712)</f>
        <v>15.3</v>
      </c>
      <c r="Q712" s="21">
        <f>IF('Raw Data'!Q712="",ROUND(AVERAGE('Raw Data'!$Q$2:$Q$1501),0),'Raw Data'!Q712)</f>
        <v>2</v>
      </c>
      <c r="R712" s="21">
        <f>'Raw Data'!R712</f>
        <v>5</v>
      </c>
      <c r="S712" s="21">
        <f>IF('Raw Data'!S712="",ROUND(AVERAGE('Raw Data'!$S$2:$S$1501),0),'Raw Data'!S712)</f>
        <v>2</v>
      </c>
      <c r="T712" s="21">
        <f>'Raw Data'!T712</f>
        <v>134.99</v>
      </c>
      <c r="U712" s="21" t="str">
        <f>INDEX('Lookup Tables'!$C$7:$C$9,MATCH(E712,'Lookup Tables'!$B$7:$B$9,0))</f>
        <v>Tier 2 (Urban)</v>
      </c>
      <c r="V712" s="21" t="str">
        <f t="shared" si="33"/>
        <v>7-12 months</v>
      </c>
      <c r="W712" s="21" t="str">
        <f t="shared" si="34"/>
        <v>Low Risk</v>
      </c>
      <c r="X712" s="21" t="str">
        <f t="shared" si="35"/>
        <v>No</v>
      </c>
    </row>
    <row r="713" spans="1:24" x14ac:dyDescent="0.3">
      <c r="A713" s="21">
        <f>'Raw Data'!A713</f>
        <v>50712</v>
      </c>
      <c r="B713" s="21">
        <f>'Raw Data'!B713</f>
        <v>0</v>
      </c>
      <c r="C713" s="21">
        <f>'Raw Data'!C713</f>
        <v>14</v>
      </c>
      <c r="D713" s="21" t="str">
        <f>'Raw Data'!D713</f>
        <v>Phone</v>
      </c>
      <c r="E713" s="21">
        <f>'Raw Data'!E713</f>
        <v>1</v>
      </c>
      <c r="F713" s="21">
        <f>IF('Raw Data'!F713="",ROUND(AVERAGE('Raw Data'!$F$2:$F$1501),1),'Raw Data'!F713)</f>
        <v>25</v>
      </c>
      <c r="G713" s="21" t="str">
        <f>'Raw Data'!G713</f>
        <v>Cash on Delivery</v>
      </c>
      <c r="H713" s="21" t="str">
        <f>'Raw Data'!H713</f>
        <v>Male</v>
      </c>
      <c r="I713" s="21">
        <f>IF('Raw Data'!I713="",ROUND(AVERAGE('Raw Data'!$I$2:$I$1501),1),'Raw Data'!I713)</f>
        <v>3.8</v>
      </c>
      <c r="J713" s="21">
        <f>'Raw Data'!J713</f>
        <v>2</v>
      </c>
      <c r="K713" s="21" t="str">
        <f>'Raw Data'!K713</f>
        <v>Mobile Phone</v>
      </c>
      <c r="L713" s="21">
        <f>'Raw Data'!L713</f>
        <v>3</v>
      </c>
      <c r="M713" s="21" t="str">
        <f>'Raw Data'!M713</f>
        <v>Single</v>
      </c>
      <c r="N713" s="21">
        <f>'Raw Data'!N713</f>
        <v>14</v>
      </c>
      <c r="O713" s="21">
        <f>'Raw Data'!O713</f>
        <v>0</v>
      </c>
      <c r="P713" s="21">
        <f>IF('Raw Data'!P713="",ROUND(AVERAGE('Raw Data'!$P$2:$P$1501),1),'Raw Data'!P713)</f>
        <v>17.100000000000001</v>
      </c>
      <c r="Q713" s="21">
        <f>IF('Raw Data'!Q713="",ROUND(AVERAGE('Raw Data'!$Q$2:$Q$1501),0),'Raw Data'!Q713)</f>
        <v>1</v>
      </c>
      <c r="R713" s="21">
        <f>'Raw Data'!R713</f>
        <v>7</v>
      </c>
      <c r="S713" s="21">
        <f>IF('Raw Data'!S713="",ROUND(AVERAGE('Raw Data'!$S$2:$S$1501),0),'Raw Data'!S713)</f>
        <v>10</v>
      </c>
      <c r="T713" s="21">
        <f>'Raw Data'!T713</f>
        <v>117.51</v>
      </c>
      <c r="U713" s="21" t="str">
        <f>INDEX('Lookup Tables'!$C$7:$C$9,MATCH(E713,'Lookup Tables'!$B$7:$B$9,0))</f>
        <v>Tier 1 (Metro)</v>
      </c>
      <c r="V713" s="21" t="str">
        <f t="shared" si="33"/>
        <v>13-24 months</v>
      </c>
      <c r="W713" s="21" t="str">
        <f t="shared" si="34"/>
        <v>Medium Risk</v>
      </c>
      <c r="X713" s="21" t="str">
        <f t="shared" si="35"/>
        <v>No</v>
      </c>
    </row>
    <row r="714" spans="1:24" x14ac:dyDescent="0.3">
      <c r="A714" s="21">
        <f>'Raw Data'!A714</f>
        <v>50713</v>
      </c>
      <c r="B714" s="21">
        <f>'Raw Data'!B714</f>
        <v>0</v>
      </c>
      <c r="C714" s="21">
        <f>'Raw Data'!C714</f>
        <v>16</v>
      </c>
      <c r="D714" s="21" t="str">
        <f>'Raw Data'!D714</f>
        <v>Mobile Phone</v>
      </c>
      <c r="E714" s="21">
        <f>'Raw Data'!E714</f>
        <v>2</v>
      </c>
      <c r="F714" s="21">
        <f>IF('Raw Data'!F714="",ROUND(AVERAGE('Raw Data'!$F$2:$F$1501),1),'Raw Data'!F714)</f>
        <v>18</v>
      </c>
      <c r="G714" s="21" t="str">
        <f>'Raw Data'!G714</f>
        <v>Debit Card</v>
      </c>
      <c r="H714" s="21" t="str">
        <f>'Raw Data'!H714</f>
        <v>Male</v>
      </c>
      <c r="I714" s="21">
        <f>IF('Raw Data'!I714="",ROUND(AVERAGE('Raw Data'!$I$2:$I$1501),1),'Raw Data'!I714)</f>
        <v>2.6</v>
      </c>
      <c r="J714" s="21">
        <f>'Raw Data'!J714</f>
        <v>4</v>
      </c>
      <c r="K714" s="21" t="str">
        <f>'Raw Data'!K714</f>
        <v>Laptop &amp; Accessory</v>
      </c>
      <c r="L714" s="21">
        <f>'Raw Data'!L714</f>
        <v>4</v>
      </c>
      <c r="M714" s="21" t="str">
        <f>'Raw Data'!M714</f>
        <v>Married</v>
      </c>
      <c r="N714" s="21">
        <f>'Raw Data'!N714</f>
        <v>1</v>
      </c>
      <c r="O714" s="21">
        <f>'Raw Data'!O714</f>
        <v>0</v>
      </c>
      <c r="P714" s="21">
        <f>IF('Raw Data'!P714="",ROUND(AVERAGE('Raw Data'!$P$2:$P$1501),1),'Raw Data'!P714)</f>
        <v>17.899999999999999</v>
      </c>
      <c r="Q714" s="21">
        <f>IF('Raw Data'!Q714="",ROUND(AVERAGE('Raw Data'!$Q$2:$Q$1501),0),'Raw Data'!Q714)</f>
        <v>6</v>
      </c>
      <c r="R714" s="21">
        <f>'Raw Data'!R714</f>
        <v>9</v>
      </c>
      <c r="S714" s="21">
        <f>IF('Raw Data'!S714="",ROUND(AVERAGE('Raw Data'!$S$2:$S$1501),0),'Raw Data'!S714)</f>
        <v>3</v>
      </c>
      <c r="T714" s="21">
        <f>'Raw Data'!T714</f>
        <v>131.28</v>
      </c>
      <c r="U714" s="21" t="str">
        <f>INDEX('Lookup Tables'!$C$7:$C$9,MATCH(E714,'Lookup Tables'!$B$7:$B$9,0))</f>
        <v>Tier 2 (Urban)</v>
      </c>
      <c r="V714" s="21" t="str">
        <f t="shared" si="33"/>
        <v>13-24 months</v>
      </c>
      <c r="W714" s="21" t="str">
        <f t="shared" si="34"/>
        <v>Low Risk</v>
      </c>
      <c r="X714" s="21" t="str">
        <f t="shared" si="35"/>
        <v>No</v>
      </c>
    </row>
    <row r="715" spans="1:24" x14ac:dyDescent="0.3">
      <c r="A715" s="21">
        <f>'Raw Data'!A715</f>
        <v>50714</v>
      </c>
      <c r="B715" s="21">
        <f>'Raw Data'!B715</f>
        <v>0</v>
      </c>
      <c r="C715" s="21">
        <f>'Raw Data'!C715</f>
        <v>12</v>
      </c>
      <c r="D715" s="21" t="str">
        <f>'Raw Data'!D715</f>
        <v>Mobile Phone</v>
      </c>
      <c r="E715" s="21">
        <f>'Raw Data'!E715</f>
        <v>1</v>
      </c>
      <c r="F715" s="21">
        <f>IF('Raw Data'!F715="",ROUND(AVERAGE('Raw Data'!$F$2:$F$1501),1),'Raw Data'!F715)</f>
        <v>15</v>
      </c>
      <c r="G715" s="21" t="str">
        <f>'Raw Data'!G715</f>
        <v>UPI</v>
      </c>
      <c r="H715" s="21" t="str">
        <f>'Raw Data'!H715</f>
        <v>Male</v>
      </c>
      <c r="I715" s="21">
        <f>IF('Raw Data'!I715="",ROUND(AVERAGE('Raw Data'!$I$2:$I$1501),1),'Raw Data'!I715)</f>
        <v>3.1</v>
      </c>
      <c r="J715" s="21">
        <f>'Raw Data'!J715</f>
        <v>3</v>
      </c>
      <c r="K715" s="21" t="str">
        <f>'Raw Data'!K715</f>
        <v>Laptop &amp; Accessory</v>
      </c>
      <c r="L715" s="21">
        <f>'Raw Data'!L715</f>
        <v>3</v>
      </c>
      <c r="M715" s="21" t="str">
        <f>'Raw Data'!M715</f>
        <v>Single</v>
      </c>
      <c r="N715" s="21">
        <f>'Raw Data'!N715</f>
        <v>10</v>
      </c>
      <c r="O715" s="21">
        <f>'Raw Data'!O715</f>
        <v>1</v>
      </c>
      <c r="P715" s="21">
        <f>IF('Raw Data'!P715="",ROUND(AVERAGE('Raw Data'!$P$2:$P$1501),1),'Raw Data'!P715)</f>
        <v>12.9</v>
      </c>
      <c r="Q715" s="21">
        <f>IF('Raw Data'!Q715="",ROUND(AVERAGE('Raw Data'!$Q$2:$Q$1501),0),'Raw Data'!Q715)</f>
        <v>0</v>
      </c>
      <c r="R715" s="21">
        <f>'Raw Data'!R715</f>
        <v>3</v>
      </c>
      <c r="S715" s="21">
        <f>IF('Raw Data'!S715="",ROUND(AVERAGE('Raw Data'!$S$2:$S$1501),0),'Raw Data'!S715)</f>
        <v>5</v>
      </c>
      <c r="T715" s="21">
        <f>'Raw Data'!T715</f>
        <v>150.72</v>
      </c>
      <c r="U715" s="21" t="str">
        <f>INDEX('Lookup Tables'!$C$7:$C$9,MATCH(E715,'Lookup Tables'!$B$7:$B$9,0))</f>
        <v>Tier 1 (Metro)</v>
      </c>
      <c r="V715" s="21" t="str">
        <f t="shared" si="33"/>
        <v>7-12 months</v>
      </c>
      <c r="W715" s="21" t="str">
        <f t="shared" si="34"/>
        <v>Medium Risk</v>
      </c>
      <c r="X715" s="21" t="str">
        <f t="shared" si="35"/>
        <v>No</v>
      </c>
    </row>
    <row r="716" spans="1:24" x14ac:dyDescent="0.3">
      <c r="A716" s="21">
        <f>'Raw Data'!A716</f>
        <v>50715</v>
      </c>
      <c r="B716" s="21">
        <f>'Raw Data'!B716</f>
        <v>0</v>
      </c>
      <c r="C716" s="21">
        <f>'Raw Data'!C716</f>
        <v>31</v>
      </c>
      <c r="D716" s="21" t="str">
        <f>'Raw Data'!D716</f>
        <v>Mobile Phone</v>
      </c>
      <c r="E716" s="21">
        <f>'Raw Data'!E716</f>
        <v>1</v>
      </c>
      <c r="F716" s="21">
        <f>IF('Raw Data'!F716="",ROUND(AVERAGE('Raw Data'!$F$2:$F$1501),1),'Raw Data'!F716)</f>
        <v>5</v>
      </c>
      <c r="G716" s="21" t="str">
        <f>'Raw Data'!G716</f>
        <v>Credit Card</v>
      </c>
      <c r="H716" s="21" t="str">
        <f>'Raw Data'!H716</f>
        <v>Male</v>
      </c>
      <c r="I716" s="21">
        <f>IF('Raw Data'!I716="",ROUND(AVERAGE('Raw Data'!$I$2:$I$1501),1),'Raw Data'!I716)</f>
        <v>3</v>
      </c>
      <c r="J716" s="21">
        <f>'Raw Data'!J716</f>
        <v>3</v>
      </c>
      <c r="K716" s="21" t="str">
        <f>'Raw Data'!K716</f>
        <v>Mobile Phone</v>
      </c>
      <c r="L716" s="21">
        <f>'Raw Data'!L716</f>
        <v>5</v>
      </c>
      <c r="M716" s="21" t="str">
        <f>'Raw Data'!M716</f>
        <v>Single</v>
      </c>
      <c r="N716" s="21">
        <f>'Raw Data'!N716</f>
        <v>1</v>
      </c>
      <c r="O716" s="21">
        <f>'Raw Data'!O716</f>
        <v>0</v>
      </c>
      <c r="P716" s="21">
        <f>IF('Raw Data'!P716="",ROUND(AVERAGE('Raw Data'!$P$2:$P$1501),1),'Raw Data'!P716)</f>
        <v>13.9</v>
      </c>
      <c r="Q716" s="21">
        <f>IF('Raw Data'!Q716="",ROUND(AVERAGE('Raw Data'!$Q$2:$Q$1501),0),'Raw Data'!Q716)</f>
        <v>1</v>
      </c>
      <c r="R716" s="21">
        <f>'Raw Data'!R716</f>
        <v>2</v>
      </c>
      <c r="S716" s="21">
        <f>IF('Raw Data'!S716="",ROUND(AVERAGE('Raw Data'!$S$2:$S$1501),0),'Raw Data'!S716)</f>
        <v>3</v>
      </c>
      <c r="T716" s="21">
        <f>'Raw Data'!T716</f>
        <v>167.39</v>
      </c>
      <c r="U716" s="21" t="str">
        <f>INDEX('Lookup Tables'!$C$7:$C$9,MATCH(E716,'Lookup Tables'!$B$7:$B$9,0))</f>
        <v>Tier 1 (Metro)</v>
      </c>
      <c r="V716" s="21" t="str">
        <f t="shared" si="33"/>
        <v>25+ months</v>
      </c>
      <c r="W716" s="21" t="str">
        <f t="shared" si="34"/>
        <v>Low Risk</v>
      </c>
      <c r="X716" s="21" t="str">
        <f t="shared" si="35"/>
        <v>No</v>
      </c>
    </row>
    <row r="717" spans="1:24" x14ac:dyDescent="0.3">
      <c r="A717" s="21">
        <f>'Raw Data'!A717</f>
        <v>50716</v>
      </c>
      <c r="B717" s="21">
        <f>'Raw Data'!B717</f>
        <v>1</v>
      </c>
      <c r="C717" s="21">
        <f>'Raw Data'!C717</f>
        <v>0</v>
      </c>
      <c r="D717" s="21" t="str">
        <f>'Raw Data'!D717</f>
        <v>Phone</v>
      </c>
      <c r="E717" s="21">
        <f>'Raw Data'!E717</f>
        <v>1</v>
      </c>
      <c r="F717" s="21">
        <f>IF('Raw Data'!F717="",ROUND(AVERAGE('Raw Data'!$F$2:$F$1501),1),'Raw Data'!F717)</f>
        <v>5</v>
      </c>
      <c r="G717" s="21" t="str">
        <f>'Raw Data'!G717</f>
        <v>Credit Card</v>
      </c>
      <c r="H717" s="21" t="str">
        <f>'Raw Data'!H717</f>
        <v>Male</v>
      </c>
      <c r="I717" s="21">
        <f>IF('Raw Data'!I717="",ROUND(AVERAGE('Raw Data'!$I$2:$I$1501),1),'Raw Data'!I717)</f>
        <v>3.9</v>
      </c>
      <c r="J717" s="21">
        <f>'Raw Data'!J717</f>
        <v>3</v>
      </c>
      <c r="K717" s="21" t="str">
        <f>'Raw Data'!K717</f>
        <v>Laptop &amp; Accessory</v>
      </c>
      <c r="L717" s="21">
        <f>'Raw Data'!L717</f>
        <v>2</v>
      </c>
      <c r="M717" s="21" t="str">
        <f>'Raw Data'!M717</f>
        <v>Married</v>
      </c>
      <c r="N717" s="21">
        <f>'Raw Data'!N717</f>
        <v>4</v>
      </c>
      <c r="O717" s="21">
        <f>'Raw Data'!O717</f>
        <v>0</v>
      </c>
      <c r="P717" s="21">
        <f>IF('Raw Data'!P717="",ROUND(AVERAGE('Raw Data'!$P$2:$P$1501),1),'Raw Data'!P717)</f>
        <v>11</v>
      </c>
      <c r="Q717" s="21">
        <f>IF('Raw Data'!Q717="",ROUND(AVERAGE('Raw Data'!$Q$2:$Q$1501),0),'Raw Data'!Q717)</f>
        <v>0</v>
      </c>
      <c r="R717" s="21">
        <f>'Raw Data'!R717</f>
        <v>4</v>
      </c>
      <c r="S717" s="21">
        <f>IF('Raw Data'!S717="",ROUND(AVERAGE('Raw Data'!$S$2:$S$1501),0),'Raw Data'!S717)</f>
        <v>3</v>
      </c>
      <c r="T717" s="21">
        <f>'Raw Data'!T717</f>
        <v>237.05</v>
      </c>
      <c r="U717" s="21" t="str">
        <f>INDEX('Lookup Tables'!$C$7:$C$9,MATCH(E717,'Lookup Tables'!$B$7:$B$9,0))</f>
        <v>Tier 1 (Metro)</v>
      </c>
      <c r="V717" s="21" t="str">
        <f t="shared" si="33"/>
        <v>0-6 months</v>
      </c>
      <c r="W717" s="21" t="str">
        <f t="shared" si="34"/>
        <v>Low Risk</v>
      </c>
      <c r="X717" s="21" t="str">
        <f t="shared" si="35"/>
        <v>Yes</v>
      </c>
    </row>
    <row r="718" spans="1:24" x14ac:dyDescent="0.3">
      <c r="A718" s="21">
        <f>'Raw Data'!A718</f>
        <v>50717</v>
      </c>
      <c r="B718" s="21">
        <f>'Raw Data'!B718</f>
        <v>0</v>
      </c>
      <c r="C718" s="21">
        <f>'Raw Data'!C718</f>
        <v>2</v>
      </c>
      <c r="D718" s="21" t="str">
        <f>'Raw Data'!D718</f>
        <v>Mobile Phone</v>
      </c>
      <c r="E718" s="21">
        <f>'Raw Data'!E718</f>
        <v>2</v>
      </c>
      <c r="F718" s="21">
        <f>IF('Raw Data'!F718="",ROUND(AVERAGE('Raw Data'!$F$2:$F$1501),1),'Raw Data'!F718)</f>
        <v>17</v>
      </c>
      <c r="G718" s="21" t="str">
        <f>'Raw Data'!G718</f>
        <v>UPI</v>
      </c>
      <c r="H718" s="21" t="str">
        <f>'Raw Data'!H718</f>
        <v>Male</v>
      </c>
      <c r="I718" s="21">
        <f>IF('Raw Data'!I718="",ROUND(AVERAGE('Raw Data'!$I$2:$I$1501),1),'Raw Data'!I718)</f>
        <v>3.6</v>
      </c>
      <c r="J718" s="21">
        <f>'Raw Data'!J718</f>
        <v>3</v>
      </c>
      <c r="K718" s="21" t="str">
        <f>'Raw Data'!K718</f>
        <v>Mobile Phone</v>
      </c>
      <c r="L718" s="21">
        <f>'Raw Data'!L718</f>
        <v>3</v>
      </c>
      <c r="M718" s="21" t="str">
        <f>'Raw Data'!M718</f>
        <v>Married</v>
      </c>
      <c r="N718" s="21">
        <f>'Raw Data'!N718</f>
        <v>3</v>
      </c>
      <c r="O718" s="21">
        <f>'Raw Data'!O718</f>
        <v>0</v>
      </c>
      <c r="P718" s="21">
        <f>IF('Raw Data'!P718="",ROUND(AVERAGE('Raw Data'!$P$2:$P$1501),1),'Raw Data'!P718)</f>
        <v>19.600000000000001</v>
      </c>
      <c r="Q718" s="21">
        <f>IF('Raw Data'!Q718="",ROUND(AVERAGE('Raw Data'!$Q$2:$Q$1501),0),'Raw Data'!Q718)</f>
        <v>0</v>
      </c>
      <c r="R718" s="21">
        <f>'Raw Data'!R718</f>
        <v>3</v>
      </c>
      <c r="S718" s="21">
        <f>IF('Raw Data'!S718="",ROUND(AVERAGE('Raw Data'!$S$2:$S$1501),0),'Raw Data'!S718)</f>
        <v>9</v>
      </c>
      <c r="T718" s="21">
        <f>'Raw Data'!T718</f>
        <v>184.8</v>
      </c>
      <c r="U718" s="21" t="str">
        <f>INDEX('Lookup Tables'!$C$7:$C$9,MATCH(E718,'Lookup Tables'!$B$7:$B$9,0))</f>
        <v>Tier 2 (Urban)</v>
      </c>
      <c r="V718" s="21" t="str">
        <f t="shared" si="33"/>
        <v>0-6 months</v>
      </c>
      <c r="W718" s="21" t="str">
        <f t="shared" si="34"/>
        <v>Medium Risk</v>
      </c>
      <c r="X718" s="21" t="str">
        <f t="shared" si="35"/>
        <v>No</v>
      </c>
    </row>
    <row r="719" spans="1:24" x14ac:dyDescent="0.3">
      <c r="A719" s="21">
        <f>'Raw Data'!A719</f>
        <v>50718</v>
      </c>
      <c r="B719" s="21">
        <f>'Raw Data'!B719</f>
        <v>0</v>
      </c>
      <c r="C719" s="21">
        <f>'Raw Data'!C719</f>
        <v>0</v>
      </c>
      <c r="D719" s="21" t="str">
        <f>'Raw Data'!D719</f>
        <v>Mobile Phone</v>
      </c>
      <c r="E719" s="21">
        <f>'Raw Data'!E719</f>
        <v>1</v>
      </c>
      <c r="F719" s="21">
        <f>IF('Raw Data'!F719="",ROUND(AVERAGE('Raw Data'!$F$2:$F$1501),1),'Raw Data'!F719)</f>
        <v>5</v>
      </c>
      <c r="G719" s="21" t="str">
        <f>'Raw Data'!G719</f>
        <v>Credit Card</v>
      </c>
      <c r="H719" s="21" t="str">
        <f>'Raw Data'!H719</f>
        <v>Female</v>
      </c>
      <c r="I719" s="21">
        <f>IF('Raw Data'!I719="",ROUND(AVERAGE('Raw Data'!$I$2:$I$1501),1),'Raw Data'!I719)</f>
        <v>2</v>
      </c>
      <c r="J719" s="21">
        <f>'Raw Data'!J719</f>
        <v>4</v>
      </c>
      <c r="K719" s="21" t="str">
        <f>'Raw Data'!K719</f>
        <v>Laptop &amp; Accessory</v>
      </c>
      <c r="L719" s="21">
        <f>'Raw Data'!L719</f>
        <v>3</v>
      </c>
      <c r="M719" s="21" t="str">
        <f>'Raw Data'!M719</f>
        <v>Married</v>
      </c>
      <c r="N719" s="21">
        <f>'Raw Data'!N719</f>
        <v>1</v>
      </c>
      <c r="O719" s="21">
        <f>'Raw Data'!O719</f>
        <v>0</v>
      </c>
      <c r="P719" s="21">
        <f>IF('Raw Data'!P719="",ROUND(AVERAGE('Raw Data'!$P$2:$P$1501),1),'Raw Data'!P719)</f>
        <v>14.8</v>
      </c>
      <c r="Q719" s="21">
        <f>IF('Raw Data'!Q719="",ROUND(AVERAGE('Raw Data'!$Q$2:$Q$1501),0),'Raw Data'!Q719)</f>
        <v>2</v>
      </c>
      <c r="R719" s="21">
        <f>'Raw Data'!R719</f>
        <v>5</v>
      </c>
      <c r="S719" s="21">
        <f>IF('Raw Data'!S719="",ROUND(AVERAGE('Raw Data'!$S$2:$S$1501),0),'Raw Data'!S719)</f>
        <v>1</v>
      </c>
      <c r="T719" s="21">
        <f>'Raw Data'!T719</f>
        <v>206.65</v>
      </c>
      <c r="U719" s="21" t="str">
        <f>INDEX('Lookup Tables'!$C$7:$C$9,MATCH(E719,'Lookup Tables'!$B$7:$B$9,0))</f>
        <v>Tier 1 (Metro)</v>
      </c>
      <c r="V719" s="21" t="str">
        <f t="shared" si="33"/>
        <v>0-6 months</v>
      </c>
      <c r="W719" s="21" t="str">
        <f t="shared" si="34"/>
        <v>Medium Risk</v>
      </c>
      <c r="X719" s="21" t="str">
        <f t="shared" si="35"/>
        <v>No</v>
      </c>
    </row>
    <row r="720" spans="1:24" x14ac:dyDescent="0.3">
      <c r="A720" s="21">
        <f>'Raw Data'!A720</f>
        <v>50719</v>
      </c>
      <c r="B720" s="21">
        <f>'Raw Data'!B720</f>
        <v>0</v>
      </c>
      <c r="C720" s="21">
        <f>'Raw Data'!C720</f>
        <v>10</v>
      </c>
      <c r="D720" s="21" t="str">
        <f>'Raw Data'!D720</f>
        <v>Phone</v>
      </c>
      <c r="E720" s="21">
        <f>'Raw Data'!E720</f>
        <v>3</v>
      </c>
      <c r="F720" s="21">
        <f>IF('Raw Data'!F720="",ROUND(AVERAGE('Raw Data'!$F$2:$F$1501),1),'Raw Data'!F720)</f>
        <v>23</v>
      </c>
      <c r="G720" s="21" t="str">
        <f>'Raw Data'!G720</f>
        <v>Credit Card</v>
      </c>
      <c r="H720" s="21" t="str">
        <f>'Raw Data'!H720</f>
        <v>Female</v>
      </c>
      <c r="I720" s="21">
        <f>IF('Raw Data'!I720="",ROUND(AVERAGE('Raw Data'!$I$2:$I$1501),1),'Raw Data'!I720)</f>
        <v>2.1</v>
      </c>
      <c r="J720" s="21">
        <f>'Raw Data'!J720</f>
        <v>4</v>
      </c>
      <c r="K720" s="21" t="str">
        <f>'Raw Data'!K720</f>
        <v>Mobile Phone</v>
      </c>
      <c r="L720" s="21">
        <f>'Raw Data'!L720</f>
        <v>3</v>
      </c>
      <c r="M720" s="21" t="str">
        <f>'Raw Data'!M720</f>
        <v>Single</v>
      </c>
      <c r="N720" s="21">
        <f>'Raw Data'!N720</f>
        <v>2</v>
      </c>
      <c r="O720" s="21">
        <f>'Raw Data'!O720</f>
        <v>0</v>
      </c>
      <c r="P720" s="21">
        <f>IF('Raw Data'!P720="",ROUND(AVERAGE('Raw Data'!$P$2:$P$1501),1),'Raw Data'!P720)</f>
        <v>17.600000000000001</v>
      </c>
      <c r="Q720" s="21">
        <f>IF('Raw Data'!Q720="",ROUND(AVERAGE('Raw Data'!$Q$2:$Q$1501),0),'Raw Data'!Q720)</f>
        <v>0</v>
      </c>
      <c r="R720" s="21">
        <f>'Raw Data'!R720</f>
        <v>3</v>
      </c>
      <c r="S720" s="21">
        <f>IF('Raw Data'!S720="",ROUND(AVERAGE('Raw Data'!$S$2:$S$1501),0),'Raw Data'!S720)</f>
        <v>0</v>
      </c>
      <c r="T720" s="21">
        <f>'Raw Data'!T720</f>
        <v>187.79</v>
      </c>
      <c r="U720" s="21" t="str">
        <f>INDEX('Lookup Tables'!$C$7:$C$9,MATCH(E720,'Lookup Tables'!$B$7:$B$9,0))</f>
        <v>Tier 3 (Semi-urban/Rural)</v>
      </c>
      <c r="V720" s="21" t="str">
        <f t="shared" si="33"/>
        <v>7-12 months</v>
      </c>
      <c r="W720" s="21" t="str">
        <f t="shared" si="34"/>
        <v>Medium Risk</v>
      </c>
      <c r="X720" s="21" t="str">
        <f t="shared" si="35"/>
        <v>No</v>
      </c>
    </row>
    <row r="721" spans="1:24" x14ac:dyDescent="0.3">
      <c r="A721" s="21">
        <f>'Raw Data'!A721</f>
        <v>50720</v>
      </c>
      <c r="B721" s="21">
        <f>'Raw Data'!B721</f>
        <v>0</v>
      </c>
      <c r="C721" s="21">
        <f>'Raw Data'!C721</f>
        <v>22</v>
      </c>
      <c r="D721" s="21" t="str">
        <f>'Raw Data'!D721</f>
        <v>Mobile Phone</v>
      </c>
      <c r="E721" s="21">
        <f>'Raw Data'!E721</f>
        <v>1</v>
      </c>
      <c r="F721" s="21">
        <f>IF('Raw Data'!F721="",ROUND(AVERAGE('Raw Data'!$F$2:$F$1501),1),'Raw Data'!F721)</f>
        <v>13</v>
      </c>
      <c r="G721" s="21" t="str">
        <f>'Raw Data'!G721</f>
        <v>Debit Card</v>
      </c>
      <c r="H721" s="21" t="str">
        <f>'Raw Data'!H721</f>
        <v>Male</v>
      </c>
      <c r="I721" s="21">
        <f>IF('Raw Data'!I721="",ROUND(AVERAGE('Raw Data'!$I$2:$I$1501),1),'Raw Data'!I721)</f>
        <v>3.3</v>
      </c>
      <c r="J721" s="21">
        <f>'Raw Data'!J721</f>
        <v>3</v>
      </c>
      <c r="K721" s="21" t="str">
        <f>'Raw Data'!K721</f>
        <v>Laptop &amp; Accessory</v>
      </c>
      <c r="L721" s="21">
        <f>'Raw Data'!L721</f>
        <v>4</v>
      </c>
      <c r="M721" s="21" t="str">
        <f>'Raw Data'!M721</f>
        <v>Single</v>
      </c>
      <c r="N721" s="21">
        <f>'Raw Data'!N721</f>
        <v>1</v>
      </c>
      <c r="O721" s="21">
        <f>'Raw Data'!O721</f>
        <v>1</v>
      </c>
      <c r="P721" s="21">
        <f>IF('Raw Data'!P721="",ROUND(AVERAGE('Raw Data'!$P$2:$P$1501),1),'Raw Data'!P721)</f>
        <v>21</v>
      </c>
      <c r="Q721" s="21">
        <f>IF('Raw Data'!Q721="",ROUND(AVERAGE('Raw Data'!$Q$2:$Q$1501),0),'Raw Data'!Q721)</f>
        <v>2</v>
      </c>
      <c r="R721" s="21">
        <f>'Raw Data'!R721</f>
        <v>7</v>
      </c>
      <c r="S721" s="21">
        <f>IF('Raw Data'!S721="",ROUND(AVERAGE('Raw Data'!$S$2:$S$1501),0),'Raw Data'!S721)</f>
        <v>10</v>
      </c>
      <c r="T721" s="21">
        <f>'Raw Data'!T721</f>
        <v>118.65</v>
      </c>
      <c r="U721" s="21" t="str">
        <f>INDEX('Lookup Tables'!$C$7:$C$9,MATCH(E721,'Lookup Tables'!$B$7:$B$9,0))</f>
        <v>Tier 1 (Metro)</v>
      </c>
      <c r="V721" s="21" t="str">
        <f t="shared" si="33"/>
        <v>13-24 months</v>
      </c>
      <c r="W721" s="21" t="str">
        <f t="shared" si="34"/>
        <v>Low Risk</v>
      </c>
      <c r="X721" s="21" t="str">
        <f t="shared" si="35"/>
        <v>No</v>
      </c>
    </row>
    <row r="722" spans="1:24" x14ac:dyDescent="0.3">
      <c r="A722" s="21">
        <f>'Raw Data'!A722</f>
        <v>50721</v>
      </c>
      <c r="B722" s="21">
        <f>'Raw Data'!B722</f>
        <v>0</v>
      </c>
      <c r="C722" s="21">
        <f>'Raw Data'!C722</f>
        <v>2</v>
      </c>
      <c r="D722" s="21" t="str">
        <f>'Raw Data'!D722</f>
        <v>Mobile Phone</v>
      </c>
      <c r="E722" s="21">
        <f>'Raw Data'!E722</f>
        <v>1</v>
      </c>
      <c r="F722" s="21">
        <f>IF('Raw Data'!F722="",ROUND(AVERAGE('Raw Data'!$F$2:$F$1501),1),'Raw Data'!F722)</f>
        <v>40</v>
      </c>
      <c r="G722" s="21" t="str">
        <f>'Raw Data'!G722</f>
        <v>Debit Card</v>
      </c>
      <c r="H722" s="21" t="str">
        <f>'Raw Data'!H722</f>
        <v>Male</v>
      </c>
      <c r="I722" s="21">
        <f>IF('Raw Data'!I722="",ROUND(AVERAGE('Raw Data'!$I$2:$I$1501),1),'Raw Data'!I722)</f>
        <v>2.9</v>
      </c>
      <c r="J722" s="21">
        <f>'Raw Data'!J722</f>
        <v>4</v>
      </c>
      <c r="K722" s="21" t="str">
        <f>'Raw Data'!K722</f>
        <v>Others</v>
      </c>
      <c r="L722" s="21">
        <f>'Raw Data'!L722</f>
        <v>2</v>
      </c>
      <c r="M722" s="21" t="str">
        <f>'Raw Data'!M722</f>
        <v>Single</v>
      </c>
      <c r="N722" s="21">
        <f>'Raw Data'!N722</f>
        <v>7</v>
      </c>
      <c r="O722" s="21">
        <f>'Raw Data'!O722</f>
        <v>0</v>
      </c>
      <c r="P722" s="21">
        <f>IF('Raw Data'!P722="",ROUND(AVERAGE('Raw Data'!$P$2:$P$1501),1),'Raw Data'!P722)</f>
        <v>16.8</v>
      </c>
      <c r="Q722" s="21">
        <f>IF('Raw Data'!Q722="",ROUND(AVERAGE('Raw Data'!$Q$2:$Q$1501),0),'Raw Data'!Q722)</f>
        <v>1</v>
      </c>
      <c r="R722" s="21">
        <f>'Raw Data'!R722</f>
        <v>3</v>
      </c>
      <c r="S722" s="21">
        <f>IF('Raw Data'!S722="",ROUND(AVERAGE('Raw Data'!$S$2:$S$1501),0),'Raw Data'!S722)</f>
        <v>4</v>
      </c>
      <c r="T722" s="21">
        <f>'Raw Data'!T722</f>
        <v>180.95</v>
      </c>
      <c r="U722" s="21" t="str">
        <f>INDEX('Lookup Tables'!$C$7:$C$9,MATCH(E722,'Lookup Tables'!$B$7:$B$9,0))</f>
        <v>Tier 1 (Metro)</v>
      </c>
      <c r="V722" s="21" t="str">
        <f t="shared" si="33"/>
        <v>0-6 months</v>
      </c>
      <c r="W722" s="21" t="str">
        <f t="shared" si="34"/>
        <v>Low Risk</v>
      </c>
      <c r="X722" s="21" t="str">
        <f t="shared" si="35"/>
        <v>No</v>
      </c>
    </row>
    <row r="723" spans="1:24" x14ac:dyDescent="0.3">
      <c r="A723" s="21">
        <f>'Raw Data'!A723</f>
        <v>50722</v>
      </c>
      <c r="B723" s="21">
        <f>'Raw Data'!B723</f>
        <v>0</v>
      </c>
      <c r="C723" s="21">
        <f>'Raw Data'!C723</f>
        <v>26</v>
      </c>
      <c r="D723" s="21" t="str">
        <f>'Raw Data'!D723</f>
        <v>Mobile Phone</v>
      </c>
      <c r="E723" s="21">
        <f>'Raw Data'!E723</f>
        <v>3</v>
      </c>
      <c r="F723" s="21">
        <f>IF('Raw Data'!F723="",ROUND(AVERAGE('Raw Data'!$F$2:$F$1501),1),'Raw Data'!F723)</f>
        <v>33</v>
      </c>
      <c r="G723" s="21" t="str">
        <f>'Raw Data'!G723</f>
        <v>Debit Card</v>
      </c>
      <c r="H723" s="21" t="str">
        <f>'Raw Data'!H723</f>
        <v>Male</v>
      </c>
      <c r="I723" s="21">
        <f>IF('Raw Data'!I723="",ROUND(AVERAGE('Raw Data'!$I$2:$I$1501),1),'Raw Data'!I723)</f>
        <v>2.6</v>
      </c>
      <c r="J723" s="21">
        <f>'Raw Data'!J723</f>
        <v>4</v>
      </c>
      <c r="K723" s="21" t="str">
        <f>'Raw Data'!K723</f>
        <v>Grocery</v>
      </c>
      <c r="L723" s="21">
        <f>'Raw Data'!L723</f>
        <v>4</v>
      </c>
      <c r="M723" s="21" t="str">
        <f>'Raw Data'!M723</f>
        <v>Single</v>
      </c>
      <c r="N723" s="21">
        <f>'Raw Data'!N723</f>
        <v>1</v>
      </c>
      <c r="O723" s="21">
        <f>'Raw Data'!O723</f>
        <v>0</v>
      </c>
      <c r="P723" s="21">
        <f>IF('Raw Data'!P723="",ROUND(AVERAGE('Raw Data'!$P$2:$P$1501),1),'Raw Data'!P723)</f>
        <v>15.6</v>
      </c>
      <c r="Q723" s="21">
        <f>IF('Raw Data'!Q723="",ROUND(AVERAGE('Raw Data'!$Q$2:$Q$1501),0),'Raw Data'!Q723)</f>
        <v>1</v>
      </c>
      <c r="R723" s="21">
        <f>'Raw Data'!R723</f>
        <v>1</v>
      </c>
      <c r="S723" s="21">
        <f>IF('Raw Data'!S723="",ROUND(AVERAGE('Raw Data'!$S$2:$S$1501),0),'Raw Data'!S723)</f>
        <v>2</v>
      </c>
      <c r="T723" s="21">
        <f>'Raw Data'!T723</f>
        <v>187.19</v>
      </c>
      <c r="U723" s="21" t="str">
        <f>INDEX('Lookup Tables'!$C$7:$C$9,MATCH(E723,'Lookup Tables'!$B$7:$B$9,0))</f>
        <v>Tier 3 (Semi-urban/Rural)</v>
      </c>
      <c r="V723" s="21" t="str">
        <f t="shared" si="33"/>
        <v>25+ months</v>
      </c>
      <c r="W723" s="21" t="str">
        <f t="shared" si="34"/>
        <v>Low Risk</v>
      </c>
      <c r="X723" s="21" t="str">
        <f t="shared" si="35"/>
        <v>No</v>
      </c>
    </row>
    <row r="724" spans="1:24" x14ac:dyDescent="0.3">
      <c r="A724" s="21">
        <f>'Raw Data'!A724</f>
        <v>50723</v>
      </c>
      <c r="B724" s="21">
        <f>'Raw Data'!B724</f>
        <v>0</v>
      </c>
      <c r="C724" s="21">
        <f>'Raw Data'!C724</f>
        <v>0</v>
      </c>
      <c r="D724" s="21" t="str">
        <f>'Raw Data'!D724</f>
        <v>Mobile Phone</v>
      </c>
      <c r="E724" s="21">
        <f>'Raw Data'!E724</f>
        <v>1</v>
      </c>
      <c r="F724" s="21">
        <f>IF('Raw Data'!F724="",ROUND(AVERAGE('Raw Data'!$F$2:$F$1501),1),'Raw Data'!F724)</f>
        <v>13</v>
      </c>
      <c r="G724" s="21" t="str">
        <f>'Raw Data'!G724</f>
        <v>E wallet</v>
      </c>
      <c r="H724" s="21" t="str">
        <f>'Raw Data'!H724</f>
        <v>Male</v>
      </c>
      <c r="I724" s="21">
        <f>IF('Raw Data'!I724="",ROUND(AVERAGE('Raw Data'!$I$2:$I$1501),1),'Raw Data'!I724)</f>
        <v>3.6</v>
      </c>
      <c r="J724" s="21">
        <f>'Raw Data'!J724</f>
        <v>3</v>
      </c>
      <c r="K724" s="21" t="str">
        <f>'Raw Data'!K724</f>
        <v>Laptop &amp; Accessory</v>
      </c>
      <c r="L724" s="21">
        <f>'Raw Data'!L724</f>
        <v>5</v>
      </c>
      <c r="M724" s="21" t="str">
        <f>'Raw Data'!M724</f>
        <v>Single</v>
      </c>
      <c r="N724" s="21">
        <f>'Raw Data'!N724</f>
        <v>3</v>
      </c>
      <c r="O724" s="21">
        <f>'Raw Data'!O724</f>
        <v>1</v>
      </c>
      <c r="P724" s="21">
        <f>IF('Raw Data'!P724="",ROUND(AVERAGE('Raw Data'!$P$2:$P$1501),1),'Raw Data'!P724)</f>
        <v>16.7</v>
      </c>
      <c r="Q724" s="21">
        <f>IF('Raw Data'!Q724="",ROUND(AVERAGE('Raw Data'!$Q$2:$Q$1501),0),'Raw Data'!Q724)</f>
        <v>2</v>
      </c>
      <c r="R724" s="21">
        <f>'Raw Data'!R724</f>
        <v>5</v>
      </c>
      <c r="S724" s="21">
        <f>IF('Raw Data'!S724="",ROUND(AVERAGE('Raw Data'!$S$2:$S$1501),0),'Raw Data'!S724)</f>
        <v>1</v>
      </c>
      <c r="T724" s="21">
        <f>'Raw Data'!T724</f>
        <v>221.8</v>
      </c>
      <c r="U724" s="21" t="str">
        <f>INDEX('Lookup Tables'!$C$7:$C$9,MATCH(E724,'Lookup Tables'!$B$7:$B$9,0))</f>
        <v>Tier 1 (Metro)</v>
      </c>
      <c r="V724" s="21" t="str">
        <f t="shared" si="33"/>
        <v>0-6 months</v>
      </c>
      <c r="W724" s="21" t="str">
        <f t="shared" si="34"/>
        <v>Low Risk</v>
      </c>
      <c r="X724" s="21" t="str">
        <f t="shared" si="35"/>
        <v>No</v>
      </c>
    </row>
    <row r="725" spans="1:24" x14ac:dyDescent="0.3">
      <c r="A725" s="21">
        <f>'Raw Data'!A725</f>
        <v>50724</v>
      </c>
      <c r="B725" s="21">
        <f>'Raw Data'!B725</f>
        <v>0</v>
      </c>
      <c r="C725" s="21">
        <f>'Raw Data'!C725</f>
        <v>27</v>
      </c>
      <c r="D725" s="21" t="str">
        <f>'Raw Data'!D725</f>
        <v>Phone</v>
      </c>
      <c r="E725" s="21">
        <f>'Raw Data'!E725</f>
        <v>1</v>
      </c>
      <c r="F725" s="21">
        <f>IF('Raw Data'!F725="",ROUND(AVERAGE('Raw Data'!$F$2:$F$1501),1),'Raw Data'!F725)</f>
        <v>14</v>
      </c>
      <c r="G725" s="21" t="str">
        <f>'Raw Data'!G725</f>
        <v>Debit Card</v>
      </c>
      <c r="H725" s="21" t="str">
        <f>'Raw Data'!H725</f>
        <v>Male</v>
      </c>
      <c r="I725" s="21">
        <f>IF('Raw Data'!I725="",ROUND(AVERAGE('Raw Data'!$I$2:$I$1501),1),'Raw Data'!I725)</f>
        <v>3</v>
      </c>
      <c r="J725" s="21">
        <f>'Raw Data'!J725</f>
        <v>3</v>
      </c>
      <c r="K725" s="21" t="str">
        <f>'Raw Data'!K725</f>
        <v>Mobile Phone</v>
      </c>
      <c r="L725" s="21">
        <f>'Raw Data'!L725</f>
        <v>4</v>
      </c>
      <c r="M725" s="21" t="str">
        <f>'Raw Data'!M725</f>
        <v>Married</v>
      </c>
      <c r="N725" s="21">
        <f>'Raw Data'!N725</f>
        <v>1</v>
      </c>
      <c r="O725" s="21">
        <f>'Raw Data'!O725</f>
        <v>0</v>
      </c>
      <c r="P725" s="21">
        <f>IF('Raw Data'!P725="",ROUND(AVERAGE('Raw Data'!$P$2:$P$1501),1),'Raw Data'!P725)</f>
        <v>16.2</v>
      </c>
      <c r="Q725" s="21">
        <f>IF('Raw Data'!Q725="",ROUND(AVERAGE('Raw Data'!$Q$2:$Q$1501),0),'Raw Data'!Q725)</f>
        <v>1</v>
      </c>
      <c r="R725" s="21">
        <f>'Raw Data'!R725</f>
        <v>4</v>
      </c>
      <c r="S725" s="21">
        <f>IF('Raw Data'!S725="",ROUND(AVERAGE('Raw Data'!$S$2:$S$1501),0),'Raw Data'!S725)</f>
        <v>5</v>
      </c>
      <c r="T725" s="21">
        <f>'Raw Data'!T725</f>
        <v>121.23</v>
      </c>
      <c r="U725" s="21" t="str">
        <f>INDEX('Lookup Tables'!$C$7:$C$9,MATCH(E725,'Lookup Tables'!$B$7:$B$9,0))</f>
        <v>Tier 1 (Metro)</v>
      </c>
      <c r="V725" s="21" t="str">
        <f t="shared" si="33"/>
        <v>25+ months</v>
      </c>
      <c r="W725" s="21" t="str">
        <f t="shared" si="34"/>
        <v>Low Risk</v>
      </c>
      <c r="X725" s="21" t="str">
        <f t="shared" si="35"/>
        <v>No</v>
      </c>
    </row>
    <row r="726" spans="1:24" x14ac:dyDescent="0.3">
      <c r="A726" s="21">
        <f>'Raw Data'!A726</f>
        <v>50725</v>
      </c>
      <c r="B726" s="21">
        <f>'Raw Data'!B726</f>
        <v>0</v>
      </c>
      <c r="C726" s="21">
        <f>'Raw Data'!C726</f>
        <v>4</v>
      </c>
      <c r="D726" s="21" t="str">
        <f>'Raw Data'!D726</f>
        <v>Computer</v>
      </c>
      <c r="E726" s="21">
        <f>'Raw Data'!E726</f>
        <v>2</v>
      </c>
      <c r="F726" s="21">
        <f>IF('Raw Data'!F726="",ROUND(AVERAGE('Raw Data'!$F$2:$F$1501),1),'Raw Data'!F726)</f>
        <v>22</v>
      </c>
      <c r="G726" s="21" t="str">
        <f>'Raw Data'!G726</f>
        <v>Debit Card</v>
      </c>
      <c r="H726" s="21" t="str">
        <f>'Raw Data'!H726</f>
        <v>Male</v>
      </c>
      <c r="I726" s="21">
        <f>IF('Raw Data'!I726="",ROUND(AVERAGE('Raw Data'!$I$2:$I$1501),1),'Raw Data'!I726)</f>
        <v>2.9</v>
      </c>
      <c r="J726" s="21">
        <f>'Raw Data'!J726</f>
        <v>3</v>
      </c>
      <c r="K726" s="21" t="str">
        <f>'Raw Data'!K726</f>
        <v>Fashion</v>
      </c>
      <c r="L726" s="21">
        <f>'Raw Data'!L726</f>
        <v>5</v>
      </c>
      <c r="M726" s="21" t="str">
        <f>'Raw Data'!M726</f>
        <v>Divorced</v>
      </c>
      <c r="N726" s="21">
        <f>'Raw Data'!N726</f>
        <v>1</v>
      </c>
      <c r="O726" s="21">
        <f>'Raw Data'!O726</f>
        <v>1</v>
      </c>
      <c r="P726" s="21">
        <f>IF('Raw Data'!P726="",ROUND(AVERAGE('Raw Data'!$P$2:$P$1501),1),'Raw Data'!P726)</f>
        <v>20.399999999999999</v>
      </c>
      <c r="Q726" s="21">
        <f>IF('Raw Data'!Q726="",ROUND(AVERAGE('Raw Data'!$Q$2:$Q$1501),0),'Raw Data'!Q726)</f>
        <v>3</v>
      </c>
      <c r="R726" s="21">
        <f>'Raw Data'!R726</f>
        <v>4</v>
      </c>
      <c r="S726" s="21">
        <f>IF('Raw Data'!S726="",ROUND(AVERAGE('Raw Data'!$S$2:$S$1501),0),'Raw Data'!S726)</f>
        <v>0</v>
      </c>
      <c r="T726" s="21">
        <f>'Raw Data'!T726</f>
        <v>67.78</v>
      </c>
      <c r="U726" s="21" t="str">
        <f>INDEX('Lookup Tables'!$C$7:$C$9,MATCH(E726,'Lookup Tables'!$B$7:$B$9,0))</f>
        <v>Tier 2 (Urban)</v>
      </c>
      <c r="V726" s="21" t="str">
        <f t="shared" si="33"/>
        <v>0-6 months</v>
      </c>
      <c r="W726" s="21" t="str">
        <f t="shared" si="34"/>
        <v>Low Risk</v>
      </c>
      <c r="X726" s="21" t="str">
        <f t="shared" si="35"/>
        <v>No</v>
      </c>
    </row>
    <row r="727" spans="1:24" x14ac:dyDescent="0.3">
      <c r="A727" s="21">
        <f>'Raw Data'!A727</f>
        <v>50726</v>
      </c>
      <c r="B727" s="21">
        <f>'Raw Data'!B727</f>
        <v>0</v>
      </c>
      <c r="C727" s="21">
        <f>'Raw Data'!C727</f>
        <v>1</v>
      </c>
      <c r="D727" s="21" t="str">
        <f>'Raw Data'!D727</f>
        <v>Mobile Phone</v>
      </c>
      <c r="E727" s="21">
        <f>'Raw Data'!E727</f>
        <v>1</v>
      </c>
      <c r="F727" s="21">
        <f>IF('Raw Data'!F727="",ROUND(AVERAGE('Raw Data'!$F$2:$F$1501),1),'Raw Data'!F727)</f>
        <v>28</v>
      </c>
      <c r="G727" s="21" t="str">
        <f>'Raw Data'!G727</f>
        <v>Credit Card</v>
      </c>
      <c r="H727" s="21" t="str">
        <f>'Raw Data'!H727</f>
        <v>Male</v>
      </c>
      <c r="I727" s="21">
        <f>IF('Raw Data'!I727="",ROUND(AVERAGE('Raw Data'!$I$2:$I$1501),1),'Raw Data'!I727)</f>
        <v>3.4</v>
      </c>
      <c r="J727" s="21">
        <f>'Raw Data'!J727</f>
        <v>4</v>
      </c>
      <c r="K727" s="21" t="str">
        <f>'Raw Data'!K727</f>
        <v>Laptop &amp; Accessory</v>
      </c>
      <c r="L727" s="21">
        <f>'Raw Data'!L727</f>
        <v>3</v>
      </c>
      <c r="M727" s="21" t="str">
        <f>'Raw Data'!M727</f>
        <v>Single</v>
      </c>
      <c r="N727" s="21">
        <f>'Raw Data'!N727</f>
        <v>16</v>
      </c>
      <c r="O727" s="21">
        <f>'Raw Data'!O727</f>
        <v>0</v>
      </c>
      <c r="P727" s="21">
        <f>IF('Raw Data'!P727="",ROUND(AVERAGE('Raw Data'!$P$2:$P$1501),1),'Raw Data'!P727)</f>
        <v>17.100000000000001</v>
      </c>
      <c r="Q727" s="21">
        <f>IF('Raw Data'!Q727="",ROUND(AVERAGE('Raw Data'!$Q$2:$Q$1501),0),'Raw Data'!Q727)</f>
        <v>0</v>
      </c>
      <c r="R727" s="21">
        <f>'Raw Data'!R727</f>
        <v>2</v>
      </c>
      <c r="S727" s="21">
        <f>IF('Raw Data'!S727="",ROUND(AVERAGE('Raw Data'!$S$2:$S$1501),0),'Raw Data'!S727)</f>
        <v>2</v>
      </c>
      <c r="T727" s="21">
        <f>'Raw Data'!T727</f>
        <v>189.69</v>
      </c>
      <c r="U727" s="21" t="str">
        <f>INDEX('Lookup Tables'!$C$7:$C$9,MATCH(E727,'Lookup Tables'!$B$7:$B$9,0))</f>
        <v>Tier 1 (Metro)</v>
      </c>
      <c r="V727" s="21" t="str">
        <f t="shared" si="33"/>
        <v>0-6 months</v>
      </c>
      <c r="W727" s="21" t="str">
        <f t="shared" si="34"/>
        <v>Medium Risk</v>
      </c>
      <c r="X727" s="21" t="str">
        <f t="shared" si="35"/>
        <v>No</v>
      </c>
    </row>
    <row r="728" spans="1:24" x14ac:dyDescent="0.3">
      <c r="A728" s="21">
        <f>'Raw Data'!A728</f>
        <v>50727</v>
      </c>
      <c r="B728" s="21">
        <f>'Raw Data'!B728</f>
        <v>1</v>
      </c>
      <c r="C728" s="21">
        <f>'Raw Data'!C728</f>
        <v>6</v>
      </c>
      <c r="D728" s="21" t="str">
        <f>'Raw Data'!D728</f>
        <v>Phone</v>
      </c>
      <c r="E728" s="21">
        <f>'Raw Data'!E728</f>
        <v>1</v>
      </c>
      <c r="F728" s="21">
        <f>IF('Raw Data'!F728="",ROUND(AVERAGE('Raw Data'!$F$2:$F$1501),1),'Raw Data'!F728)</f>
        <v>5</v>
      </c>
      <c r="G728" s="21" t="str">
        <f>'Raw Data'!G728</f>
        <v>E wallet</v>
      </c>
      <c r="H728" s="21" t="str">
        <f>'Raw Data'!H728</f>
        <v>Female</v>
      </c>
      <c r="I728" s="21">
        <f>IF('Raw Data'!I728="",ROUND(AVERAGE('Raw Data'!$I$2:$I$1501),1),'Raw Data'!I728)</f>
        <v>2.6</v>
      </c>
      <c r="J728" s="21">
        <f>'Raw Data'!J728</f>
        <v>3</v>
      </c>
      <c r="K728" s="21" t="str">
        <f>'Raw Data'!K728</f>
        <v>Mobile Phone</v>
      </c>
      <c r="L728" s="21">
        <f>'Raw Data'!L728</f>
        <v>3</v>
      </c>
      <c r="M728" s="21" t="str">
        <f>'Raw Data'!M728</f>
        <v>Single</v>
      </c>
      <c r="N728" s="21">
        <f>'Raw Data'!N728</f>
        <v>4</v>
      </c>
      <c r="O728" s="21">
        <f>'Raw Data'!O728</f>
        <v>1</v>
      </c>
      <c r="P728" s="21">
        <f>IF('Raw Data'!P728="",ROUND(AVERAGE('Raw Data'!$P$2:$P$1501),1),'Raw Data'!P728)</f>
        <v>14.1</v>
      </c>
      <c r="Q728" s="21">
        <f>IF('Raw Data'!Q728="",ROUND(AVERAGE('Raw Data'!$Q$2:$Q$1501),0),'Raw Data'!Q728)</f>
        <v>4</v>
      </c>
      <c r="R728" s="21">
        <f>'Raw Data'!R728</f>
        <v>6</v>
      </c>
      <c r="S728" s="21">
        <f>IF('Raw Data'!S728="",ROUND(AVERAGE('Raw Data'!$S$2:$S$1501),0),'Raw Data'!S728)</f>
        <v>0</v>
      </c>
      <c r="T728" s="21">
        <f>'Raw Data'!T728</f>
        <v>199.46</v>
      </c>
      <c r="U728" s="21" t="str">
        <f>INDEX('Lookup Tables'!$C$7:$C$9,MATCH(E728,'Lookup Tables'!$B$7:$B$9,0))</f>
        <v>Tier 1 (Metro)</v>
      </c>
      <c r="V728" s="21" t="str">
        <f t="shared" si="33"/>
        <v>0-6 months</v>
      </c>
      <c r="W728" s="21" t="str">
        <f t="shared" si="34"/>
        <v>Medium Risk</v>
      </c>
      <c r="X728" s="21" t="str">
        <f t="shared" si="35"/>
        <v>Yes</v>
      </c>
    </row>
    <row r="729" spans="1:24" x14ac:dyDescent="0.3">
      <c r="A729" s="21">
        <f>'Raw Data'!A729</f>
        <v>50728</v>
      </c>
      <c r="B729" s="21">
        <f>'Raw Data'!B729</f>
        <v>0</v>
      </c>
      <c r="C729" s="21">
        <f>'Raw Data'!C729</f>
        <v>2</v>
      </c>
      <c r="D729" s="21" t="str">
        <f>'Raw Data'!D729</f>
        <v>Mobile Phone</v>
      </c>
      <c r="E729" s="21">
        <f>'Raw Data'!E729</f>
        <v>1</v>
      </c>
      <c r="F729" s="21">
        <f>IF('Raw Data'!F729="",ROUND(AVERAGE('Raw Data'!$F$2:$F$1501),1),'Raw Data'!F729)</f>
        <v>5</v>
      </c>
      <c r="G729" s="21" t="str">
        <f>'Raw Data'!G729</f>
        <v>E wallet</v>
      </c>
      <c r="H729" s="21" t="str">
        <f>'Raw Data'!H729</f>
        <v>Male</v>
      </c>
      <c r="I729" s="21">
        <f>IF('Raw Data'!I729="",ROUND(AVERAGE('Raw Data'!$I$2:$I$1501),1),'Raw Data'!I729)</f>
        <v>4</v>
      </c>
      <c r="J729" s="21">
        <f>'Raw Data'!J729</f>
        <v>3</v>
      </c>
      <c r="K729" s="21" t="str">
        <f>'Raw Data'!K729</f>
        <v>Laptop &amp; Accessory</v>
      </c>
      <c r="L729" s="21">
        <f>'Raw Data'!L729</f>
        <v>3</v>
      </c>
      <c r="M729" s="21" t="str">
        <f>'Raw Data'!M729</f>
        <v>Married</v>
      </c>
      <c r="N729" s="21">
        <f>'Raw Data'!N729</f>
        <v>11</v>
      </c>
      <c r="O729" s="21">
        <f>'Raw Data'!O729</f>
        <v>0</v>
      </c>
      <c r="P729" s="21">
        <f>IF('Raw Data'!P729="",ROUND(AVERAGE('Raw Data'!$P$2:$P$1501),1),'Raw Data'!P729)</f>
        <v>19.7</v>
      </c>
      <c r="Q729" s="21">
        <f>IF('Raw Data'!Q729="",ROUND(AVERAGE('Raw Data'!$Q$2:$Q$1501),0),'Raw Data'!Q729)</f>
        <v>1</v>
      </c>
      <c r="R729" s="21">
        <f>'Raw Data'!R729</f>
        <v>5</v>
      </c>
      <c r="S729" s="21">
        <f>IF('Raw Data'!S729="",ROUND(AVERAGE('Raw Data'!$S$2:$S$1501),0),'Raw Data'!S729)</f>
        <v>4</v>
      </c>
      <c r="T729" s="21">
        <f>'Raw Data'!T729</f>
        <v>170.13</v>
      </c>
      <c r="U729" s="21" t="str">
        <f>INDEX('Lookup Tables'!$C$7:$C$9,MATCH(E729,'Lookup Tables'!$B$7:$B$9,0))</f>
        <v>Tier 1 (Metro)</v>
      </c>
      <c r="V729" s="21" t="str">
        <f t="shared" si="33"/>
        <v>0-6 months</v>
      </c>
      <c r="W729" s="21" t="str">
        <f t="shared" si="34"/>
        <v>Medium Risk</v>
      </c>
      <c r="X729" s="21" t="str">
        <f t="shared" si="35"/>
        <v>No</v>
      </c>
    </row>
    <row r="730" spans="1:24" x14ac:dyDescent="0.3">
      <c r="A730" s="21">
        <f>'Raw Data'!A730</f>
        <v>50729</v>
      </c>
      <c r="B730" s="21">
        <f>'Raw Data'!B730</f>
        <v>0</v>
      </c>
      <c r="C730" s="21">
        <f>'Raw Data'!C730</f>
        <v>3</v>
      </c>
      <c r="D730" s="21" t="str">
        <f>'Raw Data'!D730</f>
        <v>Mobile Phone</v>
      </c>
      <c r="E730" s="21">
        <f>'Raw Data'!E730</f>
        <v>3</v>
      </c>
      <c r="F730" s="21">
        <f>IF('Raw Data'!F730="",ROUND(AVERAGE('Raw Data'!$F$2:$F$1501),1),'Raw Data'!F730)</f>
        <v>10</v>
      </c>
      <c r="G730" s="21" t="str">
        <f>'Raw Data'!G730</f>
        <v>Debit Card</v>
      </c>
      <c r="H730" s="21" t="str">
        <f>'Raw Data'!H730</f>
        <v>Male</v>
      </c>
      <c r="I730" s="21">
        <f>IF('Raw Data'!I730="",ROUND(AVERAGE('Raw Data'!$I$2:$I$1501),1),'Raw Data'!I730)</f>
        <v>2.2999999999999998</v>
      </c>
      <c r="J730" s="21">
        <f>'Raw Data'!J730</f>
        <v>5</v>
      </c>
      <c r="K730" s="21" t="str">
        <f>'Raw Data'!K730</f>
        <v>Others</v>
      </c>
      <c r="L730" s="21">
        <f>'Raw Data'!L730</f>
        <v>1</v>
      </c>
      <c r="M730" s="21" t="str">
        <f>'Raw Data'!M730</f>
        <v>Married</v>
      </c>
      <c r="N730" s="21">
        <f>'Raw Data'!N730</f>
        <v>1</v>
      </c>
      <c r="O730" s="21">
        <f>'Raw Data'!O730</f>
        <v>0</v>
      </c>
      <c r="P730" s="21">
        <f>IF('Raw Data'!P730="",ROUND(AVERAGE('Raw Data'!$P$2:$P$1501),1),'Raw Data'!P730)</f>
        <v>20.3</v>
      </c>
      <c r="Q730" s="21">
        <f>IF('Raw Data'!Q730="",ROUND(AVERAGE('Raw Data'!$Q$2:$Q$1501),0),'Raw Data'!Q730)</f>
        <v>2</v>
      </c>
      <c r="R730" s="21">
        <f>'Raw Data'!R730</f>
        <v>3</v>
      </c>
      <c r="S730" s="21">
        <f>IF('Raw Data'!S730="",ROUND(AVERAGE('Raw Data'!$S$2:$S$1501),0),'Raw Data'!S730)</f>
        <v>0</v>
      </c>
      <c r="T730" s="21">
        <f>'Raw Data'!T730</f>
        <v>181.54</v>
      </c>
      <c r="U730" s="21" t="str">
        <f>INDEX('Lookup Tables'!$C$7:$C$9,MATCH(E730,'Lookup Tables'!$B$7:$B$9,0))</f>
        <v>Tier 3 (Semi-urban/Rural)</v>
      </c>
      <c r="V730" s="21" t="str">
        <f t="shared" si="33"/>
        <v>0-6 months</v>
      </c>
      <c r="W730" s="21" t="str">
        <f t="shared" si="34"/>
        <v>Low Risk</v>
      </c>
      <c r="X730" s="21" t="str">
        <f t="shared" si="35"/>
        <v>No</v>
      </c>
    </row>
    <row r="731" spans="1:24" x14ac:dyDescent="0.3">
      <c r="A731" s="21">
        <f>'Raw Data'!A731</f>
        <v>50730</v>
      </c>
      <c r="B731" s="21">
        <f>'Raw Data'!B731</f>
        <v>0</v>
      </c>
      <c r="C731" s="21">
        <f>'Raw Data'!C731</f>
        <v>3</v>
      </c>
      <c r="D731" s="21" t="str">
        <f>'Raw Data'!D731</f>
        <v>Mobile Phone</v>
      </c>
      <c r="E731" s="21">
        <f>'Raw Data'!E731</f>
        <v>2</v>
      </c>
      <c r="F731" s="21">
        <f>IF('Raw Data'!F731="",ROUND(AVERAGE('Raw Data'!$F$2:$F$1501),1),'Raw Data'!F731)</f>
        <v>19</v>
      </c>
      <c r="G731" s="21" t="str">
        <f>'Raw Data'!G731</f>
        <v>Debit Card</v>
      </c>
      <c r="H731" s="21" t="str">
        <f>'Raw Data'!H731</f>
        <v>Male</v>
      </c>
      <c r="I731" s="21">
        <f>IF('Raw Data'!I731="",ROUND(AVERAGE('Raw Data'!$I$2:$I$1501),1),'Raw Data'!I731)</f>
        <v>3.4</v>
      </c>
      <c r="J731" s="21">
        <f>'Raw Data'!J731</f>
        <v>4</v>
      </c>
      <c r="K731" s="21" t="str">
        <f>'Raw Data'!K731</f>
        <v>Grocery</v>
      </c>
      <c r="L731" s="21">
        <f>'Raw Data'!L731</f>
        <v>5</v>
      </c>
      <c r="M731" s="21" t="str">
        <f>'Raw Data'!M731</f>
        <v>Divorced</v>
      </c>
      <c r="N731" s="21">
        <f>'Raw Data'!N731</f>
        <v>1</v>
      </c>
      <c r="O731" s="21">
        <f>'Raw Data'!O731</f>
        <v>1</v>
      </c>
      <c r="P731" s="21">
        <f>IF('Raw Data'!P731="",ROUND(AVERAGE('Raw Data'!$P$2:$P$1501),1),'Raw Data'!P731)</f>
        <v>11.3</v>
      </c>
      <c r="Q731" s="21">
        <f>IF('Raw Data'!Q731="",ROUND(AVERAGE('Raw Data'!$Q$2:$Q$1501),0),'Raw Data'!Q731)</f>
        <v>2</v>
      </c>
      <c r="R731" s="21">
        <f>'Raw Data'!R731</f>
        <v>5</v>
      </c>
      <c r="S731" s="21">
        <f>IF('Raw Data'!S731="",ROUND(AVERAGE('Raw Data'!$S$2:$S$1501),0),'Raw Data'!S731)</f>
        <v>4</v>
      </c>
      <c r="T731" s="21">
        <f>'Raw Data'!T731</f>
        <v>228.33</v>
      </c>
      <c r="U731" s="21" t="str">
        <f>INDEX('Lookup Tables'!$C$7:$C$9,MATCH(E731,'Lookup Tables'!$B$7:$B$9,0))</f>
        <v>Tier 2 (Urban)</v>
      </c>
      <c r="V731" s="21" t="str">
        <f t="shared" si="33"/>
        <v>0-6 months</v>
      </c>
      <c r="W731" s="21" t="str">
        <f t="shared" si="34"/>
        <v>Low Risk</v>
      </c>
      <c r="X731" s="21" t="str">
        <f t="shared" si="35"/>
        <v>No</v>
      </c>
    </row>
    <row r="732" spans="1:24" x14ac:dyDescent="0.3">
      <c r="A732" s="21">
        <f>'Raw Data'!A732</f>
        <v>50731</v>
      </c>
      <c r="B732" s="21">
        <f>'Raw Data'!B732</f>
        <v>0</v>
      </c>
      <c r="C732" s="21">
        <f>'Raw Data'!C732</f>
        <v>16</v>
      </c>
      <c r="D732" s="21" t="str">
        <f>'Raw Data'!D732</f>
        <v>Mobile Phone</v>
      </c>
      <c r="E732" s="21">
        <f>'Raw Data'!E732</f>
        <v>2</v>
      </c>
      <c r="F732" s="21">
        <f>IF('Raw Data'!F732="",ROUND(AVERAGE('Raw Data'!$F$2:$F$1501),1),'Raw Data'!F732)</f>
        <v>18</v>
      </c>
      <c r="G732" s="21" t="str">
        <f>'Raw Data'!G732</f>
        <v>Cash on Delivery</v>
      </c>
      <c r="H732" s="21" t="str">
        <f>'Raw Data'!H732</f>
        <v>Female</v>
      </c>
      <c r="I732" s="21">
        <f>IF('Raw Data'!I732="",ROUND(AVERAGE('Raw Data'!$I$2:$I$1501),1),'Raw Data'!I732)</f>
        <v>3.9</v>
      </c>
      <c r="J732" s="21">
        <f>'Raw Data'!J732</f>
        <v>2</v>
      </c>
      <c r="K732" s="21" t="str">
        <f>'Raw Data'!K732</f>
        <v>Mobile Phone</v>
      </c>
      <c r="L732" s="21">
        <f>'Raw Data'!L732</f>
        <v>2</v>
      </c>
      <c r="M732" s="21" t="str">
        <f>'Raw Data'!M732</f>
        <v>Single</v>
      </c>
      <c r="N732" s="21">
        <f>'Raw Data'!N732</f>
        <v>2</v>
      </c>
      <c r="O732" s="21">
        <f>'Raw Data'!O732</f>
        <v>1</v>
      </c>
      <c r="P732" s="21">
        <f>IF('Raw Data'!P732="",ROUND(AVERAGE('Raw Data'!$P$2:$P$1501),1),'Raw Data'!P732)</f>
        <v>21.4</v>
      </c>
      <c r="Q732" s="21">
        <f>IF('Raw Data'!Q732="",ROUND(AVERAGE('Raw Data'!$Q$2:$Q$1501),0),'Raw Data'!Q732)</f>
        <v>2</v>
      </c>
      <c r="R732" s="21">
        <f>'Raw Data'!R732</f>
        <v>5</v>
      </c>
      <c r="S732" s="21">
        <f>IF('Raw Data'!S732="",ROUND(AVERAGE('Raw Data'!$S$2:$S$1501),0),'Raw Data'!S732)</f>
        <v>5</v>
      </c>
      <c r="T732" s="21">
        <f>'Raw Data'!T732</f>
        <v>154.77000000000001</v>
      </c>
      <c r="U732" s="21" t="str">
        <f>INDEX('Lookup Tables'!$C$7:$C$9,MATCH(E732,'Lookup Tables'!$B$7:$B$9,0))</f>
        <v>Tier 2 (Urban)</v>
      </c>
      <c r="V732" s="21" t="str">
        <f t="shared" si="33"/>
        <v>13-24 months</v>
      </c>
      <c r="W732" s="21" t="str">
        <f t="shared" si="34"/>
        <v>High Risk</v>
      </c>
      <c r="X732" s="21" t="str">
        <f t="shared" si="35"/>
        <v>No</v>
      </c>
    </row>
    <row r="733" spans="1:24" x14ac:dyDescent="0.3">
      <c r="A733" s="21">
        <f>'Raw Data'!A733</f>
        <v>50732</v>
      </c>
      <c r="B733" s="21">
        <f>'Raw Data'!B733</f>
        <v>0</v>
      </c>
      <c r="C733" s="21">
        <f>'Raw Data'!C733</f>
        <v>7</v>
      </c>
      <c r="D733" s="21" t="str">
        <f>'Raw Data'!D733</f>
        <v>Mobile Phone</v>
      </c>
      <c r="E733" s="21">
        <f>'Raw Data'!E733</f>
        <v>2</v>
      </c>
      <c r="F733" s="21">
        <f>IF('Raw Data'!F733="",ROUND(AVERAGE('Raw Data'!$F$2:$F$1501),1),'Raw Data'!F733)</f>
        <v>23</v>
      </c>
      <c r="G733" s="21" t="str">
        <f>'Raw Data'!G733</f>
        <v>Debit Card</v>
      </c>
      <c r="H733" s="21" t="str">
        <f>'Raw Data'!H733</f>
        <v>Female</v>
      </c>
      <c r="I733" s="21">
        <f>IF('Raw Data'!I733="",ROUND(AVERAGE('Raw Data'!$I$2:$I$1501),1),'Raw Data'!I733)</f>
        <v>1.9</v>
      </c>
      <c r="J733" s="21">
        <f>'Raw Data'!J733</f>
        <v>4</v>
      </c>
      <c r="K733" s="21" t="str">
        <f>'Raw Data'!K733</f>
        <v>Mobile Phone</v>
      </c>
      <c r="L733" s="21">
        <f>'Raw Data'!L733</f>
        <v>5</v>
      </c>
      <c r="M733" s="21" t="str">
        <f>'Raw Data'!M733</f>
        <v>Single</v>
      </c>
      <c r="N733" s="21">
        <f>'Raw Data'!N733</f>
        <v>2</v>
      </c>
      <c r="O733" s="21">
        <f>'Raw Data'!O733</f>
        <v>0</v>
      </c>
      <c r="P733" s="21">
        <f>IF('Raw Data'!P733="",ROUND(AVERAGE('Raw Data'!$P$2:$P$1501),1),'Raw Data'!P733)</f>
        <v>17.3</v>
      </c>
      <c r="Q733" s="21">
        <f>IF('Raw Data'!Q733="",ROUND(AVERAGE('Raw Data'!$Q$2:$Q$1501),0),'Raw Data'!Q733)</f>
        <v>1</v>
      </c>
      <c r="R733" s="21">
        <f>'Raw Data'!R733</f>
        <v>3</v>
      </c>
      <c r="S733" s="21">
        <f>IF('Raw Data'!S733="",ROUND(AVERAGE('Raw Data'!$S$2:$S$1501),0),'Raw Data'!S733)</f>
        <v>3</v>
      </c>
      <c r="T733" s="21">
        <f>'Raw Data'!T733</f>
        <v>164.67</v>
      </c>
      <c r="U733" s="21" t="str">
        <f>INDEX('Lookup Tables'!$C$7:$C$9,MATCH(E733,'Lookup Tables'!$B$7:$B$9,0))</f>
        <v>Tier 2 (Urban)</v>
      </c>
      <c r="V733" s="21" t="str">
        <f t="shared" si="33"/>
        <v>7-12 months</v>
      </c>
      <c r="W733" s="21" t="str">
        <f t="shared" si="34"/>
        <v>Low Risk</v>
      </c>
      <c r="X733" s="21" t="str">
        <f t="shared" si="35"/>
        <v>No</v>
      </c>
    </row>
    <row r="734" spans="1:24" x14ac:dyDescent="0.3">
      <c r="A734" s="21">
        <f>'Raw Data'!A734</f>
        <v>50733</v>
      </c>
      <c r="B734" s="21">
        <f>'Raw Data'!B734</f>
        <v>0</v>
      </c>
      <c r="C734" s="21">
        <f>'Raw Data'!C734</f>
        <v>3</v>
      </c>
      <c r="D734" s="21" t="str">
        <f>'Raw Data'!D734</f>
        <v>Phone</v>
      </c>
      <c r="E734" s="21">
        <f>'Raw Data'!E734</f>
        <v>1</v>
      </c>
      <c r="F734" s="21">
        <f>IF('Raw Data'!F734="",ROUND(AVERAGE('Raw Data'!$F$2:$F$1501),1),'Raw Data'!F734)</f>
        <v>5</v>
      </c>
      <c r="G734" s="21" t="str">
        <f>'Raw Data'!G734</f>
        <v>UPI</v>
      </c>
      <c r="H734" s="21" t="str">
        <f>'Raw Data'!H734</f>
        <v>Male</v>
      </c>
      <c r="I734" s="21">
        <f>IF('Raw Data'!I734="",ROUND(AVERAGE('Raw Data'!$I$2:$I$1501),1),'Raw Data'!I734)</f>
        <v>2.7</v>
      </c>
      <c r="J734" s="21">
        <f>'Raw Data'!J734</f>
        <v>3</v>
      </c>
      <c r="K734" s="21" t="str">
        <f>'Raw Data'!K734</f>
        <v>Others</v>
      </c>
      <c r="L734" s="21">
        <f>'Raw Data'!L734</f>
        <v>1</v>
      </c>
      <c r="M734" s="21" t="str">
        <f>'Raw Data'!M734</f>
        <v>Married</v>
      </c>
      <c r="N734" s="21">
        <f>'Raw Data'!N734</f>
        <v>1</v>
      </c>
      <c r="O734" s="21">
        <f>'Raw Data'!O734</f>
        <v>1</v>
      </c>
      <c r="P734" s="21">
        <f>IF('Raw Data'!P734="",ROUND(AVERAGE('Raw Data'!$P$2:$P$1501),1),'Raw Data'!P734)</f>
        <v>17</v>
      </c>
      <c r="Q734" s="21">
        <f>IF('Raw Data'!Q734="",ROUND(AVERAGE('Raw Data'!$Q$2:$Q$1501),0),'Raw Data'!Q734)</f>
        <v>3</v>
      </c>
      <c r="R734" s="21">
        <f>'Raw Data'!R734</f>
        <v>5</v>
      </c>
      <c r="S734" s="21">
        <f>IF('Raw Data'!S734="",ROUND(AVERAGE('Raw Data'!$S$2:$S$1501),0),'Raw Data'!S734)</f>
        <v>0</v>
      </c>
      <c r="T734" s="21">
        <f>'Raw Data'!T734</f>
        <v>184.35</v>
      </c>
      <c r="U734" s="21" t="str">
        <f>INDEX('Lookup Tables'!$C$7:$C$9,MATCH(E734,'Lookup Tables'!$B$7:$B$9,0))</f>
        <v>Tier 1 (Metro)</v>
      </c>
      <c r="V734" s="21" t="str">
        <f t="shared" si="33"/>
        <v>0-6 months</v>
      </c>
      <c r="W734" s="21" t="str">
        <f t="shared" si="34"/>
        <v>High Risk</v>
      </c>
      <c r="X734" s="21" t="str">
        <f t="shared" si="35"/>
        <v>No</v>
      </c>
    </row>
    <row r="735" spans="1:24" x14ac:dyDescent="0.3">
      <c r="A735" s="21">
        <f>'Raw Data'!A735</f>
        <v>50734</v>
      </c>
      <c r="B735" s="21">
        <f>'Raw Data'!B735</f>
        <v>0</v>
      </c>
      <c r="C735" s="21">
        <f>'Raw Data'!C735</f>
        <v>9</v>
      </c>
      <c r="D735" s="21" t="str">
        <f>'Raw Data'!D735</f>
        <v>Computer</v>
      </c>
      <c r="E735" s="21">
        <f>'Raw Data'!E735</f>
        <v>1</v>
      </c>
      <c r="F735" s="21">
        <f>IF('Raw Data'!F735="",ROUND(AVERAGE('Raw Data'!$F$2:$F$1501),1),'Raw Data'!F735)</f>
        <v>5</v>
      </c>
      <c r="G735" s="21" t="str">
        <f>'Raw Data'!G735</f>
        <v>UPI</v>
      </c>
      <c r="H735" s="21" t="str">
        <f>'Raw Data'!H735</f>
        <v>Female</v>
      </c>
      <c r="I735" s="21">
        <f>IF('Raw Data'!I735="",ROUND(AVERAGE('Raw Data'!$I$2:$I$1501),1),'Raw Data'!I735)</f>
        <v>3.7</v>
      </c>
      <c r="J735" s="21">
        <f>'Raw Data'!J735</f>
        <v>4</v>
      </c>
      <c r="K735" s="21" t="str">
        <f>'Raw Data'!K735</f>
        <v>Others</v>
      </c>
      <c r="L735" s="21">
        <f>'Raw Data'!L735</f>
        <v>4</v>
      </c>
      <c r="M735" s="21" t="str">
        <f>'Raw Data'!M735</f>
        <v>Married</v>
      </c>
      <c r="N735" s="21">
        <f>'Raw Data'!N735</f>
        <v>4</v>
      </c>
      <c r="O735" s="21">
        <f>'Raw Data'!O735</f>
        <v>0</v>
      </c>
      <c r="P735" s="21">
        <f>IF('Raw Data'!P735="",ROUND(AVERAGE('Raw Data'!$P$2:$P$1501),1),'Raw Data'!P735)</f>
        <v>19.5</v>
      </c>
      <c r="Q735" s="21">
        <f>IF('Raw Data'!Q735="",ROUND(AVERAGE('Raw Data'!$Q$2:$Q$1501),0),'Raw Data'!Q735)</f>
        <v>2</v>
      </c>
      <c r="R735" s="21">
        <f>'Raw Data'!R735</f>
        <v>4</v>
      </c>
      <c r="S735" s="21">
        <f>IF('Raw Data'!S735="",ROUND(AVERAGE('Raw Data'!$S$2:$S$1501),0),'Raw Data'!S735)</f>
        <v>0</v>
      </c>
      <c r="T735" s="21">
        <f>'Raw Data'!T735</f>
        <v>112.91</v>
      </c>
      <c r="U735" s="21" t="str">
        <f>INDEX('Lookup Tables'!$C$7:$C$9,MATCH(E735,'Lookup Tables'!$B$7:$B$9,0))</f>
        <v>Tier 1 (Metro)</v>
      </c>
      <c r="V735" s="21" t="str">
        <f t="shared" si="33"/>
        <v>7-12 months</v>
      </c>
      <c r="W735" s="21" t="str">
        <f t="shared" si="34"/>
        <v>Low Risk</v>
      </c>
      <c r="X735" s="21" t="str">
        <f t="shared" si="35"/>
        <v>No</v>
      </c>
    </row>
    <row r="736" spans="1:24" x14ac:dyDescent="0.3">
      <c r="A736" s="21">
        <f>'Raw Data'!A736</f>
        <v>50735</v>
      </c>
      <c r="B736" s="21">
        <f>'Raw Data'!B736</f>
        <v>0</v>
      </c>
      <c r="C736" s="21">
        <f>'Raw Data'!C736</f>
        <v>12</v>
      </c>
      <c r="D736" s="21" t="str">
        <f>'Raw Data'!D736</f>
        <v>Mobile Phone</v>
      </c>
      <c r="E736" s="21">
        <f>'Raw Data'!E736</f>
        <v>3</v>
      </c>
      <c r="F736" s="21">
        <f>IF('Raw Data'!F736="",ROUND(AVERAGE('Raw Data'!$F$2:$F$1501),1),'Raw Data'!F736)</f>
        <v>21</v>
      </c>
      <c r="G736" s="21" t="str">
        <f>'Raw Data'!G736</f>
        <v>UPI</v>
      </c>
      <c r="H736" s="21" t="str">
        <f>'Raw Data'!H736</f>
        <v>Male</v>
      </c>
      <c r="I736" s="21">
        <f>IF('Raw Data'!I736="",ROUND(AVERAGE('Raw Data'!$I$2:$I$1501),1),'Raw Data'!I736)</f>
        <v>3.7</v>
      </c>
      <c r="J736" s="21">
        <f>'Raw Data'!J736</f>
        <v>3</v>
      </c>
      <c r="K736" s="21" t="str">
        <f>'Raw Data'!K736</f>
        <v>Others</v>
      </c>
      <c r="L736" s="21">
        <f>'Raw Data'!L736</f>
        <v>2</v>
      </c>
      <c r="M736" s="21" t="str">
        <f>'Raw Data'!M736</f>
        <v>Married</v>
      </c>
      <c r="N736" s="21">
        <f>'Raw Data'!N736</f>
        <v>1</v>
      </c>
      <c r="O736" s="21">
        <f>'Raw Data'!O736</f>
        <v>1</v>
      </c>
      <c r="P736" s="21">
        <f>IF('Raw Data'!P736="",ROUND(AVERAGE('Raw Data'!$P$2:$P$1501),1),'Raw Data'!P736)</f>
        <v>14</v>
      </c>
      <c r="Q736" s="21">
        <f>IF('Raw Data'!Q736="",ROUND(AVERAGE('Raw Data'!$Q$2:$Q$1501),0),'Raw Data'!Q736)</f>
        <v>2</v>
      </c>
      <c r="R736" s="21">
        <f>'Raw Data'!R736</f>
        <v>4</v>
      </c>
      <c r="S736" s="21">
        <f>IF('Raw Data'!S736="",ROUND(AVERAGE('Raw Data'!$S$2:$S$1501),0),'Raw Data'!S736)</f>
        <v>4</v>
      </c>
      <c r="T736" s="21">
        <f>'Raw Data'!T736</f>
        <v>171.65</v>
      </c>
      <c r="U736" s="21" t="str">
        <f>INDEX('Lookup Tables'!$C$7:$C$9,MATCH(E736,'Lookup Tables'!$B$7:$B$9,0))</f>
        <v>Tier 3 (Semi-urban/Rural)</v>
      </c>
      <c r="V736" s="21" t="str">
        <f t="shared" si="33"/>
        <v>7-12 months</v>
      </c>
      <c r="W736" s="21" t="str">
        <f t="shared" si="34"/>
        <v>High Risk</v>
      </c>
      <c r="X736" s="21" t="str">
        <f t="shared" si="35"/>
        <v>No</v>
      </c>
    </row>
    <row r="737" spans="1:24" x14ac:dyDescent="0.3">
      <c r="A737" s="21">
        <f>'Raw Data'!A737</f>
        <v>50736</v>
      </c>
      <c r="B737" s="21">
        <f>'Raw Data'!B737</f>
        <v>1</v>
      </c>
      <c r="C737" s="21">
        <f>'Raw Data'!C737</f>
        <v>3</v>
      </c>
      <c r="D737" s="21" t="str">
        <f>'Raw Data'!D737</f>
        <v>Computer</v>
      </c>
      <c r="E737" s="21">
        <f>'Raw Data'!E737</f>
        <v>1</v>
      </c>
      <c r="F737" s="21">
        <f>IF('Raw Data'!F737="",ROUND(AVERAGE('Raw Data'!$F$2:$F$1501),1),'Raw Data'!F737)</f>
        <v>8</v>
      </c>
      <c r="G737" s="21" t="str">
        <f>'Raw Data'!G737</f>
        <v>Debit Card</v>
      </c>
      <c r="H737" s="21" t="str">
        <f>'Raw Data'!H737</f>
        <v>Female</v>
      </c>
      <c r="I737" s="21">
        <f>IF('Raw Data'!I737="",ROUND(AVERAGE('Raw Data'!$I$2:$I$1501),1),'Raw Data'!I737)</f>
        <v>2.8</v>
      </c>
      <c r="J737" s="21">
        <f>'Raw Data'!J737</f>
        <v>4</v>
      </c>
      <c r="K737" s="21" t="str">
        <f>'Raw Data'!K737</f>
        <v>Laptop &amp; Accessory</v>
      </c>
      <c r="L737" s="21">
        <f>'Raw Data'!L737</f>
        <v>1</v>
      </c>
      <c r="M737" s="21" t="str">
        <f>'Raw Data'!M737</f>
        <v>Married</v>
      </c>
      <c r="N737" s="21">
        <f>'Raw Data'!N737</f>
        <v>1</v>
      </c>
      <c r="O737" s="21">
        <f>'Raw Data'!O737</f>
        <v>0</v>
      </c>
      <c r="P737" s="21">
        <f>IF('Raw Data'!P737="",ROUND(AVERAGE('Raw Data'!$P$2:$P$1501),1),'Raw Data'!P737)</f>
        <v>19.3</v>
      </c>
      <c r="Q737" s="21">
        <f>IF('Raw Data'!Q737="",ROUND(AVERAGE('Raw Data'!$Q$2:$Q$1501),0),'Raw Data'!Q737)</f>
        <v>2</v>
      </c>
      <c r="R737" s="21">
        <f>'Raw Data'!R737</f>
        <v>2</v>
      </c>
      <c r="S737" s="21">
        <f>IF('Raw Data'!S737="",ROUND(AVERAGE('Raw Data'!$S$2:$S$1501),0),'Raw Data'!S737)</f>
        <v>3</v>
      </c>
      <c r="T737" s="21">
        <f>'Raw Data'!T737</f>
        <v>176.49</v>
      </c>
      <c r="U737" s="21" t="str">
        <f>INDEX('Lookup Tables'!$C$7:$C$9,MATCH(E737,'Lookup Tables'!$B$7:$B$9,0))</f>
        <v>Tier 1 (Metro)</v>
      </c>
      <c r="V737" s="21" t="str">
        <f t="shared" si="33"/>
        <v>0-6 months</v>
      </c>
      <c r="W737" s="21" t="str">
        <f t="shared" si="34"/>
        <v>Low Risk</v>
      </c>
      <c r="X737" s="21" t="str">
        <f t="shared" si="35"/>
        <v>Yes</v>
      </c>
    </row>
    <row r="738" spans="1:24" x14ac:dyDescent="0.3">
      <c r="A738" s="21">
        <f>'Raw Data'!A738</f>
        <v>50737</v>
      </c>
      <c r="B738" s="21">
        <f>'Raw Data'!B738</f>
        <v>0</v>
      </c>
      <c r="C738" s="21">
        <f>'Raw Data'!C738</f>
        <v>5</v>
      </c>
      <c r="D738" s="21" t="str">
        <f>'Raw Data'!D738</f>
        <v>Computer</v>
      </c>
      <c r="E738" s="21">
        <f>'Raw Data'!E738</f>
        <v>1</v>
      </c>
      <c r="F738" s="21">
        <f>IF('Raw Data'!F738="",ROUND(AVERAGE('Raw Data'!$F$2:$F$1501),1),'Raw Data'!F738)</f>
        <v>5</v>
      </c>
      <c r="G738" s="21" t="str">
        <f>'Raw Data'!G738</f>
        <v>UPI</v>
      </c>
      <c r="H738" s="21" t="str">
        <f>'Raw Data'!H738</f>
        <v>Female</v>
      </c>
      <c r="I738" s="21">
        <f>IF('Raw Data'!I738="",ROUND(AVERAGE('Raw Data'!$I$2:$I$1501),1),'Raw Data'!I738)</f>
        <v>2.4</v>
      </c>
      <c r="J738" s="21">
        <f>'Raw Data'!J738</f>
        <v>4</v>
      </c>
      <c r="K738" s="21" t="str">
        <f>'Raw Data'!K738</f>
        <v>Laptop &amp; Accessory</v>
      </c>
      <c r="L738" s="21">
        <f>'Raw Data'!L738</f>
        <v>4</v>
      </c>
      <c r="M738" s="21" t="str">
        <f>'Raw Data'!M738</f>
        <v>Single</v>
      </c>
      <c r="N738" s="21">
        <f>'Raw Data'!N738</f>
        <v>1</v>
      </c>
      <c r="O738" s="21">
        <f>'Raw Data'!O738</f>
        <v>0</v>
      </c>
      <c r="P738" s="21">
        <f>IF('Raw Data'!P738="",ROUND(AVERAGE('Raw Data'!$P$2:$P$1501),1),'Raw Data'!P738)</f>
        <v>14.7</v>
      </c>
      <c r="Q738" s="21">
        <f>IF('Raw Data'!Q738="",ROUND(AVERAGE('Raw Data'!$Q$2:$Q$1501),0),'Raw Data'!Q738)</f>
        <v>1</v>
      </c>
      <c r="R738" s="21">
        <f>'Raw Data'!R738</f>
        <v>5</v>
      </c>
      <c r="S738" s="21">
        <f>IF('Raw Data'!S738="",ROUND(AVERAGE('Raw Data'!$S$2:$S$1501),0),'Raw Data'!S738)</f>
        <v>5</v>
      </c>
      <c r="T738" s="21">
        <f>'Raw Data'!T738</f>
        <v>270.04000000000002</v>
      </c>
      <c r="U738" s="21" t="str">
        <f>INDEX('Lookup Tables'!$C$7:$C$9,MATCH(E738,'Lookup Tables'!$B$7:$B$9,0))</f>
        <v>Tier 1 (Metro)</v>
      </c>
      <c r="V738" s="21" t="str">
        <f t="shared" si="33"/>
        <v>0-6 months</v>
      </c>
      <c r="W738" s="21" t="str">
        <f t="shared" si="34"/>
        <v>Low Risk</v>
      </c>
      <c r="X738" s="21" t="str">
        <f t="shared" si="35"/>
        <v>No</v>
      </c>
    </row>
    <row r="739" spans="1:24" x14ac:dyDescent="0.3">
      <c r="A739" s="21">
        <f>'Raw Data'!A739</f>
        <v>50738</v>
      </c>
      <c r="B739" s="21">
        <f>'Raw Data'!B739</f>
        <v>0</v>
      </c>
      <c r="C739" s="21">
        <f>'Raw Data'!C739</f>
        <v>1</v>
      </c>
      <c r="D739" s="21" t="str">
        <f>'Raw Data'!D739</f>
        <v>Phone</v>
      </c>
      <c r="E739" s="21">
        <f>'Raw Data'!E739</f>
        <v>1</v>
      </c>
      <c r="F739" s="21">
        <f>IF('Raw Data'!F739="",ROUND(AVERAGE('Raw Data'!$F$2:$F$1501),1),'Raw Data'!F739)</f>
        <v>16</v>
      </c>
      <c r="G739" s="21" t="str">
        <f>'Raw Data'!G739</f>
        <v>UPI</v>
      </c>
      <c r="H739" s="21" t="str">
        <f>'Raw Data'!H739</f>
        <v>Male</v>
      </c>
      <c r="I739" s="21">
        <f>IF('Raw Data'!I739="",ROUND(AVERAGE('Raw Data'!$I$2:$I$1501),1),'Raw Data'!I739)</f>
        <v>3.6</v>
      </c>
      <c r="J739" s="21">
        <f>'Raw Data'!J739</f>
        <v>3</v>
      </c>
      <c r="K739" s="21" t="str">
        <f>'Raw Data'!K739</f>
        <v>Fashion</v>
      </c>
      <c r="L739" s="21">
        <f>'Raw Data'!L739</f>
        <v>3</v>
      </c>
      <c r="M739" s="21" t="str">
        <f>'Raw Data'!M739</f>
        <v>Married</v>
      </c>
      <c r="N739" s="21">
        <f>'Raw Data'!N739</f>
        <v>2</v>
      </c>
      <c r="O739" s="21">
        <f>'Raw Data'!O739</f>
        <v>0</v>
      </c>
      <c r="P739" s="21">
        <f>IF('Raw Data'!P739="",ROUND(AVERAGE('Raw Data'!$P$2:$P$1501),1),'Raw Data'!P739)</f>
        <v>11</v>
      </c>
      <c r="Q739" s="21">
        <f>IF('Raw Data'!Q739="",ROUND(AVERAGE('Raw Data'!$Q$2:$Q$1501),0),'Raw Data'!Q739)</f>
        <v>0</v>
      </c>
      <c r="R739" s="21">
        <f>'Raw Data'!R739</f>
        <v>4</v>
      </c>
      <c r="S739" s="21">
        <f>IF('Raw Data'!S739="",ROUND(AVERAGE('Raw Data'!$S$2:$S$1501),0),'Raw Data'!S739)</f>
        <v>0</v>
      </c>
      <c r="T739" s="21">
        <f>'Raw Data'!T739</f>
        <v>163.6</v>
      </c>
      <c r="U739" s="21" t="str">
        <f>INDEX('Lookup Tables'!$C$7:$C$9,MATCH(E739,'Lookup Tables'!$B$7:$B$9,0))</f>
        <v>Tier 1 (Metro)</v>
      </c>
      <c r="V739" s="21" t="str">
        <f t="shared" si="33"/>
        <v>0-6 months</v>
      </c>
      <c r="W739" s="21" t="str">
        <f t="shared" si="34"/>
        <v>Medium Risk</v>
      </c>
      <c r="X739" s="21" t="str">
        <f t="shared" si="35"/>
        <v>No</v>
      </c>
    </row>
    <row r="740" spans="1:24" x14ac:dyDescent="0.3">
      <c r="A740" s="21">
        <f>'Raw Data'!A740</f>
        <v>50739</v>
      </c>
      <c r="B740" s="21">
        <f>'Raw Data'!B740</f>
        <v>0</v>
      </c>
      <c r="C740" s="21">
        <f>'Raw Data'!C740</f>
        <v>1</v>
      </c>
      <c r="D740" s="21" t="str">
        <f>'Raw Data'!D740</f>
        <v>Phone</v>
      </c>
      <c r="E740" s="21">
        <f>'Raw Data'!E740</f>
        <v>1</v>
      </c>
      <c r="F740" s="21">
        <f>IF('Raw Data'!F740="",ROUND(AVERAGE('Raw Data'!$F$2:$F$1501),1),'Raw Data'!F740)</f>
        <v>21</v>
      </c>
      <c r="G740" s="21" t="str">
        <f>'Raw Data'!G740</f>
        <v>Credit Card</v>
      </c>
      <c r="H740" s="21" t="str">
        <f>'Raw Data'!H740</f>
        <v>Female</v>
      </c>
      <c r="I740" s="21">
        <f>IF('Raw Data'!I740="",ROUND(AVERAGE('Raw Data'!$I$2:$I$1501),1),'Raw Data'!I740)</f>
        <v>3.7</v>
      </c>
      <c r="J740" s="21">
        <f>'Raw Data'!J740</f>
        <v>4</v>
      </c>
      <c r="K740" s="21" t="str">
        <f>'Raw Data'!K740</f>
        <v>Mobile Phone</v>
      </c>
      <c r="L740" s="21">
        <f>'Raw Data'!L740</f>
        <v>4</v>
      </c>
      <c r="M740" s="21" t="str">
        <f>'Raw Data'!M740</f>
        <v>Married</v>
      </c>
      <c r="N740" s="21">
        <f>'Raw Data'!N740</f>
        <v>4</v>
      </c>
      <c r="O740" s="21">
        <f>'Raw Data'!O740</f>
        <v>0</v>
      </c>
      <c r="P740" s="21">
        <f>IF('Raw Data'!P740="",ROUND(AVERAGE('Raw Data'!$P$2:$P$1501),1),'Raw Data'!P740)</f>
        <v>12.5</v>
      </c>
      <c r="Q740" s="21">
        <f>IF('Raw Data'!Q740="",ROUND(AVERAGE('Raw Data'!$Q$2:$Q$1501),0),'Raw Data'!Q740)</f>
        <v>1</v>
      </c>
      <c r="R740" s="21">
        <f>'Raw Data'!R740</f>
        <v>3</v>
      </c>
      <c r="S740" s="21">
        <f>IF('Raw Data'!S740="",ROUND(AVERAGE('Raw Data'!$S$2:$S$1501),0),'Raw Data'!S740)</f>
        <v>6</v>
      </c>
      <c r="T740" s="21">
        <f>'Raw Data'!T740</f>
        <v>191</v>
      </c>
      <c r="U740" s="21" t="str">
        <f>INDEX('Lookup Tables'!$C$7:$C$9,MATCH(E740,'Lookup Tables'!$B$7:$B$9,0))</f>
        <v>Tier 1 (Metro)</v>
      </c>
      <c r="V740" s="21" t="str">
        <f t="shared" si="33"/>
        <v>0-6 months</v>
      </c>
      <c r="W740" s="21" t="str">
        <f t="shared" si="34"/>
        <v>Low Risk</v>
      </c>
      <c r="X740" s="21" t="str">
        <f t="shared" si="35"/>
        <v>No</v>
      </c>
    </row>
    <row r="741" spans="1:24" x14ac:dyDescent="0.3">
      <c r="A741" s="21">
        <f>'Raw Data'!A741</f>
        <v>50740</v>
      </c>
      <c r="B741" s="21">
        <f>'Raw Data'!B741</f>
        <v>0</v>
      </c>
      <c r="C741" s="21">
        <f>'Raw Data'!C741</f>
        <v>11</v>
      </c>
      <c r="D741" s="21" t="str">
        <f>'Raw Data'!D741</f>
        <v>Mobile Phone</v>
      </c>
      <c r="E741" s="21">
        <f>'Raw Data'!E741</f>
        <v>3</v>
      </c>
      <c r="F741" s="21">
        <f>IF('Raw Data'!F741="",ROUND(AVERAGE('Raw Data'!$F$2:$F$1501),1),'Raw Data'!F741)</f>
        <v>14</v>
      </c>
      <c r="G741" s="21" t="str">
        <f>'Raw Data'!G741</f>
        <v>Debit Card</v>
      </c>
      <c r="H741" s="21" t="str">
        <f>'Raw Data'!H741</f>
        <v>Male</v>
      </c>
      <c r="I741" s="21">
        <f>IF('Raw Data'!I741="",ROUND(AVERAGE('Raw Data'!$I$2:$I$1501),1),'Raw Data'!I741)</f>
        <v>2.1</v>
      </c>
      <c r="J741" s="21">
        <f>'Raw Data'!J741</f>
        <v>3</v>
      </c>
      <c r="K741" s="21" t="str">
        <f>'Raw Data'!K741</f>
        <v>Laptop &amp; Accessory</v>
      </c>
      <c r="L741" s="21">
        <f>'Raw Data'!L741</f>
        <v>4</v>
      </c>
      <c r="M741" s="21" t="str">
        <f>'Raw Data'!M741</f>
        <v>Married</v>
      </c>
      <c r="N741" s="21">
        <f>'Raw Data'!N741</f>
        <v>2</v>
      </c>
      <c r="O741" s="21">
        <f>'Raw Data'!O741</f>
        <v>0</v>
      </c>
      <c r="P741" s="21">
        <f>IF('Raw Data'!P741="",ROUND(AVERAGE('Raw Data'!$P$2:$P$1501),1),'Raw Data'!P741)</f>
        <v>18</v>
      </c>
      <c r="Q741" s="21">
        <f>IF('Raw Data'!Q741="",ROUND(AVERAGE('Raw Data'!$Q$2:$Q$1501),0),'Raw Data'!Q741)</f>
        <v>3</v>
      </c>
      <c r="R741" s="21">
        <f>'Raw Data'!R741</f>
        <v>4</v>
      </c>
      <c r="S741" s="21">
        <f>IF('Raw Data'!S741="",ROUND(AVERAGE('Raw Data'!$S$2:$S$1501),0),'Raw Data'!S741)</f>
        <v>6</v>
      </c>
      <c r="T741" s="21">
        <f>'Raw Data'!T741</f>
        <v>230.52</v>
      </c>
      <c r="U741" s="21" t="str">
        <f>INDEX('Lookup Tables'!$C$7:$C$9,MATCH(E741,'Lookup Tables'!$B$7:$B$9,0))</f>
        <v>Tier 3 (Semi-urban/Rural)</v>
      </c>
      <c r="V741" s="21" t="str">
        <f t="shared" si="33"/>
        <v>7-12 months</v>
      </c>
      <c r="W741" s="21" t="str">
        <f t="shared" si="34"/>
        <v>Low Risk</v>
      </c>
      <c r="X741" s="21" t="str">
        <f t="shared" si="35"/>
        <v>No</v>
      </c>
    </row>
    <row r="742" spans="1:24" x14ac:dyDescent="0.3">
      <c r="A742" s="21">
        <f>'Raw Data'!A742</f>
        <v>50741</v>
      </c>
      <c r="B742" s="21">
        <f>'Raw Data'!B742</f>
        <v>0</v>
      </c>
      <c r="C742" s="21">
        <f>'Raw Data'!C742</f>
        <v>2</v>
      </c>
      <c r="D742" s="21" t="str">
        <f>'Raw Data'!D742</f>
        <v>Computer</v>
      </c>
      <c r="E742" s="21">
        <f>'Raw Data'!E742</f>
        <v>1</v>
      </c>
      <c r="F742" s="21">
        <f>IF('Raw Data'!F742="",ROUND(AVERAGE('Raw Data'!$F$2:$F$1501),1),'Raw Data'!F742)</f>
        <v>11</v>
      </c>
      <c r="G742" s="21" t="str">
        <f>'Raw Data'!G742</f>
        <v>Debit Card</v>
      </c>
      <c r="H742" s="21" t="str">
        <f>'Raw Data'!H742</f>
        <v>Male</v>
      </c>
      <c r="I742" s="21">
        <f>IF('Raw Data'!I742="",ROUND(AVERAGE('Raw Data'!$I$2:$I$1501),1),'Raw Data'!I742)</f>
        <v>2.1</v>
      </c>
      <c r="J742" s="21">
        <f>'Raw Data'!J742</f>
        <v>3</v>
      </c>
      <c r="K742" s="21" t="str">
        <f>'Raw Data'!K742</f>
        <v>Laptop &amp; Accessory</v>
      </c>
      <c r="L742" s="21">
        <f>'Raw Data'!L742</f>
        <v>2</v>
      </c>
      <c r="M742" s="21" t="str">
        <f>'Raw Data'!M742</f>
        <v>Married</v>
      </c>
      <c r="N742" s="21">
        <f>'Raw Data'!N742</f>
        <v>2</v>
      </c>
      <c r="O742" s="21">
        <f>'Raw Data'!O742</f>
        <v>0</v>
      </c>
      <c r="P742" s="21">
        <f>IF('Raw Data'!P742="",ROUND(AVERAGE('Raw Data'!$P$2:$P$1501),1),'Raw Data'!P742)</f>
        <v>16.3</v>
      </c>
      <c r="Q742" s="21">
        <f>IF('Raw Data'!Q742="",ROUND(AVERAGE('Raw Data'!$Q$2:$Q$1501),0),'Raw Data'!Q742)</f>
        <v>2</v>
      </c>
      <c r="R742" s="21">
        <f>'Raw Data'!R742</f>
        <v>4</v>
      </c>
      <c r="S742" s="21">
        <f>IF('Raw Data'!S742="",ROUND(AVERAGE('Raw Data'!$S$2:$S$1501),0),'Raw Data'!S742)</f>
        <v>2</v>
      </c>
      <c r="T742" s="21">
        <f>'Raw Data'!T742</f>
        <v>133.94</v>
      </c>
      <c r="U742" s="21" t="str">
        <f>INDEX('Lookup Tables'!$C$7:$C$9,MATCH(E742,'Lookup Tables'!$B$7:$B$9,0))</f>
        <v>Tier 1 (Metro)</v>
      </c>
      <c r="V742" s="21" t="str">
        <f t="shared" si="33"/>
        <v>0-6 months</v>
      </c>
      <c r="W742" s="21" t="str">
        <f t="shared" si="34"/>
        <v>Low Risk</v>
      </c>
      <c r="X742" s="21" t="str">
        <f t="shared" si="35"/>
        <v>No</v>
      </c>
    </row>
    <row r="743" spans="1:24" x14ac:dyDescent="0.3">
      <c r="A743" s="21">
        <f>'Raw Data'!A743</f>
        <v>50742</v>
      </c>
      <c r="B743" s="21">
        <f>'Raw Data'!B743</f>
        <v>0</v>
      </c>
      <c r="C743" s="21">
        <f>'Raw Data'!C743</f>
        <v>7</v>
      </c>
      <c r="D743" s="21" t="str">
        <f>'Raw Data'!D743</f>
        <v>Computer</v>
      </c>
      <c r="E743" s="21">
        <f>'Raw Data'!E743</f>
        <v>2</v>
      </c>
      <c r="F743" s="21">
        <f>IF('Raw Data'!F743="",ROUND(AVERAGE('Raw Data'!$F$2:$F$1501),1),'Raw Data'!F743)</f>
        <v>13</v>
      </c>
      <c r="G743" s="21" t="str">
        <f>'Raw Data'!G743</f>
        <v>Debit Card</v>
      </c>
      <c r="H743" s="21" t="str">
        <f>'Raw Data'!H743</f>
        <v>Male</v>
      </c>
      <c r="I743" s="21">
        <f>IF('Raw Data'!I743="",ROUND(AVERAGE('Raw Data'!$I$2:$I$1501),1),'Raw Data'!I743)</f>
        <v>3.1</v>
      </c>
      <c r="J743" s="21">
        <f>'Raw Data'!J743</f>
        <v>4</v>
      </c>
      <c r="K743" s="21" t="str">
        <f>'Raw Data'!K743</f>
        <v>Grocery</v>
      </c>
      <c r="L743" s="21">
        <f>'Raw Data'!L743</f>
        <v>5</v>
      </c>
      <c r="M743" s="21" t="str">
        <f>'Raw Data'!M743</f>
        <v>Married</v>
      </c>
      <c r="N743" s="21">
        <f>'Raw Data'!N743</f>
        <v>1</v>
      </c>
      <c r="O743" s="21">
        <f>'Raw Data'!O743</f>
        <v>0</v>
      </c>
      <c r="P743" s="21">
        <f>IF('Raw Data'!P743="",ROUND(AVERAGE('Raw Data'!$P$2:$P$1501),1),'Raw Data'!P743)</f>
        <v>21.6</v>
      </c>
      <c r="Q743" s="21">
        <f>IF('Raw Data'!Q743="",ROUND(AVERAGE('Raw Data'!$Q$2:$Q$1501),0),'Raw Data'!Q743)</f>
        <v>2</v>
      </c>
      <c r="R743" s="21">
        <f>'Raw Data'!R743</f>
        <v>3</v>
      </c>
      <c r="S743" s="21">
        <f>IF('Raw Data'!S743="",ROUND(AVERAGE('Raw Data'!$S$2:$S$1501),0),'Raw Data'!S743)</f>
        <v>2</v>
      </c>
      <c r="T743" s="21">
        <f>'Raw Data'!T743</f>
        <v>255.67</v>
      </c>
      <c r="U743" s="21" t="str">
        <f>INDEX('Lookup Tables'!$C$7:$C$9,MATCH(E743,'Lookup Tables'!$B$7:$B$9,0))</f>
        <v>Tier 2 (Urban)</v>
      </c>
      <c r="V743" s="21" t="str">
        <f t="shared" si="33"/>
        <v>7-12 months</v>
      </c>
      <c r="W743" s="21" t="str">
        <f t="shared" si="34"/>
        <v>Low Risk</v>
      </c>
      <c r="X743" s="21" t="str">
        <f t="shared" si="35"/>
        <v>No</v>
      </c>
    </row>
    <row r="744" spans="1:24" x14ac:dyDescent="0.3">
      <c r="A744" s="21">
        <f>'Raw Data'!A744</f>
        <v>50743</v>
      </c>
      <c r="B744" s="21">
        <f>'Raw Data'!B744</f>
        <v>1</v>
      </c>
      <c r="C744" s="21">
        <f>'Raw Data'!C744</f>
        <v>12</v>
      </c>
      <c r="D744" s="21" t="str">
        <f>'Raw Data'!D744</f>
        <v>Computer</v>
      </c>
      <c r="E744" s="21">
        <f>'Raw Data'!E744</f>
        <v>1</v>
      </c>
      <c r="F744" s="21">
        <f>IF('Raw Data'!F744="",ROUND(AVERAGE('Raw Data'!$F$2:$F$1501),1),'Raw Data'!F744)</f>
        <v>12</v>
      </c>
      <c r="G744" s="21" t="str">
        <f>'Raw Data'!G744</f>
        <v>Credit Card</v>
      </c>
      <c r="H744" s="21" t="str">
        <f>'Raw Data'!H744</f>
        <v>Female</v>
      </c>
      <c r="I744" s="21">
        <f>IF('Raw Data'!I744="",ROUND(AVERAGE('Raw Data'!$I$2:$I$1501),1),'Raw Data'!I744)</f>
        <v>3.3</v>
      </c>
      <c r="J744" s="21">
        <f>'Raw Data'!J744</f>
        <v>3</v>
      </c>
      <c r="K744" s="21" t="str">
        <f>'Raw Data'!K744</f>
        <v>Grocery</v>
      </c>
      <c r="L744" s="21">
        <f>'Raw Data'!L744</f>
        <v>3</v>
      </c>
      <c r="M744" s="21" t="str">
        <f>'Raw Data'!M744</f>
        <v>Single</v>
      </c>
      <c r="N744" s="21">
        <f>'Raw Data'!N744</f>
        <v>8</v>
      </c>
      <c r="O744" s="21">
        <f>'Raw Data'!O744</f>
        <v>0</v>
      </c>
      <c r="P744" s="21">
        <f>IF('Raw Data'!P744="",ROUND(AVERAGE('Raw Data'!$P$2:$P$1501),1),'Raw Data'!P744)</f>
        <v>20.2</v>
      </c>
      <c r="Q744" s="21">
        <f>IF('Raw Data'!Q744="",ROUND(AVERAGE('Raw Data'!$Q$2:$Q$1501),0),'Raw Data'!Q744)</f>
        <v>2</v>
      </c>
      <c r="R744" s="21">
        <f>'Raw Data'!R744</f>
        <v>5</v>
      </c>
      <c r="S744" s="21">
        <f>IF('Raw Data'!S744="",ROUND(AVERAGE('Raw Data'!$S$2:$S$1501),0),'Raw Data'!S744)</f>
        <v>9</v>
      </c>
      <c r="T744" s="21">
        <f>'Raw Data'!T744</f>
        <v>277.01</v>
      </c>
      <c r="U744" s="21" t="str">
        <f>INDEX('Lookup Tables'!$C$7:$C$9,MATCH(E744,'Lookup Tables'!$B$7:$B$9,0))</f>
        <v>Tier 1 (Metro)</v>
      </c>
      <c r="V744" s="21" t="str">
        <f t="shared" si="33"/>
        <v>7-12 months</v>
      </c>
      <c r="W744" s="21" t="str">
        <f t="shared" si="34"/>
        <v>Medium Risk</v>
      </c>
      <c r="X744" s="21" t="str">
        <f t="shared" si="35"/>
        <v>Yes</v>
      </c>
    </row>
    <row r="745" spans="1:24" x14ac:dyDescent="0.3">
      <c r="A745" s="21">
        <f>'Raw Data'!A745</f>
        <v>50744</v>
      </c>
      <c r="B745" s="21">
        <f>'Raw Data'!B745</f>
        <v>1</v>
      </c>
      <c r="C745" s="21">
        <f>'Raw Data'!C745</f>
        <v>1</v>
      </c>
      <c r="D745" s="21" t="str">
        <f>'Raw Data'!D745</f>
        <v>Mobile Phone</v>
      </c>
      <c r="E745" s="21">
        <f>'Raw Data'!E745</f>
        <v>3</v>
      </c>
      <c r="F745" s="21">
        <f>IF('Raw Data'!F745="",ROUND(AVERAGE('Raw Data'!$F$2:$F$1501),1),'Raw Data'!F745)</f>
        <v>5</v>
      </c>
      <c r="G745" s="21" t="str">
        <f>'Raw Data'!G745</f>
        <v>Credit Card</v>
      </c>
      <c r="H745" s="21" t="str">
        <f>'Raw Data'!H745</f>
        <v>Male</v>
      </c>
      <c r="I745" s="21">
        <f>IF('Raw Data'!I745="",ROUND(AVERAGE('Raw Data'!$I$2:$I$1501),1),'Raw Data'!I745)</f>
        <v>2.7</v>
      </c>
      <c r="J745" s="21">
        <f>'Raw Data'!J745</f>
        <v>3</v>
      </c>
      <c r="K745" s="21" t="str">
        <f>'Raw Data'!K745</f>
        <v>Mobile Phone</v>
      </c>
      <c r="L745" s="21">
        <f>'Raw Data'!L745</f>
        <v>4</v>
      </c>
      <c r="M745" s="21" t="str">
        <f>'Raw Data'!M745</f>
        <v>Single</v>
      </c>
      <c r="N745" s="21">
        <f>'Raw Data'!N745</f>
        <v>9</v>
      </c>
      <c r="O745" s="21">
        <f>'Raw Data'!O745</f>
        <v>0</v>
      </c>
      <c r="P745" s="21">
        <f>IF('Raw Data'!P745="",ROUND(AVERAGE('Raw Data'!$P$2:$P$1501),1),'Raw Data'!P745)</f>
        <v>20.7</v>
      </c>
      <c r="Q745" s="21">
        <f>IF('Raw Data'!Q745="",ROUND(AVERAGE('Raw Data'!$Q$2:$Q$1501),0),'Raw Data'!Q745)</f>
        <v>3</v>
      </c>
      <c r="R745" s="21">
        <f>'Raw Data'!R745</f>
        <v>1</v>
      </c>
      <c r="S745" s="21">
        <f>IF('Raw Data'!S745="",ROUND(AVERAGE('Raw Data'!$S$2:$S$1501),0),'Raw Data'!S745)</f>
        <v>7</v>
      </c>
      <c r="T745" s="21">
        <f>'Raw Data'!T745</f>
        <v>178.41</v>
      </c>
      <c r="U745" s="21" t="str">
        <f>INDEX('Lookup Tables'!$C$7:$C$9,MATCH(E745,'Lookup Tables'!$B$7:$B$9,0))</f>
        <v>Tier 3 (Semi-urban/Rural)</v>
      </c>
      <c r="V745" s="21" t="str">
        <f t="shared" si="33"/>
        <v>0-6 months</v>
      </c>
      <c r="W745" s="21" t="str">
        <f t="shared" si="34"/>
        <v>Low Risk</v>
      </c>
      <c r="X745" s="21" t="str">
        <f t="shared" si="35"/>
        <v>Yes</v>
      </c>
    </row>
    <row r="746" spans="1:24" x14ac:dyDescent="0.3">
      <c r="A746" s="21">
        <f>'Raw Data'!A746</f>
        <v>50745</v>
      </c>
      <c r="B746" s="21">
        <f>'Raw Data'!B746</f>
        <v>0</v>
      </c>
      <c r="C746" s="21">
        <f>'Raw Data'!C746</f>
        <v>8</v>
      </c>
      <c r="D746" s="21" t="str">
        <f>'Raw Data'!D746</f>
        <v>Mobile Phone</v>
      </c>
      <c r="E746" s="21">
        <f>'Raw Data'!E746</f>
        <v>1</v>
      </c>
      <c r="F746" s="21">
        <f>IF('Raw Data'!F746="",ROUND(AVERAGE('Raw Data'!$F$2:$F$1501),1),'Raw Data'!F746)</f>
        <v>9</v>
      </c>
      <c r="G746" s="21" t="str">
        <f>'Raw Data'!G746</f>
        <v>Credit Card</v>
      </c>
      <c r="H746" s="21" t="str">
        <f>'Raw Data'!H746</f>
        <v>Male</v>
      </c>
      <c r="I746" s="21">
        <f>IF('Raw Data'!I746="",ROUND(AVERAGE('Raw Data'!$I$2:$I$1501),1),'Raw Data'!I746)</f>
        <v>3.4</v>
      </c>
      <c r="J746" s="21">
        <f>'Raw Data'!J746</f>
        <v>3</v>
      </c>
      <c r="K746" s="21" t="str">
        <f>'Raw Data'!K746</f>
        <v>Grocery</v>
      </c>
      <c r="L746" s="21">
        <f>'Raw Data'!L746</f>
        <v>3</v>
      </c>
      <c r="M746" s="21" t="str">
        <f>'Raw Data'!M746</f>
        <v>Married</v>
      </c>
      <c r="N746" s="21">
        <f>'Raw Data'!N746</f>
        <v>4</v>
      </c>
      <c r="O746" s="21">
        <f>'Raw Data'!O746</f>
        <v>1</v>
      </c>
      <c r="P746" s="21">
        <f>IF('Raw Data'!P746="",ROUND(AVERAGE('Raw Data'!$P$2:$P$1501),1),'Raw Data'!P746)</f>
        <v>16.399999999999999</v>
      </c>
      <c r="Q746" s="21">
        <f>IF('Raw Data'!Q746="",ROUND(AVERAGE('Raw Data'!$Q$2:$Q$1501),0),'Raw Data'!Q746)</f>
        <v>2</v>
      </c>
      <c r="R746" s="21">
        <f>'Raw Data'!R746</f>
        <v>2</v>
      </c>
      <c r="S746" s="21">
        <f>IF('Raw Data'!S746="",ROUND(AVERAGE('Raw Data'!$S$2:$S$1501),0),'Raw Data'!S746)</f>
        <v>20</v>
      </c>
      <c r="T746" s="21">
        <f>'Raw Data'!T746</f>
        <v>150.33000000000001</v>
      </c>
      <c r="U746" s="21" t="str">
        <f>INDEX('Lookup Tables'!$C$7:$C$9,MATCH(E746,'Lookup Tables'!$B$7:$B$9,0))</f>
        <v>Tier 1 (Metro)</v>
      </c>
      <c r="V746" s="21" t="str">
        <f t="shared" si="33"/>
        <v>7-12 months</v>
      </c>
      <c r="W746" s="21" t="str">
        <f t="shared" si="34"/>
        <v>Medium Risk</v>
      </c>
      <c r="X746" s="21" t="str">
        <f t="shared" si="35"/>
        <v>No</v>
      </c>
    </row>
    <row r="747" spans="1:24" x14ac:dyDescent="0.3">
      <c r="A747" s="21">
        <f>'Raw Data'!A747</f>
        <v>50746</v>
      </c>
      <c r="B747" s="21">
        <f>'Raw Data'!B747</f>
        <v>0</v>
      </c>
      <c r="C747" s="21">
        <f>'Raw Data'!C747</f>
        <v>2</v>
      </c>
      <c r="D747" s="21" t="str">
        <f>'Raw Data'!D747</f>
        <v>Mobile Phone</v>
      </c>
      <c r="E747" s="21">
        <f>'Raw Data'!E747</f>
        <v>1</v>
      </c>
      <c r="F747" s="21">
        <f>IF('Raw Data'!F747="",ROUND(AVERAGE('Raw Data'!$F$2:$F$1501),1),'Raw Data'!F747)</f>
        <v>19</v>
      </c>
      <c r="G747" s="21" t="str">
        <f>'Raw Data'!G747</f>
        <v>Credit Card</v>
      </c>
      <c r="H747" s="21" t="str">
        <f>'Raw Data'!H747</f>
        <v>Female</v>
      </c>
      <c r="I747" s="21">
        <f>IF('Raw Data'!I747="",ROUND(AVERAGE('Raw Data'!$I$2:$I$1501),1),'Raw Data'!I747)</f>
        <v>2.4</v>
      </c>
      <c r="J747" s="21">
        <f>'Raw Data'!J747</f>
        <v>2</v>
      </c>
      <c r="K747" s="21" t="str">
        <f>'Raw Data'!K747</f>
        <v>Mobile Phone</v>
      </c>
      <c r="L747" s="21">
        <f>'Raw Data'!L747</f>
        <v>4</v>
      </c>
      <c r="M747" s="21" t="str">
        <f>'Raw Data'!M747</f>
        <v>Single</v>
      </c>
      <c r="N747" s="21">
        <f>'Raw Data'!N747</f>
        <v>1</v>
      </c>
      <c r="O747" s="21">
        <f>'Raw Data'!O747</f>
        <v>0</v>
      </c>
      <c r="P747" s="21">
        <f>IF('Raw Data'!P747="",ROUND(AVERAGE('Raw Data'!$P$2:$P$1501),1),'Raw Data'!P747)</f>
        <v>16.899999999999999</v>
      </c>
      <c r="Q747" s="21">
        <f>IF('Raw Data'!Q747="",ROUND(AVERAGE('Raw Data'!$Q$2:$Q$1501),0),'Raw Data'!Q747)</f>
        <v>2</v>
      </c>
      <c r="R747" s="21">
        <f>'Raw Data'!R747</f>
        <v>5</v>
      </c>
      <c r="S747" s="21">
        <f>IF('Raw Data'!S747="",ROUND(AVERAGE('Raw Data'!$S$2:$S$1501),0),'Raw Data'!S747)</f>
        <v>2</v>
      </c>
      <c r="T747" s="21">
        <f>'Raw Data'!T747</f>
        <v>269.49</v>
      </c>
      <c r="U747" s="21" t="str">
        <f>INDEX('Lookup Tables'!$C$7:$C$9,MATCH(E747,'Lookup Tables'!$B$7:$B$9,0))</f>
        <v>Tier 1 (Metro)</v>
      </c>
      <c r="V747" s="21" t="str">
        <f t="shared" si="33"/>
        <v>0-6 months</v>
      </c>
      <c r="W747" s="21" t="str">
        <f t="shared" si="34"/>
        <v>Low Risk</v>
      </c>
      <c r="X747" s="21" t="str">
        <f t="shared" si="35"/>
        <v>No</v>
      </c>
    </row>
    <row r="748" spans="1:24" x14ac:dyDescent="0.3">
      <c r="A748" s="21">
        <f>'Raw Data'!A748</f>
        <v>50747</v>
      </c>
      <c r="B748" s="21">
        <f>'Raw Data'!B748</f>
        <v>0</v>
      </c>
      <c r="C748" s="21">
        <f>'Raw Data'!C748</f>
        <v>32</v>
      </c>
      <c r="D748" s="21" t="str">
        <f>'Raw Data'!D748</f>
        <v>Mobile Phone</v>
      </c>
      <c r="E748" s="21">
        <f>'Raw Data'!E748</f>
        <v>3</v>
      </c>
      <c r="F748" s="21">
        <f>IF('Raw Data'!F748="",ROUND(AVERAGE('Raw Data'!$F$2:$F$1501),1),'Raw Data'!F748)</f>
        <v>17</v>
      </c>
      <c r="G748" s="21" t="str">
        <f>'Raw Data'!G748</f>
        <v>Credit Card</v>
      </c>
      <c r="H748" s="21" t="str">
        <f>'Raw Data'!H748</f>
        <v>Male</v>
      </c>
      <c r="I748" s="21">
        <f>IF('Raw Data'!I748="",ROUND(AVERAGE('Raw Data'!$I$2:$I$1501),1),'Raw Data'!I748)</f>
        <v>1.4</v>
      </c>
      <c r="J748" s="21">
        <f>'Raw Data'!J748</f>
        <v>2</v>
      </c>
      <c r="K748" s="21" t="str">
        <f>'Raw Data'!K748</f>
        <v>Grocery</v>
      </c>
      <c r="L748" s="21">
        <f>'Raw Data'!L748</f>
        <v>3</v>
      </c>
      <c r="M748" s="21" t="str">
        <f>'Raw Data'!M748</f>
        <v>Married</v>
      </c>
      <c r="N748" s="21">
        <f>'Raw Data'!N748</f>
        <v>2</v>
      </c>
      <c r="O748" s="21">
        <f>'Raw Data'!O748</f>
        <v>1</v>
      </c>
      <c r="P748" s="21">
        <f>IF('Raw Data'!P748="",ROUND(AVERAGE('Raw Data'!$P$2:$P$1501),1),'Raw Data'!P748)</f>
        <v>11.8</v>
      </c>
      <c r="Q748" s="21">
        <f>IF('Raw Data'!Q748="",ROUND(AVERAGE('Raw Data'!$Q$2:$Q$1501),0),'Raw Data'!Q748)</f>
        <v>0</v>
      </c>
      <c r="R748" s="21">
        <f>'Raw Data'!R748</f>
        <v>3</v>
      </c>
      <c r="S748" s="21">
        <f>IF('Raw Data'!S748="",ROUND(AVERAGE('Raw Data'!$S$2:$S$1501),0),'Raw Data'!S748)</f>
        <v>11</v>
      </c>
      <c r="T748" s="21">
        <f>'Raw Data'!T748</f>
        <v>223.76</v>
      </c>
      <c r="U748" s="21" t="str">
        <f>INDEX('Lookup Tables'!$C$7:$C$9,MATCH(E748,'Lookup Tables'!$B$7:$B$9,0))</f>
        <v>Tier 3 (Semi-urban/Rural)</v>
      </c>
      <c r="V748" s="21" t="str">
        <f t="shared" si="33"/>
        <v>25+ months</v>
      </c>
      <c r="W748" s="21" t="str">
        <f t="shared" si="34"/>
        <v>Medium Risk</v>
      </c>
      <c r="X748" s="21" t="str">
        <f t="shared" si="35"/>
        <v>No</v>
      </c>
    </row>
    <row r="749" spans="1:24" x14ac:dyDescent="0.3">
      <c r="A749" s="21">
        <f>'Raw Data'!A749</f>
        <v>50748</v>
      </c>
      <c r="B749" s="21">
        <f>'Raw Data'!B749</f>
        <v>0</v>
      </c>
      <c r="C749" s="21">
        <f>'Raw Data'!C749</f>
        <v>6</v>
      </c>
      <c r="D749" s="21" t="str">
        <f>'Raw Data'!D749</f>
        <v>Mobile Phone</v>
      </c>
      <c r="E749" s="21">
        <f>'Raw Data'!E749</f>
        <v>3</v>
      </c>
      <c r="F749" s="21">
        <f>IF('Raw Data'!F749="",ROUND(AVERAGE('Raw Data'!$F$2:$F$1501),1),'Raw Data'!F749)</f>
        <v>16</v>
      </c>
      <c r="G749" s="21" t="str">
        <f>'Raw Data'!G749</f>
        <v>E wallet</v>
      </c>
      <c r="H749" s="21" t="str">
        <f>'Raw Data'!H749</f>
        <v>Male</v>
      </c>
      <c r="I749" s="21">
        <f>IF('Raw Data'!I749="",ROUND(AVERAGE('Raw Data'!$I$2:$I$1501),1),'Raw Data'!I749)</f>
        <v>2.6</v>
      </c>
      <c r="J749" s="21">
        <f>'Raw Data'!J749</f>
        <v>2</v>
      </c>
      <c r="K749" s="21" t="str">
        <f>'Raw Data'!K749</f>
        <v>Mobile Phone</v>
      </c>
      <c r="L749" s="21">
        <f>'Raw Data'!L749</f>
        <v>2</v>
      </c>
      <c r="M749" s="21" t="str">
        <f>'Raw Data'!M749</f>
        <v>Married</v>
      </c>
      <c r="N749" s="21">
        <f>'Raw Data'!N749</f>
        <v>3</v>
      </c>
      <c r="O749" s="21">
        <f>'Raw Data'!O749</f>
        <v>1</v>
      </c>
      <c r="P749" s="21">
        <f>IF('Raw Data'!P749="",ROUND(AVERAGE('Raw Data'!$P$2:$P$1501),1),'Raw Data'!P749)</f>
        <v>19.5</v>
      </c>
      <c r="Q749" s="21">
        <f>IF('Raw Data'!Q749="",ROUND(AVERAGE('Raw Data'!$Q$2:$Q$1501),0),'Raw Data'!Q749)</f>
        <v>2</v>
      </c>
      <c r="R749" s="21">
        <f>'Raw Data'!R749</f>
        <v>6</v>
      </c>
      <c r="S749" s="21">
        <f>IF('Raw Data'!S749="",ROUND(AVERAGE('Raw Data'!$S$2:$S$1501),0),'Raw Data'!S749)</f>
        <v>0</v>
      </c>
      <c r="T749" s="21">
        <f>'Raw Data'!T749</f>
        <v>184.51</v>
      </c>
      <c r="U749" s="21" t="str">
        <f>INDEX('Lookup Tables'!$C$7:$C$9,MATCH(E749,'Lookup Tables'!$B$7:$B$9,0))</f>
        <v>Tier 3 (Semi-urban/Rural)</v>
      </c>
      <c r="V749" s="21" t="str">
        <f t="shared" si="33"/>
        <v>0-6 months</v>
      </c>
      <c r="W749" s="21" t="str">
        <f t="shared" si="34"/>
        <v>High Risk</v>
      </c>
      <c r="X749" s="21" t="str">
        <f t="shared" si="35"/>
        <v>No</v>
      </c>
    </row>
    <row r="750" spans="1:24" x14ac:dyDescent="0.3">
      <c r="A750" s="21">
        <f>'Raw Data'!A750</f>
        <v>50749</v>
      </c>
      <c r="B750" s="21">
        <f>'Raw Data'!B750</f>
        <v>0</v>
      </c>
      <c r="C750" s="21">
        <f>'Raw Data'!C750</f>
        <v>16</v>
      </c>
      <c r="D750" s="21" t="str">
        <f>'Raw Data'!D750</f>
        <v>Computer</v>
      </c>
      <c r="E750" s="21">
        <f>'Raw Data'!E750</f>
        <v>1</v>
      </c>
      <c r="F750" s="21">
        <f>IF('Raw Data'!F750="",ROUND(AVERAGE('Raw Data'!$F$2:$F$1501),1),'Raw Data'!F750)</f>
        <v>7</v>
      </c>
      <c r="G750" s="21" t="str">
        <f>'Raw Data'!G750</f>
        <v>Cash on Delivery</v>
      </c>
      <c r="H750" s="21" t="str">
        <f>'Raw Data'!H750</f>
        <v>Male</v>
      </c>
      <c r="I750" s="21">
        <f>IF('Raw Data'!I750="",ROUND(AVERAGE('Raw Data'!$I$2:$I$1501),1),'Raw Data'!I750)</f>
        <v>2.9</v>
      </c>
      <c r="J750" s="21">
        <f>'Raw Data'!J750</f>
        <v>2</v>
      </c>
      <c r="K750" s="21" t="str">
        <f>'Raw Data'!K750</f>
        <v>Laptop &amp; Accessory</v>
      </c>
      <c r="L750" s="21">
        <f>'Raw Data'!L750</f>
        <v>3</v>
      </c>
      <c r="M750" s="21" t="str">
        <f>'Raw Data'!M750</f>
        <v>Single</v>
      </c>
      <c r="N750" s="21">
        <f>'Raw Data'!N750</f>
        <v>18</v>
      </c>
      <c r="O750" s="21">
        <f>'Raw Data'!O750</f>
        <v>0</v>
      </c>
      <c r="P750" s="21">
        <f>IF('Raw Data'!P750="",ROUND(AVERAGE('Raw Data'!$P$2:$P$1501),1),'Raw Data'!P750)</f>
        <v>17.3</v>
      </c>
      <c r="Q750" s="21">
        <f>IF('Raw Data'!Q750="",ROUND(AVERAGE('Raw Data'!$Q$2:$Q$1501),0),'Raw Data'!Q750)</f>
        <v>2</v>
      </c>
      <c r="R750" s="21">
        <f>'Raw Data'!R750</f>
        <v>4</v>
      </c>
      <c r="S750" s="21">
        <f>IF('Raw Data'!S750="",ROUND(AVERAGE('Raw Data'!$S$2:$S$1501),0),'Raw Data'!S750)</f>
        <v>2</v>
      </c>
      <c r="T750" s="21">
        <f>'Raw Data'!T750</f>
        <v>258.48</v>
      </c>
      <c r="U750" s="21" t="str">
        <f>INDEX('Lookup Tables'!$C$7:$C$9,MATCH(E750,'Lookup Tables'!$B$7:$B$9,0))</f>
        <v>Tier 1 (Metro)</v>
      </c>
      <c r="V750" s="21" t="str">
        <f t="shared" si="33"/>
        <v>13-24 months</v>
      </c>
      <c r="W750" s="21" t="str">
        <f t="shared" si="34"/>
        <v>Medium Risk</v>
      </c>
      <c r="X750" s="21" t="str">
        <f t="shared" si="35"/>
        <v>No</v>
      </c>
    </row>
    <row r="751" spans="1:24" x14ac:dyDescent="0.3">
      <c r="A751" s="21">
        <f>'Raw Data'!A751</f>
        <v>50750</v>
      </c>
      <c r="B751" s="21">
        <f>'Raw Data'!B751</f>
        <v>1</v>
      </c>
      <c r="C751" s="21">
        <f>'Raw Data'!C751</f>
        <v>7</v>
      </c>
      <c r="D751" s="21" t="str">
        <f>'Raw Data'!D751</f>
        <v>Mobile Phone</v>
      </c>
      <c r="E751" s="21">
        <f>'Raw Data'!E751</f>
        <v>1</v>
      </c>
      <c r="F751" s="21">
        <f>IF('Raw Data'!F751="",ROUND(AVERAGE('Raw Data'!$F$2:$F$1501),1),'Raw Data'!F751)</f>
        <v>13</v>
      </c>
      <c r="G751" s="21" t="str">
        <f>'Raw Data'!G751</f>
        <v>Debit Card</v>
      </c>
      <c r="H751" s="21" t="str">
        <f>'Raw Data'!H751</f>
        <v>Male</v>
      </c>
      <c r="I751" s="21">
        <f>IF('Raw Data'!I751="",ROUND(AVERAGE('Raw Data'!$I$2:$I$1501),1),'Raw Data'!I751)</f>
        <v>2.7</v>
      </c>
      <c r="J751" s="21">
        <f>'Raw Data'!J751</f>
        <v>3</v>
      </c>
      <c r="K751" s="21" t="str">
        <f>'Raw Data'!K751</f>
        <v>Mobile Phone</v>
      </c>
      <c r="L751" s="21">
        <f>'Raw Data'!L751</f>
        <v>3</v>
      </c>
      <c r="M751" s="21" t="str">
        <f>'Raw Data'!M751</f>
        <v>Single</v>
      </c>
      <c r="N751" s="21">
        <f>'Raw Data'!N751</f>
        <v>19</v>
      </c>
      <c r="O751" s="21">
        <f>'Raw Data'!O751</f>
        <v>1</v>
      </c>
      <c r="P751" s="21">
        <f>IF('Raw Data'!P751="",ROUND(AVERAGE('Raw Data'!$P$2:$P$1501),1),'Raw Data'!P751)</f>
        <v>18</v>
      </c>
      <c r="Q751" s="21">
        <f>IF('Raw Data'!Q751="",ROUND(AVERAGE('Raw Data'!$Q$2:$Q$1501),0),'Raw Data'!Q751)</f>
        <v>2</v>
      </c>
      <c r="R751" s="21">
        <f>'Raw Data'!R751</f>
        <v>7</v>
      </c>
      <c r="S751" s="21">
        <f>IF('Raw Data'!S751="",ROUND(AVERAGE('Raw Data'!$S$2:$S$1501),0),'Raw Data'!S751)</f>
        <v>3</v>
      </c>
      <c r="T751" s="21">
        <f>'Raw Data'!T751</f>
        <v>252.65</v>
      </c>
      <c r="U751" s="21" t="str">
        <f>INDEX('Lookup Tables'!$C$7:$C$9,MATCH(E751,'Lookup Tables'!$B$7:$B$9,0))</f>
        <v>Tier 1 (Metro)</v>
      </c>
      <c r="V751" s="21" t="str">
        <f t="shared" si="33"/>
        <v>7-12 months</v>
      </c>
      <c r="W751" s="21" t="str">
        <f t="shared" si="34"/>
        <v>Medium Risk</v>
      </c>
      <c r="X751" s="21" t="str">
        <f t="shared" si="35"/>
        <v>Yes</v>
      </c>
    </row>
    <row r="752" spans="1:24" x14ac:dyDescent="0.3">
      <c r="A752" s="21">
        <f>'Raw Data'!A752</f>
        <v>50751</v>
      </c>
      <c r="B752" s="21">
        <f>'Raw Data'!B752</f>
        <v>0</v>
      </c>
      <c r="C752" s="21">
        <f>'Raw Data'!C752</f>
        <v>0</v>
      </c>
      <c r="D752" s="21" t="str">
        <f>'Raw Data'!D752</f>
        <v>Computer</v>
      </c>
      <c r="E752" s="21">
        <f>'Raw Data'!E752</f>
        <v>1</v>
      </c>
      <c r="F752" s="21">
        <f>IF('Raw Data'!F752="",ROUND(AVERAGE('Raw Data'!$F$2:$F$1501),1),'Raw Data'!F752)</f>
        <v>5</v>
      </c>
      <c r="G752" s="21" t="str">
        <f>'Raw Data'!G752</f>
        <v>Credit Card</v>
      </c>
      <c r="H752" s="21" t="str">
        <f>'Raw Data'!H752</f>
        <v>Male</v>
      </c>
      <c r="I752" s="21">
        <f>IF('Raw Data'!I752="",ROUND(AVERAGE('Raw Data'!$I$2:$I$1501),1),'Raw Data'!I752)</f>
        <v>2.1</v>
      </c>
      <c r="J752" s="21">
        <f>'Raw Data'!J752</f>
        <v>3</v>
      </c>
      <c r="K752" s="21" t="str">
        <f>'Raw Data'!K752</f>
        <v>Mobile Phone</v>
      </c>
      <c r="L752" s="21">
        <f>'Raw Data'!L752</f>
        <v>3</v>
      </c>
      <c r="M752" s="21" t="str">
        <f>'Raw Data'!M752</f>
        <v>Divorced</v>
      </c>
      <c r="N752" s="21">
        <f>'Raw Data'!N752</f>
        <v>6</v>
      </c>
      <c r="O752" s="21">
        <f>'Raw Data'!O752</f>
        <v>0</v>
      </c>
      <c r="P752" s="21">
        <f>IF('Raw Data'!P752="",ROUND(AVERAGE('Raw Data'!$P$2:$P$1501),1),'Raw Data'!P752)</f>
        <v>21.9</v>
      </c>
      <c r="Q752" s="21">
        <f>IF('Raw Data'!Q752="",ROUND(AVERAGE('Raw Data'!$Q$2:$Q$1501),0),'Raw Data'!Q752)</f>
        <v>2</v>
      </c>
      <c r="R752" s="21">
        <f>'Raw Data'!R752</f>
        <v>4</v>
      </c>
      <c r="S752" s="21">
        <f>IF('Raw Data'!S752="",ROUND(AVERAGE('Raw Data'!$S$2:$S$1501),0),'Raw Data'!S752)</f>
        <v>2</v>
      </c>
      <c r="T752" s="21">
        <f>'Raw Data'!T752</f>
        <v>161.51</v>
      </c>
      <c r="U752" s="21" t="str">
        <f>INDEX('Lookup Tables'!$C$7:$C$9,MATCH(E752,'Lookup Tables'!$B$7:$B$9,0))</f>
        <v>Tier 1 (Metro)</v>
      </c>
      <c r="V752" s="21" t="str">
        <f t="shared" si="33"/>
        <v>0-6 months</v>
      </c>
      <c r="W752" s="21" t="str">
        <f t="shared" si="34"/>
        <v>Medium Risk</v>
      </c>
      <c r="X752" s="21" t="str">
        <f t="shared" si="35"/>
        <v>No</v>
      </c>
    </row>
    <row r="753" spans="1:24" x14ac:dyDescent="0.3">
      <c r="A753" s="21">
        <f>'Raw Data'!A753</f>
        <v>50752</v>
      </c>
      <c r="B753" s="21">
        <f>'Raw Data'!B753</f>
        <v>0</v>
      </c>
      <c r="C753" s="21">
        <f>'Raw Data'!C753</f>
        <v>10</v>
      </c>
      <c r="D753" s="21" t="str">
        <f>'Raw Data'!D753</f>
        <v>Mobile Phone</v>
      </c>
      <c r="E753" s="21">
        <f>'Raw Data'!E753</f>
        <v>1</v>
      </c>
      <c r="F753" s="21">
        <f>IF('Raw Data'!F753="",ROUND(AVERAGE('Raw Data'!$F$2:$F$1501),1),'Raw Data'!F753)</f>
        <v>16</v>
      </c>
      <c r="G753" s="21" t="str">
        <f>'Raw Data'!G753</f>
        <v>Debit Card</v>
      </c>
      <c r="H753" s="21" t="str">
        <f>'Raw Data'!H753</f>
        <v>Male</v>
      </c>
      <c r="I753" s="21">
        <f>IF('Raw Data'!I753="",ROUND(AVERAGE('Raw Data'!$I$2:$I$1501),1),'Raw Data'!I753)</f>
        <v>1.6</v>
      </c>
      <c r="J753" s="21">
        <f>'Raw Data'!J753</f>
        <v>3</v>
      </c>
      <c r="K753" s="21" t="str">
        <f>'Raw Data'!K753</f>
        <v>Mobile Phone</v>
      </c>
      <c r="L753" s="21">
        <f>'Raw Data'!L753</f>
        <v>4</v>
      </c>
      <c r="M753" s="21" t="str">
        <f>'Raw Data'!M753</f>
        <v>Single</v>
      </c>
      <c r="N753" s="21">
        <f>'Raw Data'!N753</f>
        <v>1</v>
      </c>
      <c r="O753" s="21">
        <f>'Raw Data'!O753</f>
        <v>0</v>
      </c>
      <c r="P753" s="21">
        <f>IF('Raw Data'!P753="",ROUND(AVERAGE('Raw Data'!$P$2:$P$1501),1),'Raw Data'!P753)</f>
        <v>13.9</v>
      </c>
      <c r="Q753" s="21">
        <f>IF('Raw Data'!Q753="",ROUND(AVERAGE('Raw Data'!$Q$2:$Q$1501),0),'Raw Data'!Q753)</f>
        <v>1</v>
      </c>
      <c r="R753" s="21">
        <f>'Raw Data'!R753</f>
        <v>4</v>
      </c>
      <c r="S753" s="21">
        <f>IF('Raw Data'!S753="",ROUND(AVERAGE('Raw Data'!$S$2:$S$1501),0),'Raw Data'!S753)</f>
        <v>4</v>
      </c>
      <c r="T753" s="21">
        <f>'Raw Data'!T753</f>
        <v>193.68</v>
      </c>
      <c r="U753" s="21" t="str">
        <f>INDEX('Lookup Tables'!$C$7:$C$9,MATCH(E753,'Lookup Tables'!$B$7:$B$9,0))</f>
        <v>Tier 1 (Metro)</v>
      </c>
      <c r="V753" s="21" t="str">
        <f t="shared" si="33"/>
        <v>7-12 months</v>
      </c>
      <c r="W753" s="21" t="str">
        <f t="shared" si="34"/>
        <v>Low Risk</v>
      </c>
      <c r="X753" s="21" t="str">
        <f t="shared" si="35"/>
        <v>No</v>
      </c>
    </row>
    <row r="754" spans="1:24" x14ac:dyDescent="0.3">
      <c r="A754" s="21">
        <f>'Raw Data'!A754</f>
        <v>50753</v>
      </c>
      <c r="B754" s="21">
        <f>'Raw Data'!B754</f>
        <v>0</v>
      </c>
      <c r="C754" s="21">
        <f>'Raw Data'!C754</f>
        <v>30</v>
      </c>
      <c r="D754" s="21" t="str">
        <f>'Raw Data'!D754</f>
        <v>Phone</v>
      </c>
      <c r="E754" s="21">
        <f>'Raw Data'!E754</f>
        <v>1</v>
      </c>
      <c r="F754" s="21">
        <f>IF('Raw Data'!F754="",ROUND(AVERAGE('Raw Data'!$F$2:$F$1501),1),'Raw Data'!F754)</f>
        <v>26</v>
      </c>
      <c r="G754" s="21" t="str">
        <f>'Raw Data'!G754</f>
        <v>E wallet</v>
      </c>
      <c r="H754" s="21" t="str">
        <f>'Raw Data'!H754</f>
        <v>Female</v>
      </c>
      <c r="I754" s="21">
        <f>IF('Raw Data'!I754="",ROUND(AVERAGE('Raw Data'!$I$2:$I$1501),1),'Raw Data'!I754)</f>
        <v>2.5</v>
      </c>
      <c r="J754" s="21">
        <f>'Raw Data'!J754</f>
        <v>1</v>
      </c>
      <c r="K754" s="21" t="str">
        <f>'Raw Data'!K754</f>
        <v>Laptop &amp; Accessory</v>
      </c>
      <c r="L754" s="21">
        <f>'Raw Data'!L754</f>
        <v>4</v>
      </c>
      <c r="M754" s="21" t="str">
        <f>'Raw Data'!M754</f>
        <v>Single</v>
      </c>
      <c r="N754" s="21">
        <f>'Raw Data'!N754</f>
        <v>10</v>
      </c>
      <c r="O754" s="21">
        <f>'Raw Data'!O754</f>
        <v>0</v>
      </c>
      <c r="P754" s="21">
        <f>IF('Raw Data'!P754="",ROUND(AVERAGE('Raw Data'!$P$2:$P$1501),1),'Raw Data'!P754)</f>
        <v>16.3</v>
      </c>
      <c r="Q754" s="21">
        <f>IF('Raw Data'!Q754="",ROUND(AVERAGE('Raw Data'!$Q$2:$Q$1501),0),'Raw Data'!Q754)</f>
        <v>2</v>
      </c>
      <c r="R754" s="21">
        <f>'Raw Data'!R754</f>
        <v>4</v>
      </c>
      <c r="S754" s="21">
        <f>IF('Raw Data'!S754="",ROUND(AVERAGE('Raw Data'!$S$2:$S$1501),0),'Raw Data'!S754)</f>
        <v>0</v>
      </c>
      <c r="T754" s="21">
        <f>'Raw Data'!T754</f>
        <v>211.72</v>
      </c>
      <c r="U754" s="21" t="str">
        <f>INDEX('Lookup Tables'!$C$7:$C$9,MATCH(E754,'Lookup Tables'!$B$7:$B$9,0))</f>
        <v>Tier 1 (Metro)</v>
      </c>
      <c r="V754" s="21" t="str">
        <f t="shared" si="33"/>
        <v>25+ months</v>
      </c>
      <c r="W754" s="21" t="str">
        <f t="shared" si="34"/>
        <v>Low Risk</v>
      </c>
      <c r="X754" s="21" t="str">
        <f t="shared" si="35"/>
        <v>No</v>
      </c>
    </row>
    <row r="755" spans="1:24" x14ac:dyDescent="0.3">
      <c r="A755" s="21">
        <f>'Raw Data'!A755</f>
        <v>50754</v>
      </c>
      <c r="B755" s="21">
        <f>'Raw Data'!B755</f>
        <v>0</v>
      </c>
      <c r="C755" s="21">
        <f>'Raw Data'!C755</f>
        <v>9</v>
      </c>
      <c r="D755" s="21" t="str">
        <f>'Raw Data'!D755</f>
        <v>Mobile Phone</v>
      </c>
      <c r="E755" s="21">
        <f>'Raw Data'!E755</f>
        <v>1</v>
      </c>
      <c r="F755" s="21">
        <f>IF('Raw Data'!F755="",ROUND(AVERAGE('Raw Data'!$F$2:$F$1501),1),'Raw Data'!F755)</f>
        <v>5</v>
      </c>
      <c r="G755" s="21" t="str">
        <f>'Raw Data'!G755</f>
        <v>E wallet</v>
      </c>
      <c r="H755" s="21" t="str">
        <f>'Raw Data'!H755</f>
        <v>Female</v>
      </c>
      <c r="I755" s="21">
        <f>IF('Raw Data'!I755="",ROUND(AVERAGE('Raw Data'!$I$2:$I$1501),1),'Raw Data'!I755)</f>
        <v>3.5</v>
      </c>
      <c r="J755" s="21">
        <f>'Raw Data'!J755</f>
        <v>5</v>
      </c>
      <c r="K755" s="21" t="str">
        <f>'Raw Data'!K755</f>
        <v>Others</v>
      </c>
      <c r="L755" s="21">
        <f>'Raw Data'!L755</f>
        <v>1</v>
      </c>
      <c r="M755" s="21" t="str">
        <f>'Raw Data'!M755</f>
        <v>Single</v>
      </c>
      <c r="N755" s="21">
        <f>'Raw Data'!N755</f>
        <v>3</v>
      </c>
      <c r="O755" s="21">
        <f>'Raw Data'!O755</f>
        <v>0</v>
      </c>
      <c r="P755" s="21">
        <f>IF('Raw Data'!P755="",ROUND(AVERAGE('Raw Data'!$P$2:$P$1501),1),'Raw Data'!P755)</f>
        <v>17.100000000000001</v>
      </c>
      <c r="Q755" s="21">
        <f>IF('Raw Data'!Q755="",ROUND(AVERAGE('Raw Data'!$Q$2:$Q$1501),0),'Raw Data'!Q755)</f>
        <v>2</v>
      </c>
      <c r="R755" s="21">
        <f>'Raw Data'!R755</f>
        <v>3</v>
      </c>
      <c r="S755" s="21">
        <f>IF('Raw Data'!S755="",ROUND(AVERAGE('Raw Data'!$S$2:$S$1501),0),'Raw Data'!S755)</f>
        <v>10</v>
      </c>
      <c r="T755" s="21">
        <f>'Raw Data'!T755</f>
        <v>181.58</v>
      </c>
      <c r="U755" s="21" t="str">
        <f>INDEX('Lookup Tables'!$C$7:$C$9,MATCH(E755,'Lookup Tables'!$B$7:$B$9,0))</f>
        <v>Tier 1 (Metro)</v>
      </c>
      <c r="V755" s="21" t="str">
        <f t="shared" si="33"/>
        <v>7-12 months</v>
      </c>
      <c r="W755" s="21" t="str">
        <f t="shared" si="34"/>
        <v>Low Risk</v>
      </c>
      <c r="X755" s="21" t="str">
        <f t="shared" si="35"/>
        <v>No</v>
      </c>
    </row>
    <row r="756" spans="1:24" x14ac:dyDescent="0.3">
      <c r="A756" s="21">
        <f>'Raw Data'!A756</f>
        <v>50755</v>
      </c>
      <c r="B756" s="21">
        <f>'Raw Data'!B756</f>
        <v>0</v>
      </c>
      <c r="C756" s="21">
        <f>'Raw Data'!C756</f>
        <v>17</v>
      </c>
      <c r="D756" s="21" t="str">
        <f>'Raw Data'!D756</f>
        <v>Mobile Phone</v>
      </c>
      <c r="E756" s="21">
        <f>'Raw Data'!E756</f>
        <v>1</v>
      </c>
      <c r="F756" s="21">
        <f>IF('Raw Data'!F756="",ROUND(AVERAGE('Raw Data'!$F$2:$F$1501),1),'Raw Data'!F756)</f>
        <v>10</v>
      </c>
      <c r="G756" s="21" t="str">
        <f>'Raw Data'!G756</f>
        <v>Cash on Delivery</v>
      </c>
      <c r="H756" s="21" t="str">
        <f>'Raw Data'!H756</f>
        <v>Male</v>
      </c>
      <c r="I756" s="21">
        <f>IF('Raw Data'!I756="",ROUND(AVERAGE('Raw Data'!$I$2:$I$1501),1),'Raw Data'!I756)</f>
        <v>3.8</v>
      </c>
      <c r="J756" s="21">
        <f>'Raw Data'!J756</f>
        <v>4</v>
      </c>
      <c r="K756" s="21" t="str">
        <f>'Raw Data'!K756</f>
        <v>Laptop &amp; Accessory</v>
      </c>
      <c r="L756" s="21">
        <f>'Raw Data'!L756</f>
        <v>3</v>
      </c>
      <c r="M756" s="21" t="str">
        <f>'Raw Data'!M756</f>
        <v>Married</v>
      </c>
      <c r="N756" s="21">
        <f>'Raw Data'!N756</f>
        <v>5</v>
      </c>
      <c r="O756" s="21">
        <f>'Raw Data'!O756</f>
        <v>1</v>
      </c>
      <c r="P756" s="21">
        <f>IF('Raw Data'!P756="",ROUND(AVERAGE('Raw Data'!$P$2:$P$1501),1),'Raw Data'!P756)</f>
        <v>12.7</v>
      </c>
      <c r="Q756" s="21">
        <f>IF('Raw Data'!Q756="",ROUND(AVERAGE('Raw Data'!$Q$2:$Q$1501),0),'Raw Data'!Q756)</f>
        <v>1</v>
      </c>
      <c r="R756" s="21">
        <f>'Raw Data'!R756</f>
        <v>4</v>
      </c>
      <c r="S756" s="21">
        <f>IF('Raw Data'!S756="",ROUND(AVERAGE('Raw Data'!$S$2:$S$1501),0),'Raw Data'!S756)</f>
        <v>4</v>
      </c>
      <c r="T756" s="21">
        <f>'Raw Data'!T756</f>
        <v>103.5</v>
      </c>
      <c r="U756" s="21" t="str">
        <f>INDEX('Lookup Tables'!$C$7:$C$9,MATCH(E756,'Lookup Tables'!$B$7:$B$9,0))</f>
        <v>Tier 1 (Metro)</v>
      </c>
      <c r="V756" s="21" t="str">
        <f t="shared" si="33"/>
        <v>13-24 months</v>
      </c>
      <c r="W756" s="21" t="str">
        <f t="shared" si="34"/>
        <v>Medium Risk</v>
      </c>
      <c r="X756" s="21" t="str">
        <f t="shared" si="35"/>
        <v>No</v>
      </c>
    </row>
    <row r="757" spans="1:24" x14ac:dyDescent="0.3">
      <c r="A757" s="21">
        <f>'Raw Data'!A757</f>
        <v>50756</v>
      </c>
      <c r="B757" s="21">
        <f>'Raw Data'!B757</f>
        <v>0</v>
      </c>
      <c r="C757" s="21">
        <f>'Raw Data'!C757</f>
        <v>21</v>
      </c>
      <c r="D757" s="21" t="str">
        <f>'Raw Data'!D757</f>
        <v>Computer</v>
      </c>
      <c r="E757" s="21">
        <f>'Raw Data'!E757</f>
        <v>1</v>
      </c>
      <c r="F757" s="21">
        <f>IF('Raw Data'!F757="",ROUND(AVERAGE('Raw Data'!$F$2:$F$1501),1),'Raw Data'!F757)</f>
        <v>17</v>
      </c>
      <c r="G757" s="21" t="str">
        <f>'Raw Data'!G757</f>
        <v>Debit Card</v>
      </c>
      <c r="H757" s="21" t="str">
        <f>'Raw Data'!H757</f>
        <v>Male</v>
      </c>
      <c r="I757" s="21">
        <f>IF('Raw Data'!I757="",ROUND(AVERAGE('Raw Data'!$I$2:$I$1501),1),'Raw Data'!I757)</f>
        <v>3.7</v>
      </c>
      <c r="J757" s="21">
        <f>'Raw Data'!J757</f>
        <v>4</v>
      </c>
      <c r="K757" s="21" t="str">
        <f>'Raw Data'!K757</f>
        <v>Laptop &amp; Accessory</v>
      </c>
      <c r="L757" s="21">
        <f>'Raw Data'!L757</f>
        <v>3</v>
      </c>
      <c r="M757" s="21" t="str">
        <f>'Raw Data'!M757</f>
        <v>Single</v>
      </c>
      <c r="N757" s="21">
        <f>'Raw Data'!N757</f>
        <v>1</v>
      </c>
      <c r="O757" s="21">
        <f>'Raw Data'!O757</f>
        <v>0</v>
      </c>
      <c r="P757" s="21">
        <f>IF('Raw Data'!P757="",ROUND(AVERAGE('Raw Data'!$P$2:$P$1501),1),'Raw Data'!P757)</f>
        <v>15.3</v>
      </c>
      <c r="Q757" s="21">
        <f>IF('Raw Data'!Q757="",ROUND(AVERAGE('Raw Data'!$Q$2:$Q$1501),0),'Raw Data'!Q757)</f>
        <v>2</v>
      </c>
      <c r="R757" s="21">
        <f>'Raw Data'!R757</f>
        <v>2</v>
      </c>
      <c r="S757" s="21">
        <f>IF('Raw Data'!S757="",ROUND(AVERAGE('Raw Data'!$S$2:$S$1501),0),'Raw Data'!S757)</f>
        <v>11</v>
      </c>
      <c r="T757" s="21">
        <f>'Raw Data'!T757</f>
        <v>128.4</v>
      </c>
      <c r="U757" s="21" t="str">
        <f>INDEX('Lookup Tables'!$C$7:$C$9,MATCH(E757,'Lookup Tables'!$B$7:$B$9,0))</f>
        <v>Tier 1 (Metro)</v>
      </c>
      <c r="V757" s="21" t="str">
        <f t="shared" si="33"/>
        <v>13-24 months</v>
      </c>
      <c r="W757" s="21" t="str">
        <f t="shared" si="34"/>
        <v>Medium Risk</v>
      </c>
      <c r="X757" s="21" t="str">
        <f t="shared" si="35"/>
        <v>No</v>
      </c>
    </row>
    <row r="758" spans="1:24" x14ac:dyDescent="0.3">
      <c r="A758" s="21">
        <f>'Raw Data'!A758</f>
        <v>50757</v>
      </c>
      <c r="B758" s="21">
        <f>'Raw Data'!B758</f>
        <v>0</v>
      </c>
      <c r="C758" s="21">
        <f>'Raw Data'!C758</f>
        <v>2</v>
      </c>
      <c r="D758" s="21" t="str">
        <f>'Raw Data'!D758</f>
        <v>Phone</v>
      </c>
      <c r="E758" s="21">
        <f>'Raw Data'!E758</f>
        <v>2</v>
      </c>
      <c r="F758" s="21">
        <f>IF('Raw Data'!F758="",ROUND(AVERAGE('Raw Data'!$F$2:$F$1501),1),'Raw Data'!F758)</f>
        <v>25</v>
      </c>
      <c r="G758" s="21" t="str">
        <f>'Raw Data'!G758</f>
        <v>Cash on Delivery</v>
      </c>
      <c r="H758" s="21" t="str">
        <f>'Raw Data'!H758</f>
        <v>Male</v>
      </c>
      <c r="I758" s="21">
        <f>IF('Raw Data'!I758="",ROUND(AVERAGE('Raw Data'!$I$2:$I$1501),1),'Raw Data'!I758)</f>
        <v>2.2999999999999998</v>
      </c>
      <c r="J758" s="21">
        <f>'Raw Data'!J758</f>
        <v>5</v>
      </c>
      <c r="K758" s="21" t="str">
        <f>'Raw Data'!K758</f>
        <v>Mobile Phone</v>
      </c>
      <c r="L758" s="21">
        <f>'Raw Data'!L758</f>
        <v>1</v>
      </c>
      <c r="M758" s="21" t="str">
        <f>'Raw Data'!M758</f>
        <v>Married</v>
      </c>
      <c r="N758" s="21">
        <f>'Raw Data'!N758</f>
        <v>1</v>
      </c>
      <c r="O758" s="21">
        <f>'Raw Data'!O758</f>
        <v>0</v>
      </c>
      <c r="P758" s="21">
        <f>IF('Raw Data'!P758="",ROUND(AVERAGE('Raw Data'!$P$2:$P$1501),1),'Raw Data'!P758)</f>
        <v>17.7</v>
      </c>
      <c r="Q758" s="21">
        <f>IF('Raw Data'!Q758="",ROUND(AVERAGE('Raw Data'!$Q$2:$Q$1501),0),'Raw Data'!Q758)</f>
        <v>4</v>
      </c>
      <c r="R758" s="21">
        <f>'Raw Data'!R758</f>
        <v>6</v>
      </c>
      <c r="S758" s="21">
        <f>IF('Raw Data'!S758="",ROUND(AVERAGE('Raw Data'!$S$2:$S$1501),0),'Raw Data'!S758)</f>
        <v>0</v>
      </c>
      <c r="T758" s="21">
        <f>'Raw Data'!T758</f>
        <v>105.3</v>
      </c>
      <c r="U758" s="21" t="str">
        <f>INDEX('Lookup Tables'!$C$7:$C$9,MATCH(E758,'Lookup Tables'!$B$7:$B$9,0))</f>
        <v>Tier 2 (Urban)</v>
      </c>
      <c r="V758" s="21" t="str">
        <f t="shared" si="33"/>
        <v>0-6 months</v>
      </c>
      <c r="W758" s="21" t="str">
        <f t="shared" si="34"/>
        <v>Low Risk</v>
      </c>
      <c r="X758" s="21" t="str">
        <f t="shared" si="35"/>
        <v>No</v>
      </c>
    </row>
    <row r="759" spans="1:24" x14ac:dyDescent="0.3">
      <c r="A759" s="21">
        <f>'Raw Data'!A759</f>
        <v>50758</v>
      </c>
      <c r="B759" s="21">
        <f>'Raw Data'!B759</f>
        <v>0</v>
      </c>
      <c r="C759" s="21">
        <f>'Raw Data'!C759</f>
        <v>2</v>
      </c>
      <c r="D759" s="21" t="str">
        <f>'Raw Data'!D759</f>
        <v>Phone</v>
      </c>
      <c r="E759" s="21">
        <f>'Raw Data'!E759</f>
        <v>3</v>
      </c>
      <c r="F759" s="21">
        <f>IF('Raw Data'!F759="",ROUND(AVERAGE('Raw Data'!$F$2:$F$1501),1),'Raw Data'!F759)</f>
        <v>11</v>
      </c>
      <c r="G759" s="21" t="str">
        <f>'Raw Data'!G759</f>
        <v>Debit Card</v>
      </c>
      <c r="H759" s="21" t="str">
        <f>'Raw Data'!H759</f>
        <v>Female</v>
      </c>
      <c r="I759" s="21">
        <f>IF('Raw Data'!I759="",ROUND(AVERAGE('Raw Data'!$I$2:$I$1501),1),'Raw Data'!I759)</f>
        <v>2.1</v>
      </c>
      <c r="J759" s="21">
        <f>'Raw Data'!J759</f>
        <v>2</v>
      </c>
      <c r="K759" s="21" t="str">
        <f>'Raw Data'!K759</f>
        <v>Mobile Phone</v>
      </c>
      <c r="L759" s="21">
        <f>'Raw Data'!L759</f>
        <v>2</v>
      </c>
      <c r="M759" s="21" t="str">
        <f>'Raw Data'!M759</f>
        <v>Married</v>
      </c>
      <c r="N759" s="21">
        <f>'Raw Data'!N759</f>
        <v>2</v>
      </c>
      <c r="O759" s="21">
        <f>'Raw Data'!O759</f>
        <v>1</v>
      </c>
      <c r="P759" s="21">
        <f>IF('Raw Data'!P759="",ROUND(AVERAGE('Raw Data'!$P$2:$P$1501),1),'Raw Data'!P759)</f>
        <v>14.9</v>
      </c>
      <c r="Q759" s="21">
        <f>IF('Raw Data'!Q759="",ROUND(AVERAGE('Raw Data'!$Q$2:$Q$1501),0),'Raw Data'!Q759)</f>
        <v>3</v>
      </c>
      <c r="R759" s="21">
        <f>'Raw Data'!R759</f>
        <v>3</v>
      </c>
      <c r="S759" s="21">
        <f>IF('Raw Data'!S759="",ROUND(AVERAGE('Raw Data'!$S$2:$S$1501),0),'Raw Data'!S759)</f>
        <v>4</v>
      </c>
      <c r="T759" s="21">
        <f>'Raw Data'!T759</f>
        <v>207.11</v>
      </c>
      <c r="U759" s="21" t="str">
        <f>INDEX('Lookup Tables'!$C$7:$C$9,MATCH(E759,'Lookup Tables'!$B$7:$B$9,0))</f>
        <v>Tier 3 (Semi-urban/Rural)</v>
      </c>
      <c r="V759" s="21" t="str">
        <f t="shared" si="33"/>
        <v>0-6 months</v>
      </c>
      <c r="W759" s="21" t="str">
        <f t="shared" si="34"/>
        <v>High Risk</v>
      </c>
      <c r="X759" s="21" t="str">
        <f t="shared" si="35"/>
        <v>No</v>
      </c>
    </row>
    <row r="760" spans="1:24" x14ac:dyDescent="0.3">
      <c r="A760" s="21">
        <f>'Raw Data'!A760</f>
        <v>50759</v>
      </c>
      <c r="B760" s="21">
        <f>'Raw Data'!B760</f>
        <v>1</v>
      </c>
      <c r="C760" s="21">
        <f>'Raw Data'!C760</f>
        <v>9</v>
      </c>
      <c r="D760" s="21" t="str">
        <f>'Raw Data'!D760</f>
        <v>Mobile Phone</v>
      </c>
      <c r="E760" s="21">
        <f>'Raw Data'!E760</f>
        <v>2</v>
      </c>
      <c r="F760" s="21">
        <f>IF('Raw Data'!F760="",ROUND(AVERAGE('Raw Data'!$F$2:$F$1501),1),'Raw Data'!F760)</f>
        <v>9</v>
      </c>
      <c r="G760" s="21" t="str">
        <f>'Raw Data'!G760</f>
        <v>E wallet</v>
      </c>
      <c r="H760" s="21" t="str">
        <f>'Raw Data'!H760</f>
        <v>Male</v>
      </c>
      <c r="I760" s="21">
        <f>IF('Raw Data'!I760="",ROUND(AVERAGE('Raw Data'!$I$2:$I$1501),1),'Raw Data'!I760)</f>
        <v>3.2</v>
      </c>
      <c r="J760" s="21">
        <f>'Raw Data'!J760</f>
        <v>5</v>
      </c>
      <c r="K760" s="21" t="str">
        <f>'Raw Data'!K760</f>
        <v>Mobile Phone</v>
      </c>
      <c r="L760" s="21">
        <f>'Raw Data'!L760</f>
        <v>1</v>
      </c>
      <c r="M760" s="21" t="str">
        <f>'Raw Data'!M760</f>
        <v>Single</v>
      </c>
      <c r="N760" s="21">
        <f>'Raw Data'!N760</f>
        <v>1</v>
      </c>
      <c r="O760" s="21">
        <f>'Raw Data'!O760</f>
        <v>0</v>
      </c>
      <c r="P760" s="21">
        <f>IF('Raw Data'!P760="",ROUND(AVERAGE('Raw Data'!$P$2:$P$1501),1),'Raw Data'!P760)</f>
        <v>20.6</v>
      </c>
      <c r="Q760" s="21">
        <f>IF('Raw Data'!Q760="",ROUND(AVERAGE('Raw Data'!$Q$2:$Q$1501),0),'Raw Data'!Q760)</f>
        <v>1</v>
      </c>
      <c r="R760" s="21">
        <f>'Raw Data'!R760</f>
        <v>1</v>
      </c>
      <c r="S760" s="21">
        <f>IF('Raw Data'!S760="",ROUND(AVERAGE('Raw Data'!$S$2:$S$1501),0),'Raw Data'!S760)</f>
        <v>2</v>
      </c>
      <c r="T760" s="21">
        <f>'Raw Data'!T760</f>
        <v>114.86</v>
      </c>
      <c r="U760" s="21" t="str">
        <f>INDEX('Lookup Tables'!$C$7:$C$9,MATCH(E760,'Lookup Tables'!$B$7:$B$9,0))</f>
        <v>Tier 2 (Urban)</v>
      </c>
      <c r="V760" s="21" t="str">
        <f t="shared" si="33"/>
        <v>7-12 months</v>
      </c>
      <c r="W760" s="21" t="str">
        <f t="shared" si="34"/>
        <v>Low Risk</v>
      </c>
      <c r="X760" s="21" t="str">
        <f t="shared" si="35"/>
        <v>Yes</v>
      </c>
    </row>
    <row r="761" spans="1:24" x14ac:dyDescent="0.3">
      <c r="A761" s="21">
        <f>'Raw Data'!A761</f>
        <v>50760</v>
      </c>
      <c r="B761" s="21">
        <f>'Raw Data'!B761</f>
        <v>1</v>
      </c>
      <c r="C761" s="21">
        <f>'Raw Data'!C761</f>
        <v>5</v>
      </c>
      <c r="D761" s="21" t="str">
        <f>'Raw Data'!D761</f>
        <v>Mobile Phone</v>
      </c>
      <c r="E761" s="21">
        <f>'Raw Data'!E761</f>
        <v>1</v>
      </c>
      <c r="F761" s="21">
        <f>IF('Raw Data'!F761="",ROUND(AVERAGE('Raw Data'!$F$2:$F$1501),1),'Raw Data'!F761)</f>
        <v>5</v>
      </c>
      <c r="G761" s="21" t="str">
        <f>'Raw Data'!G761</f>
        <v>Debit Card</v>
      </c>
      <c r="H761" s="21" t="str">
        <f>'Raw Data'!H761</f>
        <v>Male</v>
      </c>
      <c r="I761" s="21">
        <f>IF('Raw Data'!I761="",ROUND(AVERAGE('Raw Data'!$I$2:$I$1501),1),'Raw Data'!I761)</f>
        <v>3.3</v>
      </c>
      <c r="J761" s="21">
        <f>'Raw Data'!J761</f>
        <v>2</v>
      </c>
      <c r="K761" s="21" t="str">
        <f>'Raw Data'!K761</f>
        <v>Fashion</v>
      </c>
      <c r="L761" s="21">
        <f>'Raw Data'!L761</f>
        <v>5</v>
      </c>
      <c r="M761" s="21" t="str">
        <f>'Raw Data'!M761</f>
        <v>Single</v>
      </c>
      <c r="N761" s="21">
        <f>'Raw Data'!N761</f>
        <v>1</v>
      </c>
      <c r="O761" s="21">
        <f>'Raw Data'!O761</f>
        <v>0</v>
      </c>
      <c r="P761" s="21">
        <f>IF('Raw Data'!P761="",ROUND(AVERAGE('Raw Data'!$P$2:$P$1501),1),'Raw Data'!P761)</f>
        <v>11</v>
      </c>
      <c r="Q761" s="21">
        <f>IF('Raw Data'!Q761="",ROUND(AVERAGE('Raw Data'!$Q$2:$Q$1501),0),'Raw Data'!Q761)</f>
        <v>1</v>
      </c>
      <c r="R761" s="21">
        <f>'Raw Data'!R761</f>
        <v>10</v>
      </c>
      <c r="S761" s="21">
        <f>IF('Raw Data'!S761="",ROUND(AVERAGE('Raw Data'!$S$2:$S$1501),0),'Raw Data'!S761)</f>
        <v>3</v>
      </c>
      <c r="T761" s="21">
        <f>'Raw Data'!T761</f>
        <v>190.58</v>
      </c>
      <c r="U761" s="21" t="str">
        <f>INDEX('Lookup Tables'!$C$7:$C$9,MATCH(E761,'Lookup Tables'!$B$7:$B$9,0))</f>
        <v>Tier 1 (Metro)</v>
      </c>
      <c r="V761" s="21" t="str">
        <f t="shared" si="33"/>
        <v>0-6 months</v>
      </c>
      <c r="W761" s="21" t="str">
        <f t="shared" si="34"/>
        <v>Low Risk</v>
      </c>
      <c r="X761" s="21" t="str">
        <f t="shared" si="35"/>
        <v>Yes</v>
      </c>
    </row>
    <row r="762" spans="1:24" x14ac:dyDescent="0.3">
      <c r="A762" s="21">
        <f>'Raw Data'!A762</f>
        <v>50761</v>
      </c>
      <c r="B762" s="21">
        <f>'Raw Data'!B762</f>
        <v>0</v>
      </c>
      <c r="C762" s="21">
        <f>'Raw Data'!C762</f>
        <v>18</v>
      </c>
      <c r="D762" s="21" t="str">
        <f>'Raw Data'!D762</f>
        <v>Phone</v>
      </c>
      <c r="E762" s="21">
        <f>'Raw Data'!E762</f>
        <v>1</v>
      </c>
      <c r="F762" s="21">
        <f>IF('Raw Data'!F762="",ROUND(AVERAGE('Raw Data'!$F$2:$F$1501),1),'Raw Data'!F762)</f>
        <v>15</v>
      </c>
      <c r="G762" s="21" t="str">
        <f>'Raw Data'!G762</f>
        <v>UPI</v>
      </c>
      <c r="H762" s="21" t="str">
        <f>'Raw Data'!H762</f>
        <v>Female</v>
      </c>
      <c r="I762" s="21">
        <f>IF('Raw Data'!I762="",ROUND(AVERAGE('Raw Data'!$I$2:$I$1501),1),'Raw Data'!I762)</f>
        <v>3.2</v>
      </c>
      <c r="J762" s="21">
        <f>'Raw Data'!J762</f>
        <v>3</v>
      </c>
      <c r="K762" s="21" t="str">
        <f>'Raw Data'!K762</f>
        <v>Mobile Phone</v>
      </c>
      <c r="L762" s="21">
        <f>'Raw Data'!L762</f>
        <v>4</v>
      </c>
      <c r="M762" s="21" t="str">
        <f>'Raw Data'!M762</f>
        <v>Married</v>
      </c>
      <c r="N762" s="21">
        <f>'Raw Data'!N762</f>
        <v>6</v>
      </c>
      <c r="O762" s="21">
        <f>'Raw Data'!O762</f>
        <v>0</v>
      </c>
      <c r="P762" s="21">
        <f>IF('Raw Data'!P762="",ROUND(AVERAGE('Raw Data'!$P$2:$P$1501),1),'Raw Data'!P762)</f>
        <v>19.899999999999999</v>
      </c>
      <c r="Q762" s="21">
        <f>IF('Raw Data'!Q762="",ROUND(AVERAGE('Raw Data'!$Q$2:$Q$1501),0),'Raw Data'!Q762)</f>
        <v>3</v>
      </c>
      <c r="R762" s="21">
        <f>'Raw Data'!R762</f>
        <v>4</v>
      </c>
      <c r="S762" s="21">
        <f>IF('Raw Data'!S762="",ROUND(AVERAGE('Raw Data'!$S$2:$S$1501),0),'Raw Data'!S762)</f>
        <v>6</v>
      </c>
      <c r="T762" s="21">
        <f>'Raw Data'!T762</f>
        <v>280.75</v>
      </c>
      <c r="U762" s="21" t="str">
        <f>INDEX('Lookup Tables'!$C$7:$C$9,MATCH(E762,'Lookup Tables'!$B$7:$B$9,0))</f>
        <v>Tier 1 (Metro)</v>
      </c>
      <c r="V762" s="21" t="str">
        <f t="shared" si="33"/>
        <v>13-24 months</v>
      </c>
      <c r="W762" s="21" t="str">
        <f t="shared" si="34"/>
        <v>Low Risk</v>
      </c>
      <c r="X762" s="21" t="str">
        <f t="shared" si="35"/>
        <v>No</v>
      </c>
    </row>
    <row r="763" spans="1:24" x14ac:dyDescent="0.3">
      <c r="A763" s="21">
        <f>'Raw Data'!A763</f>
        <v>50762</v>
      </c>
      <c r="B763" s="21">
        <f>'Raw Data'!B763</f>
        <v>0</v>
      </c>
      <c r="C763" s="21">
        <f>'Raw Data'!C763</f>
        <v>23</v>
      </c>
      <c r="D763" s="21" t="str">
        <f>'Raw Data'!D763</f>
        <v>Mobile Phone</v>
      </c>
      <c r="E763" s="21">
        <f>'Raw Data'!E763</f>
        <v>3</v>
      </c>
      <c r="F763" s="21">
        <f>IF('Raw Data'!F763="",ROUND(AVERAGE('Raw Data'!$F$2:$F$1501),1),'Raw Data'!F763)</f>
        <v>31</v>
      </c>
      <c r="G763" s="21" t="str">
        <f>'Raw Data'!G763</f>
        <v>Credit Card</v>
      </c>
      <c r="H763" s="21" t="str">
        <f>'Raw Data'!H763</f>
        <v>Male</v>
      </c>
      <c r="I763" s="21">
        <f>IF('Raw Data'!I763="",ROUND(AVERAGE('Raw Data'!$I$2:$I$1501),1),'Raw Data'!I763)</f>
        <v>1.5</v>
      </c>
      <c r="J763" s="21">
        <f>'Raw Data'!J763</f>
        <v>2</v>
      </c>
      <c r="K763" s="21" t="str">
        <f>'Raw Data'!K763</f>
        <v>Fashion</v>
      </c>
      <c r="L763" s="21">
        <f>'Raw Data'!L763</f>
        <v>1</v>
      </c>
      <c r="M763" s="21" t="str">
        <f>'Raw Data'!M763</f>
        <v>Married</v>
      </c>
      <c r="N763" s="21">
        <f>'Raw Data'!N763</f>
        <v>1</v>
      </c>
      <c r="O763" s="21">
        <f>'Raw Data'!O763</f>
        <v>1</v>
      </c>
      <c r="P763" s="21">
        <f>IF('Raw Data'!P763="",ROUND(AVERAGE('Raw Data'!$P$2:$P$1501),1),'Raw Data'!P763)</f>
        <v>18.3</v>
      </c>
      <c r="Q763" s="21">
        <f>IF('Raw Data'!Q763="",ROUND(AVERAGE('Raw Data'!$Q$2:$Q$1501),0),'Raw Data'!Q763)</f>
        <v>0</v>
      </c>
      <c r="R763" s="21">
        <f>'Raw Data'!R763</f>
        <v>6</v>
      </c>
      <c r="S763" s="21">
        <f>IF('Raw Data'!S763="",ROUND(AVERAGE('Raw Data'!$S$2:$S$1501),0),'Raw Data'!S763)</f>
        <v>1</v>
      </c>
      <c r="T763" s="21">
        <f>'Raw Data'!T763</f>
        <v>258.52999999999997</v>
      </c>
      <c r="U763" s="21" t="str">
        <f>INDEX('Lookup Tables'!$C$7:$C$9,MATCH(E763,'Lookup Tables'!$B$7:$B$9,0))</f>
        <v>Tier 3 (Semi-urban/Rural)</v>
      </c>
      <c r="V763" s="21" t="str">
        <f t="shared" si="33"/>
        <v>13-24 months</v>
      </c>
      <c r="W763" s="21" t="str">
        <f t="shared" si="34"/>
        <v>High Risk</v>
      </c>
      <c r="X763" s="21" t="str">
        <f t="shared" si="35"/>
        <v>No</v>
      </c>
    </row>
    <row r="764" spans="1:24" x14ac:dyDescent="0.3">
      <c r="A764" s="21">
        <f>'Raw Data'!A764</f>
        <v>50763</v>
      </c>
      <c r="B764" s="21">
        <f>'Raw Data'!B764</f>
        <v>0</v>
      </c>
      <c r="C764" s="21">
        <f>'Raw Data'!C764</f>
        <v>4</v>
      </c>
      <c r="D764" s="21" t="str">
        <f>'Raw Data'!D764</f>
        <v>Computer</v>
      </c>
      <c r="E764" s="21">
        <f>'Raw Data'!E764</f>
        <v>1</v>
      </c>
      <c r="F764" s="21">
        <f>IF('Raw Data'!F764="",ROUND(AVERAGE('Raw Data'!$F$2:$F$1501),1),'Raw Data'!F764)</f>
        <v>17</v>
      </c>
      <c r="G764" s="21" t="str">
        <f>'Raw Data'!G764</f>
        <v>E wallet</v>
      </c>
      <c r="H764" s="21" t="str">
        <f>'Raw Data'!H764</f>
        <v>Male</v>
      </c>
      <c r="I764" s="21">
        <f>IF('Raw Data'!I764="",ROUND(AVERAGE('Raw Data'!$I$2:$I$1501),1),'Raw Data'!I764)</f>
        <v>2.2999999999999998</v>
      </c>
      <c r="J764" s="21">
        <f>'Raw Data'!J764</f>
        <v>3</v>
      </c>
      <c r="K764" s="21" t="str">
        <f>'Raw Data'!K764</f>
        <v>Fashion</v>
      </c>
      <c r="L764" s="21">
        <f>'Raw Data'!L764</f>
        <v>1</v>
      </c>
      <c r="M764" s="21" t="str">
        <f>'Raw Data'!M764</f>
        <v>Single</v>
      </c>
      <c r="N764" s="21">
        <f>'Raw Data'!N764</f>
        <v>1</v>
      </c>
      <c r="O764" s="21">
        <f>'Raw Data'!O764</f>
        <v>1</v>
      </c>
      <c r="P764" s="21">
        <f>IF('Raw Data'!P764="",ROUND(AVERAGE('Raw Data'!$P$2:$P$1501),1),'Raw Data'!P764)</f>
        <v>14</v>
      </c>
      <c r="Q764" s="21">
        <f>IF('Raw Data'!Q764="",ROUND(AVERAGE('Raw Data'!$Q$2:$Q$1501),0),'Raw Data'!Q764)</f>
        <v>2</v>
      </c>
      <c r="R764" s="21">
        <f>'Raw Data'!R764</f>
        <v>2</v>
      </c>
      <c r="S764" s="21">
        <f>IF('Raw Data'!S764="",ROUND(AVERAGE('Raw Data'!$S$2:$S$1501),0),'Raw Data'!S764)</f>
        <v>1</v>
      </c>
      <c r="T764" s="21">
        <f>'Raw Data'!T764</f>
        <v>78.94</v>
      </c>
      <c r="U764" s="21" t="str">
        <f>INDEX('Lookup Tables'!$C$7:$C$9,MATCH(E764,'Lookup Tables'!$B$7:$B$9,0))</f>
        <v>Tier 1 (Metro)</v>
      </c>
      <c r="V764" s="21" t="str">
        <f t="shared" si="33"/>
        <v>0-6 months</v>
      </c>
      <c r="W764" s="21" t="str">
        <f t="shared" si="34"/>
        <v>High Risk</v>
      </c>
      <c r="X764" s="21" t="str">
        <f t="shared" si="35"/>
        <v>No</v>
      </c>
    </row>
    <row r="765" spans="1:24" x14ac:dyDescent="0.3">
      <c r="A765" s="21">
        <f>'Raw Data'!A765</f>
        <v>50764</v>
      </c>
      <c r="B765" s="21">
        <f>'Raw Data'!B765</f>
        <v>0</v>
      </c>
      <c r="C765" s="21">
        <f>'Raw Data'!C765</f>
        <v>2</v>
      </c>
      <c r="D765" s="21" t="str">
        <f>'Raw Data'!D765</f>
        <v>Mobile Phone</v>
      </c>
      <c r="E765" s="21">
        <f>'Raw Data'!E765</f>
        <v>1</v>
      </c>
      <c r="F765" s="21">
        <f>IF('Raw Data'!F765="",ROUND(AVERAGE('Raw Data'!$F$2:$F$1501),1),'Raw Data'!F765)</f>
        <v>14</v>
      </c>
      <c r="G765" s="21" t="str">
        <f>'Raw Data'!G765</f>
        <v>UPI</v>
      </c>
      <c r="H765" s="21" t="str">
        <f>'Raw Data'!H765</f>
        <v>Female</v>
      </c>
      <c r="I765" s="21">
        <f>IF('Raw Data'!I765="",ROUND(AVERAGE('Raw Data'!$I$2:$I$1501),1),'Raw Data'!I765)</f>
        <v>2.9</v>
      </c>
      <c r="J765" s="21">
        <f>'Raw Data'!J765</f>
        <v>4</v>
      </c>
      <c r="K765" s="21" t="str">
        <f>'Raw Data'!K765</f>
        <v>Laptop &amp; Accessory</v>
      </c>
      <c r="L765" s="21">
        <f>'Raw Data'!L765</f>
        <v>4</v>
      </c>
      <c r="M765" s="21" t="str">
        <f>'Raw Data'!M765</f>
        <v>Single</v>
      </c>
      <c r="N765" s="21">
        <f>'Raw Data'!N765</f>
        <v>1</v>
      </c>
      <c r="O765" s="21">
        <f>'Raw Data'!O765</f>
        <v>0</v>
      </c>
      <c r="P765" s="21">
        <f>IF('Raw Data'!P765="",ROUND(AVERAGE('Raw Data'!$P$2:$P$1501),1),'Raw Data'!P765)</f>
        <v>12.8</v>
      </c>
      <c r="Q765" s="21">
        <f>IF('Raw Data'!Q765="",ROUND(AVERAGE('Raw Data'!$Q$2:$Q$1501),0),'Raw Data'!Q765)</f>
        <v>2</v>
      </c>
      <c r="R765" s="21">
        <f>'Raw Data'!R765</f>
        <v>5</v>
      </c>
      <c r="S765" s="21">
        <f>IF('Raw Data'!S765="",ROUND(AVERAGE('Raw Data'!$S$2:$S$1501),0),'Raw Data'!S765)</f>
        <v>6</v>
      </c>
      <c r="T765" s="21">
        <f>'Raw Data'!T765</f>
        <v>109.67</v>
      </c>
      <c r="U765" s="21" t="str">
        <f>INDEX('Lookup Tables'!$C$7:$C$9,MATCH(E765,'Lookup Tables'!$B$7:$B$9,0))</f>
        <v>Tier 1 (Metro)</v>
      </c>
      <c r="V765" s="21" t="str">
        <f t="shared" si="33"/>
        <v>0-6 months</v>
      </c>
      <c r="W765" s="21" t="str">
        <f t="shared" si="34"/>
        <v>Low Risk</v>
      </c>
      <c r="X765" s="21" t="str">
        <f t="shared" si="35"/>
        <v>No</v>
      </c>
    </row>
    <row r="766" spans="1:24" x14ac:dyDescent="0.3">
      <c r="A766" s="21">
        <f>'Raw Data'!A766</f>
        <v>50765</v>
      </c>
      <c r="B766" s="21">
        <f>'Raw Data'!B766</f>
        <v>0</v>
      </c>
      <c r="C766" s="21">
        <f>'Raw Data'!C766</f>
        <v>15</v>
      </c>
      <c r="D766" s="21" t="str">
        <f>'Raw Data'!D766</f>
        <v>Mobile Phone</v>
      </c>
      <c r="E766" s="21">
        <f>'Raw Data'!E766</f>
        <v>2</v>
      </c>
      <c r="F766" s="21">
        <f>IF('Raw Data'!F766="",ROUND(AVERAGE('Raw Data'!$F$2:$F$1501),1),'Raw Data'!F766)</f>
        <v>17</v>
      </c>
      <c r="G766" s="21" t="str">
        <f>'Raw Data'!G766</f>
        <v>Debit Card</v>
      </c>
      <c r="H766" s="21" t="str">
        <f>'Raw Data'!H766</f>
        <v>Female</v>
      </c>
      <c r="I766" s="21">
        <f>IF('Raw Data'!I766="",ROUND(AVERAGE('Raw Data'!$I$2:$I$1501),1),'Raw Data'!I766)</f>
        <v>3.2</v>
      </c>
      <c r="J766" s="21">
        <f>'Raw Data'!J766</f>
        <v>3</v>
      </c>
      <c r="K766" s="21" t="str">
        <f>'Raw Data'!K766</f>
        <v>Mobile Phone</v>
      </c>
      <c r="L766" s="21">
        <f>'Raw Data'!L766</f>
        <v>3</v>
      </c>
      <c r="M766" s="21" t="str">
        <f>'Raw Data'!M766</f>
        <v>Married</v>
      </c>
      <c r="N766" s="21">
        <f>'Raw Data'!N766</f>
        <v>1</v>
      </c>
      <c r="O766" s="21">
        <f>'Raw Data'!O766</f>
        <v>0</v>
      </c>
      <c r="P766" s="21">
        <f>IF('Raw Data'!P766="",ROUND(AVERAGE('Raw Data'!$P$2:$P$1501),1),'Raw Data'!P766)</f>
        <v>11</v>
      </c>
      <c r="Q766" s="21">
        <f>IF('Raw Data'!Q766="",ROUND(AVERAGE('Raw Data'!$Q$2:$Q$1501),0),'Raw Data'!Q766)</f>
        <v>3</v>
      </c>
      <c r="R766" s="21">
        <f>'Raw Data'!R766</f>
        <v>5</v>
      </c>
      <c r="S766" s="21">
        <f>IF('Raw Data'!S766="",ROUND(AVERAGE('Raw Data'!$S$2:$S$1501),0),'Raw Data'!S766)</f>
        <v>3</v>
      </c>
      <c r="T766" s="21">
        <f>'Raw Data'!T766</f>
        <v>137.29</v>
      </c>
      <c r="U766" s="21" t="str">
        <f>INDEX('Lookup Tables'!$C$7:$C$9,MATCH(E766,'Lookup Tables'!$B$7:$B$9,0))</f>
        <v>Tier 2 (Urban)</v>
      </c>
      <c r="V766" s="21" t="str">
        <f t="shared" si="33"/>
        <v>13-24 months</v>
      </c>
      <c r="W766" s="21" t="str">
        <f t="shared" si="34"/>
        <v>Medium Risk</v>
      </c>
      <c r="X766" s="21" t="str">
        <f t="shared" si="35"/>
        <v>No</v>
      </c>
    </row>
    <row r="767" spans="1:24" x14ac:dyDescent="0.3">
      <c r="A767" s="21">
        <f>'Raw Data'!A767</f>
        <v>50766</v>
      </c>
      <c r="B767" s="21">
        <f>'Raw Data'!B767</f>
        <v>0</v>
      </c>
      <c r="C767" s="21">
        <f>'Raw Data'!C767</f>
        <v>3</v>
      </c>
      <c r="D767" s="21" t="str">
        <f>'Raw Data'!D767</f>
        <v>Mobile Phone</v>
      </c>
      <c r="E767" s="21">
        <f>'Raw Data'!E767</f>
        <v>2</v>
      </c>
      <c r="F767" s="21">
        <f>IF('Raw Data'!F767="",ROUND(AVERAGE('Raw Data'!$F$2:$F$1501),1),'Raw Data'!F767)</f>
        <v>14</v>
      </c>
      <c r="G767" s="21" t="str">
        <f>'Raw Data'!G767</f>
        <v>Debit Card</v>
      </c>
      <c r="H767" s="21" t="str">
        <f>'Raw Data'!H767</f>
        <v>Male</v>
      </c>
      <c r="I767" s="21">
        <f>IF('Raw Data'!I767="",ROUND(AVERAGE('Raw Data'!$I$2:$I$1501),1),'Raw Data'!I767)</f>
        <v>3.4</v>
      </c>
      <c r="J767" s="21">
        <f>'Raw Data'!J767</f>
        <v>4</v>
      </c>
      <c r="K767" s="21" t="str">
        <f>'Raw Data'!K767</f>
        <v>Grocery</v>
      </c>
      <c r="L767" s="21">
        <f>'Raw Data'!L767</f>
        <v>4</v>
      </c>
      <c r="M767" s="21" t="str">
        <f>'Raw Data'!M767</f>
        <v>Married</v>
      </c>
      <c r="N767" s="21">
        <f>'Raw Data'!N767</f>
        <v>20</v>
      </c>
      <c r="O767" s="21">
        <f>'Raw Data'!O767</f>
        <v>0</v>
      </c>
      <c r="P767" s="21">
        <f>IF('Raw Data'!P767="",ROUND(AVERAGE('Raw Data'!$P$2:$P$1501),1),'Raw Data'!P767)</f>
        <v>13.2</v>
      </c>
      <c r="Q767" s="21">
        <f>IF('Raw Data'!Q767="",ROUND(AVERAGE('Raw Data'!$Q$2:$Q$1501),0),'Raw Data'!Q767)</f>
        <v>1</v>
      </c>
      <c r="R767" s="21">
        <f>'Raw Data'!R767</f>
        <v>4</v>
      </c>
      <c r="S767" s="21">
        <f>IF('Raw Data'!S767="",ROUND(AVERAGE('Raw Data'!$S$2:$S$1501),0),'Raw Data'!S767)</f>
        <v>1</v>
      </c>
      <c r="T767" s="21">
        <f>'Raw Data'!T767</f>
        <v>115.7</v>
      </c>
      <c r="U767" s="21" t="str">
        <f>INDEX('Lookup Tables'!$C$7:$C$9,MATCH(E767,'Lookup Tables'!$B$7:$B$9,0))</f>
        <v>Tier 2 (Urban)</v>
      </c>
      <c r="V767" s="21" t="str">
        <f t="shared" si="33"/>
        <v>0-6 months</v>
      </c>
      <c r="W767" s="21" t="str">
        <f t="shared" si="34"/>
        <v>Low Risk</v>
      </c>
      <c r="X767" s="21" t="str">
        <f t="shared" si="35"/>
        <v>No</v>
      </c>
    </row>
    <row r="768" spans="1:24" x14ac:dyDescent="0.3">
      <c r="A768" s="21">
        <f>'Raw Data'!A768</f>
        <v>50767</v>
      </c>
      <c r="B768" s="21">
        <f>'Raw Data'!B768</f>
        <v>0</v>
      </c>
      <c r="C768" s="21">
        <f>'Raw Data'!C768</f>
        <v>17</v>
      </c>
      <c r="D768" s="21" t="str">
        <f>'Raw Data'!D768</f>
        <v>Mobile Phone</v>
      </c>
      <c r="E768" s="21">
        <f>'Raw Data'!E768</f>
        <v>2</v>
      </c>
      <c r="F768" s="21">
        <f>IF('Raw Data'!F768="",ROUND(AVERAGE('Raw Data'!$F$2:$F$1501),1),'Raw Data'!F768)</f>
        <v>8</v>
      </c>
      <c r="G768" s="21" t="str">
        <f>'Raw Data'!G768</f>
        <v>UPI</v>
      </c>
      <c r="H768" s="21" t="str">
        <f>'Raw Data'!H768</f>
        <v>Female</v>
      </c>
      <c r="I768" s="21">
        <f>IF('Raw Data'!I768="",ROUND(AVERAGE('Raw Data'!$I$2:$I$1501),1),'Raw Data'!I768)</f>
        <v>3</v>
      </c>
      <c r="J768" s="21">
        <f>'Raw Data'!J768</f>
        <v>3</v>
      </c>
      <c r="K768" s="21" t="str">
        <f>'Raw Data'!K768</f>
        <v>Laptop &amp; Accessory</v>
      </c>
      <c r="L768" s="21">
        <f>'Raw Data'!L768</f>
        <v>5</v>
      </c>
      <c r="M768" s="21" t="str">
        <f>'Raw Data'!M768</f>
        <v>Single</v>
      </c>
      <c r="N768" s="21">
        <f>'Raw Data'!N768</f>
        <v>1</v>
      </c>
      <c r="O768" s="21">
        <f>'Raw Data'!O768</f>
        <v>0</v>
      </c>
      <c r="P768" s="21">
        <f>IF('Raw Data'!P768="",ROUND(AVERAGE('Raw Data'!$P$2:$P$1501),1),'Raw Data'!P768)</f>
        <v>19.7</v>
      </c>
      <c r="Q768" s="21">
        <f>IF('Raw Data'!Q768="",ROUND(AVERAGE('Raw Data'!$Q$2:$Q$1501),0),'Raw Data'!Q768)</f>
        <v>2</v>
      </c>
      <c r="R768" s="21">
        <f>'Raw Data'!R768</f>
        <v>5</v>
      </c>
      <c r="S768" s="21">
        <f>IF('Raw Data'!S768="",ROUND(AVERAGE('Raw Data'!$S$2:$S$1501),0),'Raw Data'!S768)</f>
        <v>3</v>
      </c>
      <c r="T768" s="21">
        <f>'Raw Data'!T768</f>
        <v>89.04</v>
      </c>
      <c r="U768" s="21" t="str">
        <f>INDEX('Lookup Tables'!$C$7:$C$9,MATCH(E768,'Lookup Tables'!$B$7:$B$9,0))</f>
        <v>Tier 2 (Urban)</v>
      </c>
      <c r="V768" s="21" t="str">
        <f t="shared" si="33"/>
        <v>13-24 months</v>
      </c>
      <c r="W768" s="21" t="str">
        <f t="shared" si="34"/>
        <v>Low Risk</v>
      </c>
      <c r="X768" s="21" t="str">
        <f t="shared" si="35"/>
        <v>No</v>
      </c>
    </row>
    <row r="769" spans="1:24" x14ac:dyDescent="0.3">
      <c r="A769" s="21">
        <f>'Raw Data'!A769</f>
        <v>50768</v>
      </c>
      <c r="B769" s="21">
        <f>'Raw Data'!B769</f>
        <v>0</v>
      </c>
      <c r="C769" s="21">
        <f>'Raw Data'!C769</f>
        <v>5</v>
      </c>
      <c r="D769" s="21" t="str">
        <f>'Raw Data'!D769</f>
        <v>Computer</v>
      </c>
      <c r="E769" s="21">
        <f>'Raw Data'!E769</f>
        <v>1</v>
      </c>
      <c r="F769" s="21">
        <f>IF('Raw Data'!F769="",ROUND(AVERAGE('Raw Data'!$F$2:$F$1501),1),'Raw Data'!F769)</f>
        <v>21</v>
      </c>
      <c r="G769" s="21" t="str">
        <f>'Raw Data'!G769</f>
        <v>Debit Card</v>
      </c>
      <c r="H769" s="21" t="str">
        <f>'Raw Data'!H769</f>
        <v>Male</v>
      </c>
      <c r="I769" s="21">
        <f>IF('Raw Data'!I769="",ROUND(AVERAGE('Raw Data'!$I$2:$I$1501),1),'Raw Data'!I769)</f>
        <v>3.1</v>
      </c>
      <c r="J769" s="21">
        <f>'Raw Data'!J769</f>
        <v>3</v>
      </c>
      <c r="K769" s="21" t="str">
        <f>'Raw Data'!K769</f>
        <v>Mobile Phone</v>
      </c>
      <c r="L769" s="21">
        <f>'Raw Data'!L769</f>
        <v>4</v>
      </c>
      <c r="M769" s="21" t="str">
        <f>'Raw Data'!M769</f>
        <v>Married</v>
      </c>
      <c r="N769" s="21">
        <f>'Raw Data'!N769</f>
        <v>1</v>
      </c>
      <c r="O769" s="21">
        <f>'Raw Data'!O769</f>
        <v>1</v>
      </c>
      <c r="P769" s="21">
        <f>IF('Raw Data'!P769="",ROUND(AVERAGE('Raw Data'!$P$2:$P$1501),1),'Raw Data'!P769)</f>
        <v>15.8</v>
      </c>
      <c r="Q769" s="21">
        <f>IF('Raw Data'!Q769="",ROUND(AVERAGE('Raw Data'!$Q$2:$Q$1501),0),'Raw Data'!Q769)</f>
        <v>1</v>
      </c>
      <c r="R769" s="21">
        <f>'Raw Data'!R769</f>
        <v>3</v>
      </c>
      <c r="S769" s="21">
        <f>IF('Raw Data'!S769="",ROUND(AVERAGE('Raw Data'!$S$2:$S$1501),0),'Raw Data'!S769)</f>
        <v>3</v>
      </c>
      <c r="T769" s="21">
        <f>'Raw Data'!T769</f>
        <v>179.4</v>
      </c>
      <c r="U769" s="21" t="str">
        <f>INDEX('Lookup Tables'!$C$7:$C$9,MATCH(E769,'Lookup Tables'!$B$7:$B$9,0))</f>
        <v>Tier 1 (Metro)</v>
      </c>
      <c r="V769" s="21" t="str">
        <f t="shared" si="33"/>
        <v>0-6 months</v>
      </c>
      <c r="W769" s="21" t="str">
        <f t="shared" si="34"/>
        <v>Low Risk</v>
      </c>
      <c r="X769" s="21" t="str">
        <f t="shared" si="35"/>
        <v>No</v>
      </c>
    </row>
    <row r="770" spans="1:24" x14ac:dyDescent="0.3">
      <c r="A770" s="21">
        <f>'Raw Data'!A770</f>
        <v>50769</v>
      </c>
      <c r="B770" s="21">
        <f>'Raw Data'!B770</f>
        <v>0</v>
      </c>
      <c r="C770" s="21">
        <f>'Raw Data'!C770</f>
        <v>11</v>
      </c>
      <c r="D770" s="21" t="str">
        <f>'Raw Data'!D770</f>
        <v>Phone</v>
      </c>
      <c r="E770" s="21">
        <f>'Raw Data'!E770</f>
        <v>1</v>
      </c>
      <c r="F770" s="21">
        <f>IF('Raw Data'!F770="",ROUND(AVERAGE('Raw Data'!$F$2:$F$1501),1),'Raw Data'!F770)</f>
        <v>16</v>
      </c>
      <c r="G770" s="21" t="str">
        <f>'Raw Data'!G770</f>
        <v>Debit Card</v>
      </c>
      <c r="H770" s="21" t="str">
        <f>'Raw Data'!H770</f>
        <v>Female</v>
      </c>
      <c r="I770" s="21">
        <f>IF('Raw Data'!I770="",ROUND(AVERAGE('Raw Data'!$I$2:$I$1501),1),'Raw Data'!I770)</f>
        <v>3</v>
      </c>
      <c r="J770" s="21">
        <f>'Raw Data'!J770</f>
        <v>3</v>
      </c>
      <c r="K770" s="21" t="str">
        <f>'Raw Data'!K770</f>
        <v>Others</v>
      </c>
      <c r="L770" s="21">
        <f>'Raw Data'!L770</f>
        <v>2</v>
      </c>
      <c r="M770" s="21" t="str">
        <f>'Raw Data'!M770</f>
        <v>Single</v>
      </c>
      <c r="N770" s="21">
        <f>'Raw Data'!N770</f>
        <v>8</v>
      </c>
      <c r="O770" s="21">
        <f>'Raw Data'!O770</f>
        <v>0</v>
      </c>
      <c r="P770" s="21">
        <f>IF('Raw Data'!P770="",ROUND(AVERAGE('Raw Data'!$P$2:$P$1501),1),'Raw Data'!P770)</f>
        <v>20.100000000000001</v>
      </c>
      <c r="Q770" s="21">
        <f>IF('Raw Data'!Q770="",ROUND(AVERAGE('Raw Data'!$Q$2:$Q$1501),0),'Raw Data'!Q770)</f>
        <v>3</v>
      </c>
      <c r="R770" s="21">
        <f>'Raw Data'!R770</f>
        <v>4</v>
      </c>
      <c r="S770" s="21">
        <f>IF('Raw Data'!S770="",ROUND(AVERAGE('Raw Data'!$S$2:$S$1501),0),'Raw Data'!S770)</f>
        <v>5</v>
      </c>
      <c r="T770" s="21">
        <f>'Raw Data'!T770</f>
        <v>218.78</v>
      </c>
      <c r="U770" s="21" t="str">
        <f>INDEX('Lookup Tables'!$C$7:$C$9,MATCH(E770,'Lookup Tables'!$B$7:$B$9,0))</f>
        <v>Tier 1 (Metro)</v>
      </c>
      <c r="V770" s="21" t="str">
        <f t="shared" ref="V770:V833" si="36">IF(C770&lt;=6,"0-6 months",IF(C770&lt;=12,"7-12 months",IF(C770&lt;=24,"13-24 months","25+ months")))</f>
        <v>7-12 months</v>
      </c>
      <c r="W770" s="21" t="str">
        <f t="shared" ref="W770:W833" si="37">IF(AND(O770=1,L770&lt;=2),"High Risk",IF(OR(L770=3,S770&gt;15),"Medium Risk","Low Risk"))</f>
        <v>Low Risk</v>
      </c>
      <c r="X770" s="21" t="str">
        <f t="shared" ref="X770:X833" si="38">IF(B770=1,"Yes","No")</f>
        <v>No</v>
      </c>
    </row>
    <row r="771" spans="1:24" x14ac:dyDescent="0.3">
      <c r="A771" s="21">
        <f>'Raw Data'!A771</f>
        <v>50770</v>
      </c>
      <c r="B771" s="21">
        <f>'Raw Data'!B771</f>
        <v>0</v>
      </c>
      <c r="C771" s="21">
        <f>'Raw Data'!C771</f>
        <v>1</v>
      </c>
      <c r="D771" s="21" t="str">
        <f>'Raw Data'!D771</f>
        <v>Mobile Phone</v>
      </c>
      <c r="E771" s="21">
        <f>'Raw Data'!E771</f>
        <v>3</v>
      </c>
      <c r="F771" s="21">
        <f>IF('Raw Data'!F771="",ROUND(AVERAGE('Raw Data'!$F$2:$F$1501),1),'Raw Data'!F771)</f>
        <v>15</v>
      </c>
      <c r="G771" s="21" t="str">
        <f>'Raw Data'!G771</f>
        <v>Credit Card</v>
      </c>
      <c r="H771" s="21" t="str">
        <f>'Raw Data'!H771</f>
        <v>Male</v>
      </c>
      <c r="I771" s="21">
        <f>IF('Raw Data'!I771="",ROUND(AVERAGE('Raw Data'!$I$2:$I$1501),1),'Raw Data'!I771)</f>
        <v>3.4</v>
      </c>
      <c r="J771" s="21">
        <f>'Raw Data'!J771</f>
        <v>4</v>
      </c>
      <c r="K771" s="21" t="str">
        <f>'Raw Data'!K771</f>
        <v>Mobile Phone</v>
      </c>
      <c r="L771" s="21">
        <f>'Raw Data'!L771</f>
        <v>4</v>
      </c>
      <c r="M771" s="21" t="str">
        <f>'Raw Data'!M771</f>
        <v>Single</v>
      </c>
      <c r="N771" s="21">
        <f>'Raw Data'!N771</f>
        <v>7</v>
      </c>
      <c r="O771" s="21">
        <f>'Raw Data'!O771</f>
        <v>0</v>
      </c>
      <c r="P771" s="21">
        <f>IF('Raw Data'!P771="",ROUND(AVERAGE('Raw Data'!$P$2:$P$1501),1),'Raw Data'!P771)</f>
        <v>13.8</v>
      </c>
      <c r="Q771" s="21">
        <f>IF('Raw Data'!Q771="",ROUND(AVERAGE('Raw Data'!$Q$2:$Q$1501),0),'Raw Data'!Q771)</f>
        <v>1</v>
      </c>
      <c r="R771" s="21">
        <f>'Raw Data'!R771</f>
        <v>6</v>
      </c>
      <c r="S771" s="21">
        <f>IF('Raw Data'!S771="",ROUND(AVERAGE('Raw Data'!$S$2:$S$1501),0),'Raw Data'!S771)</f>
        <v>0</v>
      </c>
      <c r="T771" s="21">
        <f>'Raw Data'!T771</f>
        <v>232.47</v>
      </c>
      <c r="U771" s="21" t="str">
        <f>INDEX('Lookup Tables'!$C$7:$C$9,MATCH(E771,'Lookup Tables'!$B$7:$B$9,0))</f>
        <v>Tier 3 (Semi-urban/Rural)</v>
      </c>
      <c r="V771" s="21" t="str">
        <f t="shared" si="36"/>
        <v>0-6 months</v>
      </c>
      <c r="W771" s="21" t="str">
        <f t="shared" si="37"/>
        <v>Low Risk</v>
      </c>
      <c r="X771" s="21" t="str">
        <f t="shared" si="38"/>
        <v>No</v>
      </c>
    </row>
    <row r="772" spans="1:24" x14ac:dyDescent="0.3">
      <c r="A772" s="21">
        <f>'Raw Data'!A772</f>
        <v>50771</v>
      </c>
      <c r="B772" s="21">
        <f>'Raw Data'!B772</f>
        <v>0</v>
      </c>
      <c r="C772" s="21">
        <f>'Raw Data'!C772</f>
        <v>9</v>
      </c>
      <c r="D772" s="21" t="str">
        <f>'Raw Data'!D772</f>
        <v>Phone</v>
      </c>
      <c r="E772" s="21">
        <f>'Raw Data'!E772</f>
        <v>1</v>
      </c>
      <c r="F772" s="21">
        <f>IF('Raw Data'!F772="",ROUND(AVERAGE('Raw Data'!$F$2:$F$1501),1),'Raw Data'!F772)</f>
        <v>7</v>
      </c>
      <c r="G772" s="21" t="str">
        <f>'Raw Data'!G772</f>
        <v>Credit Card</v>
      </c>
      <c r="H772" s="21" t="str">
        <f>'Raw Data'!H772</f>
        <v>Female</v>
      </c>
      <c r="I772" s="21">
        <f>IF('Raw Data'!I772="",ROUND(AVERAGE('Raw Data'!$I$2:$I$1501),1),'Raw Data'!I772)</f>
        <v>3.1</v>
      </c>
      <c r="J772" s="21">
        <f>'Raw Data'!J772</f>
        <v>3</v>
      </c>
      <c r="K772" s="21" t="str">
        <f>'Raw Data'!K772</f>
        <v>Mobile Phone</v>
      </c>
      <c r="L772" s="21">
        <f>'Raw Data'!L772</f>
        <v>5</v>
      </c>
      <c r="M772" s="21" t="str">
        <f>'Raw Data'!M772</f>
        <v>Single</v>
      </c>
      <c r="N772" s="21">
        <f>'Raw Data'!N772</f>
        <v>1</v>
      </c>
      <c r="O772" s="21">
        <f>'Raw Data'!O772</f>
        <v>1</v>
      </c>
      <c r="P772" s="21">
        <f>IF('Raw Data'!P772="",ROUND(AVERAGE('Raw Data'!$P$2:$P$1501),1),'Raw Data'!P772)</f>
        <v>18.5</v>
      </c>
      <c r="Q772" s="21">
        <f>IF('Raw Data'!Q772="",ROUND(AVERAGE('Raw Data'!$Q$2:$Q$1501),0),'Raw Data'!Q772)</f>
        <v>0</v>
      </c>
      <c r="R772" s="21">
        <f>'Raw Data'!R772</f>
        <v>3</v>
      </c>
      <c r="S772" s="21">
        <f>IF('Raw Data'!S772="",ROUND(AVERAGE('Raw Data'!$S$2:$S$1501),0),'Raw Data'!S772)</f>
        <v>4</v>
      </c>
      <c r="T772" s="21">
        <f>'Raw Data'!T772</f>
        <v>153.9</v>
      </c>
      <c r="U772" s="21" t="str">
        <f>INDEX('Lookup Tables'!$C$7:$C$9,MATCH(E772,'Lookup Tables'!$B$7:$B$9,0))</f>
        <v>Tier 1 (Metro)</v>
      </c>
      <c r="V772" s="21" t="str">
        <f t="shared" si="36"/>
        <v>7-12 months</v>
      </c>
      <c r="W772" s="21" t="str">
        <f t="shared" si="37"/>
        <v>Low Risk</v>
      </c>
      <c r="X772" s="21" t="str">
        <f t="shared" si="38"/>
        <v>No</v>
      </c>
    </row>
    <row r="773" spans="1:24" x14ac:dyDescent="0.3">
      <c r="A773" s="21">
        <f>'Raw Data'!A773</f>
        <v>50772</v>
      </c>
      <c r="B773" s="21">
        <f>'Raw Data'!B773</f>
        <v>0</v>
      </c>
      <c r="C773" s="21">
        <f>'Raw Data'!C773</f>
        <v>6</v>
      </c>
      <c r="D773" s="21" t="str">
        <f>'Raw Data'!D773</f>
        <v>Mobile Phone</v>
      </c>
      <c r="E773" s="21">
        <f>'Raw Data'!E773</f>
        <v>2</v>
      </c>
      <c r="F773" s="21">
        <f>IF('Raw Data'!F773="",ROUND(AVERAGE('Raw Data'!$F$2:$F$1501),1),'Raw Data'!F773)</f>
        <v>25</v>
      </c>
      <c r="G773" s="21" t="str">
        <f>'Raw Data'!G773</f>
        <v>Debit Card</v>
      </c>
      <c r="H773" s="21" t="str">
        <f>'Raw Data'!H773</f>
        <v>Female</v>
      </c>
      <c r="I773" s="21">
        <f>IF('Raw Data'!I773="",ROUND(AVERAGE('Raw Data'!$I$2:$I$1501),1),'Raw Data'!I773)</f>
        <v>2.9</v>
      </c>
      <c r="J773" s="21">
        <f>'Raw Data'!J773</f>
        <v>4</v>
      </c>
      <c r="K773" s="21" t="str">
        <f>'Raw Data'!K773</f>
        <v>Others</v>
      </c>
      <c r="L773" s="21">
        <f>'Raw Data'!L773</f>
        <v>4</v>
      </c>
      <c r="M773" s="21" t="str">
        <f>'Raw Data'!M773</f>
        <v>Married</v>
      </c>
      <c r="N773" s="21">
        <f>'Raw Data'!N773</f>
        <v>4</v>
      </c>
      <c r="O773" s="21">
        <f>'Raw Data'!O773</f>
        <v>1</v>
      </c>
      <c r="P773" s="21">
        <f>IF('Raw Data'!P773="",ROUND(AVERAGE('Raw Data'!$P$2:$P$1501),1),'Raw Data'!P773)</f>
        <v>13.5</v>
      </c>
      <c r="Q773" s="21">
        <f>IF('Raw Data'!Q773="",ROUND(AVERAGE('Raw Data'!$Q$2:$Q$1501),0),'Raw Data'!Q773)</f>
        <v>1</v>
      </c>
      <c r="R773" s="21">
        <f>'Raw Data'!R773</f>
        <v>4</v>
      </c>
      <c r="S773" s="21">
        <f>IF('Raw Data'!S773="",ROUND(AVERAGE('Raw Data'!$S$2:$S$1501),0),'Raw Data'!S773)</f>
        <v>4</v>
      </c>
      <c r="T773" s="21">
        <f>'Raw Data'!T773</f>
        <v>165.05</v>
      </c>
      <c r="U773" s="21" t="str">
        <f>INDEX('Lookup Tables'!$C$7:$C$9,MATCH(E773,'Lookup Tables'!$B$7:$B$9,0))</f>
        <v>Tier 2 (Urban)</v>
      </c>
      <c r="V773" s="21" t="str">
        <f t="shared" si="36"/>
        <v>0-6 months</v>
      </c>
      <c r="W773" s="21" t="str">
        <f t="shared" si="37"/>
        <v>Low Risk</v>
      </c>
      <c r="X773" s="21" t="str">
        <f t="shared" si="38"/>
        <v>No</v>
      </c>
    </row>
    <row r="774" spans="1:24" x14ac:dyDescent="0.3">
      <c r="A774" s="21">
        <f>'Raw Data'!A774</f>
        <v>50773</v>
      </c>
      <c r="B774" s="21">
        <f>'Raw Data'!B774</f>
        <v>0</v>
      </c>
      <c r="C774" s="21">
        <f>'Raw Data'!C774</f>
        <v>8</v>
      </c>
      <c r="D774" s="21" t="str">
        <f>'Raw Data'!D774</f>
        <v>Mobile Phone</v>
      </c>
      <c r="E774" s="21">
        <f>'Raw Data'!E774</f>
        <v>3</v>
      </c>
      <c r="F774" s="21">
        <f>IF('Raw Data'!F774="",ROUND(AVERAGE('Raw Data'!$F$2:$F$1501),1),'Raw Data'!F774)</f>
        <v>20</v>
      </c>
      <c r="G774" s="21" t="str">
        <f>'Raw Data'!G774</f>
        <v>Debit Card</v>
      </c>
      <c r="H774" s="21" t="str">
        <f>'Raw Data'!H774</f>
        <v>Female</v>
      </c>
      <c r="I774" s="21">
        <f>IF('Raw Data'!I774="",ROUND(AVERAGE('Raw Data'!$I$2:$I$1501),1),'Raw Data'!I774)</f>
        <v>2.7</v>
      </c>
      <c r="J774" s="21">
        <f>'Raw Data'!J774</f>
        <v>4</v>
      </c>
      <c r="K774" s="21" t="str">
        <f>'Raw Data'!K774</f>
        <v>Laptop &amp; Accessory</v>
      </c>
      <c r="L774" s="21">
        <f>'Raw Data'!L774</f>
        <v>4</v>
      </c>
      <c r="M774" s="21" t="str">
        <f>'Raw Data'!M774</f>
        <v>Married</v>
      </c>
      <c r="N774" s="21">
        <f>'Raw Data'!N774</f>
        <v>3</v>
      </c>
      <c r="O774" s="21">
        <f>'Raw Data'!O774</f>
        <v>0</v>
      </c>
      <c r="P774" s="21">
        <f>IF('Raw Data'!P774="",ROUND(AVERAGE('Raw Data'!$P$2:$P$1501),1),'Raw Data'!P774)</f>
        <v>12.6</v>
      </c>
      <c r="Q774" s="21">
        <f>IF('Raw Data'!Q774="",ROUND(AVERAGE('Raw Data'!$Q$2:$Q$1501),0),'Raw Data'!Q774)</f>
        <v>2</v>
      </c>
      <c r="R774" s="21">
        <f>'Raw Data'!R774</f>
        <v>3</v>
      </c>
      <c r="S774" s="21">
        <f>IF('Raw Data'!S774="",ROUND(AVERAGE('Raw Data'!$S$2:$S$1501),0),'Raw Data'!S774)</f>
        <v>6</v>
      </c>
      <c r="T774" s="21">
        <f>'Raw Data'!T774</f>
        <v>199.56</v>
      </c>
      <c r="U774" s="21" t="str">
        <f>INDEX('Lookup Tables'!$C$7:$C$9,MATCH(E774,'Lookup Tables'!$B$7:$B$9,0))</f>
        <v>Tier 3 (Semi-urban/Rural)</v>
      </c>
      <c r="V774" s="21" t="str">
        <f t="shared" si="36"/>
        <v>7-12 months</v>
      </c>
      <c r="W774" s="21" t="str">
        <f t="shared" si="37"/>
        <v>Low Risk</v>
      </c>
      <c r="X774" s="21" t="str">
        <f t="shared" si="38"/>
        <v>No</v>
      </c>
    </row>
    <row r="775" spans="1:24" x14ac:dyDescent="0.3">
      <c r="A775" s="21">
        <f>'Raw Data'!A775</f>
        <v>50774</v>
      </c>
      <c r="B775" s="21">
        <f>'Raw Data'!B775</f>
        <v>0</v>
      </c>
      <c r="C775" s="21">
        <f>'Raw Data'!C775</f>
        <v>1</v>
      </c>
      <c r="D775" s="21" t="str">
        <f>'Raw Data'!D775</f>
        <v>Mobile Phone</v>
      </c>
      <c r="E775" s="21">
        <f>'Raw Data'!E775</f>
        <v>2</v>
      </c>
      <c r="F775" s="21">
        <f>IF('Raw Data'!F775="",ROUND(AVERAGE('Raw Data'!$F$2:$F$1501),1),'Raw Data'!F775)</f>
        <v>10</v>
      </c>
      <c r="G775" s="21" t="str">
        <f>'Raw Data'!G775</f>
        <v>Debit Card</v>
      </c>
      <c r="H775" s="21" t="str">
        <f>'Raw Data'!H775</f>
        <v>Female</v>
      </c>
      <c r="I775" s="21">
        <f>IF('Raw Data'!I775="",ROUND(AVERAGE('Raw Data'!$I$2:$I$1501),1),'Raw Data'!I775)</f>
        <v>3</v>
      </c>
      <c r="J775" s="21">
        <f>'Raw Data'!J775</f>
        <v>2</v>
      </c>
      <c r="K775" s="21" t="str">
        <f>'Raw Data'!K775</f>
        <v>Laptop &amp; Accessory</v>
      </c>
      <c r="L775" s="21">
        <f>'Raw Data'!L775</f>
        <v>3</v>
      </c>
      <c r="M775" s="21" t="str">
        <f>'Raw Data'!M775</f>
        <v>Married</v>
      </c>
      <c r="N775" s="21">
        <f>'Raw Data'!N775</f>
        <v>5</v>
      </c>
      <c r="O775" s="21">
        <f>'Raw Data'!O775</f>
        <v>0</v>
      </c>
      <c r="P775" s="21">
        <f>IF('Raw Data'!P775="",ROUND(AVERAGE('Raw Data'!$P$2:$P$1501),1),'Raw Data'!P775)</f>
        <v>15.6</v>
      </c>
      <c r="Q775" s="21">
        <f>IF('Raw Data'!Q775="",ROUND(AVERAGE('Raw Data'!$Q$2:$Q$1501),0),'Raw Data'!Q775)</f>
        <v>1</v>
      </c>
      <c r="R775" s="21">
        <f>'Raw Data'!R775</f>
        <v>5</v>
      </c>
      <c r="S775" s="21">
        <f>IF('Raw Data'!S775="",ROUND(AVERAGE('Raw Data'!$S$2:$S$1501),0),'Raw Data'!S775)</f>
        <v>11</v>
      </c>
      <c r="T775" s="21">
        <f>'Raw Data'!T775</f>
        <v>174.03</v>
      </c>
      <c r="U775" s="21" t="str">
        <f>INDEX('Lookup Tables'!$C$7:$C$9,MATCH(E775,'Lookup Tables'!$B$7:$B$9,0))</f>
        <v>Tier 2 (Urban)</v>
      </c>
      <c r="V775" s="21" t="str">
        <f t="shared" si="36"/>
        <v>0-6 months</v>
      </c>
      <c r="W775" s="21" t="str">
        <f t="shared" si="37"/>
        <v>Medium Risk</v>
      </c>
      <c r="X775" s="21" t="str">
        <f t="shared" si="38"/>
        <v>No</v>
      </c>
    </row>
    <row r="776" spans="1:24" x14ac:dyDescent="0.3">
      <c r="A776" s="21">
        <f>'Raw Data'!A776</f>
        <v>50775</v>
      </c>
      <c r="B776" s="21">
        <f>'Raw Data'!B776</f>
        <v>0</v>
      </c>
      <c r="C776" s="21">
        <f>'Raw Data'!C776</f>
        <v>13</v>
      </c>
      <c r="D776" s="21" t="str">
        <f>'Raw Data'!D776</f>
        <v>Phone</v>
      </c>
      <c r="E776" s="21">
        <f>'Raw Data'!E776</f>
        <v>1</v>
      </c>
      <c r="F776" s="21">
        <f>IF('Raw Data'!F776="",ROUND(AVERAGE('Raw Data'!$F$2:$F$1501),1),'Raw Data'!F776)</f>
        <v>23</v>
      </c>
      <c r="G776" s="21" t="str">
        <f>'Raw Data'!G776</f>
        <v>Credit Card</v>
      </c>
      <c r="H776" s="21" t="str">
        <f>'Raw Data'!H776</f>
        <v>Male</v>
      </c>
      <c r="I776" s="21">
        <f>IF('Raw Data'!I776="",ROUND(AVERAGE('Raw Data'!$I$2:$I$1501),1),'Raw Data'!I776)</f>
        <v>3.2</v>
      </c>
      <c r="J776" s="21">
        <f>'Raw Data'!J776</f>
        <v>4</v>
      </c>
      <c r="K776" s="21" t="str">
        <f>'Raw Data'!K776</f>
        <v>Grocery</v>
      </c>
      <c r="L776" s="21">
        <f>'Raw Data'!L776</f>
        <v>3</v>
      </c>
      <c r="M776" s="21" t="str">
        <f>'Raw Data'!M776</f>
        <v>Married</v>
      </c>
      <c r="N776" s="21">
        <f>'Raw Data'!N776</f>
        <v>2</v>
      </c>
      <c r="O776" s="21">
        <f>'Raw Data'!O776</f>
        <v>0</v>
      </c>
      <c r="P776" s="21">
        <f>IF('Raw Data'!P776="",ROUND(AVERAGE('Raw Data'!$P$2:$P$1501),1),'Raw Data'!P776)</f>
        <v>13.7</v>
      </c>
      <c r="Q776" s="21">
        <f>IF('Raw Data'!Q776="",ROUND(AVERAGE('Raw Data'!$Q$2:$Q$1501),0),'Raw Data'!Q776)</f>
        <v>3</v>
      </c>
      <c r="R776" s="21">
        <f>'Raw Data'!R776</f>
        <v>2</v>
      </c>
      <c r="S776" s="21">
        <f>IF('Raw Data'!S776="",ROUND(AVERAGE('Raw Data'!$S$2:$S$1501),0),'Raw Data'!S776)</f>
        <v>2</v>
      </c>
      <c r="T776" s="21">
        <f>'Raw Data'!T776</f>
        <v>224.58</v>
      </c>
      <c r="U776" s="21" t="str">
        <f>INDEX('Lookup Tables'!$C$7:$C$9,MATCH(E776,'Lookup Tables'!$B$7:$B$9,0))</f>
        <v>Tier 1 (Metro)</v>
      </c>
      <c r="V776" s="21" t="str">
        <f t="shared" si="36"/>
        <v>13-24 months</v>
      </c>
      <c r="W776" s="21" t="str">
        <f t="shared" si="37"/>
        <v>Medium Risk</v>
      </c>
      <c r="X776" s="21" t="str">
        <f t="shared" si="38"/>
        <v>No</v>
      </c>
    </row>
    <row r="777" spans="1:24" x14ac:dyDescent="0.3">
      <c r="A777" s="21">
        <f>'Raw Data'!A777</f>
        <v>50776</v>
      </c>
      <c r="B777" s="21">
        <f>'Raw Data'!B777</f>
        <v>0</v>
      </c>
      <c r="C777" s="21">
        <f>'Raw Data'!C777</f>
        <v>19</v>
      </c>
      <c r="D777" s="21" t="str">
        <f>'Raw Data'!D777</f>
        <v>Computer</v>
      </c>
      <c r="E777" s="21">
        <f>'Raw Data'!E777</f>
        <v>1</v>
      </c>
      <c r="F777" s="21">
        <f>IF('Raw Data'!F777="",ROUND(AVERAGE('Raw Data'!$F$2:$F$1501),1),'Raw Data'!F777)</f>
        <v>11</v>
      </c>
      <c r="G777" s="21" t="str">
        <f>'Raw Data'!G777</f>
        <v>UPI</v>
      </c>
      <c r="H777" s="21" t="str">
        <f>'Raw Data'!H777</f>
        <v>Male</v>
      </c>
      <c r="I777" s="21">
        <f>IF('Raw Data'!I777="",ROUND(AVERAGE('Raw Data'!$I$2:$I$1501),1),'Raw Data'!I777)</f>
        <v>3.1</v>
      </c>
      <c r="J777" s="21">
        <f>'Raw Data'!J777</f>
        <v>5</v>
      </c>
      <c r="K777" s="21" t="str">
        <f>'Raw Data'!K777</f>
        <v>Grocery</v>
      </c>
      <c r="L777" s="21">
        <f>'Raw Data'!L777</f>
        <v>4</v>
      </c>
      <c r="M777" s="21" t="str">
        <f>'Raw Data'!M777</f>
        <v>Married</v>
      </c>
      <c r="N777" s="21">
        <f>'Raw Data'!N777</f>
        <v>16</v>
      </c>
      <c r="O777" s="21">
        <f>'Raw Data'!O777</f>
        <v>0</v>
      </c>
      <c r="P777" s="21">
        <f>IF('Raw Data'!P777="",ROUND(AVERAGE('Raw Data'!$P$2:$P$1501),1),'Raw Data'!P777)</f>
        <v>11</v>
      </c>
      <c r="Q777" s="21">
        <f>IF('Raw Data'!Q777="",ROUND(AVERAGE('Raw Data'!$Q$2:$Q$1501),0),'Raw Data'!Q777)</f>
        <v>1</v>
      </c>
      <c r="R777" s="21">
        <f>'Raw Data'!R777</f>
        <v>2</v>
      </c>
      <c r="S777" s="21">
        <f>IF('Raw Data'!S777="",ROUND(AVERAGE('Raw Data'!$S$2:$S$1501),0),'Raw Data'!S777)</f>
        <v>2</v>
      </c>
      <c r="T777" s="21">
        <f>'Raw Data'!T777</f>
        <v>203.67</v>
      </c>
      <c r="U777" s="21" t="str">
        <f>INDEX('Lookup Tables'!$C$7:$C$9,MATCH(E777,'Lookup Tables'!$B$7:$B$9,0))</f>
        <v>Tier 1 (Metro)</v>
      </c>
      <c r="V777" s="21" t="str">
        <f t="shared" si="36"/>
        <v>13-24 months</v>
      </c>
      <c r="W777" s="21" t="str">
        <f t="shared" si="37"/>
        <v>Low Risk</v>
      </c>
      <c r="X777" s="21" t="str">
        <f t="shared" si="38"/>
        <v>No</v>
      </c>
    </row>
    <row r="778" spans="1:24" x14ac:dyDescent="0.3">
      <c r="A778" s="21">
        <f>'Raw Data'!A778</f>
        <v>50777</v>
      </c>
      <c r="B778" s="21">
        <f>'Raw Data'!B778</f>
        <v>0</v>
      </c>
      <c r="C778" s="21">
        <f>'Raw Data'!C778</f>
        <v>2</v>
      </c>
      <c r="D778" s="21" t="str">
        <f>'Raw Data'!D778</f>
        <v>Computer</v>
      </c>
      <c r="E778" s="21">
        <f>'Raw Data'!E778</f>
        <v>2</v>
      </c>
      <c r="F778" s="21">
        <f>IF('Raw Data'!F778="",ROUND(AVERAGE('Raw Data'!$F$2:$F$1501),1),'Raw Data'!F778)</f>
        <v>8</v>
      </c>
      <c r="G778" s="21" t="str">
        <f>'Raw Data'!G778</f>
        <v>Cash on Delivery</v>
      </c>
      <c r="H778" s="21" t="str">
        <f>'Raw Data'!H778</f>
        <v>Male</v>
      </c>
      <c r="I778" s="21">
        <f>IF('Raw Data'!I778="",ROUND(AVERAGE('Raw Data'!$I$2:$I$1501),1),'Raw Data'!I778)</f>
        <v>3.2</v>
      </c>
      <c r="J778" s="21">
        <f>'Raw Data'!J778</f>
        <v>3</v>
      </c>
      <c r="K778" s="21" t="str">
        <f>'Raw Data'!K778</f>
        <v>Mobile Phone</v>
      </c>
      <c r="L778" s="21">
        <f>'Raw Data'!L778</f>
        <v>5</v>
      </c>
      <c r="M778" s="21" t="str">
        <f>'Raw Data'!M778</f>
        <v>Single</v>
      </c>
      <c r="N778" s="21">
        <f>'Raw Data'!N778</f>
        <v>1</v>
      </c>
      <c r="O778" s="21">
        <f>'Raw Data'!O778</f>
        <v>0</v>
      </c>
      <c r="P778" s="21">
        <f>IF('Raw Data'!P778="",ROUND(AVERAGE('Raw Data'!$P$2:$P$1501),1),'Raw Data'!P778)</f>
        <v>15.4</v>
      </c>
      <c r="Q778" s="21">
        <f>IF('Raw Data'!Q778="",ROUND(AVERAGE('Raw Data'!$Q$2:$Q$1501),0),'Raw Data'!Q778)</f>
        <v>4</v>
      </c>
      <c r="R778" s="21">
        <f>'Raw Data'!R778</f>
        <v>4</v>
      </c>
      <c r="S778" s="21">
        <f>IF('Raw Data'!S778="",ROUND(AVERAGE('Raw Data'!$S$2:$S$1501),0),'Raw Data'!S778)</f>
        <v>0</v>
      </c>
      <c r="T778" s="21">
        <f>'Raw Data'!T778</f>
        <v>159.30000000000001</v>
      </c>
      <c r="U778" s="21" t="str">
        <f>INDEX('Lookup Tables'!$C$7:$C$9,MATCH(E778,'Lookup Tables'!$B$7:$B$9,0))</f>
        <v>Tier 2 (Urban)</v>
      </c>
      <c r="V778" s="21" t="str">
        <f t="shared" si="36"/>
        <v>0-6 months</v>
      </c>
      <c r="W778" s="21" t="str">
        <f t="shared" si="37"/>
        <v>Low Risk</v>
      </c>
      <c r="X778" s="21" t="str">
        <f t="shared" si="38"/>
        <v>No</v>
      </c>
    </row>
    <row r="779" spans="1:24" x14ac:dyDescent="0.3">
      <c r="A779" s="21">
        <f>'Raw Data'!A779</f>
        <v>50778</v>
      </c>
      <c r="B779" s="21">
        <f>'Raw Data'!B779</f>
        <v>0</v>
      </c>
      <c r="C779" s="21">
        <f>'Raw Data'!C779</f>
        <v>1</v>
      </c>
      <c r="D779" s="21" t="str">
        <f>'Raw Data'!D779</f>
        <v>Phone</v>
      </c>
      <c r="E779" s="21">
        <f>'Raw Data'!E779</f>
        <v>3</v>
      </c>
      <c r="F779" s="21">
        <f>IF('Raw Data'!F779="",ROUND(AVERAGE('Raw Data'!$F$2:$F$1501),1),'Raw Data'!F779)</f>
        <v>8</v>
      </c>
      <c r="G779" s="21" t="str">
        <f>'Raw Data'!G779</f>
        <v>E wallet</v>
      </c>
      <c r="H779" s="21" t="str">
        <f>'Raw Data'!H779</f>
        <v>Female</v>
      </c>
      <c r="I779" s="21">
        <f>IF('Raw Data'!I779="",ROUND(AVERAGE('Raw Data'!$I$2:$I$1501),1),'Raw Data'!I779)</f>
        <v>3.8</v>
      </c>
      <c r="J779" s="21">
        <f>'Raw Data'!J779</f>
        <v>4</v>
      </c>
      <c r="K779" s="21" t="str">
        <f>'Raw Data'!K779</f>
        <v>Mobile Phone</v>
      </c>
      <c r="L779" s="21">
        <f>'Raw Data'!L779</f>
        <v>4</v>
      </c>
      <c r="M779" s="21" t="str">
        <f>'Raw Data'!M779</f>
        <v>Single</v>
      </c>
      <c r="N779" s="21">
        <f>'Raw Data'!N779</f>
        <v>1</v>
      </c>
      <c r="O779" s="21">
        <f>'Raw Data'!O779</f>
        <v>0</v>
      </c>
      <c r="P779" s="21">
        <f>IF('Raw Data'!P779="",ROUND(AVERAGE('Raw Data'!$P$2:$P$1501),1),'Raw Data'!P779)</f>
        <v>16.399999999999999</v>
      </c>
      <c r="Q779" s="21">
        <f>IF('Raw Data'!Q779="",ROUND(AVERAGE('Raw Data'!$Q$2:$Q$1501),0),'Raw Data'!Q779)</f>
        <v>2</v>
      </c>
      <c r="R779" s="21">
        <f>'Raw Data'!R779</f>
        <v>3</v>
      </c>
      <c r="S779" s="21">
        <f>IF('Raw Data'!S779="",ROUND(AVERAGE('Raw Data'!$S$2:$S$1501),0),'Raw Data'!S779)</f>
        <v>2</v>
      </c>
      <c r="T779" s="21">
        <f>'Raw Data'!T779</f>
        <v>77.89</v>
      </c>
      <c r="U779" s="21" t="str">
        <f>INDEX('Lookup Tables'!$C$7:$C$9,MATCH(E779,'Lookup Tables'!$B$7:$B$9,0))</f>
        <v>Tier 3 (Semi-urban/Rural)</v>
      </c>
      <c r="V779" s="21" t="str">
        <f t="shared" si="36"/>
        <v>0-6 months</v>
      </c>
      <c r="W779" s="21" t="str">
        <f t="shared" si="37"/>
        <v>Low Risk</v>
      </c>
      <c r="X779" s="21" t="str">
        <f t="shared" si="38"/>
        <v>No</v>
      </c>
    </row>
    <row r="780" spans="1:24" x14ac:dyDescent="0.3">
      <c r="A780" s="21">
        <f>'Raw Data'!A780</f>
        <v>50779</v>
      </c>
      <c r="B780" s="21">
        <f>'Raw Data'!B780</f>
        <v>0</v>
      </c>
      <c r="C780" s="21">
        <f>'Raw Data'!C780</f>
        <v>0</v>
      </c>
      <c r="D780" s="21" t="str">
        <f>'Raw Data'!D780</f>
        <v>Computer</v>
      </c>
      <c r="E780" s="21">
        <f>'Raw Data'!E780</f>
        <v>3</v>
      </c>
      <c r="F780" s="21">
        <f>IF('Raw Data'!F780="",ROUND(AVERAGE('Raw Data'!$F$2:$F$1501),1),'Raw Data'!F780)</f>
        <v>5</v>
      </c>
      <c r="G780" s="21" t="str">
        <f>'Raw Data'!G780</f>
        <v>Debit Card</v>
      </c>
      <c r="H780" s="21" t="str">
        <f>'Raw Data'!H780</f>
        <v>Female</v>
      </c>
      <c r="I780" s="21">
        <f>IF('Raw Data'!I780="",ROUND(AVERAGE('Raw Data'!$I$2:$I$1501),1),'Raw Data'!I780)</f>
        <v>3.1</v>
      </c>
      <c r="J780" s="21">
        <f>'Raw Data'!J780</f>
        <v>4</v>
      </c>
      <c r="K780" s="21" t="str">
        <f>'Raw Data'!K780</f>
        <v>Grocery</v>
      </c>
      <c r="L780" s="21">
        <f>'Raw Data'!L780</f>
        <v>4</v>
      </c>
      <c r="M780" s="21" t="str">
        <f>'Raw Data'!M780</f>
        <v>Divorced</v>
      </c>
      <c r="N780" s="21">
        <f>'Raw Data'!N780</f>
        <v>1</v>
      </c>
      <c r="O780" s="21">
        <f>'Raw Data'!O780</f>
        <v>1</v>
      </c>
      <c r="P780" s="21">
        <f>IF('Raw Data'!P780="",ROUND(AVERAGE('Raw Data'!$P$2:$P$1501),1),'Raw Data'!P780)</f>
        <v>20.399999999999999</v>
      </c>
      <c r="Q780" s="21">
        <f>IF('Raw Data'!Q780="",ROUND(AVERAGE('Raw Data'!$Q$2:$Q$1501),0),'Raw Data'!Q780)</f>
        <v>2</v>
      </c>
      <c r="R780" s="21">
        <f>'Raw Data'!R780</f>
        <v>4</v>
      </c>
      <c r="S780" s="21">
        <f>IF('Raw Data'!S780="",ROUND(AVERAGE('Raw Data'!$S$2:$S$1501),0),'Raw Data'!S780)</f>
        <v>0</v>
      </c>
      <c r="T780" s="21">
        <f>'Raw Data'!T780</f>
        <v>262.45</v>
      </c>
      <c r="U780" s="21" t="str">
        <f>INDEX('Lookup Tables'!$C$7:$C$9,MATCH(E780,'Lookup Tables'!$B$7:$B$9,0))</f>
        <v>Tier 3 (Semi-urban/Rural)</v>
      </c>
      <c r="V780" s="21" t="str">
        <f t="shared" si="36"/>
        <v>0-6 months</v>
      </c>
      <c r="W780" s="21" t="str">
        <f t="shared" si="37"/>
        <v>Low Risk</v>
      </c>
      <c r="X780" s="21" t="str">
        <f t="shared" si="38"/>
        <v>No</v>
      </c>
    </row>
    <row r="781" spans="1:24" x14ac:dyDescent="0.3">
      <c r="A781" s="21">
        <f>'Raw Data'!A781</f>
        <v>50780</v>
      </c>
      <c r="B781" s="21">
        <f>'Raw Data'!B781</f>
        <v>1</v>
      </c>
      <c r="C781" s="21">
        <f>'Raw Data'!C781</f>
        <v>10</v>
      </c>
      <c r="D781" s="21" t="str">
        <f>'Raw Data'!D781</f>
        <v>Phone</v>
      </c>
      <c r="E781" s="21">
        <f>'Raw Data'!E781</f>
        <v>1</v>
      </c>
      <c r="F781" s="21">
        <f>IF('Raw Data'!F781="",ROUND(AVERAGE('Raw Data'!$F$2:$F$1501),1),'Raw Data'!F781)</f>
        <v>18</v>
      </c>
      <c r="G781" s="21" t="str">
        <f>'Raw Data'!G781</f>
        <v>Cash on Delivery</v>
      </c>
      <c r="H781" s="21" t="str">
        <f>'Raw Data'!H781</f>
        <v>Male</v>
      </c>
      <c r="I781" s="21">
        <f>IF('Raw Data'!I781="",ROUND(AVERAGE('Raw Data'!$I$2:$I$1501),1),'Raw Data'!I781)</f>
        <v>2.4</v>
      </c>
      <c r="J781" s="21">
        <f>'Raw Data'!J781</f>
        <v>3</v>
      </c>
      <c r="K781" s="21" t="str">
        <f>'Raw Data'!K781</f>
        <v>Fashion</v>
      </c>
      <c r="L781" s="21">
        <f>'Raw Data'!L781</f>
        <v>2</v>
      </c>
      <c r="M781" s="21" t="str">
        <f>'Raw Data'!M781</f>
        <v>Married</v>
      </c>
      <c r="N781" s="21">
        <f>'Raw Data'!N781</f>
        <v>2</v>
      </c>
      <c r="O781" s="21">
        <f>'Raw Data'!O781</f>
        <v>1</v>
      </c>
      <c r="P781" s="21">
        <f>IF('Raw Data'!P781="",ROUND(AVERAGE('Raw Data'!$P$2:$P$1501),1),'Raw Data'!P781)</f>
        <v>19.3</v>
      </c>
      <c r="Q781" s="21">
        <f>IF('Raw Data'!Q781="",ROUND(AVERAGE('Raw Data'!$Q$2:$Q$1501),0),'Raw Data'!Q781)</f>
        <v>0</v>
      </c>
      <c r="R781" s="21">
        <f>'Raw Data'!R781</f>
        <v>6</v>
      </c>
      <c r="S781" s="21">
        <f>IF('Raw Data'!S781="",ROUND(AVERAGE('Raw Data'!$S$2:$S$1501),0),'Raw Data'!S781)</f>
        <v>8</v>
      </c>
      <c r="T781" s="21">
        <f>'Raw Data'!T781</f>
        <v>142.27000000000001</v>
      </c>
      <c r="U781" s="21" t="str">
        <f>INDEX('Lookup Tables'!$C$7:$C$9,MATCH(E781,'Lookup Tables'!$B$7:$B$9,0))</f>
        <v>Tier 1 (Metro)</v>
      </c>
      <c r="V781" s="21" t="str">
        <f t="shared" si="36"/>
        <v>7-12 months</v>
      </c>
      <c r="W781" s="21" t="str">
        <f t="shared" si="37"/>
        <v>High Risk</v>
      </c>
      <c r="X781" s="21" t="str">
        <f t="shared" si="38"/>
        <v>Yes</v>
      </c>
    </row>
    <row r="782" spans="1:24" x14ac:dyDescent="0.3">
      <c r="A782" s="21">
        <f>'Raw Data'!A782</f>
        <v>50781</v>
      </c>
      <c r="B782" s="21">
        <f>'Raw Data'!B782</f>
        <v>0</v>
      </c>
      <c r="C782" s="21">
        <f>'Raw Data'!C782</f>
        <v>9</v>
      </c>
      <c r="D782" s="21" t="str">
        <f>'Raw Data'!D782</f>
        <v>Computer</v>
      </c>
      <c r="E782" s="21">
        <f>'Raw Data'!E782</f>
        <v>1</v>
      </c>
      <c r="F782" s="21">
        <f>IF('Raw Data'!F782="",ROUND(AVERAGE('Raw Data'!$F$2:$F$1501),1),'Raw Data'!F782)</f>
        <v>5</v>
      </c>
      <c r="G782" s="21" t="str">
        <f>'Raw Data'!G782</f>
        <v>Credit Card</v>
      </c>
      <c r="H782" s="21" t="str">
        <f>'Raw Data'!H782</f>
        <v>Female</v>
      </c>
      <c r="I782" s="21">
        <f>IF('Raw Data'!I782="",ROUND(AVERAGE('Raw Data'!$I$2:$I$1501),1),'Raw Data'!I782)</f>
        <v>3.5</v>
      </c>
      <c r="J782" s="21">
        <f>'Raw Data'!J782</f>
        <v>3</v>
      </c>
      <c r="K782" s="21" t="str">
        <f>'Raw Data'!K782</f>
        <v>Laptop &amp; Accessory</v>
      </c>
      <c r="L782" s="21">
        <f>'Raw Data'!L782</f>
        <v>2</v>
      </c>
      <c r="M782" s="21" t="str">
        <f>'Raw Data'!M782</f>
        <v>Married</v>
      </c>
      <c r="N782" s="21">
        <f>'Raw Data'!N782</f>
        <v>8</v>
      </c>
      <c r="O782" s="21">
        <f>'Raw Data'!O782</f>
        <v>0</v>
      </c>
      <c r="P782" s="21">
        <f>IF('Raw Data'!P782="",ROUND(AVERAGE('Raw Data'!$P$2:$P$1501),1),'Raw Data'!P782)</f>
        <v>20.3</v>
      </c>
      <c r="Q782" s="21">
        <f>IF('Raw Data'!Q782="",ROUND(AVERAGE('Raw Data'!$Q$2:$Q$1501),0),'Raw Data'!Q782)</f>
        <v>2</v>
      </c>
      <c r="R782" s="21">
        <f>'Raw Data'!R782</f>
        <v>3</v>
      </c>
      <c r="S782" s="21">
        <f>IF('Raw Data'!S782="",ROUND(AVERAGE('Raw Data'!$S$2:$S$1501),0),'Raw Data'!S782)</f>
        <v>8</v>
      </c>
      <c r="T782" s="21">
        <f>'Raw Data'!T782</f>
        <v>199.67</v>
      </c>
      <c r="U782" s="21" t="str">
        <f>INDEX('Lookup Tables'!$C$7:$C$9,MATCH(E782,'Lookup Tables'!$B$7:$B$9,0))</f>
        <v>Tier 1 (Metro)</v>
      </c>
      <c r="V782" s="21" t="str">
        <f t="shared" si="36"/>
        <v>7-12 months</v>
      </c>
      <c r="W782" s="21" t="str">
        <f t="shared" si="37"/>
        <v>Low Risk</v>
      </c>
      <c r="X782" s="21" t="str">
        <f t="shared" si="38"/>
        <v>No</v>
      </c>
    </row>
    <row r="783" spans="1:24" x14ac:dyDescent="0.3">
      <c r="A783" s="21">
        <f>'Raw Data'!A783</f>
        <v>50782</v>
      </c>
      <c r="B783" s="21">
        <f>'Raw Data'!B783</f>
        <v>0</v>
      </c>
      <c r="C783" s="21">
        <f>'Raw Data'!C783</f>
        <v>7</v>
      </c>
      <c r="D783" s="21" t="str">
        <f>'Raw Data'!D783</f>
        <v>Phone</v>
      </c>
      <c r="E783" s="21">
        <f>'Raw Data'!E783</f>
        <v>3</v>
      </c>
      <c r="F783" s="21">
        <f>IF('Raw Data'!F783="",ROUND(AVERAGE('Raw Data'!$F$2:$F$1501),1),'Raw Data'!F783)</f>
        <v>5</v>
      </c>
      <c r="G783" s="21" t="str">
        <f>'Raw Data'!G783</f>
        <v>Debit Card</v>
      </c>
      <c r="H783" s="21" t="str">
        <f>'Raw Data'!H783</f>
        <v>Female</v>
      </c>
      <c r="I783" s="21">
        <f>IF('Raw Data'!I783="",ROUND(AVERAGE('Raw Data'!$I$2:$I$1501),1),'Raw Data'!I783)</f>
        <v>1.9</v>
      </c>
      <c r="J783" s="21">
        <f>'Raw Data'!J783</f>
        <v>2</v>
      </c>
      <c r="K783" s="21" t="str">
        <f>'Raw Data'!K783</f>
        <v>Laptop &amp; Accessory</v>
      </c>
      <c r="L783" s="21">
        <f>'Raw Data'!L783</f>
        <v>3</v>
      </c>
      <c r="M783" s="21" t="str">
        <f>'Raw Data'!M783</f>
        <v>Single</v>
      </c>
      <c r="N783" s="21">
        <f>'Raw Data'!N783</f>
        <v>2</v>
      </c>
      <c r="O783" s="21">
        <f>'Raw Data'!O783</f>
        <v>0</v>
      </c>
      <c r="P783" s="21">
        <f>IF('Raw Data'!P783="",ROUND(AVERAGE('Raw Data'!$P$2:$P$1501),1),'Raw Data'!P783)</f>
        <v>18.5</v>
      </c>
      <c r="Q783" s="21">
        <f>IF('Raw Data'!Q783="",ROUND(AVERAGE('Raw Data'!$Q$2:$Q$1501),0),'Raw Data'!Q783)</f>
        <v>6</v>
      </c>
      <c r="R783" s="21">
        <f>'Raw Data'!R783</f>
        <v>2</v>
      </c>
      <c r="S783" s="21">
        <f>IF('Raw Data'!S783="",ROUND(AVERAGE('Raw Data'!$S$2:$S$1501),0),'Raw Data'!S783)</f>
        <v>2</v>
      </c>
      <c r="T783" s="21">
        <f>'Raw Data'!T783</f>
        <v>74.59</v>
      </c>
      <c r="U783" s="21" t="str">
        <f>INDEX('Lookup Tables'!$C$7:$C$9,MATCH(E783,'Lookup Tables'!$B$7:$B$9,0))</f>
        <v>Tier 3 (Semi-urban/Rural)</v>
      </c>
      <c r="V783" s="21" t="str">
        <f t="shared" si="36"/>
        <v>7-12 months</v>
      </c>
      <c r="W783" s="21" t="str">
        <f t="shared" si="37"/>
        <v>Medium Risk</v>
      </c>
      <c r="X783" s="21" t="str">
        <f t="shared" si="38"/>
        <v>No</v>
      </c>
    </row>
    <row r="784" spans="1:24" x14ac:dyDescent="0.3">
      <c r="A784" s="21">
        <f>'Raw Data'!A784</f>
        <v>50783</v>
      </c>
      <c r="B784" s="21">
        <f>'Raw Data'!B784</f>
        <v>1</v>
      </c>
      <c r="C784" s="21">
        <f>'Raw Data'!C784</f>
        <v>2</v>
      </c>
      <c r="D784" s="21" t="str">
        <f>'Raw Data'!D784</f>
        <v>Mobile Phone</v>
      </c>
      <c r="E784" s="21">
        <f>'Raw Data'!E784</f>
        <v>3</v>
      </c>
      <c r="F784" s="21">
        <f>IF('Raw Data'!F784="",ROUND(AVERAGE('Raw Data'!$F$2:$F$1501),1),'Raw Data'!F784)</f>
        <v>5</v>
      </c>
      <c r="G784" s="21" t="str">
        <f>'Raw Data'!G784</f>
        <v>Cash on Delivery</v>
      </c>
      <c r="H784" s="21" t="str">
        <f>'Raw Data'!H784</f>
        <v>Female</v>
      </c>
      <c r="I784" s="21">
        <f>IF('Raw Data'!I784="",ROUND(AVERAGE('Raw Data'!$I$2:$I$1501),1),'Raw Data'!I784)</f>
        <v>2.1</v>
      </c>
      <c r="J784" s="21">
        <f>'Raw Data'!J784</f>
        <v>3</v>
      </c>
      <c r="K784" s="21" t="str">
        <f>'Raw Data'!K784</f>
        <v>Mobile Phone</v>
      </c>
      <c r="L784" s="21">
        <f>'Raw Data'!L784</f>
        <v>2</v>
      </c>
      <c r="M784" s="21" t="str">
        <f>'Raw Data'!M784</f>
        <v>Single</v>
      </c>
      <c r="N784" s="21">
        <f>'Raw Data'!N784</f>
        <v>1</v>
      </c>
      <c r="O784" s="21">
        <f>'Raw Data'!O784</f>
        <v>0</v>
      </c>
      <c r="P784" s="21">
        <f>IF('Raw Data'!P784="",ROUND(AVERAGE('Raw Data'!$P$2:$P$1501),1),'Raw Data'!P784)</f>
        <v>17.2</v>
      </c>
      <c r="Q784" s="21">
        <f>IF('Raw Data'!Q784="",ROUND(AVERAGE('Raw Data'!$Q$2:$Q$1501),0),'Raw Data'!Q784)</f>
        <v>1</v>
      </c>
      <c r="R784" s="21">
        <f>'Raw Data'!R784</f>
        <v>5</v>
      </c>
      <c r="S784" s="21">
        <f>IF('Raw Data'!S784="",ROUND(AVERAGE('Raw Data'!$S$2:$S$1501),0),'Raw Data'!S784)</f>
        <v>1</v>
      </c>
      <c r="T784" s="21">
        <f>'Raw Data'!T784</f>
        <v>179.38</v>
      </c>
      <c r="U784" s="21" t="str">
        <f>INDEX('Lookup Tables'!$C$7:$C$9,MATCH(E784,'Lookup Tables'!$B$7:$B$9,0))</f>
        <v>Tier 3 (Semi-urban/Rural)</v>
      </c>
      <c r="V784" s="21" t="str">
        <f t="shared" si="36"/>
        <v>0-6 months</v>
      </c>
      <c r="W784" s="21" t="str">
        <f t="shared" si="37"/>
        <v>Low Risk</v>
      </c>
      <c r="X784" s="21" t="str">
        <f t="shared" si="38"/>
        <v>Yes</v>
      </c>
    </row>
    <row r="785" spans="1:24" x14ac:dyDescent="0.3">
      <c r="A785" s="21">
        <f>'Raw Data'!A785</f>
        <v>50784</v>
      </c>
      <c r="B785" s="21">
        <f>'Raw Data'!B785</f>
        <v>0</v>
      </c>
      <c r="C785" s="21">
        <f>'Raw Data'!C785</f>
        <v>4</v>
      </c>
      <c r="D785" s="21" t="str">
        <f>'Raw Data'!D785</f>
        <v>Mobile Phone</v>
      </c>
      <c r="E785" s="21">
        <f>'Raw Data'!E785</f>
        <v>3</v>
      </c>
      <c r="F785" s="21">
        <f>IF('Raw Data'!F785="",ROUND(AVERAGE('Raw Data'!$F$2:$F$1501),1),'Raw Data'!F785)</f>
        <v>14</v>
      </c>
      <c r="G785" s="21" t="str">
        <f>'Raw Data'!G785</f>
        <v>UPI</v>
      </c>
      <c r="H785" s="21" t="str">
        <f>'Raw Data'!H785</f>
        <v>Female</v>
      </c>
      <c r="I785" s="21">
        <f>IF('Raw Data'!I785="",ROUND(AVERAGE('Raw Data'!$I$2:$I$1501),1),'Raw Data'!I785)</f>
        <v>3.1</v>
      </c>
      <c r="J785" s="21">
        <f>'Raw Data'!J785</f>
        <v>4</v>
      </c>
      <c r="K785" s="21" t="str">
        <f>'Raw Data'!K785</f>
        <v>Grocery</v>
      </c>
      <c r="L785" s="21">
        <f>'Raw Data'!L785</f>
        <v>4</v>
      </c>
      <c r="M785" s="21" t="str">
        <f>'Raw Data'!M785</f>
        <v>Married</v>
      </c>
      <c r="N785" s="21">
        <f>'Raw Data'!N785</f>
        <v>1</v>
      </c>
      <c r="O785" s="21">
        <f>'Raw Data'!O785</f>
        <v>1</v>
      </c>
      <c r="P785" s="21">
        <f>IF('Raw Data'!P785="",ROUND(AVERAGE('Raw Data'!$P$2:$P$1501),1),'Raw Data'!P785)</f>
        <v>11.7</v>
      </c>
      <c r="Q785" s="21">
        <f>IF('Raw Data'!Q785="",ROUND(AVERAGE('Raw Data'!$Q$2:$Q$1501),0),'Raw Data'!Q785)</f>
        <v>0</v>
      </c>
      <c r="R785" s="21">
        <f>'Raw Data'!R785</f>
        <v>4</v>
      </c>
      <c r="S785" s="21">
        <f>IF('Raw Data'!S785="",ROUND(AVERAGE('Raw Data'!$S$2:$S$1501),0),'Raw Data'!S785)</f>
        <v>0</v>
      </c>
      <c r="T785" s="21">
        <f>'Raw Data'!T785</f>
        <v>185.51</v>
      </c>
      <c r="U785" s="21" t="str">
        <f>INDEX('Lookup Tables'!$C$7:$C$9,MATCH(E785,'Lookup Tables'!$B$7:$B$9,0))</f>
        <v>Tier 3 (Semi-urban/Rural)</v>
      </c>
      <c r="V785" s="21" t="str">
        <f t="shared" si="36"/>
        <v>0-6 months</v>
      </c>
      <c r="W785" s="21" t="str">
        <f t="shared" si="37"/>
        <v>Low Risk</v>
      </c>
      <c r="X785" s="21" t="str">
        <f t="shared" si="38"/>
        <v>No</v>
      </c>
    </row>
    <row r="786" spans="1:24" x14ac:dyDescent="0.3">
      <c r="A786" s="21">
        <f>'Raw Data'!A786</f>
        <v>50785</v>
      </c>
      <c r="B786" s="21">
        <f>'Raw Data'!B786</f>
        <v>0</v>
      </c>
      <c r="C786" s="21">
        <f>'Raw Data'!C786</f>
        <v>9</v>
      </c>
      <c r="D786" s="21" t="str">
        <f>'Raw Data'!D786</f>
        <v>Mobile Phone</v>
      </c>
      <c r="E786" s="21">
        <f>'Raw Data'!E786</f>
        <v>1</v>
      </c>
      <c r="F786" s="21">
        <f>IF('Raw Data'!F786="",ROUND(AVERAGE('Raw Data'!$F$2:$F$1501),1),'Raw Data'!F786)</f>
        <v>13</v>
      </c>
      <c r="G786" s="21" t="str">
        <f>'Raw Data'!G786</f>
        <v>E wallet</v>
      </c>
      <c r="H786" s="21" t="str">
        <f>'Raw Data'!H786</f>
        <v>Male</v>
      </c>
      <c r="I786" s="21">
        <f>IF('Raw Data'!I786="",ROUND(AVERAGE('Raw Data'!$I$2:$I$1501),1),'Raw Data'!I786)</f>
        <v>3.3</v>
      </c>
      <c r="J786" s="21">
        <f>'Raw Data'!J786</f>
        <v>4</v>
      </c>
      <c r="K786" s="21" t="str">
        <f>'Raw Data'!K786</f>
        <v>Grocery</v>
      </c>
      <c r="L786" s="21">
        <f>'Raw Data'!L786</f>
        <v>3</v>
      </c>
      <c r="M786" s="21" t="str">
        <f>'Raw Data'!M786</f>
        <v>Single</v>
      </c>
      <c r="N786" s="21">
        <f>'Raw Data'!N786</f>
        <v>1</v>
      </c>
      <c r="O786" s="21">
        <f>'Raw Data'!O786</f>
        <v>1</v>
      </c>
      <c r="P786" s="21">
        <f>IF('Raw Data'!P786="",ROUND(AVERAGE('Raw Data'!$P$2:$P$1501),1),'Raw Data'!P786)</f>
        <v>16.5</v>
      </c>
      <c r="Q786" s="21">
        <f>IF('Raw Data'!Q786="",ROUND(AVERAGE('Raw Data'!$Q$2:$Q$1501),0),'Raw Data'!Q786)</f>
        <v>1</v>
      </c>
      <c r="R786" s="21">
        <f>'Raw Data'!R786</f>
        <v>7</v>
      </c>
      <c r="S786" s="21">
        <f>IF('Raw Data'!S786="",ROUND(AVERAGE('Raw Data'!$S$2:$S$1501),0),'Raw Data'!S786)</f>
        <v>9</v>
      </c>
      <c r="T786" s="21">
        <f>'Raw Data'!T786</f>
        <v>188.17</v>
      </c>
      <c r="U786" s="21" t="str">
        <f>INDEX('Lookup Tables'!$C$7:$C$9,MATCH(E786,'Lookup Tables'!$B$7:$B$9,0))</f>
        <v>Tier 1 (Metro)</v>
      </c>
      <c r="V786" s="21" t="str">
        <f t="shared" si="36"/>
        <v>7-12 months</v>
      </c>
      <c r="W786" s="21" t="str">
        <f t="shared" si="37"/>
        <v>Medium Risk</v>
      </c>
      <c r="X786" s="21" t="str">
        <f t="shared" si="38"/>
        <v>No</v>
      </c>
    </row>
    <row r="787" spans="1:24" x14ac:dyDescent="0.3">
      <c r="A787" s="21">
        <f>'Raw Data'!A787</f>
        <v>50786</v>
      </c>
      <c r="B787" s="21">
        <f>'Raw Data'!B787</f>
        <v>0</v>
      </c>
      <c r="C787" s="21">
        <f>'Raw Data'!C787</f>
        <v>6</v>
      </c>
      <c r="D787" s="21" t="str">
        <f>'Raw Data'!D787</f>
        <v>Mobile Phone</v>
      </c>
      <c r="E787" s="21">
        <f>'Raw Data'!E787</f>
        <v>2</v>
      </c>
      <c r="F787" s="21">
        <f>IF('Raw Data'!F787="",ROUND(AVERAGE('Raw Data'!$F$2:$F$1501),1),'Raw Data'!F787)</f>
        <v>12</v>
      </c>
      <c r="G787" s="21" t="str">
        <f>'Raw Data'!G787</f>
        <v>E wallet</v>
      </c>
      <c r="H787" s="21" t="str">
        <f>'Raw Data'!H787</f>
        <v>Male</v>
      </c>
      <c r="I787" s="21">
        <f>IF('Raw Data'!I787="",ROUND(AVERAGE('Raw Data'!$I$2:$I$1501),1),'Raw Data'!I787)</f>
        <v>2</v>
      </c>
      <c r="J787" s="21">
        <f>'Raw Data'!J787</f>
        <v>4</v>
      </c>
      <c r="K787" s="21" t="str">
        <f>'Raw Data'!K787</f>
        <v>Others</v>
      </c>
      <c r="L787" s="21">
        <f>'Raw Data'!L787</f>
        <v>4</v>
      </c>
      <c r="M787" s="21" t="str">
        <f>'Raw Data'!M787</f>
        <v>Married</v>
      </c>
      <c r="N787" s="21">
        <f>'Raw Data'!N787</f>
        <v>11</v>
      </c>
      <c r="O787" s="21">
        <f>'Raw Data'!O787</f>
        <v>0</v>
      </c>
      <c r="P787" s="21">
        <f>IF('Raw Data'!P787="",ROUND(AVERAGE('Raw Data'!$P$2:$P$1501),1),'Raw Data'!P787)</f>
        <v>18.100000000000001</v>
      </c>
      <c r="Q787" s="21">
        <f>IF('Raw Data'!Q787="",ROUND(AVERAGE('Raw Data'!$Q$2:$Q$1501),0),'Raw Data'!Q787)</f>
        <v>0</v>
      </c>
      <c r="R787" s="21">
        <f>'Raw Data'!R787</f>
        <v>4</v>
      </c>
      <c r="S787" s="21">
        <f>IF('Raw Data'!S787="",ROUND(AVERAGE('Raw Data'!$S$2:$S$1501),0),'Raw Data'!S787)</f>
        <v>10</v>
      </c>
      <c r="T787" s="21">
        <f>'Raw Data'!T787</f>
        <v>325</v>
      </c>
      <c r="U787" s="21" t="str">
        <f>INDEX('Lookup Tables'!$C$7:$C$9,MATCH(E787,'Lookup Tables'!$B$7:$B$9,0))</f>
        <v>Tier 2 (Urban)</v>
      </c>
      <c r="V787" s="21" t="str">
        <f t="shared" si="36"/>
        <v>0-6 months</v>
      </c>
      <c r="W787" s="21" t="str">
        <f t="shared" si="37"/>
        <v>Low Risk</v>
      </c>
      <c r="X787" s="21" t="str">
        <f t="shared" si="38"/>
        <v>No</v>
      </c>
    </row>
    <row r="788" spans="1:24" x14ac:dyDescent="0.3">
      <c r="A788" s="21">
        <f>'Raw Data'!A788</f>
        <v>50787</v>
      </c>
      <c r="B788" s="21">
        <f>'Raw Data'!B788</f>
        <v>0</v>
      </c>
      <c r="C788" s="21">
        <f>'Raw Data'!C788</f>
        <v>44</v>
      </c>
      <c r="D788" s="21" t="str">
        <f>'Raw Data'!D788</f>
        <v>Computer</v>
      </c>
      <c r="E788" s="21">
        <f>'Raw Data'!E788</f>
        <v>3</v>
      </c>
      <c r="F788" s="21">
        <f>IF('Raw Data'!F788="",ROUND(AVERAGE('Raw Data'!$F$2:$F$1501),1),'Raw Data'!F788)</f>
        <v>6</v>
      </c>
      <c r="G788" s="21" t="str">
        <f>'Raw Data'!G788</f>
        <v>Debit Card</v>
      </c>
      <c r="H788" s="21" t="str">
        <f>'Raw Data'!H788</f>
        <v>Male</v>
      </c>
      <c r="I788" s="21">
        <f>IF('Raw Data'!I788="",ROUND(AVERAGE('Raw Data'!$I$2:$I$1501),1),'Raw Data'!I788)</f>
        <v>2.6</v>
      </c>
      <c r="J788" s="21">
        <f>'Raw Data'!J788</f>
        <v>2</v>
      </c>
      <c r="K788" s="21" t="str">
        <f>'Raw Data'!K788</f>
        <v>Grocery</v>
      </c>
      <c r="L788" s="21">
        <f>'Raw Data'!L788</f>
        <v>4</v>
      </c>
      <c r="M788" s="21" t="str">
        <f>'Raw Data'!M788</f>
        <v>Married</v>
      </c>
      <c r="N788" s="21">
        <f>'Raw Data'!N788</f>
        <v>3</v>
      </c>
      <c r="O788" s="21">
        <f>'Raw Data'!O788</f>
        <v>0</v>
      </c>
      <c r="P788" s="21">
        <f>IF('Raw Data'!P788="",ROUND(AVERAGE('Raw Data'!$P$2:$P$1501),1),'Raw Data'!P788)</f>
        <v>21.1</v>
      </c>
      <c r="Q788" s="21">
        <f>IF('Raw Data'!Q788="",ROUND(AVERAGE('Raw Data'!$Q$2:$Q$1501),0),'Raw Data'!Q788)</f>
        <v>0</v>
      </c>
      <c r="R788" s="21">
        <f>'Raw Data'!R788</f>
        <v>5</v>
      </c>
      <c r="S788" s="21">
        <f>IF('Raw Data'!S788="",ROUND(AVERAGE('Raw Data'!$S$2:$S$1501),0),'Raw Data'!S788)</f>
        <v>1</v>
      </c>
      <c r="T788" s="21">
        <f>'Raw Data'!T788</f>
        <v>145.29</v>
      </c>
      <c r="U788" s="21" t="str">
        <f>INDEX('Lookup Tables'!$C$7:$C$9,MATCH(E788,'Lookup Tables'!$B$7:$B$9,0))</f>
        <v>Tier 3 (Semi-urban/Rural)</v>
      </c>
      <c r="V788" s="21" t="str">
        <f t="shared" si="36"/>
        <v>25+ months</v>
      </c>
      <c r="W788" s="21" t="str">
        <f t="shared" si="37"/>
        <v>Low Risk</v>
      </c>
      <c r="X788" s="21" t="str">
        <f t="shared" si="38"/>
        <v>No</v>
      </c>
    </row>
    <row r="789" spans="1:24" x14ac:dyDescent="0.3">
      <c r="A789" s="21">
        <f>'Raw Data'!A789</f>
        <v>50788</v>
      </c>
      <c r="B789" s="21">
        <f>'Raw Data'!B789</f>
        <v>0</v>
      </c>
      <c r="C789" s="21">
        <f>'Raw Data'!C789</f>
        <v>1</v>
      </c>
      <c r="D789" s="21" t="str">
        <f>'Raw Data'!D789</f>
        <v>Mobile Phone</v>
      </c>
      <c r="E789" s="21">
        <f>'Raw Data'!E789</f>
        <v>2</v>
      </c>
      <c r="F789" s="21">
        <f>IF('Raw Data'!F789="",ROUND(AVERAGE('Raw Data'!$F$2:$F$1501),1),'Raw Data'!F789)</f>
        <v>5</v>
      </c>
      <c r="G789" s="21" t="str">
        <f>'Raw Data'!G789</f>
        <v>Debit Card</v>
      </c>
      <c r="H789" s="21" t="str">
        <f>'Raw Data'!H789</f>
        <v>Male</v>
      </c>
      <c r="I789" s="21">
        <f>IF('Raw Data'!I789="",ROUND(AVERAGE('Raw Data'!$I$2:$I$1501),1),'Raw Data'!I789)</f>
        <v>2.5</v>
      </c>
      <c r="J789" s="21">
        <f>'Raw Data'!J789</f>
        <v>3</v>
      </c>
      <c r="K789" s="21" t="str">
        <f>'Raw Data'!K789</f>
        <v>Mobile Phone</v>
      </c>
      <c r="L789" s="21">
        <f>'Raw Data'!L789</f>
        <v>3</v>
      </c>
      <c r="M789" s="21" t="str">
        <f>'Raw Data'!M789</f>
        <v>Single</v>
      </c>
      <c r="N789" s="21">
        <f>'Raw Data'!N789</f>
        <v>3</v>
      </c>
      <c r="O789" s="21">
        <f>'Raw Data'!O789</f>
        <v>1</v>
      </c>
      <c r="P789" s="21">
        <f>IF('Raw Data'!P789="",ROUND(AVERAGE('Raw Data'!$P$2:$P$1501),1),'Raw Data'!P789)</f>
        <v>18.399999999999999</v>
      </c>
      <c r="Q789" s="21">
        <f>IF('Raw Data'!Q789="",ROUND(AVERAGE('Raw Data'!$Q$2:$Q$1501),0),'Raw Data'!Q789)</f>
        <v>3</v>
      </c>
      <c r="R789" s="21">
        <f>'Raw Data'!R789</f>
        <v>2</v>
      </c>
      <c r="S789" s="21">
        <f>IF('Raw Data'!S789="",ROUND(AVERAGE('Raw Data'!$S$2:$S$1501),0),'Raw Data'!S789)</f>
        <v>4</v>
      </c>
      <c r="T789" s="21">
        <f>'Raw Data'!T789</f>
        <v>225.14</v>
      </c>
      <c r="U789" s="21" t="str">
        <f>INDEX('Lookup Tables'!$C$7:$C$9,MATCH(E789,'Lookup Tables'!$B$7:$B$9,0))</f>
        <v>Tier 2 (Urban)</v>
      </c>
      <c r="V789" s="21" t="str">
        <f t="shared" si="36"/>
        <v>0-6 months</v>
      </c>
      <c r="W789" s="21" t="str">
        <f t="shared" si="37"/>
        <v>Medium Risk</v>
      </c>
      <c r="X789" s="21" t="str">
        <f t="shared" si="38"/>
        <v>No</v>
      </c>
    </row>
    <row r="790" spans="1:24" x14ac:dyDescent="0.3">
      <c r="A790" s="21">
        <f>'Raw Data'!A790</f>
        <v>50789</v>
      </c>
      <c r="B790" s="21">
        <f>'Raw Data'!B790</f>
        <v>0</v>
      </c>
      <c r="C790" s="21">
        <f>'Raw Data'!C790</f>
        <v>11</v>
      </c>
      <c r="D790" s="21" t="str">
        <f>'Raw Data'!D790</f>
        <v>Computer</v>
      </c>
      <c r="E790" s="21">
        <f>'Raw Data'!E790</f>
        <v>1</v>
      </c>
      <c r="F790" s="21">
        <f>IF('Raw Data'!F790="",ROUND(AVERAGE('Raw Data'!$F$2:$F$1501),1),'Raw Data'!F790)</f>
        <v>18</v>
      </c>
      <c r="G790" s="21" t="str">
        <f>'Raw Data'!G790</f>
        <v>E wallet</v>
      </c>
      <c r="H790" s="21" t="str">
        <f>'Raw Data'!H790</f>
        <v>Female</v>
      </c>
      <c r="I790" s="21">
        <f>IF('Raw Data'!I790="",ROUND(AVERAGE('Raw Data'!$I$2:$I$1501),1),'Raw Data'!I790)</f>
        <v>2.6</v>
      </c>
      <c r="J790" s="21">
        <f>'Raw Data'!J790</f>
        <v>5</v>
      </c>
      <c r="K790" s="21" t="str">
        <f>'Raw Data'!K790</f>
        <v>Mobile Phone</v>
      </c>
      <c r="L790" s="21">
        <f>'Raw Data'!L790</f>
        <v>2</v>
      </c>
      <c r="M790" s="21" t="str">
        <f>'Raw Data'!M790</f>
        <v>Single</v>
      </c>
      <c r="N790" s="21">
        <f>'Raw Data'!N790</f>
        <v>4</v>
      </c>
      <c r="O790" s="21">
        <f>'Raw Data'!O790</f>
        <v>0</v>
      </c>
      <c r="P790" s="21">
        <f>IF('Raw Data'!P790="",ROUND(AVERAGE('Raw Data'!$P$2:$P$1501),1),'Raw Data'!P790)</f>
        <v>20.3</v>
      </c>
      <c r="Q790" s="21">
        <f>IF('Raw Data'!Q790="",ROUND(AVERAGE('Raw Data'!$Q$2:$Q$1501),0),'Raw Data'!Q790)</f>
        <v>2</v>
      </c>
      <c r="R790" s="21">
        <f>'Raw Data'!R790</f>
        <v>7</v>
      </c>
      <c r="S790" s="21">
        <f>IF('Raw Data'!S790="",ROUND(AVERAGE('Raw Data'!$S$2:$S$1501),0),'Raw Data'!S790)</f>
        <v>1</v>
      </c>
      <c r="T790" s="21">
        <f>'Raw Data'!T790</f>
        <v>208.78</v>
      </c>
      <c r="U790" s="21" t="str">
        <f>INDEX('Lookup Tables'!$C$7:$C$9,MATCH(E790,'Lookup Tables'!$B$7:$B$9,0))</f>
        <v>Tier 1 (Metro)</v>
      </c>
      <c r="V790" s="21" t="str">
        <f t="shared" si="36"/>
        <v>7-12 months</v>
      </c>
      <c r="W790" s="21" t="str">
        <f t="shared" si="37"/>
        <v>Low Risk</v>
      </c>
      <c r="X790" s="21" t="str">
        <f t="shared" si="38"/>
        <v>No</v>
      </c>
    </row>
    <row r="791" spans="1:24" x14ac:dyDescent="0.3">
      <c r="A791" s="21">
        <f>'Raw Data'!A791</f>
        <v>50790</v>
      </c>
      <c r="B791" s="21">
        <f>'Raw Data'!B791</f>
        <v>0</v>
      </c>
      <c r="C791" s="21">
        <f>'Raw Data'!C791</f>
        <v>5</v>
      </c>
      <c r="D791" s="21" t="str">
        <f>'Raw Data'!D791</f>
        <v>Mobile Phone</v>
      </c>
      <c r="E791" s="21">
        <f>'Raw Data'!E791</f>
        <v>1</v>
      </c>
      <c r="F791" s="21">
        <f>IF('Raw Data'!F791="",ROUND(AVERAGE('Raw Data'!$F$2:$F$1501),1),'Raw Data'!F791)</f>
        <v>10</v>
      </c>
      <c r="G791" s="21" t="str">
        <f>'Raw Data'!G791</f>
        <v>Debit Card</v>
      </c>
      <c r="H791" s="21" t="str">
        <f>'Raw Data'!H791</f>
        <v>Female</v>
      </c>
      <c r="I791" s="21">
        <f>IF('Raw Data'!I791="",ROUND(AVERAGE('Raw Data'!$I$2:$I$1501),1),'Raw Data'!I791)</f>
        <v>2.9</v>
      </c>
      <c r="J791" s="21">
        <f>'Raw Data'!J791</f>
        <v>3</v>
      </c>
      <c r="K791" s="21" t="str">
        <f>'Raw Data'!K791</f>
        <v>Fashion</v>
      </c>
      <c r="L791" s="21">
        <f>'Raw Data'!L791</f>
        <v>4</v>
      </c>
      <c r="M791" s="21" t="str">
        <f>'Raw Data'!M791</f>
        <v>Single</v>
      </c>
      <c r="N791" s="21">
        <f>'Raw Data'!N791</f>
        <v>5</v>
      </c>
      <c r="O791" s="21">
        <f>'Raw Data'!O791</f>
        <v>0</v>
      </c>
      <c r="P791" s="21">
        <f>IF('Raw Data'!P791="",ROUND(AVERAGE('Raw Data'!$P$2:$P$1501),1),'Raw Data'!P791)</f>
        <v>12.4</v>
      </c>
      <c r="Q791" s="21">
        <f>IF('Raw Data'!Q791="",ROUND(AVERAGE('Raw Data'!$Q$2:$Q$1501),0),'Raw Data'!Q791)</f>
        <v>0</v>
      </c>
      <c r="R791" s="21">
        <f>'Raw Data'!R791</f>
        <v>5</v>
      </c>
      <c r="S791" s="21">
        <f>IF('Raw Data'!S791="",ROUND(AVERAGE('Raw Data'!$S$2:$S$1501),0),'Raw Data'!S791)</f>
        <v>1</v>
      </c>
      <c r="T791" s="21">
        <f>'Raw Data'!T791</f>
        <v>142.66999999999999</v>
      </c>
      <c r="U791" s="21" t="str">
        <f>INDEX('Lookup Tables'!$C$7:$C$9,MATCH(E791,'Lookup Tables'!$B$7:$B$9,0))</f>
        <v>Tier 1 (Metro)</v>
      </c>
      <c r="V791" s="21" t="str">
        <f t="shared" si="36"/>
        <v>0-6 months</v>
      </c>
      <c r="W791" s="21" t="str">
        <f t="shared" si="37"/>
        <v>Low Risk</v>
      </c>
      <c r="X791" s="21" t="str">
        <f t="shared" si="38"/>
        <v>No</v>
      </c>
    </row>
    <row r="792" spans="1:24" x14ac:dyDescent="0.3">
      <c r="A792" s="21">
        <f>'Raw Data'!A792</f>
        <v>50791</v>
      </c>
      <c r="B792" s="21">
        <f>'Raw Data'!B792</f>
        <v>0</v>
      </c>
      <c r="C792" s="21">
        <f>'Raw Data'!C792</f>
        <v>5</v>
      </c>
      <c r="D792" s="21" t="str">
        <f>'Raw Data'!D792</f>
        <v>Mobile Phone</v>
      </c>
      <c r="E792" s="21">
        <f>'Raw Data'!E792</f>
        <v>2</v>
      </c>
      <c r="F792" s="21">
        <f>IF('Raw Data'!F792="",ROUND(AVERAGE('Raw Data'!$F$2:$F$1501),1),'Raw Data'!F792)</f>
        <v>17</v>
      </c>
      <c r="G792" s="21" t="str">
        <f>'Raw Data'!G792</f>
        <v>Credit Card</v>
      </c>
      <c r="H792" s="21" t="str">
        <f>'Raw Data'!H792</f>
        <v>Female</v>
      </c>
      <c r="I792" s="21">
        <f>IF('Raw Data'!I792="",ROUND(AVERAGE('Raw Data'!$I$2:$I$1501),1),'Raw Data'!I792)</f>
        <v>3.4</v>
      </c>
      <c r="J792" s="21">
        <f>'Raw Data'!J792</f>
        <v>3</v>
      </c>
      <c r="K792" s="21" t="str">
        <f>'Raw Data'!K792</f>
        <v>Fashion</v>
      </c>
      <c r="L792" s="21">
        <f>'Raw Data'!L792</f>
        <v>5</v>
      </c>
      <c r="M792" s="21" t="str">
        <f>'Raw Data'!M792</f>
        <v>Single</v>
      </c>
      <c r="N792" s="21">
        <f>'Raw Data'!N792</f>
        <v>3</v>
      </c>
      <c r="O792" s="21">
        <f>'Raw Data'!O792</f>
        <v>0</v>
      </c>
      <c r="P792" s="21">
        <f>IF('Raw Data'!P792="",ROUND(AVERAGE('Raw Data'!$P$2:$P$1501),1),'Raw Data'!P792)</f>
        <v>14.9</v>
      </c>
      <c r="Q792" s="21">
        <f>IF('Raw Data'!Q792="",ROUND(AVERAGE('Raw Data'!$Q$2:$Q$1501),0),'Raw Data'!Q792)</f>
        <v>4</v>
      </c>
      <c r="R792" s="21">
        <f>'Raw Data'!R792</f>
        <v>5</v>
      </c>
      <c r="S792" s="21">
        <f>IF('Raw Data'!S792="",ROUND(AVERAGE('Raw Data'!$S$2:$S$1501),0),'Raw Data'!S792)</f>
        <v>0</v>
      </c>
      <c r="T792" s="21">
        <f>'Raw Data'!T792</f>
        <v>224.31</v>
      </c>
      <c r="U792" s="21" t="str">
        <f>INDEX('Lookup Tables'!$C$7:$C$9,MATCH(E792,'Lookup Tables'!$B$7:$B$9,0))</f>
        <v>Tier 2 (Urban)</v>
      </c>
      <c r="V792" s="21" t="str">
        <f t="shared" si="36"/>
        <v>0-6 months</v>
      </c>
      <c r="W792" s="21" t="str">
        <f t="shared" si="37"/>
        <v>Low Risk</v>
      </c>
      <c r="X792" s="21" t="str">
        <f t="shared" si="38"/>
        <v>No</v>
      </c>
    </row>
    <row r="793" spans="1:24" x14ac:dyDescent="0.3">
      <c r="A793" s="21">
        <f>'Raw Data'!A793</f>
        <v>50792</v>
      </c>
      <c r="B793" s="21">
        <f>'Raw Data'!B793</f>
        <v>0</v>
      </c>
      <c r="C793" s="21">
        <f>'Raw Data'!C793</f>
        <v>12</v>
      </c>
      <c r="D793" s="21" t="str">
        <f>'Raw Data'!D793</f>
        <v>Mobile Phone</v>
      </c>
      <c r="E793" s="21">
        <f>'Raw Data'!E793</f>
        <v>1</v>
      </c>
      <c r="F793" s="21">
        <f>IF('Raw Data'!F793="",ROUND(AVERAGE('Raw Data'!$F$2:$F$1501),1),'Raw Data'!F793)</f>
        <v>7</v>
      </c>
      <c r="G793" s="21" t="str">
        <f>'Raw Data'!G793</f>
        <v>UPI</v>
      </c>
      <c r="H793" s="21" t="str">
        <f>'Raw Data'!H793</f>
        <v>Female</v>
      </c>
      <c r="I793" s="21">
        <f>IF('Raw Data'!I793="",ROUND(AVERAGE('Raw Data'!$I$2:$I$1501),1),'Raw Data'!I793)</f>
        <v>2.9</v>
      </c>
      <c r="J793" s="21">
        <f>'Raw Data'!J793</f>
        <v>3</v>
      </c>
      <c r="K793" s="21" t="str">
        <f>'Raw Data'!K793</f>
        <v>Mobile Phone</v>
      </c>
      <c r="L793" s="21">
        <f>'Raw Data'!L793</f>
        <v>4</v>
      </c>
      <c r="M793" s="21" t="str">
        <f>'Raw Data'!M793</f>
        <v>Married</v>
      </c>
      <c r="N793" s="21">
        <f>'Raw Data'!N793</f>
        <v>1</v>
      </c>
      <c r="O793" s="21">
        <f>'Raw Data'!O793</f>
        <v>1</v>
      </c>
      <c r="P793" s="21">
        <f>IF('Raw Data'!P793="",ROUND(AVERAGE('Raw Data'!$P$2:$P$1501),1),'Raw Data'!P793)</f>
        <v>17.5</v>
      </c>
      <c r="Q793" s="21">
        <f>IF('Raw Data'!Q793="",ROUND(AVERAGE('Raw Data'!$Q$2:$Q$1501),0),'Raw Data'!Q793)</f>
        <v>2</v>
      </c>
      <c r="R793" s="21">
        <f>'Raw Data'!R793</f>
        <v>5</v>
      </c>
      <c r="S793" s="21">
        <f>IF('Raw Data'!S793="",ROUND(AVERAGE('Raw Data'!$S$2:$S$1501),0),'Raw Data'!S793)</f>
        <v>4</v>
      </c>
      <c r="T793" s="21">
        <f>'Raw Data'!T793</f>
        <v>170.96</v>
      </c>
      <c r="U793" s="21" t="str">
        <f>INDEX('Lookup Tables'!$C$7:$C$9,MATCH(E793,'Lookup Tables'!$B$7:$B$9,0))</f>
        <v>Tier 1 (Metro)</v>
      </c>
      <c r="V793" s="21" t="str">
        <f t="shared" si="36"/>
        <v>7-12 months</v>
      </c>
      <c r="W793" s="21" t="str">
        <f t="shared" si="37"/>
        <v>Low Risk</v>
      </c>
      <c r="X793" s="21" t="str">
        <f t="shared" si="38"/>
        <v>No</v>
      </c>
    </row>
    <row r="794" spans="1:24" x14ac:dyDescent="0.3">
      <c r="A794" s="21">
        <f>'Raw Data'!A794</f>
        <v>50793</v>
      </c>
      <c r="B794" s="21">
        <f>'Raw Data'!B794</f>
        <v>0</v>
      </c>
      <c r="C794" s="21">
        <f>'Raw Data'!C794</f>
        <v>11</v>
      </c>
      <c r="D794" s="21" t="str">
        <f>'Raw Data'!D794</f>
        <v>Phone</v>
      </c>
      <c r="E794" s="21">
        <f>'Raw Data'!E794</f>
        <v>1</v>
      </c>
      <c r="F794" s="21">
        <f>IF('Raw Data'!F794="",ROUND(AVERAGE('Raw Data'!$F$2:$F$1501),1),'Raw Data'!F794)</f>
        <v>16</v>
      </c>
      <c r="G794" s="21" t="str">
        <f>'Raw Data'!G794</f>
        <v>UPI</v>
      </c>
      <c r="H794" s="21" t="str">
        <f>'Raw Data'!H794</f>
        <v>Male</v>
      </c>
      <c r="I794" s="21">
        <f>IF('Raw Data'!I794="",ROUND(AVERAGE('Raw Data'!$I$2:$I$1501),1),'Raw Data'!I794)</f>
        <v>2.5</v>
      </c>
      <c r="J794" s="21">
        <f>'Raw Data'!J794</f>
        <v>2</v>
      </c>
      <c r="K794" s="21" t="str">
        <f>'Raw Data'!K794</f>
        <v>Laptop &amp; Accessory</v>
      </c>
      <c r="L794" s="21">
        <f>'Raw Data'!L794</f>
        <v>1</v>
      </c>
      <c r="M794" s="21" t="str">
        <f>'Raw Data'!M794</f>
        <v>Single</v>
      </c>
      <c r="N794" s="21">
        <f>'Raw Data'!N794</f>
        <v>7</v>
      </c>
      <c r="O794" s="21">
        <f>'Raw Data'!O794</f>
        <v>0</v>
      </c>
      <c r="P794" s="21">
        <f>IF('Raw Data'!P794="",ROUND(AVERAGE('Raw Data'!$P$2:$P$1501),1),'Raw Data'!P794)</f>
        <v>20.100000000000001</v>
      </c>
      <c r="Q794" s="21">
        <f>IF('Raw Data'!Q794="",ROUND(AVERAGE('Raw Data'!$Q$2:$Q$1501),0),'Raw Data'!Q794)</f>
        <v>4</v>
      </c>
      <c r="R794" s="21">
        <f>'Raw Data'!R794</f>
        <v>5</v>
      </c>
      <c r="S794" s="21">
        <f>IF('Raw Data'!S794="",ROUND(AVERAGE('Raw Data'!$S$2:$S$1501),0),'Raw Data'!S794)</f>
        <v>0</v>
      </c>
      <c r="T794" s="21">
        <f>'Raw Data'!T794</f>
        <v>228.14</v>
      </c>
      <c r="U794" s="21" t="str">
        <f>INDEX('Lookup Tables'!$C$7:$C$9,MATCH(E794,'Lookup Tables'!$B$7:$B$9,0))</f>
        <v>Tier 1 (Metro)</v>
      </c>
      <c r="V794" s="21" t="str">
        <f t="shared" si="36"/>
        <v>7-12 months</v>
      </c>
      <c r="W794" s="21" t="str">
        <f t="shared" si="37"/>
        <v>Low Risk</v>
      </c>
      <c r="X794" s="21" t="str">
        <f t="shared" si="38"/>
        <v>No</v>
      </c>
    </row>
    <row r="795" spans="1:24" x14ac:dyDescent="0.3">
      <c r="A795" s="21">
        <f>'Raw Data'!A795</f>
        <v>50794</v>
      </c>
      <c r="B795" s="21">
        <f>'Raw Data'!B795</f>
        <v>0</v>
      </c>
      <c r="C795" s="21">
        <f>'Raw Data'!C795</f>
        <v>47</v>
      </c>
      <c r="D795" s="21" t="str">
        <f>'Raw Data'!D795</f>
        <v>Mobile Phone</v>
      </c>
      <c r="E795" s="21">
        <f>'Raw Data'!E795</f>
        <v>3</v>
      </c>
      <c r="F795" s="21">
        <f>IF('Raw Data'!F795="",ROUND(AVERAGE('Raw Data'!$F$2:$F$1501),1),'Raw Data'!F795)</f>
        <v>14.8</v>
      </c>
      <c r="G795" s="21" t="str">
        <f>'Raw Data'!G795</f>
        <v>Credit Card</v>
      </c>
      <c r="H795" s="21" t="str">
        <f>'Raw Data'!H795</f>
        <v>Male</v>
      </c>
      <c r="I795" s="21">
        <f>IF('Raw Data'!I795="",ROUND(AVERAGE('Raw Data'!$I$2:$I$1501),1),'Raw Data'!I795)</f>
        <v>2</v>
      </c>
      <c r="J795" s="21">
        <f>'Raw Data'!J795</f>
        <v>5</v>
      </c>
      <c r="K795" s="21" t="str">
        <f>'Raw Data'!K795</f>
        <v>Others</v>
      </c>
      <c r="L795" s="21">
        <f>'Raw Data'!L795</f>
        <v>1</v>
      </c>
      <c r="M795" s="21" t="str">
        <f>'Raw Data'!M795</f>
        <v>Single</v>
      </c>
      <c r="N795" s="21">
        <f>'Raw Data'!N795</f>
        <v>4</v>
      </c>
      <c r="O795" s="21">
        <f>'Raw Data'!O795</f>
        <v>1</v>
      </c>
      <c r="P795" s="21">
        <f>IF('Raw Data'!P795="",ROUND(AVERAGE('Raw Data'!$P$2:$P$1501),1),'Raw Data'!P795)</f>
        <v>15.5</v>
      </c>
      <c r="Q795" s="21">
        <f>IF('Raw Data'!Q795="",ROUND(AVERAGE('Raw Data'!$Q$2:$Q$1501),0),'Raw Data'!Q795)</f>
        <v>2</v>
      </c>
      <c r="R795" s="21">
        <f>'Raw Data'!R795</f>
        <v>2</v>
      </c>
      <c r="S795" s="21">
        <f>IF('Raw Data'!S795="",ROUND(AVERAGE('Raw Data'!$S$2:$S$1501),0),'Raw Data'!S795)</f>
        <v>0</v>
      </c>
      <c r="T795" s="21">
        <f>'Raw Data'!T795</f>
        <v>287.85000000000002</v>
      </c>
      <c r="U795" s="21" t="str">
        <f>INDEX('Lookup Tables'!$C$7:$C$9,MATCH(E795,'Lookup Tables'!$B$7:$B$9,0))</f>
        <v>Tier 3 (Semi-urban/Rural)</v>
      </c>
      <c r="V795" s="21" t="str">
        <f t="shared" si="36"/>
        <v>25+ months</v>
      </c>
      <c r="W795" s="21" t="str">
        <f t="shared" si="37"/>
        <v>High Risk</v>
      </c>
      <c r="X795" s="21" t="str">
        <f t="shared" si="38"/>
        <v>No</v>
      </c>
    </row>
    <row r="796" spans="1:24" x14ac:dyDescent="0.3">
      <c r="A796" s="21">
        <f>'Raw Data'!A796</f>
        <v>50795</v>
      </c>
      <c r="B796" s="21">
        <f>'Raw Data'!B796</f>
        <v>0</v>
      </c>
      <c r="C796" s="21">
        <f>'Raw Data'!C796</f>
        <v>1</v>
      </c>
      <c r="D796" s="21" t="str">
        <f>'Raw Data'!D796</f>
        <v>Mobile Phone</v>
      </c>
      <c r="E796" s="21">
        <f>'Raw Data'!E796</f>
        <v>1</v>
      </c>
      <c r="F796" s="21">
        <f>IF('Raw Data'!F796="",ROUND(AVERAGE('Raw Data'!$F$2:$F$1501),1),'Raw Data'!F796)</f>
        <v>19</v>
      </c>
      <c r="G796" s="21" t="str">
        <f>'Raw Data'!G796</f>
        <v>UPI</v>
      </c>
      <c r="H796" s="21" t="str">
        <f>'Raw Data'!H796</f>
        <v>Male</v>
      </c>
      <c r="I796" s="21">
        <f>IF('Raw Data'!I796="",ROUND(AVERAGE('Raw Data'!$I$2:$I$1501),1),'Raw Data'!I796)</f>
        <v>3.9</v>
      </c>
      <c r="J796" s="21">
        <f>'Raw Data'!J796</f>
        <v>3</v>
      </c>
      <c r="K796" s="21" t="str">
        <f>'Raw Data'!K796</f>
        <v>Mobile Phone</v>
      </c>
      <c r="L796" s="21">
        <f>'Raw Data'!L796</f>
        <v>3</v>
      </c>
      <c r="M796" s="21" t="str">
        <f>'Raw Data'!M796</f>
        <v>Divorced</v>
      </c>
      <c r="N796" s="21">
        <f>'Raw Data'!N796</f>
        <v>4</v>
      </c>
      <c r="O796" s="21">
        <f>'Raw Data'!O796</f>
        <v>0</v>
      </c>
      <c r="P796" s="21">
        <f>IF('Raw Data'!P796="",ROUND(AVERAGE('Raw Data'!$P$2:$P$1501),1),'Raw Data'!P796)</f>
        <v>15.7</v>
      </c>
      <c r="Q796" s="21">
        <f>IF('Raw Data'!Q796="",ROUND(AVERAGE('Raw Data'!$Q$2:$Q$1501),0),'Raw Data'!Q796)</f>
        <v>0</v>
      </c>
      <c r="R796" s="21">
        <f>'Raw Data'!R796</f>
        <v>3</v>
      </c>
      <c r="S796" s="21">
        <f>IF('Raw Data'!S796="",ROUND(AVERAGE('Raw Data'!$S$2:$S$1501),0),'Raw Data'!S796)</f>
        <v>0</v>
      </c>
      <c r="T796" s="21">
        <f>'Raw Data'!T796</f>
        <v>188.29</v>
      </c>
      <c r="U796" s="21" t="str">
        <f>INDEX('Lookup Tables'!$C$7:$C$9,MATCH(E796,'Lookup Tables'!$B$7:$B$9,0))</f>
        <v>Tier 1 (Metro)</v>
      </c>
      <c r="V796" s="21" t="str">
        <f t="shared" si="36"/>
        <v>0-6 months</v>
      </c>
      <c r="W796" s="21" t="str">
        <f t="shared" si="37"/>
        <v>Medium Risk</v>
      </c>
      <c r="X796" s="21" t="str">
        <f t="shared" si="38"/>
        <v>No</v>
      </c>
    </row>
    <row r="797" spans="1:24" x14ac:dyDescent="0.3">
      <c r="A797" s="21">
        <f>'Raw Data'!A797</f>
        <v>50796</v>
      </c>
      <c r="B797" s="21">
        <f>'Raw Data'!B797</f>
        <v>0</v>
      </c>
      <c r="C797" s="21">
        <f>'Raw Data'!C797</f>
        <v>1</v>
      </c>
      <c r="D797" s="21" t="str">
        <f>'Raw Data'!D797</f>
        <v>Computer</v>
      </c>
      <c r="E797" s="21">
        <f>'Raw Data'!E797</f>
        <v>3</v>
      </c>
      <c r="F797" s="21">
        <f>IF('Raw Data'!F797="",ROUND(AVERAGE('Raw Data'!$F$2:$F$1501),1),'Raw Data'!F797)</f>
        <v>14.8</v>
      </c>
      <c r="G797" s="21" t="str">
        <f>'Raw Data'!G797</f>
        <v>UPI</v>
      </c>
      <c r="H797" s="21" t="str">
        <f>'Raw Data'!H797</f>
        <v>Male</v>
      </c>
      <c r="I797" s="21">
        <f>IF('Raw Data'!I797="",ROUND(AVERAGE('Raw Data'!$I$2:$I$1501),1),'Raw Data'!I797)</f>
        <v>3.3</v>
      </c>
      <c r="J797" s="21">
        <f>'Raw Data'!J797</f>
        <v>2</v>
      </c>
      <c r="K797" s="21" t="str">
        <f>'Raw Data'!K797</f>
        <v>Mobile Phone</v>
      </c>
      <c r="L797" s="21">
        <f>'Raw Data'!L797</f>
        <v>2</v>
      </c>
      <c r="M797" s="21" t="str">
        <f>'Raw Data'!M797</f>
        <v>Married</v>
      </c>
      <c r="N797" s="21">
        <f>'Raw Data'!N797</f>
        <v>19</v>
      </c>
      <c r="O797" s="21">
        <f>'Raw Data'!O797</f>
        <v>1</v>
      </c>
      <c r="P797" s="21">
        <f>IF('Raw Data'!P797="",ROUND(AVERAGE('Raw Data'!$P$2:$P$1501),1),'Raw Data'!P797)</f>
        <v>18.399999999999999</v>
      </c>
      <c r="Q797" s="21">
        <f>IF('Raw Data'!Q797="",ROUND(AVERAGE('Raw Data'!$Q$2:$Q$1501),0),'Raw Data'!Q797)</f>
        <v>1</v>
      </c>
      <c r="R797" s="21">
        <f>'Raw Data'!R797</f>
        <v>6</v>
      </c>
      <c r="S797" s="21">
        <f>IF('Raw Data'!S797="",ROUND(AVERAGE('Raw Data'!$S$2:$S$1501),0),'Raw Data'!S797)</f>
        <v>1</v>
      </c>
      <c r="T797" s="21">
        <f>'Raw Data'!T797</f>
        <v>164.54</v>
      </c>
      <c r="U797" s="21" t="str">
        <f>INDEX('Lookup Tables'!$C$7:$C$9,MATCH(E797,'Lookup Tables'!$B$7:$B$9,0))</f>
        <v>Tier 3 (Semi-urban/Rural)</v>
      </c>
      <c r="V797" s="21" t="str">
        <f t="shared" si="36"/>
        <v>0-6 months</v>
      </c>
      <c r="W797" s="21" t="str">
        <f t="shared" si="37"/>
        <v>High Risk</v>
      </c>
      <c r="X797" s="21" t="str">
        <f t="shared" si="38"/>
        <v>No</v>
      </c>
    </row>
    <row r="798" spans="1:24" x14ac:dyDescent="0.3">
      <c r="A798" s="21">
        <f>'Raw Data'!A798</f>
        <v>50797</v>
      </c>
      <c r="B798" s="21">
        <f>'Raw Data'!B798</f>
        <v>0</v>
      </c>
      <c r="C798" s="21">
        <f>'Raw Data'!C798</f>
        <v>12</v>
      </c>
      <c r="D798" s="21" t="str">
        <f>'Raw Data'!D798</f>
        <v>Computer</v>
      </c>
      <c r="E798" s="21">
        <f>'Raw Data'!E798</f>
        <v>1</v>
      </c>
      <c r="F798" s="21">
        <f>IF('Raw Data'!F798="",ROUND(AVERAGE('Raw Data'!$F$2:$F$1501),1),'Raw Data'!F798)</f>
        <v>17</v>
      </c>
      <c r="G798" s="21" t="str">
        <f>'Raw Data'!G798</f>
        <v>E wallet</v>
      </c>
      <c r="H798" s="21" t="str">
        <f>'Raw Data'!H798</f>
        <v>Male</v>
      </c>
      <c r="I798" s="21">
        <f>IF('Raw Data'!I798="",ROUND(AVERAGE('Raw Data'!$I$2:$I$1501),1),'Raw Data'!I798)</f>
        <v>2.4</v>
      </c>
      <c r="J798" s="21">
        <f>'Raw Data'!J798</f>
        <v>3</v>
      </c>
      <c r="K798" s="21" t="str">
        <f>'Raw Data'!K798</f>
        <v>Fashion</v>
      </c>
      <c r="L798" s="21">
        <f>'Raw Data'!L798</f>
        <v>4</v>
      </c>
      <c r="M798" s="21" t="str">
        <f>'Raw Data'!M798</f>
        <v>Single</v>
      </c>
      <c r="N798" s="21">
        <f>'Raw Data'!N798</f>
        <v>5</v>
      </c>
      <c r="O798" s="21">
        <f>'Raw Data'!O798</f>
        <v>0</v>
      </c>
      <c r="P798" s="21">
        <f>IF('Raw Data'!P798="",ROUND(AVERAGE('Raw Data'!$P$2:$P$1501),1),'Raw Data'!P798)</f>
        <v>12.1</v>
      </c>
      <c r="Q798" s="21">
        <f>IF('Raw Data'!Q798="",ROUND(AVERAGE('Raw Data'!$Q$2:$Q$1501),0),'Raw Data'!Q798)</f>
        <v>4</v>
      </c>
      <c r="R798" s="21">
        <f>'Raw Data'!R798</f>
        <v>3</v>
      </c>
      <c r="S798" s="21">
        <f>IF('Raw Data'!S798="",ROUND(AVERAGE('Raw Data'!$S$2:$S$1501),0),'Raw Data'!S798)</f>
        <v>5</v>
      </c>
      <c r="T798" s="21">
        <f>'Raw Data'!T798</f>
        <v>237.84</v>
      </c>
      <c r="U798" s="21" t="str">
        <f>INDEX('Lookup Tables'!$C$7:$C$9,MATCH(E798,'Lookup Tables'!$B$7:$B$9,0))</f>
        <v>Tier 1 (Metro)</v>
      </c>
      <c r="V798" s="21" t="str">
        <f t="shared" si="36"/>
        <v>7-12 months</v>
      </c>
      <c r="W798" s="21" t="str">
        <f t="shared" si="37"/>
        <v>Low Risk</v>
      </c>
      <c r="X798" s="21" t="str">
        <f t="shared" si="38"/>
        <v>No</v>
      </c>
    </row>
    <row r="799" spans="1:24" x14ac:dyDescent="0.3">
      <c r="A799" s="21">
        <f>'Raw Data'!A799</f>
        <v>50798</v>
      </c>
      <c r="B799" s="21">
        <f>'Raw Data'!B799</f>
        <v>0</v>
      </c>
      <c r="C799" s="21">
        <f>'Raw Data'!C799</f>
        <v>8</v>
      </c>
      <c r="D799" s="21" t="str">
        <f>'Raw Data'!D799</f>
        <v>Mobile Phone</v>
      </c>
      <c r="E799" s="21">
        <f>'Raw Data'!E799</f>
        <v>2</v>
      </c>
      <c r="F799" s="21">
        <f>IF('Raw Data'!F799="",ROUND(AVERAGE('Raw Data'!$F$2:$F$1501),1),'Raw Data'!F799)</f>
        <v>13</v>
      </c>
      <c r="G799" s="21" t="str">
        <f>'Raw Data'!G799</f>
        <v>Debit Card</v>
      </c>
      <c r="H799" s="21" t="str">
        <f>'Raw Data'!H799</f>
        <v>Male</v>
      </c>
      <c r="I799" s="21">
        <f>IF('Raw Data'!I799="",ROUND(AVERAGE('Raw Data'!$I$2:$I$1501),1),'Raw Data'!I799)</f>
        <v>3.4</v>
      </c>
      <c r="J799" s="21">
        <f>'Raw Data'!J799</f>
        <v>1</v>
      </c>
      <c r="K799" s="21" t="str">
        <f>'Raw Data'!K799</f>
        <v>Fashion</v>
      </c>
      <c r="L799" s="21">
        <f>'Raw Data'!L799</f>
        <v>5</v>
      </c>
      <c r="M799" s="21" t="str">
        <f>'Raw Data'!M799</f>
        <v>Married</v>
      </c>
      <c r="N799" s="21">
        <f>'Raw Data'!N799</f>
        <v>6</v>
      </c>
      <c r="O799" s="21">
        <f>'Raw Data'!O799</f>
        <v>0</v>
      </c>
      <c r="P799" s="21">
        <f>IF('Raw Data'!P799="",ROUND(AVERAGE('Raw Data'!$P$2:$P$1501),1),'Raw Data'!P799)</f>
        <v>21.6</v>
      </c>
      <c r="Q799" s="21">
        <f>IF('Raw Data'!Q799="",ROUND(AVERAGE('Raw Data'!$Q$2:$Q$1501),0),'Raw Data'!Q799)</f>
        <v>3</v>
      </c>
      <c r="R799" s="21">
        <f>'Raw Data'!R799</f>
        <v>6</v>
      </c>
      <c r="S799" s="21">
        <f>IF('Raw Data'!S799="",ROUND(AVERAGE('Raw Data'!$S$2:$S$1501),0),'Raw Data'!S799)</f>
        <v>1</v>
      </c>
      <c r="T799" s="21">
        <f>'Raw Data'!T799</f>
        <v>256.82</v>
      </c>
      <c r="U799" s="21" t="str">
        <f>INDEX('Lookup Tables'!$C$7:$C$9,MATCH(E799,'Lookup Tables'!$B$7:$B$9,0))</f>
        <v>Tier 2 (Urban)</v>
      </c>
      <c r="V799" s="21" t="str">
        <f t="shared" si="36"/>
        <v>7-12 months</v>
      </c>
      <c r="W799" s="21" t="str">
        <f t="shared" si="37"/>
        <v>Low Risk</v>
      </c>
      <c r="X799" s="21" t="str">
        <f t="shared" si="38"/>
        <v>No</v>
      </c>
    </row>
    <row r="800" spans="1:24" x14ac:dyDescent="0.3">
      <c r="A800" s="21">
        <f>'Raw Data'!A800</f>
        <v>50799</v>
      </c>
      <c r="B800" s="21">
        <f>'Raw Data'!B800</f>
        <v>1</v>
      </c>
      <c r="C800" s="21">
        <f>'Raw Data'!C800</f>
        <v>3</v>
      </c>
      <c r="D800" s="21" t="str">
        <f>'Raw Data'!D800</f>
        <v>Mobile Phone</v>
      </c>
      <c r="E800" s="21">
        <f>'Raw Data'!E800</f>
        <v>3</v>
      </c>
      <c r="F800" s="21">
        <f>IF('Raw Data'!F800="",ROUND(AVERAGE('Raw Data'!$F$2:$F$1501),1),'Raw Data'!F800)</f>
        <v>15</v>
      </c>
      <c r="G800" s="21" t="str">
        <f>'Raw Data'!G800</f>
        <v>Debit Card</v>
      </c>
      <c r="H800" s="21" t="str">
        <f>'Raw Data'!H800</f>
        <v>Male</v>
      </c>
      <c r="I800" s="21">
        <f>IF('Raw Data'!I800="",ROUND(AVERAGE('Raw Data'!$I$2:$I$1501),1),'Raw Data'!I800)</f>
        <v>2.9</v>
      </c>
      <c r="J800" s="21">
        <f>'Raw Data'!J800</f>
        <v>3</v>
      </c>
      <c r="K800" s="21" t="str">
        <f>'Raw Data'!K800</f>
        <v>Laptop &amp; Accessory</v>
      </c>
      <c r="L800" s="21">
        <f>'Raw Data'!L800</f>
        <v>3</v>
      </c>
      <c r="M800" s="21" t="str">
        <f>'Raw Data'!M800</f>
        <v>Divorced</v>
      </c>
      <c r="N800" s="21">
        <f>'Raw Data'!N800</f>
        <v>10</v>
      </c>
      <c r="O800" s="21">
        <f>'Raw Data'!O800</f>
        <v>1</v>
      </c>
      <c r="P800" s="21">
        <f>IF('Raw Data'!P800="",ROUND(AVERAGE('Raw Data'!$P$2:$P$1501),1),'Raw Data'!P800)</f>
        <v>12.9</v>
      </c>
      <c r="Q800" s="21">
        <f>IF('Raw Data'!Q800="",ROUND(AVERAGE('Raw Data'!$Q$2:$Q$1501),0),'Raw Data'!Q800)</f>
        <v>0</v>
      </c>
      <c r="R800" s="21">
        <f>'Raw Data'!R800</f>
        <v>3</v>
      </c>
      <c r="S800" s="21">
        <f>IF('Raw Data'!S800="",ROUND(AVERAGE('Raw Data'!$S$2:$S$1501),0),'Raw Data'!S800)</f>
        <v>10</v>
      </c>
      <c r="T800" s="21">
        <f>'Raw Data'!T800</f>
        <v>131.41999999999999</v>
      </c>
      <c r="U800" s="21" t="str">
        <f>INDEX('Lookup Tables'!$C$7:$C$9,MATCH(E800,'Lookup Tables'!$B$7:$B$9,0))</f>
        <v>Tier 3 (Semi-urban/Rural)</v>
      </c>
      <c r="V800" s="21" t="str">
        <f t="shared" si="36"/>
        <v>0-6 months</v>
      </c>
      <c r="W800" s="21" t="str">
        <f t="shared" si="37"/>
        <v>Medium Risk</v>
      </c>
      <c r="X800" s="21" t="str">
        <f t="shared" si="38"/>
        <v>Yes</v>
      </c>
    </row>
    <row r="801" spans="1:24" x14ac:dyDescent="0.3">
      <c r="A801" s="21">
        <f>'Raw Data'!A801</f>
        <v>50800</v>
      </c>
      <c r="B801" s="21">
        <f>'Raw Data'!B801</f>
        <v>0</v>
      </c>
      <c r="C801" s="21">
        <f>'Raw Data'!C801</f>
        <v>0</v>
      </c>
      <c r="D801" s="21" t="str">
        <f>'Raw Data'!D801</f>
        <v>Mobile Phone</v>
      </c>
      <c r="E801" s="21">
        <f>'Raw Data'!E801</f>
        <v>1</v>
      </c>
      <c r="F801" s="21">
        <f>IF('Raw Data'!F801="",ROUND(AVERAGE('Raw Data'!$F$2:$F$1501),1),'Raw Data'!F801)</f>
        <v>12</v>
      </c>
      <c r="G801" s="21" t="str">
        <f>'Raw Data'!G801</f>
        <v>Debit Card</v>
      </c>
      <c r="H801" s="21" t="str">
        <f>'Raw Data'!H801</f>
        <v>Male</v>
      </c>
      <c r="I801" s="21">
        <f>IF('Raw Data'!I801="",ROUND(AVERAGE('Raw Data'!$I$2:$I$1501),1),'Raw Data'!I801)</f>
        <v>2.7</v>
      </c>
      <c r="J801" s="21">
        <f>'Raw Data'!J801</f>
        <v>2</v>
      </c>
      <c r="K801" s="21" t="str">
        <f>'Raw Data'!K801</f>
        <v>Grocery</v>
      </c>
      <c r="L801" s="21">
        <f>'Raw Data'!L801</f>
        <v>3</v>
      </c>
      <c r="M801" s="21" t="str">
        <f>'Raw Data'!M801</f>
        <v>Single</v>
      </c>
      <c r="N801" s="21">
        <f>'Raw Data'!N801</f>
        <v>1</v>
      </c>
      <c r="O801" s="21">
        <f>'Raw Data'!O801</f>
        <v>1</v>
      </c>
      <c r="P801" s="21">
        <f>IF('Raw Data'!P801="",ROUND(AVERAGE('Raw Data'!$P$2:$P$1501),1),'Raw Data'!P801)</f>
        <v>11</v>
      </c>
      <c r="Q801" s="21">
        <f>IF('Raw Data'!Q801="",ROUND(AVERAGE('Raw Data'!$Q$2:$Q$1501),0),'Raw Data'!Q801)</f>
        <v>5</v>
      </c>
      <c r="R801" s="21">
        <f>'Raw Data'!R801</f>
        <v>1</v>
      </c>
      <c r="S801" s="21">
        <f>IF('Raw Data'!S801="",ROUND(AVERAGE('Raw Data'!$S$2:$S$1501),0),'Raw Data'!S801)</f>
        <v>1</v>
      </c>
      <c r="T801" s="21">
        <f>'Raw Data'!T801</f>
        <v>155.09</v>
      </c>
      <c r="U801" s="21" t="str">
        <f>INDEX('Lookup Tables'!$C$7:$C$9,MATCH(E801,'Lookup Tables'!$B$7:$B$9,0))</f>
        <v>Tier 1 (Metro)</v>
      </c>
      <c r="V801" s="21" t="str">
        <f t="shared" si="36"/>
        <v>0-6 months</v>
      </c>
      <c r="W801" s="21" t="str">
        <f t="shared" si="37"/>
        <v>Medium Risk</v>
      </c>
      <c r="X801" s="21" t="str">
        <f t="shared" si="38"/>
        <v>No</v>
      </c>
    </row>
    <row r="802" spans="1:24" x14ac:dyDescent="0.3">
      <c r="A802" s="21">
        <f>'Raw Data'!A802</f>
        <v>50801</v>
      </c>
      <c r="B802" s="21">
        <f>'Raw Data'!B802</f>
        <v>0</v>
      </c>
      <c r="C802" s="21">
        <f>'Raw Data'!C802</f>
        <v>0</v>
      </c>
      <c r="D802" s="21" t="str">
        <f>'Raw Data'!D802</f>
        <v>Phone</v>
      </c>
      <c r="E802" s="21">
        <f>'Raw Data'!E802</f>
        <v>1</v>
      </c>
      <c r="F802" s="21">
        <f>IF('Raw Data'!F802="",ROUND(AVERAGE('Raw Data'!$F$2:$F$1501),1),'Raw Data'!F802)</f>
        <v>14.8</v>
      </c>
      <c r="G802" s="21" t="str">
        <f>'Raw Data'!G802</f>
        <v>Debit Card</v>
      </c>
      <c r="H802" s="21" t="str">
        <f>'Raw Data'!H802</f>
        <v>Female</v>
      </c>
      <c r="I802" s="21">
        <f>IF('Raw Data'!I802="",ROUND(AVERAGE('Raw Data'!$I$2:$I$1501),1),'Raw Data'!I802)</f>
        <v>3.2</v>
      </c>
      <c r="J802" s="21">
        <f>'Raw Data'!J802</f>
        <v>4</v>
      </c>
      <c r="K802" s="21" t="str">
        <f>'Raw Data'!K802</f>
        <v>Laptop &amp; Accessory</v>
      </c>
      <c r="L802" s="21">
        <f>'Raw Data'!L802</f>
        <v>2</v>
      </c>
      <c r="M802" s="21" t="str">
        <f>'Raw Data'!M802</f>
        <v>Married</v>
      </c>
      <c r="N802" s="21">
        <f>'Raw Data'!N802</f>
        <v>2</v>
      </c>
      <c r="O802" s="21">
        <f>'Raw Data'!O802</f>
        <v>1</v>
      </c>
      <c r="P802" s="21">
        <f>IF('Raw Data'!P802="",ROUND(AVERAGE('Raw Data'!$P$2:$P$1501),1),'Raw Data'!P802)</f>
        <v>16.3</v>
      </c>
      <c r="Q802" s="21">
        <f>IF('Raw Data'!Q802="",ROUND(AVERAGE('Raw Data'!$Q$2:$Q$1501),0),'Raw Data'!Q802)</f>
        <v>1</v>
      </c>
      <c r="R802" s="21">
        <f>'Raw Data'!R802</f>
        <v>4</v>
      </c>
      <c r="S802" s="21">
        <f>IF('Raw Data'!S802="",ROUND(AVERAGE('Raw Data'!$S$2:$S$1501),0),'Raw Data'!S802)</f>
        <v>2</v>
      </c>
      <c r="T802" s="21">
        <f>'Raw Data'!T802</f>
        <v>217.15</v>
      </c>
      <c r="U802" s="21" t="str">
        <f>INDEX('Lookup Tables'!$C$7:$C$9,MATCH(E802,'Lookup Tables'!$B$7:$B$9,0))</f>
        <v>Tier 1 (Metro)</v>
      </c>
      <c r="V802" s="21" t="str">
        <f t="shared" si="36"/>
        <v>0-6 months</v>
      </c>
      <c r="W802" s="21" t="str">
        <f t="shared" si="37"/>
        <v>High Risk</v>
      </c>
      <c r="X802" s="21" t="str">
        <f t="shared" si="38"/>
        <v>No</v>
      </c>
    </row>
    <row r="803" spans="1:24" x14ac:dyDescent="0.3">
      <c r="A803" s="21">
        <f>'Raw Data'!A803</f>
        <v>50802</v>
      </c>
      <c r="B803" s="21">
        <f>'Raw Data'!B803</f>
        <v>0</v>
      </c>
      <c r="C803" s="21">
        <f>'Raw Data'!C803</f>
        <v>22</v>
      </c>
      <c r="D803" s="21" t="str">
        <f>'Raw Data'!D803</f>
        <v>Mobile Phone</v>
      </c>
      <c r="E803" s="21">
        <f>'Raw Data'!E803</f>
        <v>1</v>
      </c>
      <c r="F803" s="21">
        <f>IF('Raw Data'!F803="",ROUND(AVERAGE('Raw Data'!$F$2:$F$1501),1),'Raw Data'!F803)</f>
        <v>16</v>
      </c>
      <c r="G803" s="21" t="str">
        <f>'Raw Data'!G803</f>
        <v>Debit Card</v>
      </c>
      <c r="H803" s="21" t="str">
        <f>'Raw Data'!H803</f>
        <v>Male</v>
      </c>
      <c r="I803" s="21">
        <f>IF('Raw Data'!I803="",ROUND(AVERAGE('Raw Data'!$I$2:$I$1501),1),'Raw Data'!I803)</f>
        <v>2.4</v>
      </c>
      <c r="J803" s="21">
        <f>'Raw Data'!J803</f>
        <v>3</v>
      </c>
      <c r="K803" s="21" t="str">
        <f>'Raw Data'!K803</f>
        <v>Laptop &amp; Accessory</v>
      </c>
      <c r="L803" s="21">
        <f>'Raw Data'!L803</f>
        <v>5</v>
      </c>
      <c r="M803" s="21" t="str">
        <f>'Raw Data'!M803</f>
        <v>Married</v>
      </c>
      <c r="N803" s="21">
        <f>'Raw Data'!N803</f>
        <v>3</v>
      </c>
      <c r="O803" s="21">
        <f>'Raw Data'!O803</f>
        <v>0</v>
      </c>
      <c r="P803" s="21">
        <f>IF('Raw Data'!P803="",ROUND(AVERAGE('Raw Data'!$P$2:$P$1501),1),'Raw Data'!P803)</f>
        <v>21.9</v>
      </c>
      <c r="Q803" s="21">
        <f>IF('Raw Data'!Q803="",ROUND(AVERAGE('Raw Data'!$Q$2:$Q$1501),0),'Raw Data'!Q803)</f>
        <v>0</v>
      </c>
      <c r="R803" s="21">
        <f>'Raw Data'!R803</f>
        <v>5</v>
      </c>
      <c r="S803" s="21">
        <f>IF('Raw Data'!S803="",ROUND(AVERAGE('Raw Data'!$S$2:$S$1501),0),'Raw Data'!S803)</f>
        <v>1</v>
      </c>
      <c r="T803" s="21">
        <f>'Raw Data'!T803</f>
        <v>172.74</v>
      </c>
      <c r="U803" s="21" t="str">
        <f>INDEX('Lookup Tables'!$C$7:$C$9,MATCH(E803,'Lookup Tables'!$B$7:$B$9,0))</f>
        <v>Tier 1 (Metro)</v>
      </c>
      <c r="V803" s="21" t="str">
        <f t="shared" si="36"/>
        <v>13-24 months</v>
      </c>
      <c r="W803" s="21" t="str">
        <f t="shared" si="37"/>
        <v>Low Risk</v>
      </c>
      <c r="X803" s="21" t="str">
        <f t="shared" si="38"/>
        <v>No</v>
      </c>
    </row>
    <row r="804" spans="1:24" x14ac:dyDescent="0.3">
      <c r="A804" s="21">
        <f>'Raw Data'!A804</f>
        <v>50803</v>
      </c>
      <c r="B804" s="21">
        <f>'Raw Data'!B804</f>
        <v>0</v>
      </c>
      <c r="C804" s="21">
        <f>'Raw Data'!C804</f>
        <v>2</v>
      </c>
      <c r="D804" s="21" t="str">
        <f>'Raw Data'!D804</f>
        <v>Mobile Phone</v>
      </c>
      <c r="E804" s="21">
        <f>'Raw Data'!E804</f>
        <v>1</v>
      </c>
      <c r="F804" s="21">
        <f>IF('Raw Data'!F804="",ROUND(AVERAGE('Raw Data'!$F$2:$F$1501),1),'Raw Data'!F804)</f>
        <v>7</v>
      </c>
      <c r="G804" s="21" t="str">
        <f>'Raw Data'!G804</f>
        <v>Debit Card</v>
      </c>
      <c r="H804" s="21" t="str">
        <f>'Raw Data'!H804</f>
        <v>Male</v>
      </c>
      <c r="I804" s="21">
        <f>IF('Raw Data'!I804="",ROUND(AVERAGE('Raw Data'!$I$2:$I$1501),1),'Raw Data'!I804)</f>
        <v>2.7</v>
      </c>
      <c r="J804" s="21">
        <f>'Raw Data'!J804</f>
        <v>4</v>
      </c>
      <c r="K804" s="21" t="str">
        <f>'Raw Data'!K804</f>
        <v>Mobile Phone</v>
      </c>
      <c r="L804" s="21">
        <f>'Raw Data'!L804</f>
        <v>3</v>
      </c>
      <c r="M804" s="21" t="str">
        <f>'Raw Data'!M804</f>
        <v>Single</v>
      </c>
      <c r="N804" s="21">
        <f>'Raw Data'!N804</f>
        <v>1</v>
      </c>
      <c r="O804" s="21">
        <f>'Raw Data'!O804</f>
        <v>0</v>
      </c>
      <c r="P804" s="21">
        <f>IF('Raw Data'!P804="",ROUND(AVERAGE('Raw Data'!$P$2:$P$1501),1),'Raw Data'!P804)</f>
        <v>18.100000000000001</v>
      </c>
      <c r="Q804" s="21">
        <f>IF('Raw Data'!Q804="",ROUND(AVERAGE('Raw Data'!$Q$2:$Q$1501),0),'Raw Data'!Q804)</f>
        <v>4</v>
      </c>
      <c r="R804" s="21">
        <f>'Raw Data'!R804</f>
        <v>2</v>
      </c>
      <c r="S804" s="21">
        <f>IF('Raw Data'!S804="",ROUND(AVERAGE('Raw Data'!$S$2:$S$1501),0),'Raw Data'!S804)</f>
        <v>1</v>
      </c>
      <c r="T804" s="21">
        <f>'Raw Data'!T804</f>
        <v>127.51</v>
      </c>
      <c r="U804" s="21" t="str">
        <f>INDEX('Lookup Tables'!$C$7:$C$9,MATCH(E804,'Lookup Tables'!$B$7:$B$9,0))</f>
        <v>Tier 1 (Metro)</v>
      </c>
      <c r="V804" s="21" t="str">
        <f t="shared" si="36"/>
        <v>0-6 months</v>
      </c>
      <c r="W804" s="21" t="str">
        <f t="shared" si="37"/>
        <v>Medium Risk</v>
      </c>
      <c r="X804" s="21" t="str">
        <f t="shared" si="38"/>
        <v>No</v>
      </c>
    </row>
    <row r="805" spans="1:24" x14ac:dyDescent="0.3">
      <c r="A805" s="21">
        <f>'Raw Data'!A805</f>
        <v>50804</v>
      </c>
      <c r="B805" s="21">
        <f>'Raw Data'!B805</f>
        <v>1</v>
      </c>
      <c r="C805" s="21">
        <f>'Raw Data'!C805</f>
        <v>3</v>
      </c>
      <c r="D805" s="21" t="str">
        <f>'Raw Data'!D805</f>
        <v>Mobile Phone</v>
      </c>
      <c r="E805" s="21">
        <f>'Raw Data'!E805</f>
        <v>3</v>
      </c>
      <c r="F805" s="21">
        <f>IF('Raw Data'!F805="",ROUND(AVERAGE('Raw Data'!$F$2:$F$1501),1),'Raw Data'!F805)</f>
        <v>6</v>
      </c>
      <c r="G805" s="21" t="str">
        <f>'Raw Data'!G805</f>
        <v>Credit Card</v>
      </c>
      <c r="H805" s="21" t="str">
        <f>'Raw Data'!H805</f>
        <v>Male</v>
      </c>
      <c r="I805" s="21">
        <f>IF('Raw Data'!I805="",ROUND(AVERAGE('Raw Data'!$I$2:$I$1501),1),'Raw Data'!I805)</f>
        <v>3</v>
      </c>
      <c r="J805" s="21">
        <f>'Raw Data'!J805</f>
        <v>5</v>
      </c>
      <c r="K805" s="21" t="str">
        <f>'Raw Data'!K805</f>
        <v>Fashion</v>
      </c>
      <c r="L805" s="21">
        <f>'Raw Data'!L805</f>
        <v>4</v>
      </c>
      <c r="M805" s="21" t="str">
        <f>'Raw Data'!M805</f>
        <v>Married</v>
      </c>
      <c r="N805" s="21">
        <f>'Raw Data'!N805</f>
        <v>6</v>
      </c>
      <c r="O805" s="21">
        <f>'Raw Data'!O805</f>
        <v>0</v>
      </c>
      <c r="P805" s="21">
        <f>IF('Raw Data'!P805="",ROUND(AVERAGE('Raw Data'!$P$2:$P$1501),1),'Raw Data'!P805)</f>
        <v>18.600000000000001</v>
      </c>
      <c r="Q805" s="21">
        <f>IF('Raw Data'!Q805="",ROUND(AVERAGE('Raw Data'!$Q$2:$Q$1501),0),'Raw Data'!Q805)</f>
        <v>2</v>
      </c>
      <c r="R805" s="21">
        <f>'Raw Data'!R805</f>
        <v>2</v>
      </c>
      <c r="S805" s="21">
        <f>IF('Raw Data'!S805="",ROUND(AVERAGE('Raw Data'!$S$2:$S$1501),0),'Raw Data'!S805)</f>
        <v>0</v>
      </c>
      <c r="T805" s="21">
        <f>'Raw Data'!T805</f>
        <v>209.74</v>
      </c>
      <c r="U805" s="21" t="str">
        <f>INDEX('Lookup Tables'!$C$7:$C$9,MATCH(E805,'Lookup Tables'!$B$7:$B$9,0))</f>
        <v>Tier 3 (Semi-urban/Rural)</v>
      </c>
      <c r="V805" s="21" t="str">
        <f t="shared" si="36"/>
        <v>0-6 months</v>
      </c>
      <c r="W805" s="21" t="str">
        <f t="shared" si="37"/>
        <v>Low Risk</v>
      </c>
      <c r="X805" s="21" t="str">
        <f t="shared" si="38"/>
        <v>Yes</v>
      </c>
    </row>
    <row r="806" spans="1:24" x14ac:dyDescent="0.3">
      <c r="A806" s="21">
        <f>'Raw Data'!A806</f>
        <v>50805</v>
      </c>
      <c r="B806" s="21">
        <f>'Raw Data'!B806</f>
        <v>0</v>
      </c>
      <c r="C806" s="21">
        <f>'Raw Data'!C806</f>
        <v>2</v>
      </c>
      <c r="D806" s="21" t="str">
        <f>'Raw Data'!D806</f>
        <v>Mobile Phone</v>
      </c>
      <c r="E806" s="21">
        <f>'Raw Data'!E806</f>
        <v>3</v>
      </c>
      <c r="F806" s="21">
        <f>IF('Raw Data'!F806="",ROUND(AVERAGE('Raw Data'!$F$2:$F$1501),1),'Raw Data'!F806)</f>
        <v>5</v>
      </c>
      <c r="G806" s="21" t="str">
        <f>'Raw Data'!G806</f>
        <v>Cash on Delivery</v>
      </c>
      <c r="H806" s="21" t="str">
        <f>'Raw Data'!H806</f>
        <v>Female</v>
      </c>
      <c r="I806" s="21">
        <f>IF('Raw Data'!I806="",ROUND(AVERAGE('Raw Data'!$I$2:$I$1501),1),'Raw Data'!I806)</f>
        <v>2.6</v>
      </c>
      <c r="J806" s="21">
        <f>'Raw Data'!J806</f>
        <v>4</v>
      </c>
      <c r="K806" s="21" t="str">
        <f>'Raw Data'!K806</f>
        <v>Others</v>
      </c>
      <c r="L806" s="21">
        <f>'Raw Data'!L806</f>
        <v>3</v>
      </c>
      <c r="M806" s="21" t="str">
        <f>'Raw Data'!M806</f>
        <v>Divorced</v>
      </c>
      <c r="N806" s="21">
        <f>'Raw Data'!N806</f>
        <v>5</v>
      </c>
      <c r="O806" s="21">
        <f>'Raw Data'!O806</f>
        <v>0</v>
      </c>
      <c r="P806" s="21">
        <f>IF('Raw Data'!P806="",ROUND(AVERAGE('Raw Data'!$P$2:$P$1501),1),'Raw Data'!P806)</f>
        <v>16.100000000000001</v>
      </c>
      <c r="Q806" s="21">
        <f>IF('Raw Data'!Q806="",ROUND(AVERAGE('Raw Data'!$Q$2:$Q$1501),0),'Raw Data'!Q806)</f>
        <v>1</v>
      </c>
      <c r="R806" s="21">
        <f>'Raw Data'!R806</f>
        <v>5</v>
      </c>
      <c r="S806" s="21">
        <f>IF('Raw Data'!S806="",ROUND(AVERAGE('Raw Data'!$S$2:$S$1501),0),'Raw Data'!S806)</f>
        <v>1</v>
      </c>
      <c r="T806" s="21">
        <f>'Raw Data'!T806</f>
        <v>216.93</v>
      </c>
      <c r="U806" s="21" t="str">
        <f>INDEX('Lookup Tables'!$C$7:$C$9,MATCH(E806,'Lookup Tables'!$B$7:$B$9,0))</f>
        <v>Tier 3 (Semi-urban/Rural)</v>
      </c>
      <c r="V806" s="21" t="str">
        <f t="shared" si="36"/>
        <v>0-6 months</v>
      </c>
      <c r="W806" s="21" t="str">
        <f t="shared" si="37"/>
        <v>Medium Risk</v>
      </c>
      <c r="X806" s="21" t="str">
        <f t="shared" si="38"/>
        <v>No</v>
      </c>
    </row>
    <row r="807" spans="1:24" x14ac:dyDescent="0.3">
      <c r="A807" s="21">
        <f>'Raw Data'!A807</f>
        <v>50806</v>
      </c>
      <c r="B807" s="21">
        <f>'Raw Data'!B807</f>
        <v>0</v>
      </c>
      <c r="C807" s="21">
        <f>'Raw Data'!C807</f>
        <v>4</v>
      </c>
      <c r="D807" s="21" t="str">
        <f>'Raw Data'!D807</f>
        <v>Computer</v>
      </c>
      <c r="E807" s="21">
        <f>'Raw Data'!E807</f>
        <v>1</v>
      </c>
      <c r="F807" s="21">
        <f>IF('Raw Data'!F807="",ROUND(AVERAGE('Raw Data'!$F$2:$F$1501),1),'Raw Data'!F807)</f>
        <v>5</v>
      </c>
      <c r="G807" s="21" t="str">
        <f>'Raw Data'!G807</f>
        <v>Debit Card</v>
      </c>
      <c r="H807" s="21" t="str">
        <f>'Raw Data'!H807</f>
        <v>Male</v>
      </c>
      <c r="I807" s="21">
        <f>IF('Raw Data'!I807="",ROUND(AVERAGE('Raw Data'!$I$2:$I$1501),1),'Raw Data'!I807)</f>
        <v>3.4</v>
      </c>
      <c r="J807" s="21">
        <f>'Raw Data'!J807</f>
        <v>3</v>
      </c>
      <c r="K807" s="21" t="str">
        <f>'Raw Data'!K807</f>
        <v>Grocery</v>
      </c>
      <c r="L807" s="21">
        <f>'Raw Data'!L807</f>
        <v>4</v>
      </c>
      <c r="M807" s="21" t="str">
        <f>'Raw Data'!M807</f>
        <v>Divorced</v>
      </c>
      <c r="N807" s="21">
        <f>'Raw Data'!N807</f>
        <v>4</v>
      </c>
      <c r="O807" s="21">
        <f>'Raw Data'!O807</f>
        <v>1</v>
      </c>
      <c r="P807" s="21">
        <f>IF('Raw Data'!P807="",ROUND(AVERAGE('Raw Data'!$P$2:$P$1501),1),'Raw Data'!P807)</f>
        <v>15.5</v>
      </c>
      <c r="Q807" s="21">
        <f>IF('Raw Data'!Q807="",ROUND(AVERAGE('Raw Data'!$Q$2:$Q$1501),0),'Raw Data'!Q807)</f>
        <v>4</v>
      </c>
      <c r="R807" s="21">
        <f>'Raw Data'!R807</f>
        <v>4</v>
      </c>
      <c r="S807" s="21">
        <f>IF('Raw Data'!S807="",ROUND(AVERAGE('Raw Data'!$S$2:$S$1501),0),'Raw Data'!S807)</f>
        <v>9</v>
      </c>
      <c r="T807" s="21">
        <f>'Raw Data'!T807</f>
        <v>161.61000000000001</v>
      </c>
      <c r="U807" s="21" t="str">
        <f>INDEX('Lookup Tables'!$C$7:$C$9,MATCH(E807,'Lookup Tables'!$B$7:$B$9,0))</f>
        <v>Tier 1 (Metro)</v>
      </c>
      <c r="V807" s="21" t="str">
        <f t="shared" si="36"/>
        <v>0-6 months</v>
      </c>
      <c r="W807" s="21" t="str">
        <f t="shared" si="37"/>
        <v>Low Risk</v>
      </c>
      <c r="X807" s="21" t="str">
        <f t="shared" si="38"/>
        <v>No</v>
      </c>
    </row>
    <row r="808" spans="1:24" x14ac:dyDescent="0.3">
      <c r="A808" s="21">
        <f>'Raw Data'!A808</f>
        <v>50807</v>
      </c>
      <c r="B808" s="21">
        <f>'Raw Data'!B808</f>
        <v>0</v>
      </c>
      <c r="C808" s="21">
        <f>'Raw Data'!C808</f>
        <v>0</v>
      </c>
      <c r="D808" s="21" t="str">
        <f>'Raw Data'!D808</f>
        <v>Mobile Phone</v>
      </c>
      <c r="E808" s="21">
        <f>'Raw Data'!E808</f>
        <v>1</v>
      </c>
      <c r="F808" s="21">
        <f>IF('Raw Data'!F808="",ROUND(AVERAGE('Raw Data'!$F$2:$F$1501),1),'Raw Data'!F808)</f>
        <v>5</v>
      </c>
      <c r="G808" s="21" t="str">
        <f>'Raw Data'!G808</f>
        <v>E wallet</v>
      </c>
      <c r="H808" s="21" t="str">
        <f>'Raw Data'!H808</f>
        <v>Male</v>
      </c>
      <c r="I808" s="21">
        <f>IF('Raw Data'!I808="",ROUND(AVERAGE('Raw Data'!$I$2:$I$1501),1),'Raw Data'!I808)</f>
        <v>4.2</v>
      </c>
      <c r="J808" s="21">
        <f>'Raw Data'!J808</f>
        <v>3</v>
      </c>
      <c r="K808" s="21" t="str">
        <f>'Raw Data'!K808</f>
        <v>Others</v>
      </c>
      <c r="L808" s="21">
        <f>'Raw Data'!L808</f>
        <v>3</v>
      </c>
      <c r="M808" s="21" t="str">
        <f>'Raw Data'!M808</f>
        <v>Single</v>
      </c>
      <c r="N808" s="21">
        <f>'Raw Data'!N808</f>
        <v>20</v>
      </c>
      <c r="O808" s="21">
        <f>'Raw Data'!O808</f>
        <v>0</v>
      </c>
      <c r="P808" s="21">
        <f>IF('Raw Data'!P808="",ROUND(AVERAGE('Raw Data'!$P$2:$P$1501),1),'Raw Data'!P808)</f>
        <v>11</v>
      </c>
      <c r="Q808" s="21">
        <f>IF('Raw Data'!Q808="",ROUND(AVERAGE('Raw Data'!$Q$2:$Q$1501),0),'Raw Data'!Q808)</f>
        <v>0</v>
      </c>
      <c r="R808" s="21">
        <f>'Raw Data'!R808</f>
        <v>4</v>
      </c>
      <c r="S808" s="21">
        <f>IF('Raw Data'!S808="",ROUND(AVERAGE('Raw Data'!$S$2:$S$1501),0),'Raw Data'!S808)</f>
        <v>5</v>
      </c>
      <c r="T808" s="21">
        <f>'Raw Data'!T808</f>
        <v>183.37</v>
      </c>
      <c r="U808" s="21" t="str">
        <f>INDEX('Lookup Tables'!$C$7:$C$9,MATCH(E808,'Lookup Tables'!$B$7:$B$9,0))</f>
        <v>Tier 1 (Metro)</v>
      </c>
      <c r="V808" s="21" t="str">
        <f t="shared" si="36"/>
        <v>0-6 months</v>
      </c>
      <c r="W808" s="21" t="str">
        <f t="shared" si="37"/>
        <v>Medium Risk</v>
      </c>
      <c r="X808" s="21" t="str">
        <f t="shared" si="38"/>
        <v>No</v>
      </c>
    </row>
    <row r="809" spans="1:24" x14ac:dyDescent="0.3">
      <c r="A809" s="21">
        <f>'Raw Data'!A809</f>
        <v>50808</v>
      </c>
      <c r="B809" s="21">
        <f>'Raw Data'!B809</f>
        <v>1</v>
      </c>
      <c r="C809" s="21">
        <f>'Raw Data'!C809</f>
        <v>7</v>
      </c>
      <c r="D809" s="21" t="str">
        <f>'Raw Data'!D809</f>
        <v>Mobile Phone</v>
      </c>
      <c r="E809" s="21">
        <f>'Raw Data'!E809</f>
        <v>1</v>
      </c>
      <c r="F809" s="21">
        <f>IF('Raw Data'!F809="",ROUND(AVERAGE('Raw Data'!$F$2:$F$1501),1),'Raw Data'!F809)</f>
        <v>16</v>
      </c>
      <c r="G809" s="21" t="str">
        <f>'Raw Data'!G809</f>
        <v>E wallet</v>
      </c>
      <c r="H809" s="21" t="str">
        <f>'Raw Data'!H809</f>
        <v>Female</v>
      </c>
      <c r="I809" s="21">
        <f>IF('Raw Data'!I809="",ROUND(AVERAGE('Raw Data'!$I$2:$I$1501),1),'Raw Data'!I809)</f>
        <v>2.4</v>
      </c>
      <c r="J809" s="21">
        <f>'Raw Data'!J809</f>
        <v>2</v>
      </c>
      <c r="K809" s="21" t="str">
        <f>'Raw Data'!K809</f>
        <v>Laptop &amp; Accessory</v>
      </c>
      <c r="L809" s="21">
        <f>'Raw Data'!L809</f>
        <v>3</v>
      </c>
      <c r="M809" s="21" t="str">
        <f>'Raw Data'!M809</f>
        <v>Single</v>
      </c>
      <c r="N809" s="21">
        <f>'Raw Data'!N809</f>
        <v>1</v>
      </c>
      <c r="O809" s="21">
        <f>'Raw Data'!O809</f>
        <v>0</v>
      </c>
      <c r="P809" s="21">
        <f>IF('Raw Data'!P809="",ROUND(AVERAGE('Raw Data'!$P$2:$P$1501),1),'Raw Data'!P809)</f>
        <v>11</v>
      </c>
      <c r="Q809" s="21">
        <f>IF('Raw Data'!Q809="",ROUND(AVERAGE('Raw Data'!$Q$2:$Q$1501),0),'Raw Data'!Q809)</f>
        <v>3</v>
      </c>
      <c r="R809" s="21">
        <f>'Raw Data'!R809</f>
        <v>4</v>
      </c>
      <c r="S809" s="21">
        <f>IF('Raw Data'!S809="",ROUND(AVERAGE('Raw Data'!$S$2:$S$1501),0),'Raw Data'!S809)</f>
        <v>10</v>
      </c>
      <c r="T809" s="21">
        <f>'Raw Data'!T809</f>
        <v>148.29</v>
      </c>
      <c r="U809" s="21" t="str">
        <f>INDEX('Lookup Tables'!$C$7:$C$9,MATCH(E809,'Lookup Tables'!$B$7:$B$9,0))</f>
        <v>Tier 1 (Metro)</v>
      </c>
      <c r="V809" s="21" t="str">
        <f t="shared" si="36"/>
        <v>7-12 months</v>
      </c>
      <c r="W809" s="21" t="str">
        <f t="shared" si="37"/>
        <v>Medium Risk</v>
      </c>
      <c r="X809" s="21" t="str">
        <f t="shared" si="38"/>
        <v>Yes</v>
      </c>
    </row>
    <row r="810" spans="1:24" x14ac:dyDescent="0.3">
      <c r="A810" s="21">
        <f>'Raw Data'!A810</f>
        <v>50809</v>
      </c>
      <c r="B810" s="21">
        <f>'Raw Data'!B810</f>
        <v>0</v>
      </c>
      <c r="C810" s="21">
        <f>'Raw Data'!C810</f>
        <v>0</v>
      </c>
      <c r="D810" s="21" t="str">
        <f>'Raw Data'!D810</f>
        <v>Mobile Phone</v>
      </c>
      <c r="E810" s="21">
        <f>'Raw Data'!E810</f>
        <v>3</v>
      </c>
      <c r="F810" s="21">
        <f>IF('Raw Data'!F810="",ROUND(AVERAGE('Raw Data'!$F$2:$F$1501),1),'Raw Data'!F810)</f>
        <v>7</v>
      </c>
      <c r="G810" s="21" t="str">
        <f>'Raw Data'!G810</f>
        <v>Debit Card</v>
      </c>
      <c r="H810" s="21" t="str">
        <f>'Raw Data'!H810</f>
        <v>Male</v>
      </c>
      <c r="I810" s="21">
        <f>IF('Raw Data'!I810="",ROUND(AVERAGE('Raw Data'!$I$2:$I$1501),1),'Raw Data'!I810)</f>
        <v>1.7</v>
      </c>
      <c r="J810" s="21">
        <f>'Raw Data'!J810</f>
        <v>3</v>
      </c>
      <c r="K810" s="21" t="str">
        <f>'Raw Data'!K810</f>
        <v>Laptop &amp; Accessory</v>
      </c>
      <c r="L810" s="21">
        <f>'Raw Data'!L810</f>
        <v>4</v>
      </c>
      <c r="M810" s="21" t="str">
        <f>'Raw Data'!M810</f>
        <v>Divorced</v>
      </c>
      <c r="N810" s="21">
        <f>'Raw Data'!N810</f>
        <v>4</v>
      </c>
      <c r="O810" s="21">
        <f>'Raw Data'!O810</f>
        <v>0</v>
      </c>
      <c r="P810" s="21">
        <f>IF('Raw Data'!P810="",ROUND(AVERAGE('Raw Data'!$P$2:$P$1501),1),'Raw Data'!P810)</f>
        <v>16.7</v>
      </c>
      <c r="Q810" s="21">
        <f>IF('Raw Data'!Q810="",ROUND(AVERAGE('Raw Data'!$Q$2:$Q$1501),0),'Raw Data'!Q810)</f>
        <v>0</v>
      </c>
      <c r="R810" s="21">
        <f>'Raw Data'!R810</f>
        <v>3</v>
      </c>
      <c r="S810" s="21">
        <f>IF('Raw Data'!S810="",ROUND(AVERAGE('Raw Data'!$S$2:$S$1501),0),'Raw Data'!S810)</f>
        <v>0</v>
      </c>
      <c r="T810" s="21">
        <f>'Raw Data'!T810</f>
        <v>119.76</v>
      </c>
      <c r="U810" s="21" t="str">
        <f>INDEX('Lookup Tables'!$C$7:$C$9,MATCH(E810,'Lookup Tables'!$B$7:$B$9,0))</f>
        <v>Tier 3 (Semi-urban/Rural)</v>
      </c>
      <c r="V810" s="21" t="str">
        <f t="shared" si="36"/>
        <v>0-6 months</v>
      </c>
      <c r="W810" s="21" t="str">
        <f t="shared" si="37"/>
        <v>Low Risk</v>
      </c>
      <c r="X810" s="21" t="str">
        <f t="shared" si="38"/>
        <v>No</v>
      </c>
    </row>
    <row r="811" spans="1:24" x14ac:dyDescent="0.3">
      <c r="A811" s="21">
        <f>'Raw Data'!A811</f>
        <v>50810</v>
      </c>
      <c r="B811" s="21">
        <f>'Raw Data'!B811</f>
        <v>0</v>
      </c>
      <c r="C811" s="21">
        <f>'Raw Data'!C811</f>
        <v>16</v>
      </c>
      <c r="D811" s="21" t="str">
        <f>'Raw Data'!D811</f>
        <v>Mobile Phone</v>
      </c>
      <c r="E811" s="21">
        <f>'Raw Data'!E811</f>
        <v>1</v>
      </c>
      <c r="F811" s="21">
        <f>IF('Raw Data'!F811="",ROUND(AVERAGE('Raw Data'!$F$2:$F$1501),1),'Raw Data'!F811)</f>
        <v>19</v>
      </c>
      <c r="G811" s="21" t="str">
        <f>'Raw Data'!G811</f>
        <v>Cash on Delivery</v>
      </c>
      <c r="H811" s="21" t="str">
        <f>'Raw Data'!H811</f>
        <v>Female</v>
      </c>
      <c r="I811" s="21">
        <f>IF('Raw Data'!I811="",ROUND(AVERAGE('Raw Data'!$I$2:$I$1501),1),'Raw Data'!I811)</f>
        <v>1.5</v>
      </c>
      <c r="J811" s="21">
        <f>'Raw Data'!J811</f>
        <v>2</v>
      </c>
      <c r="K811" s="21" t="str">
        <f>'Raw Data'!K811</f>
        <v>Mobile Phone</v>
      </c>
      <c r="L811" s="21">
        <f>'Raw Data'!L811</f>
        <v>4</v>
      </c>
      <c r="M811" s="21" t="str">
        <f>'Raw Data'!M811</f>
        <v>Married</v>
      </c>
      <c r="N811" s="21">
        <f>'Raw Data'!N811</f>
        <v>2</v>
      </c>
      <c r="O811" s="21">
        <f>'Raw Data'!O811</f>
        <v>0</v>
      </c>
      <c r="P811" s="21">
        <f>IF('Raw Data'!P811="",ROUND(AVERAGE('Raw Data'!$P$2:$P$1501),1),'Raw Data'!P811)</f>
        <v>20.6</v>
      </c>
      <c r="Q811" s="21">
        <f>IF('Raw Data'!Q811="",ROUND(AVERAGE('Raw Data'!$Q$2:$Q$1501),0),'Raw Data'!Q811)</f>
        <v>1</v>
      </c>
      <c r="R811" s="21">
        <f>'Raw Data'!R811</f>
        <v>3</v>
      </c>
      <c r="S811" s="21">
        <f>IF('Raw Data'!S811="",ROUND(AVERAGE('Raw Data'!$S$2:$S$1501),0),'Raw Data'!S811)</f>
        <v>3</v>
      </c>
      <c r="T811" s="21">
        <f>'Raw Data'!T811</f>
        <v>152.66</v>
      </c>
      <c r="U811" s="21" t="str">
        <f>INDEX('Lookup Tables'!$C$7:$C$9,MATCH(E811,'Lookup Tables'!$B$7:$B$9,0))</f>
        <v>Tier 1 (Metro)</v>
      </c>
      <c r="V811" s="21" t="str">
        <f t="shared" si="36"/>
        <v>13-24 months</v>
      </c>
      <c r="W811" s="21" t="str">
        <f t="shared" si="37"/>
        <v>Low Risk</v>
      </c>
      <c r="X811" s="21" t="str">
        <f t="shared" si="38"/>
        <v>No</v>
      </c>
    </row>
    <row r="812" spans="1:24" x14ac:dyDescent="0.3">
      <c r="A812" s="21">
        <f>'Raw Data'!A812</f>
        <v>50811</v>
      </c>
      <c r="B812" s="21">
        <f>'Raw Data'!B812</f>
        <v>0</v>
      </c>
      <c r="C812" s="21">
        <f>'Raw Data'!C812</f>
        <v>2</v>
      </c>
      <c r="D812" s="21" t="str">
        <f>'Raw Data'!D812</f>
        <v>Mobile Phone</v>
      </c>
      <c r="E812" s="21">
        <f>'Raw Data'!E812</f>
        <v>2</v>
      </c>
      <c r="F812" s="21">
        <f>IF('Raw Data'!F812="",ROUND(AVERAGE('Raw Data'!$F$2:$F$1501),1),'Raw Data'!F812)</f>
        <v>15</v>
      </c>
      <c r="G812" s="21" t="str">
        <f>'Raw Data'!G812</f>
        <v>Credit Card</v>
      </c>
      <c r="H812" s="21" t="str">
        <f>'Raw Data'!H812</f>
        <v>Male</v>
      </c>
      <c r="I812" s="21">
        <f>IF('Raw Data'!I812="",ROUND(AVERAGE('Raw Data'!$I$2:$I$1501),1),'Raw Data'!I812)</f>
        <v>2.8</v>
      </c>
      <c r="J812" s="21">
        <f>'Raw Data'!J812</f>
        <v>4</v>
      </c>
      <c r="K812" s="21" t="str">
        <f>'Raw Data'!K812</f>
        <v>Laptop &amp; Accessory</v>
      </c>
      <c r="L812" s="21">
        <f>'Raw Data'!L812</f>
        <v>3</v>
      </c>
      <c r="M812" s="21" t="str">
        <f>'Raw Data'!M812</f>
        <v>Single</v>
      </c>
      <c r="N812" s="21">
        <f>'Raw Data'!N812</f>
        <v>1</v>
      </c>
      <c r="O812" s="21">
        <f>'Raw Data'!O812</f>
        <v>1</v>
      </c>
      <c r="P812" s="21">
        <f>IF('Raw Data'!P812="",ROUND(AVERAGE('Raw Data'!$P$2:$P$1501),1),'Raw Data'!P812)</f>
        <v>17.2</v>
      </c>
      <c r="Q812" s="21">
        <f>IF('Raw Data'!Q812="",ROUND(AVERAGE('Raw Data'!$Q$2:$Q$1501),0),'Raw Data'!Q812)</f>
        <v>2</v>
      </c>
      <c r="R812" s="21">
        <f>'Raw Data'!R812</f>
        <v>4</v>
      </c>
      <c r="S812" s="21">
        <f>IF('Raw Data'!S812="",ROUND(AVERAGE('Raw Data'!$S$2:$S$1501),0),'Raw Data'!S812)</f>
        <v>1</v>
      </c>
      <c r="T812" s="21">
        <f>'Raw Data'!T812</f>
        <v>184.07</v>
      </c>
      <c r="U812" s="21" t="str">
        <f>INDEX('Lookup Tables'!$C$7:$C$9,MATCH(E812,'Lookup Tables'!$B$7:$B$9,0))</f>
        <v>Tier 2 (Urban)</v>
      </c>
      <c r="V812" s="21" t="str">
        <f t="shared" si="36"/>
        <v>0-6 months</v>
      </c>
      <c r="W812" s="21" t="str">
        <f t="shared" si="37"/>
        <v>Medium Risk</v>
      </c>
      <c r="X812" s="21" t="str">
        <f t="shared" si="38"/>
        <v>No</v>
      </c>
    </row>
    <row r="813" spans="1:24" x14ac:dyDescent="0.3">
      <c r="A813" s="21">
        <f>'Raw Data'!A813</f>
        <v>50812</v>
      </c>
      <c r="B813" s="21">
        <f>'Raw Data'!B813</f>
        <v>0</v>
      </c>
      <c r="C813" s="21">
        <f>'Raw Data'!C813</f>
        <v>7</v>
      </c>
      <c r="D813" s="21" t="str">
        <f>'Raw Data'!D813</f>
        <v>Phone</v>
      </c>
      <c r="E813" s="21">
        <f>'Raw Data'!E813</f>
        <v>2</v>
      </c>
      <c r="F813" s="21">
        <f>IF('Raw Data'!F813="",ROUND(AVERAGE('Raw Data'!$F$2:$F$1501),1),'Raw Data'!F813)</f>
        <v>5</v>
      </c>
      <c r="G813" s="21" t="str">
        <f>'Raw Data'!G813</f>
        <v>Credit Card</v>
      </c>
      <c r="H813" s="21" t="str">
        <f>'Raw Data'!H813</f>
        <v>Male</v>
      </c>
      <c r="I813" s="21">
        <f>IF('Raw Data'!I813="",ROUND(AVERAGE('Raw Data'!$I$2:$I$1501),1),'Raw Data'!I813)</f>
        <v>2.4</v>
      </c>
      <c r="J813" s="21">
        <f>'Raw Data'!J813</f>
        <v>6</v>
      </c>
      <c r="K813" s="21" t="str">
        <f>'Raw Data'!K813</f>
        <v>Grocery</v>
      </c>
      <c r="L813" s="21">
        <f>'Raw Data'!L813</f>
        <v>2</v>
      </c>
      <c r="M813" s="21" t="str">
        <f>'Raw Data'!M813</f>
        <v>Married</v>
      </c>
      <c r="N813" s="21">
        <f>'Raw Data'!N813</f>
        <v>1</v>
      </c>
      <c r="O813" s="21">
        <f>'Raw Data'!O813</f>
        <v>0</v>
      </c>
      <c r="P813" s="21">
        <f>IF('Raw Data'!P813="",ROUND(AVERAGE('Raw Data'!$P$2:$P$1501),1),'Raw Data'!P813)</f>
        <v>18.2</v>
      </c>
      <c r="Q813" s="21">
        <f>IF('Raw Data'!Q813="",ROUND(AVERAGE('Raw Data'!$Q$2:$Q$1501),0),'Raw Data'!Q813)</f>
        <v>0</v>
      </c>
      <c r="R813" s="21">
        <f>'Raw Data'!R813</f>
        <v>3</v>
      </c>
      <c r="S813" s="21">
        <f>IF('Raw Data'!S813="",ROUND(AVERAGE('Raw Data'!$S$2:$S$1501),0),'Raw Data'!S813)</f>
        <v>6</v>
      </c>
      <c r="T813" s="21">
        <f>'Raw Data'!T813</f>
        <v>98.87</v>
      </c>
      <c r="U813" s="21" t="str">
        <f>INDEX('Lookup Tables'!$C$7:$C$9,MATCH(E813,'Lookup Tables'!$B$7:$B$9,0))</f>
        <v>Tier 2 (Urban)</v>
      </c>
      <c r="V813" s="21" t="str">
        <f t="shared" si="36"/>
        <v>7-12 months</v>
      </c>
      <c r="W813" s="21" t="str">
        <f t="shared" si="37"/>
        <v>Low Risk</v>
      </c>
      <c r="X813" s="21" t="str">
        <f t="shared" si="38"/>
        <v>No</v>
      </c>
    </row>
    <row r="814" spans="1:24" x14ac:dyDescent="0.3">
      <c r="A814" s="21">
        <f>'Raw Data'!A814</f>
        <v>50813</v>
      </c>
      <c r="B814" s="21">
        <f>'Raw Data'!B814</f>
        <v>0</v>
      </c>
      <c r="C814" s="21">
        <f>'Raw Data'!C814</f>
        <v>21</v>
      </c>
      <c r="D814" s="21" t="str">
        <f>'Raw Data'!D814</f>
        <v>Computer</v>
      </c>
      <c r="E814" s="21">
        <f>'Raw Data'!E814</f>
        <v>2</v>
      </c>
      <c r="F814" s="21">
        <f>IF('Raw Data'!F814="",ROUND(AVERAGE('Raw Data'!$F$2:$F$1501),1),'Raw Data'!F814)</f>
        <v>20</v>
      </c>
      <c r="G814" s="21" t="str">
        <f>'Raw Data'!G814</f>
        <v>UPI</v>
      </c>
      <c r="H814" s="21" t="str">
        <f>'Raw Data'!H814</f>
        <v>Male</v>
      </c>
      <c r="I814" s="21">
        <f>IF('Raw Data'!I814="",ROUND(AVERAGE('Raw Data'!$I$2:$I$1501),1),'Raw Data'!I814)</f>
        <v>3</v>
      </c>
      <c r="J814" s="21">
        <f>'Raw Data'!J814</f>
        <v>4</v>
      </c>
      <c r="K814" s="21" t="str">
        <f>'Raw Data'!K814</f>
        <v>Fashion</v>
      </c>
      <c r="L814" s="21">
        <f>'Raw Data'!L814</f>
        <v>3</v>
      </c>
      <c r="M814" s="21" t="str">
        <f>'Raw Data'!M814</f>
        <v>Single</v>
      </c>
      <c r="N814" s="21">
        <f>'Raw Data'!N814</f>
        <v>7</v>
      </c>
      <c r="O814" s="21">
        <f>'Raw Data'!O814</f>
        <v>0</v>
      </c>
      <c r="P814" s="21">
        <f>IF('Raw Data'!P814="",ROUND(AVERAGE('Raw Data'!$P$2:$P$1501),1),'Raw Data'!P814)</f>
        <v>21.5</v>
      </c>
      <c r="Q814" s="21">
        <f>IF('Raw Data'!Q814="",ROUND(AVERAGE('Raw Data'!$Q$2:$Q$1501),0),'Raw Data'!Q814)</f>
        <v>2</v>
      </c>
      <c r="R814" s="21">
        <f>'Raw Data'!R814</f>
        <v>5</v>
      </c>
      <c r="S814" s="21">
        <f>IF('Raw Data'!S814="",ROUND(AVERAGE('Raw Data'!$S$2:$S$1501),0),'Raw Data'!S814)</f>
        <v>17</v>
      </c>
      <c r="T814" s="21">
        <f>'Raw Data'!T814</f>
        <v>156.68</v>
      </c>
      <c r="U814" s="21" t="str">
        <f>INDEX('Lookup Tables'!$C$7:$C$9,MATCH(E814,'Lookup Tables'!$B$7:$B$9,0))</f>
        <v>Tier 2 (Urban)</v>
      </c>
      <c r="V814" s="21" t="str">
        <f t="shared" si="36"/>
        <v>13-24 months</v>
      </c>
      <c r="W814" s="21" t="str">
        <f t="shared" si="37"/>
        <v>Medium Risk</v>
      </c>
      <c r="X814" s="21" t="str">
        <f t="shared" si="38"/>
        <v>No</v>
      </c>
    </row>
    <row r="815" spans="1:24" x14ac:dyDescent="0.3">
      <c r="A815" s="21">
        <f>'Raw Data'!A815</f>
        <v>50814</v>
      </c>
      <c r="B815" s="21">
        <f>'Raw Data'!B815</f>
        <v>0</v>
      </c>
      <c r="C815" s="21">
        <f>'Raw Data'!C815</f>
        <v>10</v>
      </c>
      <c r="D815" s="21" t="str">
        <f>'Raw Data'!D815</f>
        <v>Phone</v>
      </c>
      <c r="E815" s="21">
        <f>'Raw Data'!E815</f>
        <v>1</v>
      </c>
      <c r="F815" s="21">
        <f>IF('Raw Data'!F815="",ROUND(AVERAGE('Raw Data'!$F$2:$F$1501),1),'Raw Data'!F815)</f>
        <v>21</v>
      </c>
      <c r="G815" s="21" t="str">
        <f>'Raw Data'!G815</f>
        <v>Debit Card</v>
      </c>
      <c r="H815" s="21" t="str">
        <f>'Raw Data'!H815</f>
        <v>Female</v>
      </c>
      <c r="I815" s="21">
        <f>IF('Raw Data'!I815="",ROUND(AVERAGE('Raw Data'!$I$2:$I$1501),1),'Raw Data'!I815)</f>
        <v>3</v>
      </c>
      <c r="J815" s="21">
        <f>'Raw Data'!J815</f>
        <v>1</v>
      </c>
      <c r="K815" s="21" t="str">
        <f>'Raw Data'!K815</f>
        <v>Others</v>
      </c>
      <c r="L815" s="21">
        <f>'Raw Data'!L815</f>
        <v>3</v>
      </c>
      <c r="M815" s="21" t="str">
        <f>'Raw Data'!M815</f>
        <v>Single</v>
      </c>
      <c r="N815" s="21">
        <f>'Raw Data'!N815</f>
        <v>3</v>
      </c>
      <c r="O815" s="21">
        <f>'Raw Data'!O815</f>
        <v>1</v>
      </c>
      <c r="P815" s="21">
        <f>IF('Raw Data'!P815="",ROUND(AVERAGE('Raw Data'!$P$2:$P$1501),1),'Raw Data'!P815)</f>
        <v>17.2</v>
      </c>
      <c r="Q815" s="21">
        <f>IF('Raw Data'!Q815="",ROUND(AVERAGE('Raw Data'!$Q$2:$Q$1501),0),'Raw Data'!Q815)</f>
        <v>2</v>
      </c>
      <c r="R815" s="21">
        <f>'Raw Data'!R815</f>
        <v>3</v>
      </c>
      <c r="S815" s="21">
        <f>IF('Raw Data'!S815="",ROUND(AVERAGE('Raw Data'!$S$2:$S$1501),0),'Raw Data'!S815)</f>
        <v>8</v>
      </c>
      <c r="T815" s="21">
        <f>'Raw Data'!T815</f>
        <v>184.83</v>
      </c>
      <c r="U815" s="21" t="str">
        <f>INDEX('Lookup Tables'!$C$7:$C$9,MATCH(E815,'Lookup Tables'!$B$7:$B$9,0))</f>
        <v>Tier 1 (Metro)</v>
      </c>
      <c r="V815" s="21" t="str">
        <f t="shared" si="36"/>
        <v>7-12 months</v>
      </c>
      <c r="W815" s="21" t="str">
        <f t="shared" si="37"/>
        <v>Medium Risk</v>
      </c>
      <c r="X815" s="21" t="str">
        <f t="shared" si="38"/>
        <v>No</v>
      </c>
    </row>
    <row r="816" spans="1:24" x14ac:dyDescent="0.3">
      <c r="A816" s="21">
        <f>'Raw Data'!A816</f>
        <v>50815</v>
      </c>
      <c r="B816" s="21">
        <f>'Raw Data'!B816</f>
        <v>0</v>
      </c>
      <c r="C816" s="21">
        <f>'Raw Data'!C816</f>
        <v>7</v>
      </c>
      <c r="D816" s="21" t="str">
        <f>'Raw Data'!D816</f>
        <v>Phone</v>
      </c>
      <c r="E816" s="21">
        <f>'Raw Data'!E816</f>
        <v>3</v>
      </c>
      <c r="F816" s="21">
        <f>IF('Raw Data'!F816="",ROUND(AVERAGE('Raw Data'!$F$2:$F$1501),1),'Raw Data'!F816)</f>
        <v>7</v>
      </c>
      <c r="G816" s="21" t="str">
        <f>'Raw Data'!G816</f>
        <v>E wallet</v>
      </c>
      <c r="H816" s="21" t="str">
        <f>'Raw Data'!H816</f>
        <v>Male</v>
      </c>
      <c r="I816" s="21">
        <f>IF('Raw Data'!I816="",ROUND(AVERAGE('Raw Data'!$I$2:$I$1501),1),'Raw Data'!I816)</f>
        <v>1.8</v>
      </c>
      <c r="J816" s="21">
        <f>'Raw Data'!J816</f>
        <v>3</v>
      </c>
      <c r="K816" s="21" t="str">
        <f>'Raw Data'!K816</f>
        <v>Laptop &amp; Accessory</v>
      </c>
      <c r="L816" s="21">
        <f>'Raw Data'!L816</f>
        <v>4</v>
      </c>
      <c r="M816" s="21" t="str">
        <f>'Raw Data'!M816</f>
        <v>Married</v>
      </c>
      <c r="N816" s="21">
        <f>'Raw Data'!N816</f>
        <v>6</v>
      </c>
      <c r="O816" s="21">
        <f>'Raw Data'!O816</f>
        <v>0</v>
      </c>
      <c r="P816" s="21">
        <f>IF('Raw Data'!P816="",ROUND(AVERAGE('Raw Data'!$P$2:$P$1501),1),'Raw Data'!P816)</f>
        <v>15.6</v>
      </c>
      <c r="Q816" s="21">
        <f>IF('Raw Data'!Q816="",ROUND(AVERAGE('Raw Data'!$Q$2:$Q$1501),0),'Raw Data'!Q816)</f>
        <v>1</v>
      </c>
      <c r="R816" s="21">
        <f>'Raw Data'!R816</f>
        <v>4</v>
      </c>
      <c r="S816" s="21">
        <f>IF('Raw Data'!S816="",ROUND(AVERAGE('Raw Data'!$S$2:$S$1501),0),'Raw Data'!S816)</f>
        <v>0</v>
      </c>
      <c r="T816" s="21">
        <f>'Raw Data'!T816</f>
        <v>245.71</v>
      </c>
      <c r="U816" s="21" t="str">
        <f>INDEX('Lookup Tables'!$C$7:$C$9,MATCH(E816,'Lookup Tables'!$B$7:$B$9,0))</f>
        <v>Tier 3 (Semi-urban/Rural)</v>
      </c>
      <c r="V816" s="21" t="str">
        <f t="shared" si="36"/>
        <v>7-12 months</v>
      </c>
      <c r="W816" s="21" t="str">
        <f t="shared" si="37"/>
        <v>Low Risk</v>
      </c>
      <c r="X816" s="21" t="str">
        <f t="shared" si="38"/>
        <v>No</v>
      </c>
    </row>
    <row r="817" spans="1:24" x14ac:dyDescent="0.3">
      <c r="A817" s="21">
        <f>'Raw Data'!A817</f>
        <v>50816</v>
      </c>
      <c r="B817" s="21">
        <f>'Raw Data'!B817</f>
        <v>0</v>
      </c>
      <c r="C817" s="21">
        <f>'Raw Data'!C817</f>
        <v>3</v>
      </c>
      <c r="D817" s="21" t="str">
        <f>'Raw Data'!D817</f>
        <v>Computer</v>
      </c>
      <c r="E817" s="21">
        <f>'Raw Data'!E817</f>
        <v>1</v>
      </c>
      <c r="F817" s="21">
        <f>IF('Raw Data'!F817="",ROUND(AVERAGE('Raw Data'!$F$2:$F$1501),1),'Raw Data'!F817)</f>
        <v>18</v>
      </c>
      <c r="G817" s="21" t="str">
        <f>'Raw Data'!G817</f>
        <v>Debit Card</v>
      </c>
      <c r="H817" s="21" t="str">
        <f>'Raw Data'!H817</f>
        <v>Male</v>
      </c>
      <c r="I817" s="21">
        <f>IF('Raw Data'!I817="",ROUND(AVERAGE('Raw Data'!$I$2:$I$1501),1),'Raw Data'!I817)</f>
        <v>1.6</v>
      </c>
      <c r="J817" s="21">
        <f>'Raw Data'!J817</f>
        <v>3</v>
      </c>
      <c r="K817" s="21" t="str">
        <f>'Raw Data'!K817</f>
        <v>Mobile Phone</v>
      </c>
      <c r="L817" s="21">
        <f>'Raw Data'!L817</f>
        <v>5</v>
      </c>
      <c r="M817" s="21" t="str">
        <f>'Raw Data'!M817</f>
        <v>Single</v>
      </c>
      <c r="N817" s="21">
        <f>'Raw Data'!N817</f>
        <v>2</v>
      </c>
      <c r="O817" s="21">
        <f>'Raw Data'!O817</f>
        <v>0</v>
      </c>
      <c r="P817" s="21">
        <f>IF('Raw Data'!P817="",ROUND(AVERAGE('Raw Data'!$P$2:$P$1501),1),'Raw Data'!P817)</f>
        <v>13.1</v>
      </c>
      <c r="Q817" s="21">
        <f>IF('Raw Data'!Q817="",ROUND(AVERAGE('Raw Data'!$Q$2:$Q$1501),0),'Raw Data'!Q817)</f>
        <v>4</v>
      </c>
      <c r="R817" s="21">
        <f>'Raw Data'!R817</f>
        <v>2</v>
      </c>
      <c r="S817" s="21">
        <f>IF('Raw Data'!S817="",ROUND(AVERAGE('Raw Data'!$S$2:$S$1501),0),'Raw Data'!S817)</f>
        <v>1</v>
      </c>
      <c r="T817" s="21">
        <f>'Raw Data'!T817</f>
        <v>162.81</v>
      </c>
      <c r="U817" s="21" t="str">
        <f>INDEX('Lookup Tables'!$C$7:$C$9,MATCH(E817,'Lookup Tables'!$B$7:$B$9,0))</f>
        <v>Tier 1 (Metro)</v>
      </c>
      <c r="V817" s="21" t="str">
        <f t="shared" si="36"/>
        <v>0-6 months</v>
      </c>
      <c r="W817" s="21" t="str">
        <f t="shared" si="37"/>
        <v>Low Risk</v>
      </c>
      <c r="X817" s="21" t="str">
        <f t="shared" si="38"/>
        <v>No</v>
      </c>
    </row>
    <row r="818" spans="1:24" x14ac:dyDescent="0.3">
      <c r="A818" s="21">
        <f>'Raw Data'!A818</f>
        <v>50817</v>
      </c>
      <c r="B818" s="21">
        <f>'Raw Data'!B818</f>
        <v>1</v>
      </c>
      <c r="C818" s="21">
        <f>'Raw Data'!C818</f>
        <v>4</v>
      </c>
      <c r="D818" s="21" t="str">
        <f>'Raw Data'!D818</f>
        <v>Mobile Phone</v>
      </c>
      <c r="E818" s="21">
        <f>'Raw Data'!E818</f>
        <v>1</v>
      </c>
      <c r="F818" s="21">
        <f>IF('Raw Data'!F818="",ROUND(AVERAGE('Raw Data'!$F$2:$F$1501),1),'Raw Data'!F818)</f>
        <v>14.8</v>
      </c>
      <c r="G818" s="21" t="str">
        <f>'Raw Data'!G818</f>
        <v>UPI</v>
      </c>
      <c r="H818" s="21" t="str">
        <f>'Raw Data'!H818</f>
        <v>Male</v>
      </c>
      <c r="I818" s="21">
        <f>IF('Raw Data'!I818="",ROUND(AVERAGE('Raw Data'!$I$2:$I$1501),1),'Raw Data'!I818)</f>
        <v>3.1</v>
      </c>
      <c r="J818" s="21">
        <f>'Raw Data'!J818</f>
        <v>3</v>
      </c>
      <c r="K818" s="21" t="str">
        <f>'Raw Data'!K818</f>
        <v>Mobile Phone</v>
      </c>
      <c r="L818" s="21">
        <f>'Raw Data'!L818</f>
        <v>1</v>
      </c>
      <c r="M818" s="21" t="str">
        <f>'Raw Data'!M818</f>
        <v>Single</v>
      </c>
      <c r="N818" s="21">
        <f>'Raw Data'!N818</f>
        <v>1</v>
      </c>
      <c r="O818" s="21">
        <f>'Raw Data'!O818</f>
        <v>0</v>
      </c>
      <c r="P818" s="21">
        <f>IF('Raw Data'!P818="",ROUND(AVERAGE('Raw Data'!$P$2:$P$1501),1),'Raw Data'!P818)</f>
        <v>23.1</v>
      </c>
      <c r="Q818" s="21">
        <f>IF('Raw Data'!Q818="",ROUND(AVERAGE('Raw Data'!$Q$2:$Q$1501),0),'Raw Data'!Q818)</f>
        <v>3</v>
      </c>
      <c r="R818" s="21">
        <f>'Raw Data'!R818</f>
        <v>5</v>
      </c>
      <c r="S818" s="21">
        <f>IF('Raw Data'!S818="",ROUND(AVERAGE('Raw Data'!$S$2:$S$1501),0),'Raw Data'!S818)</f>
        <v>4</v>
      </c>
      <c r="T818" s="21">
        <f>'Raw Data'!T818</f>
        <v>111.48</v>
      </c>
      <c r="U818" s="21" t="str">
        <f>INDEX('Lookup Tables'!$C$7:$C$9,MATCH(E818,'Lookup Tables'!$B$7:$B$9,0))</f>
        <v>Tier 1 (Metro)</v>
      </c>
      <c r="V818" s="21" t="str">
        <f t="shared" si="36"/>
        <v>0-6 months</v>
      </c>
      <c r="W818" s="21" t="str">
        <f t="shared" si="37"/>
        <v>Low Risk</v>
      </c>
      <c r="X818" s="21" t="str">
        <f t="shared" si="38"/>
        <v>Yes</v>
      </c>
    </row>
    <row r="819" spans="1:24" x14ac:dyDescent="0.3">
      <c r="A819" s="21">
        <f>'Raw Data'!A819</f>
        <v>50818</v>
      </c>
      <c r="B819" s="21">
        <f>'Raw Data'!B819</f>
        <v>0</v>
      </c>
      <c r="C819" s="21">
        <f>'Raw Data'!C819</f>
        <v>11</v>
      </c>
      <c r="D819" s="21" t="str">
        <f>'Raw Data'!D819</f>
        <v>Computer</v>
      </c>
      <c r="E819" s="21">
        <f>'Raw Data'!E819</f>
        <v>3</v>
      </c>
      <c r="F819" s="21">
        <f>IF('Raw Data'!F819="",ROUND(AVERAGE('Raw Data'!$F$2:$F$1501),1),'Raw Data'!F819)</f>
        <v>15</v>
      </c>
      <c r="G819" s="21" t="str">
        <f>'Raw Data'!G819</f>
        <v>Credit Card</v>
      </c>
      <c r="H819" s="21" t="str">
        <f>'Raw Data'!H819</f>
        <v>Male</v>
      </c>
      <c r="I819" s="21">
        <f>IF('Raw Data'!I819="",ROUND(AVERAGE('Raw Data'!$I$2:$I$1501),1),'Raw Data'!I819)</f>
        <v>3</v>
      </c>
      <c r="J819" s="21">
        <f>'Raw Data'!J819</f>
        <v>2</v>
      </c>
      <c r="K819" s="21" t="str">
        <f>'Raw Data'!K819</f>
        <v>Laptop &amp; Accessory</v>
      </c>
      <c r="L819" s="21">
        <f>'Raw Data'!L819</f>
        <v>2</v>
      </c>
      <c r="M819" s="21" t="str">
        <f>'Raw Data'!M819</f>
        <v>Single</v>
      </c>
      <c r="N819" s="21">
        <f>'Raw Data'!N819</f>
        <v>1</v>
      </c>
      <c r="O819" s="21">
        <f>'Raw Data'!O819</f>
        <v>0</v>
      </c>
      <c r="P819" s="21">
        <f>IF('Raw Data'!P819="",ROUND(AVERAGE('Raw Data'!$P$2:$P$1501),1),'Raw Data'!P819)</f>
        <v>17.8</v>
      </c>
      <c r="Q819" s="21">
        <f>IF('Raw Data'!Q819="",ROUND(AVERAGE('Raw Data'!$Q$2:$Q$1501),0),'Raw Data'!Q819)</f>
        <v>1</v>
      </c>
      <c r="R819" s="21">
        <f>'Raw Data'!R819</f>
        <v>3</v>
      </c>
      <c r="S819" s="21">
        <f>IF('Raw Data'!S819="",ROUND(AVERAGE('Raw Data'!$S$2:$S$1501),0),'Raw Data'!S819)</f>
        <v>0</v>
      </c>
      <c r="T819" s="21">
        <f>'Raw Data'!T819</f>
        <v>168.47</v>
      </c>
      <c r="U819" s="21" t="str">
        <f>INDEX('Lookup Tables'!$C$7:$C$9,MATCH(E819,'Lookup Tables'!$B$7:$B$9,0))</f>
        <v>Tier 3 (Semi-urban/Rural)</v>
      </c>
      <c r="V819" s="21" t="str">
        <f t="shared" si="36"/>
        <v>7-12 months</v>
      </c>
      <c r="W819" s="21" t="str">
        <f t="shared" si="37"/>
        <v>Low Risk</v>
      </c>
      <c r="X819" s="21" t="str">
        <f t="shared" si="38"/>
        <v>No</v>
      </c>
    </row>
    <row r="820" spans="1:24" x14ac:dyDescent="0.3">
      <c r="A820" s="21">
        <f>'Raw Data'!A820</f>
        <v>50819</v>
      </c>
      <c r="B820" s="21">
        <f>'Raw Data'!B820</f>
        <v>0</v>
      </c>
      <c r="C820" s="21">
        <f>'Raw Data'!C820</f>
        <v>51</v>
      </c>
      <c r="D820" s="21" t="str">
        <f>'Raw Data'!D820</f>
        <v>Phone</v>
      </c>
      <c r="E820" s="21">
        <f>'Raw Data'!E820</f>
        <v>3</v>
      </c>
      <c r="F820" s="21">
        <f>IF('Raw Data'!F820="",ROUND(AVERAGE('Raw Data'!$F$2:$F$1501),1),'Raw Data'!F820)</f>
        <v>5</v>
      </c>
      <c r="G820" s="21" t="str">
        <f>'Raw Data'!G820</f>
        <v>E wallet</v>
      </c>
      <c r="H820" s="21" t="str">
        <f>'Raw Data'!H820</f>
        <v>Male</v>
      </c>
      <c r="I820" s="21">
        <f>IF('Raw Data'!I820="",ROUND(AVERAGE('Raw Data'!$I$2:$I$1501),1),'Raw Data'!I820)</f>
        <v>2.6</v>
      </c>
      <c r="J820" s="21">
        <f>'Raw Data'!J820</f>
        <v>3</v>
      </c>
      <c r="K820" s="21" t="str">
        <f>'Raw Data'!K820</f>
        <v>Mobile Phone</v>
      </c>
      <c r="L820" s="21">
        <f>'Raw Data'!L820</f>
        <v>2</v>
      </c>
      <c r="M820" s="21" t="str">
        <f>'Raw Data'!M820</f>
        <v>Married</v>
      </c>
      <c r="N820" s="21">
        <f>'Raw Data'!N820</f>
        <v>1</v>
      </c>
      <c r="O820" s="21">
        <f>'Raw Data'!O820</f>
        <v>0</v>
      </c>
      <c r="P820" s="21">
        <f>IF('Raw Data'!P820="",ROUND(AVERAGE('Raw Data'!$P$2:$P$1501),1),'Raw Data'!P820)</f>
        <v>12.7</v>
      </c>
      <c r="Q820" s="21">
        <f>IF('Raw Data'!Q820="",ROUND(AVERAGE('Raw Data'!$Q$2:$Q$1501),0),'Raw Data'!Q820)</f>
        <v>1</v>
      </c>
      <c r="R820" s="21">
        <f>'Raw Data'!R820</f>
        <v>5</v>
      </c>
      <c r="S820" s="21">
        <f>IF('Raw Data'!S820="",ROUND(AVERAGE('Raw Data'!$S$2:$S$1501),0),'Raw Data'!S820)</f>
        <v>0</v>
      </c>
      <c r="T820" s="21">
        <f>'Raw Data'!T820</f>
        <v>148.84</v>
      </c>
      <c r="U820" s="21" t="str">
        <f>INDEX('Lookup Tables'!$C$7:$C$9,MATCH(E820,'Lookup Tables'!$B$7:$B$9,0))</f>
        <v>Tier 3 (Semi-urban/Rural)</v>
      </c>
      <c r="V820" s="21" t="str">
        <f t="shared" si="36"/>
        <v>25+ months</v>
      </c>
      <c r="W820" s="21" t="str">
        <f t="shared" si="37"/>
        <v>Low Risk</v>
      </c>
      <c r="X820" s="21" t="str">
        <f t="shared" si="38"/>
        <v>No</v>
      </c>
    </row>
    <row r="821" spans="1:24" x14ac:dyDescent="0.3">
      <c r="A821" s="21">
        <f>'Raw Data'!A821</f>
        <v>50820</v>
      </c>
      <c r="B821" s="21">
        <f>'Raw Data'!B821</f>
        <v>0</v>
      </c>
      <c r="C821" s="21">
        <f>'Raw Data'!C821</f>
        <v>10</v>
      </c>
      <c r="D821" s="21" t="str">
        <f>'Raw Data'!D821</f>
        <v>Computer</v>
      </c>
      <c r="E821" s="21">
        <f>'Raw Data'!E821</f>
        <v>1</v>
      </c>
      <c r="F821" s="21">
        <f>IF('Raw Data'!F821="",ROUND(AVERAGE('Raw Data'!$F$2:$F$1501),1),'Raw Data'!F821)</f>
        <v>5</v>
      </c>
      <c r="G821" s="21" t="str">
        <f>'Raw Data'!G821</f>
        <v>Debit Card</v>
      </c>
      <c r="H821" s="21" t="str">
        <f>'Raw Data'!H821</f>
        <v>Female</v>
      </c>
      <c r="I821" s="21">
        <f>IF('Raw Data'!I821="",ROUND(AVERAGE('Raw Data'!$I$2:$I$1501),1),'Raw Data'!I821)</f>
        <v>1.7</v>
      </c>
      <c r="J821" s="21">
        <f>'Raw Data'!J821</f>
        <v>2</v>
      </c>
      <c r="K821" s="21" t="str">
        <f>'Raw Data'!K821</f>
        <v>Mobile Phone</v>
      </c>
      <c r="L821" s="21">
        <f>'Raw Data'!L821</f>
        <v>3</v>
      </c>
      <c r="M821" s="21" t="str">
        <f>'Raw Data'!M821</f>
        <v>Single</v>
      </c>
      <c r="N821" s="21">
        <f>'Raw Data'!N821</f>
        <v>12</v>
      </c>
      <c r="O821" s="21">
        <f>'Raw Data'!O821</f>
        <v>0</v>
      </c>
      <c r="P821" s="21">
        <f>IF('Raw Data'!P821="",ROUND(AVERAGE('Raw Data'!$P$2:$P$1501),1),'Raw Data'!P821)</f>
        <v>11.9</v>
      </c>
      <c r="Q821" s="21">
        <f>IF('Raw Data'!Q821="",ROUND(AVERAGE('Raw Data'!$Q$2:$Q$1501),0),'Raw Data'!Q821)</f>
        <v>1</v>
      </c>
      <c r="R821" s="21">
        <f>'Raw Data'!R821</f>
        <v>4</v>
      </c>
      <c r="S821" s="21">
        <f>IF('Raw Data'!S821="",ROUND(AVERAGE('Raw Data'!$S$2:$S$1501),0),'Raw Data'!S821)</f>
        <v>1</v>
      </c>
      <c r="T821" s="21">
        <f>'Raw Data'!T821</f>
        <v>210.37</v>
      </c>
      <c r="U821" s="21" t="str">
        <f>INDEX('Lookup Tables'!$C$7:$C$9,MATCH(E821,'Lookup Tables'!$B$7:$B$9,0))</f>
        <v>Tier 1 (Metro)</v>
      </c>
      <c r="V821" s="21" t="str">
        <f t="shared" si="36"/>
        <v>7-12 months</v>
      </c>
      <c r="W821" s="21" t="str">
        <f t="shared" si="37"/>
        <v>Medium Risk</v>
      </c>
      <c r="X821" s="21" t="str">
        <f t="shared" si="38"/>
        <v>No</v>
      </c>
    </row>
    <row r="822" spans="1:24" x14ac:dyDescent="0.3">
      <c r="A822" s="21">
        <f>'Raw Data'!A822</f>
        <v>50821</v>
      </c>
      <c r="B822" s="21">
        <f>'Raw Data'!B822</f>
        <v>0</v>
      </c>
      <c r="C822" s="21">
        <f>'Raw Data'!C822</f>
        <v>8</v>
      </c>
      <c r="D822" s="21" t="str">
        <f>'Raw Data'!D822</f>
        <v>Mobile Phone</v>
      </c>
      <c r="E822" s="21">
        <f>'Raw Data'!E822</f>
        <v>1</v>
      </c>
      <c r="F822" s="21">
        <f>IF('Raw Data'!F822="",ROUND(AVERAGE('Raw Data'!$F$2:$F$1501),1),'Raw Data'!F822)</f>
        <v>11</v>
      </c>
      <c r="G822" s="21" t="str">
        <f>'Raw Data'!G822</f>
        <v>E wallet</v>
      </c>
      <c r="H822" s="21" t="str">
        <f>'Raw Data'!H822</f>
        <v>Female</v>
      </c>
      <c r="I822" s="21">
        <f>IF('Raw Data'!I822="",ROUND(AVERAGE('Raw Data'!$I$2:$I$1501),1),'Raw Data'!I822)</f>
        <v>3.2</v>
      </c>
      <c r="J822" s="21">
        <f>'Raw Data'!J822</f>
        <v>2</v>
      </c>
      <c r="K822" s="21" t="str">
        <f>'Raw Data'!K822</f>
        <v>Mobile Phone</v>
      </c>
      <c r="L822" s="21">
        <f>'Raw Data'!L822</f>
        <v>3</v>
      </c>
      <c r="M822" s="21" t="str">
        <f>'Raw Data'!M822</f>
        <v>Married</v>
      </c>
      <c r="N822" s="21">
        <f>'Raw Data'!N822</f>
        <v>1</v>
      </c>
      <c r="O822" s="21">
        <f>'Raw Data'!O822</f>
        <v>0</v>
      </c>
      <c r="P822" s="21">
        <f>IF('Raw Data'!P822="",ROUND(AVERAGE('Raw Data'!$P$2:$P$1501),1),'Raw Data'!P822)</f>
        <v>20.399999999999999</v>
      </c>
      <c r="Q822" s="21">
        <f>IF('Raw Data'!Q822="",ROUND(AVERAGE('Raw Data'!$Q$2:$Q$1501),0),'Raw Data'!Q822)</f>
        <v>0</v>
      </c>
      <c r="R822" s="21">
        <f>'Raw Data'!R822</f>
        <v>5</v>
      </c>
      <c r="S822" s="21">
        <f>IF('Raw Data'!S822="",ROUND(AVERAGE('Raw Data'!$S$2:$S$1501),0),'Raw Data'!S822)</f>
        <v>1</v>
      </c>
      <c r="T822" s="21">
        <f>'Raw Data'!T822</f>
        <v>161.41999999999999</v>
      </c>
      <c r="U822" s="21" t="str">
        <f>INDEX('Lookup Tables'!$C$7:$C$9,MATCH(E822,'Lookup Tables'!$B$7:$B$9,0))</f>
        <v>Tier 1 (Metro)</v>
      </c>
      <c r="V822" s="21" t="str">
        <f t="shared" si="36"/>
        <v>7-12 months</v>
      </c>
      <c r="W822" s="21" t="str">
        <f t="shared" si="37"/>
        <v>Medium Risk</v>
      </c>
      <c r="X822" s="21" t="str">
        <f t="shared" si="38"/>
        <v>No</v>
      </c>
    </row>
    <row r="823" spans="1:24" x14ac:dyDescent="0.3">
      <c r="A823" s="21">
        <f>'Raw Data'!A823</f>
        <v>50822</v>
      </c>
      <c r="B823" s="21">
        <f>'Raw Data'!B823</f>
        <v>0</v>
      </c>
      <c r="C823" s="21">
        <f>'Raw Data'!C823</f>
        <v>13</v>
      </c>
      <c r="D823" s="21" t="str">
        <f>'Raw Data'!D823</f>
        <v>Mobile Phone</v>
      </c>
      <c r="E823" s="21">
        <f>'Raw Data'!E823</f>
        <v>1</v>
      </c>
      <c r="F823" s="21">
        <f>IF('Raw Data'!F823="",ROUND(AVERAGE('Raw Data'!$F$2:$F$1501),1),'Raw Data'!F823)</f>
        <v>14</v>
      </c>
      <c r="G823" s="21" t="str">
        <f>'Raw Data'!G823</f>
        <v>UPI</v>
      </c>
      <c r="H823" s="21" t="str">
        <f>'Raw Data'!H823</f>
        <v>Male</v>
      </c>
      <c r="I823" s="21">
        <f>IF('Raw Data'!I823="",ROUND(AVERAGE('Raw Data'!$I$2:$I$1501),1),'Raw Data'!I823)</f>
        <v>3.8</v>
      </c>
      <c r="J823" s="21">
        <f>'Raw Data'!J823</f>
        <v>4</v>
      </c>
      <c r="K823" s="21" t="str">
        <f>'Raw Data'!K823</f>
        <v>Mobile Phone</v>
      </c>
      <c r="L823" s="21">
        <f>'Raw Data'!L823</f>
        <v>4</v>
      </c>
      <c r="M823" s="21" t="str">
        <f>'Raw Data'!M823</f>
        <v>Married</v>
      </c>
      <c r="N823" s="21">
        <f>'Raw Data'!N823</f>
        <v>14</v>
      </c>
      <c r="O823" s="21">
        <f>'Raw Data'!O823</f>
        <v>0</v>
      </c>
      <c r="P823" s="21">
        <f>IF('Raw Data'!P823="",ROUND(AVERAGE('Raw Data'!$P$2:$P$1501),1),'Raw Data'!P823)</f>
        <v>12.4</v>
      </c>
      <c r="Q823" s="21">
        <f>IF('Raw Data'!Q823="",ROUND(AVERAGE('Raw Data'!$Q$2:$Q$1501),0),'Raw Data'!Q823)</f>
        <v>0</v>
      </c>
      <c r="R823" s="21">
        <f>'Raw Data'!R823</f>
        <v>6</v>
      </c>
      <c r="S823" s="21">
        <f>IF('Raw Data'!S823="",ROUND(AVERAGE('Raw Data'!$S$2:$S$1501),0),'Raw Data'!S823)</f>
        <v>2</v>
      </c>
      <c r="T823" s="21">
        <f>'Raw Data'!T823</f>
        <v>30.92</v>
      </c>
      <c r="U823" s="21" t="str">
        <f>INDEX('Lookup Tables'!$C$7:$C$9,MATCH(E823,'Lookup Tables'!$B$7:$B$9,0))</f>
        <v>Tier 1 (Metro)</v>
      </c>
      <c r="V823" s="21" t="str">
        <f t="shared" si="36"/>
        <v>13-24 months</v>
      </c>
      <c r="W823" s="21" t="str">
        <f t="shared" si="37"/>
        <v>Low Risk</v>
      </c>
      <c r="X823" s="21" t="str">
        <f t="shared" si="38"/>
        <v>No</v>
      </c>
    </row>
    <row r="824" spans="1:24" x14ac:dyDescent="0.3">
      <c r="A824" s="21">
        <f>'Raw Data'!A824</f>
        <v>50823</v>
      </c>
      <c r="B824" s="21">
        <f>'Raw Data'!B824</f>
        <v>1</v>
      </c>
      <c r="C824" s="21">
        <f>'Raw Data'!C824</f>
        <v>6</v>
      </c>
      <c r="D824" s="21" t="str">
        <f>'Raw Data'!D824</f>
        <v>Phone</v>
      </c>
      <c r="E824" s="21">
        <f>'Raw Data'!E824</f>
        <v>1</v>
      </c>
      <c r="F824" s="21">
        <f>IF('Raw Data'!F824="",ROUND(AVERAGE('Raw Data'!$F$2:$F$1501),1),'Raw Data'!F824)</f>
        <v>14.8</v>
      </c>
      <c r="G824" s="21" t="str">
        <f>'Raw Data'!G824</f>
        <v>Credit Card</v>
      </c>
      <c r="H824" s="21" t="str">
        <f>'Raw Data'!H824</f>
        <v>Male</v>
      </c>
      <c r="I824" s="21">
        <f>IF('Raw Data'!I824="",ROUND(AVERAGE('Raw Data'!$I$2:$I$1501),1),'Raw Data'!I824)</f>
        <v>3.1</v>
      </c>
      <c r="J824" s="21">
        <f>'Raw Data'!J824</f>
        <v>2</v>
      </c>
      <c r="K824" s="21" t="str">
        <f>'Raw Data'!K824</f>
        <v>Laptop &amp; Accessory</v>
      </c>
      <c r="L824" s="21">
        <f>'Raw Data'!L824</f>
        <v>2</v>
      </c>
      <c r="M824" s="21" t="str">
        <f>'Raw Data'!M824</f>
        <v>Married</v>
      </c>
      <c r="N824" s="21">
        <f>'Raw Data'!N824</f>
        <v>13</v>
      </c>
      <c r="O824" s="21">
        <f>'Raw Data'!O824</f>
        <v>0</v>
      </c>
      <c r="P824" s="21">
        <f>IF('Raw Data'!P824="",ROUND(AVERAGE('Raw Data'!$P$2:$P$1501),1),'Raw Data'!P824)</f>
        <v>22.5</v>
      </c>
      <c r="Q824" s="21">
        <f>IF('Raw Data'!Q824="",ROUND(AVERAGE('Raw Data'!$Q$2:$Q$1501),0),'Raw Data'!Q824)</f>
        <v>2</v>
      </c>
      <c r="R824" s="21">
        <f>'Raw Data'!R824</f>
        <v>6</v>
      </c>
      <c r="S824" s="21">
        <f>IF('Raw Data'!S824="",ROUND(AVERAGE('Raw Data'!$S$2:$S$1501),0),'Raw Data'!S824)</f>
        <v>2</v>
      </c>
      <c r="T824" s="21">
        <f>'Raw Data'!T824</f>
        <v>325</v>
      </c>
      <c r="U824" s="21" t="str">
        <f>INDEX('Lookup Tables'!$C$7:$C$9,MATCH(E824,'Lookup Tables'!$B$7:$B$9,0))</f>
        <v>Tier 1 (Metro)</v>
      </c>
      <c r="V824" s="21" t="str">
        <f t="shared" si="36"/>
        <v>0-6 months</v>
      </c>
      <c r="W824" s="21" t="str">
        <f t="shared" si="37"/>
        <v>Low Risk</v>
      </c>
      <c r="X824" s="21" t="str">
        <f t="shared" si="38"/>
        <v>Yes</v>
      </c>
    </row>
    <row r="825" spans="1:24" x14ac:dyDescent="0.3">
      <c r="A825" s="21">
        <f>'Raw Data'!A825</f>
        <v>50824</v>
      </c>
      <c r="B825" s="21">
        <f>'Raw Data'!B825</f>
        <v>0</v>
      </c>
      <c r="C825" s="21">
        <f>'Raw Data'!C825</f>
        <v>0</v>
      </c>
      <c r="D825" s="21" t="str">
        <f>'Raw Data'!D825</f>
        <v>Computer</v>
      </c>
      <c r="E825" s="21">
        <f>'Raw Data'!E825</f>
        <v>1</v>
      </c>
      <c r="F825" s="21">
        <f>IF('Raw Data'!F825="",ROUND(AVERAGE('Raw Data'!$F$2:$F$1501),1),'Raw Data'!F825)</f>
        <v>5</v>
      </c>
      <c r="G825" s="21" t="str">
        <f>'Raw Data'!G825</f>
        <v>E wallet</v>
      </c>
      <c r="H825" s="21" t="str">
        <f>'Raw Data'!H825</f>
        <v>Female</v>
      </c>
      <c r="I825" s="21">
        <f>IF('Raw Data'!I825="",ROUND(AVERAGE('Raw Data'!$I$2:$I$1501),1),'Raw Data'!I825)</f>
        <v>2.2999999999999998</v>
      </c>
      <c r="J825" s="21">
        <f>'Raw Data'!J825</f>
        <v>4</v>
      </c>
      <c r="K825" s="21" t="str">
        <f>'Raw Data'!K825</f>
        <v>Mobile Phone</v>
      </c>
      <c r="L825" s="21">
        <f>'Raw Data'!L825</f>
        <v>4</v>
      </c>
      <c r="M825" s="21" t="str">
        <f>'Raw Data'!M825</f>
        <v>Single</v>
      </c>
      <c r="N825" s="21">
        <f>'Raw Data'!N825</f>
        <v>19</v>
      </c>
      <c r="O825" s="21">
        <f>'Raw Data'!O825</f>
        <v>0</v>
      </c>
      <c r="P825" s="21">
        <f>IF('Raw Data'!P825="",ROUND(AVERAGE('Raw Data'!$P$2:$P$1501),1),'Raw Data'!P825)</f>
        <v>11</v>
      </c>
      <c r="Q825" s="21">
        <f>IF('Raw Data'!Q825="",ROUND(AVERAGE('Raw Data'!$Q$2:$Q$1501),0),'Raw Data'!Q825)</f>
        <v>1</v>
      </c>
      <c r="R825" s="21">
        <f>'Raw Data'!R825</f>
        <v>4</v>
      </c>
      <c r="S825" s="21">
        <f>IF('Raw Data'!S825="",ROUND(AVERAGE('Raw Data'!$S$2:$S$1501),0),'Raw Data'!S825)</f>
        <v>7</v>
      </c>
      <c r="T825" s="21">
        <f>'Raw Data'!T825</f>
        <v>187.83</v>
      </c>
      <c r="U825" s="21" t="str">
        <f>INDEX('Lookup Tables'!$C$7:$C$9,MATCH(E825,'Lookup Tables'!$B$7:$B$9,0))</f>
        <v>Tier 1 (Metro)</v>
      </c>
      <c r="V825" s="21" t="str">
        <f t="shared" si="36"/>
        <v>0-6 months</v>
      </c>
      <c r="W825" s="21" t="str">
        <f t="shared" si="37"/>
        <v>Low Risk</v>
      </c>
      <c r="X825" s="21" t="str">
        <f t="shared" si="38"/>
        <v>No</v>
      </c>
    </row>
    <row r="826" spans="1:24" x14ac:dyDescent="0.3">
      <c r="A826" s="21">
        <f>'Raw Data'!A826</f>
        <v>50825</v>
      </c>
      <c r="B826" s="21">
        <f>'Raw Data'!B826</f>
        <v>1</v>
      </c>
      <c r="C826" s="21">
        <f>'Raw Data'!C826</f>
        <v>8</v>
      </c>
      <c r="D826" s="21" t="str">
        <f>'Raw Data'!D826</f>
        <v>Phone</v>
      </c>
      <c r="E826" s="21">
        <f>'Raw Data'!E826</f>
        <v>1</v>
      </c>
      <c r="F826" s="21">
        <f>IF('Raw Data'!F826="",ROUND(AVERAGE('Raw Data'!$F$2:$F$1501),1),'Raw Data'!F826)</f>
        <v>11</v>
      </c>
      <c r="G826" s="21" t="str">
        <f>'Raw Data'!G826</f>
        <v>Credit Card</v>
      </c>
      <c r="H826" s="21" t="str">
        <f>'Raw Data'!H826</f>
        <v>Male</v>
      </c>
      <c r="I826" s="21">
        <f>IF('Raw Data'!I826="",ROUND(AVERAGE('Raw Data'!$I$2:$I$1501),1),'Raw Data'!I826)</f>
        <v>2.9</v>
      </c>
      <c r="J826" s="21">
        <f>'Raw Data'!J826</f>
        <v>2</v>
      </c>
      <c r="K826" s="21" t="str">
        <f>'Raw Data'!K826</f>
        <v>Mobile Phone</v>
      </c>
      <c r="L826" s="21">
        <f>'Raw Data'!L826</f>
        <v>5</v>
      </c>
      <c r="M826" s="21" t="str">
        <f>'Raw Data'!M826</f>
        <v>Married</v>
      </c>
      <c r="N826" s="21">
        <f>'Raw Data'!N826</f>
        <v>2</v>
      </c>
      <c r="O826" s="21">
        <f>'Raw Data'!O826</f>
        <v>1</v>
      </c>
      <c r="P826" s="21">
        <f>IF('Raw Data'!P826="",ROUND(AVERAGE('Raw Data'!$P$2:$P$1501),1),'Raw Data'!P826)</f>
        <v>21</v>
      </c>
      <c r="Q826" s="21">
        <f>IF('Raw Data'!Q826="",ROUND(AVERAGE('Raw Data'!$Q$2:$Q$1501),0),'Raw Data'!Q826)</f>
        <v>1</v>
      </c>
      <c r="R826" s="21">
        <f>'Raw Data'!R826</f>
        <v>3</v>
      </c>
      <c r="S826" s="21">
        <f>IF('Raw Data'!S826="",ROUND(AVERAGE('Raw Data'!$S$2:$S$1501),0),'Raw Data'!S826)</f>
        <v>0</v>
      </c>
      <c r="T826" s="21">
        <f>'Raw Data'!T826</f>
        <v>184.91</v>
      </c>
      <c r="U826" s="21" t="str">
        <f>INDEX('Lookup Tables'!$C$7:$C$9,MATCH(E826,'Lookup Tables'!$B$7:$B$9,0))</f>
        <v>Tier 1 (Metro)</v>
      </c>
      <c r="V826" s="21" t="str">
        <f t="shared" si="36"/>
        <v>7-12 months</v>
      </c>
      <c r="W826" s="21" t="str">
        <f t="shared" si="37"/>
        <v>Low Risk</v>
      </c>
      <c r="X826" s="21" t="str">
        <f t="shared" si="38"/>
        <v>Yes</v>
      </c>
    </row>
    <row r="827" spans="1:24" x14ac:dyDescent="0.3">
      <c r="A827" s="21">
        <f>'Raw Data'!A827</f>
        <v>50826</v>
      </c>
      <c r="B827" s="21">
        <f>'Raw Data'!B827</f>
        <v>0</v>
      </c>
      <c r="C827" s="21">
        <f>'Raw Data'!C827</f>
        <v>31</v>
      </c>
      <c r="D827" s="21" t="str">
        <f>'Raw Data'!D827</f>
        <v>Mobile Phone</v>
      </c>
      <c r="E827" s="21">
        <f>'Raw Data'!E827</f>
        <v>1</v>
      </c>
      <c r="F827" s="21">
        <f>IF('Raw Data'!F827="",ROUND(AVERAGE('Raw Data'!$F$2:$F$1501),1),'Raw Data'!F827)</f>
        <v>14.8</v>
      </c>
      <c r="G827" s="21" t="str">
        <f>'Raw Data'!G827</f>
        <v>UPI</v>
      </c>
      <c r="H827" s="21" t="str">
        <f>'Raw Data'!H827</f>
        <v>Male</v>
      </c>
      <c r="I827" s="21">
        <f>IF('Raw Data'!I827="",ROUND(AVERAGE('Raw Data'!$I$2:$I$1501),1),'Raw Data'!I827)</f>
        <v>1.9</v>
      </c>
      <c r="J827" s="21">
        <f>'Raw Data'!J827</f>
        <v>5</v>
      </c>
      <c r="K827" s="21" t="str">
        <f>'Raw Data'!K827</f>
        <v>Laptop &amp; Accessory</v>
      </c>
      <c r="L827" s="21">
        <f>'Raw Data'!L827</f>
        <v>5</v>
      </c>
      <c r="M827" s="21" t="str">
        <f>'Raw Data'!M827</f>
        <v>Single</v>
      </c>
      <c r="N827" s="21">
        <f>'Raw Data'!N827</f>
        <v>11</v>
      </c>
      <c r="O827" s="21">
        <f>'Raw Data'!O827</f>
        <v>0</v>
      </c>
      <c r="P827" s="21">
        <f>IF('Raw Data'!P827="",ROUND(AVERAGE('Raw Data'!$P$2:$P$1501),1),'Raw Data'!P827)</f>
        <v>17.7</v>
      </c>
      <c r="Q827" s="21">
        <f>IF('Raw Data'!Q827="",ROUND(AVERAGE('Raw Data'!$Q$2:$Q$1501),0),'Raw Data'!Q827)</f>
        <v>1</v>
      </c>
      <c r="R827" s="21">
        <f>'Raw Data'!R827</f>
        <v>3</v>
      </c>
      <c r="S827" s="21">
        <f>IF('Raw Data'!S827="",ROUND(AVERAGE('Raw Data'!$S$2:$S$1501),0),'Raw Data'!S827)</f>
        <v>0</v>
      </c>
      <c r="T827" s="21">
        <f>'Raw Data'!T827</f>
        <v>95.22</v>
      </c>
      <c r="U827" s="21" t="str">
        <f>INDEX('Lookup Tables'!$C$7:$C$9,MATCH(E827,'Lookup Tables'!$B$7:$B$9,0))</f>
        <v>Tier 1 (Metro)</v>
      </c>
      <c r="V827" s="21" t="str">
        <f t="shared" si="36"/>
        <v>25+ months</v>
      </c>
      <c r="W827" s="21" t="str">
        <f t="shared" si="37"/>
        <v>Low Risk</v>
      </c>
      <c r="X827" s="21" t="str">
        <f t="shared" si="38"/>
        <v>No</v>
      </c>
    </row>
    <row r="828" spans="1:24" x14ac:dyDescent="0.3">
      <c r="A828" s="21">
        <f>'Raw Data'!A828</f>
        <v>50827</v>
      </c>
      <c r="B828" s="21">
        <f>'Raw Data'!B828</f>
        <v>0</v>
      </c>
      <c r="C828" s="21">
        <f>'Raw Data'!C828</f>
        <v>1</v>
      </c>
      <c r="D828" s="21" t="str">
        <f>'Raw Data'!D828</f>
        <v>Mobile Phone</v>
      </c>
      <c r="E828" s="21">
        <f>'Raw Data'!E828</f>
        <v>3</v>
      </c>
      <c r="F828" s="21">
        <f>IF('Raw Data'!F828="",ROUND(AVERAGE('Raw Data'!$F$2:$F$1501),1),'Raw Data'!F828)</f>
        <v>14</v>
      </c>
      <c r="G828" s="21" t="str">
        <f>'Raw Data'!G828</f>
        <v>Credit Card</v>
      </c>
      <c r="H828" s="21" t="str">
        <f>'Raw Data'!H828</f>
        <v>Male</v>
      </c>
      <c r="I828" s="21">
        <f>IF('Raw Data'!I828="",ROUND(AVERAGE('Raw Data'!$I$2:$I$1501),1),'Raw Data'!I828)</f>
        <v>2.9</v>
      </c>
      <c r="J828" s="21">
        <f>'Raw Data'!J828</f>
        <v>2</v>
      </c>
      <c r="K828" s="21" t="str">
        <f>'Raw Data'!K828</f>
        <v>Laptop &amp; Accessory</v>
      </c>
      <c r="L828" s="21">
        <f>'Raw Data'!L828</f>
        <v>5</v>
      </c>
      <c r="M828" s="21" t="str">
        <f>'Raw Data'!M828</f>
        <v>Married</v>
      </c>
      <c r="N828" s="21">
        <f>'Raw Data'!N828</f>
        <v>1</v>
      </c>
      <c r="O828" s="21">
        <f>'Raw Data'!O828</f>
        <v>1</v>
      </c>
      <c r="P828" s="21">
        <f>IF('Raw Data'!P828="",ROUND(AVERAGE('Raw Data'!$P$2:$P$1501),1),'Raw Data'!P828)</f>
        <v>16.399999999999999</v>
      </c>
      <c r="Q828" s="21">
        <f>IF('Raw Data'!Q828="",ROUND(AVERAGE('Raw Data'!$Q$2:$Q$1501),0),'Raw Data'!Q828)</f>
        <v>2</v>
      </c>
      <c r="R828" s="21">
        <f>'Raw Data'!R828</f>
        <v>2</v>
      </c>
      <c r="S828" s="21">
        <f>IF('Raw Data'!S828="",ROUND(AVERAGE('Raw Data'!$S$2:$S$1501),0),'Raw Data'!S828)</f>
        <v>4</v>
      </c>
      <c r="T828" s="21">
        <f>'Raw Data'!T828</f>
        <v>99.45</v>
      </c>
      <c r="U828" s="21" t="str">
        <f>INDEX('Lookup Tables'!$C$7:$C$9,MATCH(E828,'Lookup Tables'!$B$7:$B$9,0))</f>
        <v>Tier 3 (Semi-urban/Rural)</v>
      </c>
      <c r="V828" s="21" t="str">
        <f t="shared" si="36"/>
        <v>0-6 months</v>
      </c>
      <c r="W828" s="21" t="str">
        <f t="shared" si="37"/>
        <v>Low Risk</v>
      </c>
      <c r="X828" s="21" t="str">
        <f t="shared" si="38"/>
        <v>No</v>
      </c>
    </row>
    <row r="829" spans="1:24" x14ac:dyDescent="0.3">
      <c r="A829" s="21">
        <f>'Raw Data'!A829</f>
        <v>50828</v>
      </c>
      <c r="B829" s="21">
        <f>'Raw Data'!B829</f>
        <v>0</v>
      </c>
      <c r="C829" s="21">
        <f>'Raw Data'!C829</f>
        <v>11</v>
      </c>
      <c r="D829" s="21" t="str">
        <f>'Raw Data'!D829</f>
        <v>Mobile Phone</v>
      </c>
      <c r="E829" s="21">
        <f>'Raw Data'!E829</f>
        <v>2</v>
      </c>
      <c r="F829" s="21">
        <f>IF('Raw Data'!F829="",ROUND(AVERAGE('Raw Data'!$F$2:$F$1501),1),'Raw Data'!F829)</f>
        <v>16</v>
      </c>
      <c r="G829" s="21" t="str">
        <f>'Raw Data'!G829</f>
        <v>UPI</v>
      </c>
      <c r="H829" s="21" t="str">
        <f>'Raw Data'!H829</f>
        <v>Female</v>
      </c>
      <c r="I829" s="21">
        <f>IF('Raw Data'!I829="",ROUND(AVERAGE('Raw Data'!$I$2:$I$1501),1),'Raw Data'!I829)</f>
        <v>3</v>
      </c>
      <c r="J829" s="21">
        <f>'Raw Data'!J829</f>
        <v>3</v>
      </c>
      <c r="K829" s="21" t="str">
        <f>'Raw Data'!K829</f>
        <v>Laptop &amp; Accessory</v>
      </c>
      <c r="L829" s="21">
        <f>'Raw Data'!L829</f>
        <v>4</v>
      </c>
      <c r="M829" s="21" t="str">
        <f>'Raw Data'!M829</f>
        <v>Married</v>
      </c>
      <c r="N829" s="21">
        <f>'Raw Data'!N829</f>
        <v>1</v>
      </c>
      <c r="O829" s="21">
        <f>'Raw Data'!O829</f>
        <v>0</v>
      </c>
      <c r="P829" s="21">
        <f>IF('Raw Data'!P829="",ROUND(AVERAGE('Raw Data'!$P$2:$P$1501),1),'Raw Data'!P829)</f>
        <v>15.4</v>
      </c>
      <c r="Q829" s="21">
        <f>IF('Raw Data'!Q829="",ROUND(AVERAGE('Raw Data'!$Q$2:$Q$1501),0),'Raw Data'!Q829)</f>
        <v>1</v>
      </c>
      <c r="R829" s="21">
        <f>'Raw Data'!R829</f>
        <v>4</v>
      </c>
      <c r="S829" s="21">
        <f>IF('Raw Data'!S829="",ROUND(AVERAGE('Raw Data'!$S$2:$S$1501),0),'Raw Data'!S829)</f>
        <v>4</v>
      </c>
      <c r="T829" s="21">
        <f>'Raw Data'!T829</f>
        <v>174.94</v>
      </c>
      <c r="U829" s="21" t="str">
        <f>INDEX('Lookup Tables'!$C$7:$C$9,MATCH(E829,'Lookup Tables'!$B$7:$B$9,0))</f>
        <v>Tier 2 (Urban)</v>
      </c>
      <c r="V829" s="21" t="str">
        <f t="shared" si="36"/>
        <v>7-12 months</v>
      </c>
      <c r="W829" s="21" t="str">
        <f t="shared" si="37"/>
        <v>Low Risk</v>
      </c>
      <c r="X829" s="21" t="str">
        <f t="shared" si="38"/>
        <v>No</v>
      </c>
    </row>
    <row r="830" spans="1:24" x14ac:dyDescent="0.3">
      <c r="A830" s="21">
        <f>'Raw Data'!A830</f>
        <v>50829</v>
      </c>
      <c r="B830" s="21">
        <f>'Raw Data'!B830</f>
        <v>0</v>
      </c>
      <c r="C830" s="21">
        <f>'Raw Data'!C830</f>
        <v>2</v>
      </c>
      <c r="D830" s="21" t="str">
        <f>'Raw Data'!D830</f>
        <v>Computer</v>
      </c>
      <c r="E830" s="21">
        <f>'Raw Data'!E830</f>
        <v>2</v>
      </c>
      <c r="F830" s="21">
        <f>IF('Raw Data'!F830="",ROUND(AVERAGE('Raw Data'!$F$2:$F$1501),1),'Raw Data'!F830)</f>
        <v>9</v>
      </c>
      <c r="G830" s="21" t="str">
        <f>'Raw Data'!G830</f>
        <v>UPI</v>
      </c>
      <c r="H830" s="21" t="str">
        <f>'Raw Data'!H830</f>
        <v>Female</v>
      </c>
      <c r="I830" s="21">
        <f>IF('Raw Data'!I830="",ROUND(AVERAGE('Raw Data'!$I$2:$I$1501),1),'Raw Data'!I830)</f>
        <v>1.7</v>
      </c>
      <c r="J830" s="21">
        <f>'Raw Data'!J830</f>
        <v>4</v>
      </c>
      <c r="K830" s="21" t="str">
        <f>'Raw Data'!K830</f>
        <v>Mobile Phone</v>
      </c>
      <c r="L830" s="21">
        <f>'Raw Data'!L830</f>
        <v>5</v>
      </c>
      <c r="M830" s="21" t="str">
        <f>'Raw Data'!M830</f>
        <v>Single</v>
      </c>
      <c r="N830" s="21">
        <f>'Raw Data'!N830</f>
        <v>1</v>
      </c>
      <c r="O830" s="21">
        <f>'Raw Data'!O830</f>
        <v>0</v>
      </c>
      <c r="P830" s="21">
        <f>IF('Raw Data'!P830="",ROUND(AVERAGE('Raw Data'!$P$2:$P$1501),1),'Raw Data'!P830)</f>
        <v>22.6</v>
      </c>
      <c r="Q830" s="21">
        <f>IF('Raw Data'!Q830="",ROUND(AVERAGE('Raw Data'!$Q$2:$Q$1501),0),'Raw Data'!Q830)</f>
        <v>0</v>
      </c>
      <c r="R830" s="21">
        <f>'Raw Data'!R830</f>
        <v>4</v>
      </c>
      <c r="S830" s="21">
        <f>IF('Raw Data'!S830="",ROUND(AVERAGE('Raw Data'!$S$2:$S$1501),0),'Raw Data'!S830)</f>
        <v>0</v>
      </c>
      <c r="T830" s="21">
        <f>'Raw Data'!T830</f>
        <v>198.49</v>
      </c>
      <c r="U830" s="21" t="str">
        <f>INDEX('Lookup Tables'!$C$7:$C$9,MATCH(E830,'Lookup Tables'!$B$7:$B$9,0))</f>
        <v>Tier 2 (Urban)</v>
      </c>
      <c r="V830" s="21" t="str">
        <f t="shared" si="36"/>
        <v>0-6 months</v>
      </c>
      <c r="W830" s="21" t="str">
        <f t="shared" si="37"/>
        <v>Low Risk</v>
      </c>
      <c r="X830" s="21" t="str">
        <f t="shared" si="38"/>
        <v>No</v>
      </c>
    </row>
    <row r="831" spans="1:24" x14ac:dyDescent="0.3">
      <c r="A831" s="21">
        <f>'Raw Data'!A831</f>
        <v>50830</v>
      </c>
      <c r="B831" s="21">
        <f>'Raw Data'!B831</f>
        <v>0</v>
      </c>
      <c r="C831" s="21">
        <f>'Raw Data'!C831</f>
        <v>7</v>
      </c>
      <c r="D831" s="21" t="str">
        <f>'Raw Data'!D831</f>
        <v>Mobile Phone</v>
      </c>
      <c r="E831" s="21">
        <f>'Raw Data'!E831</f>
        <v>1</v>
      </c>
      <c r="F831" s="21">
        <f>IF('Raw Data'!F831="",ROUND(AVERAGE('Raw Data'!$F$2:$F$1501),1),'Raw Data'!F831)</f>
        <v>24</v>
      </c>
      <c r="G831" s="21" t="str">
        <f>'Raw Data'!G831</f>
        <v>Credit Card</v>
      </c>
      <c r="H831" s="21" t="str">
        <f>'Raw Data'!H831</f>
        <v>Female</v>
      </c>
      <c r="I831" s="21">
        <f>IF('Raw Data'!I831="",ROUND(AVERAGE('Raw Data'!$I$2:$I$1501),1),'Raw Data'!I831)</f>
        <v>2.7</v>
      </c>
      <c r="J831" s="21">
        <f>'Raw Data'!J831</f>
        <v>3</v>
      </c>
      <c r="K831" s="21" t="str">
        <f>'Raw Data'!K831</f>
        <v>Laptop &amp; Accessory</v>
      </c>
      <c r="L831" s="21">
        <f>'Raw Data'!L831</f>
        <v>2</v>
      </c>
      <c r="M831" s="21" t="str">
        <f>'Raw Data'!M831</f>
        <v>Married</v>
      </c>
      <c r="N831" s="21">
        <f>'Raw Data'!N831</f>
        <v>10</v>
      </c>
      <c r="O831" s="21">
        <f>'Raw Data'!O831</f>
        <v>0</v>
      </c>
      <c r="P831" s="21">
        <f>IF('Raw Data'!P831="",ROUND(AVERAGE('Raw Data'!$P$2:$P$1501),1),'Raw Data'!P831)</f>
        <v>18.5</v>
      </c>
      <c r="Q831" s="21">
        <f>IF('Raw Data'!Q831="",ROUND(AVERAGE('Raw Data'!$Q$2:$Q$1501),0),'Raw Data'!Q831)</f>
        <v>3</v>
      </c>
      <c r="R831" s="21">
        <f>'Raw Data'!R831</f>
        <v>2</v>
      </c>
      <c r="S831" s="21">
        <f>IF('Raw Data'!S831="",ROUND(AVERAGE('Raw Data'!$S$2:$S$1501),0),'Raw Data'!S831)</f>
        <v>9</v>
      </c>
      <c r="T831" s="21">
        <f>'Raw Data'!T831</f>
        <v>218.62</v>
      </c>
      <c r="U831" s="21" t="str">
        <f>INDEX('Lookup Tables'!$C$7:$C$9,MATCH(E831,'Lookup Tables'!$B$7:$B$9,0))</f>
        <v>Tier 1 (Metro)</v>
      </c>
      <c r="V831" s="21" t="str">
        <f t="shared" si="36"/>
        <v>7-12 months</v>
      </c>
      <c r="W831" s="21" t="str">
        <f t="shared" si="37"/>
        <v>Low Risk</v>
      </c>
      <c r="X831" s="21" t="str">
        <f t="shared" si="38"/>
        <v>No</v>
      </c>
    </row>
    <row r="832" spans="1:24" x14ac:dyDescent="0.3">
      <c r="A832" s="21">
        <f>'Raw Data'!A832</f>
        <v>50831</v>
      </c>
      <c r="B832" s="21">
        <f>'Raw Data'!B832</f>
        <v>1</v>
      </c>
      <c r="C832" s="21">
        <f>'Raw Data'!C832</f>
        <v>1</v>
      </c>
      <c r="D832" s="21" t="str">
        <f>'Raw Data'!D832</f>
        <v>Mobile Phone</v>
      </c>
      <c r="E832" s="21">
        <f>'Raw Data'!E832</f>
        <v>3</v>
      </c>
      <c r="F832" s="21">
        <f>IF('Raw Data'!F832="",ROUND(AVERAGE('Raw Data'!$F$2:$F$1501),1),'Raw Data'!F832)</f>
        <v>5</v>
      </c>
      <c r="G832" s="21" t="str">
        <f>'Raw Data'!G832</f>
        <v>Debit Card</v>
      </c>
      <c r="H832" s="21" t="str">
        <f>'Raw Data'!H832</f>
        <v>Male</v>
      </c>
      <c r="I832" s="21">
        <f>IF('Raw Data'!I832="",ROUND(AVERAGE('Raw Data'!$I$2:$I$1501),1),'Raw Data'!I832)</f>
        <v>3.2</v>
      </c>
      <c r="J832" s="21">
        <f>'Raw Data'!J832</f>
        <v>3</v>
      </c>
      <c r="K832" s="21" t="str">
        <f>'Raw Data'!K832</f>
        <v>Mobile Phone</v>
      </c>
      <c r="L832" s="21">
        <f>'Raw Data'!L832</f>
        <v>2</v>
      </c>
      <c r="M832" s="21" t="str">
        <f>'Raw Data'!M832</f>
        <v>Single</v>
      </c>
      <c r="N832" s="21">
        <f>'Raw Data'!N832</f>
        <v>1</v>
      </c>
      <c r="O832" s="21">
        <f>'Raw Data'!O832</f>
        <v>1</v>
      </c>
      <c r="P832" s="21">
        <f>IF('Raw Data'!P832="",ROUND(AVERAGE('Raw Data'!$P$2:$P$1501),1),'Raw Data'!P832)</f>
        <v>12.8</v>
      </c>
      <c r="Q832" s="21">
        <f>IF('Raw Data'!Q832="",ROUND(AVERAGE('Raw Data'!$Q$2:$Q$1501),0),'Raw Data'!Q832)</f>
        <v>1</v>
      </c>
      <c r="R832" s="21">
        <f>'Raw Data'!R832</f>
        <v>1</v>
      </c>
      <c r="S832" s="21">
        <f>IF('Raw Data'!S832="",ROUND(AVERAGE('Raw Data'!$S$2:$S$1501),0),'Raw Data'!S832)</f>
        <v>1</v>
      </c>
      <c r="T832" s="21">
        <f>'Raw Data'!T832</f>
        <v>193.06</v>
      </c>
      <c r="U832" s="21" t="str">
        <f>INDEX('Lookup Tables'!$C$7:$C$9,MATCH(E832,'Lookup Tables'!$B$7:$B$9,0))</f>
        <v>Tier 3 (Semi-urban/Rural)</v>
      </c>
      <c r="V832" s="21" t="str">
        <f t="shared" si="36"/>
        <v>0-6 months</v>
      </c>
      <c r="W832" s="21" t="str">
        <f t="shared" si="37"/>
        <v>High Risk</v>
      </c>
      <c r="X832" s="21" t="str">
        <f t="shared" si="38"/>
        <v>Yes</v>
      </c>
    </row>
    <row r="833" spans="1:24" x14ac:dyDescent="0.3">
      <c r="A833" s="21">
        <f>'Raw Data'!A833</f>
        <v>50832</v>
      </c>
      <c r="B833" s="21">
        <f>'Raw Data'!B833</f>
        <v>0</v>
      </c>
      <c r="C833" s="21">
        <f>'Raw Data'!C833</f>
        <v>5</v>
      </c>
      <c r="D833" s="21" t="str">
        <f>'Raw Data'!D833</f>
        <v>Phone</v>
      </c>
      <c r="E833" s="21">
        <f>'Raw Data'!E833</f>
        <v>3</v>
      </c>
      <c r="F833" s="21">
        <f>IF('Raw Data'!F833="",ROUND(AVERAGE('Raw Data'!$F$2:$F$1501),1),'Raw Data'!F833)</f>
        <v>18</v>
      </c>
      <c r="G833" s="21" t="str">
        <f>'Raw Data'!G833</f>
        <v>Credit Card</v>
      </c>
      <c r="H833" s="21" t="str">
        <f>'Raw Data'!H833</f>
        <v>Male</v>
      </c>
      <c r="I833" s="21">
        <f>IF('Raw Data'!I833="",ROUND(AVERAGE('Raw Data'!$I$2:$I$1501),1),'Raw Data'!I833)</f>
        <v>2.7</v>
      </c>
      <c r="J833" s="21">
        <f>'Raw Data'!J833</f>
        <v>4</v>
      </c>
      <c r="K833" s="21" t="str">
        <f>'Raw Data'!K833</f>
        <v>Fashion</v>
      </c>
      <c r="L833" s="21">
        <f>'Raw Data'!L833</f>
        <v>1</v>
      </c>
      <c r="M833" s="21" t="str">
        <f>'Raw Data'!M833</f>
        <v>Single</v>
      </c>
      <c r="N833" s="21">
        <f>'Raw Data'!N833</f>
        <v>2</v>
      </c>
      <c r="O833" s="21">
        <f>'Raw Data'!O833</f>
        <v>0</v>
      </c>
      <c r="P833" s="21">
        <f>IF('Raw Data'!P833="",ROUND(AVERAGE('Raw Data'!$P$2:$P$1501),1),'Raw Data'!P833)</f>
        <v>11</v>
      </c>
      <c r="Q833" s="21">
        <f>IF('Raw Data'!Q833="",ROUND(AVERAGE('Raw Data'!$Q$2:$Q$1501),0),'Raw Data'!Q833)</f>
        <v>2</v>
      </c>
      <c r="R833" s="21">
        <f>'Raw Data'!R833</f>
        <v>3</v>
      </c>
      <c r="S833" s="21">
        <f>IF('Raw Data'!S833="",ROUND(AVERAGE('Raw Data'!$S$2:$S$1501),0),'Raw Data'!S833)</f>
        <v>2</v>
      </c>
      <c r="T833" s="21">
        <f>'Raw Data'!T833</f>
        <v>114.77</v>
      </c>
      <c r="U833" s="21" t="str">
        <f>INDEX('Lookup Tables'!$C$7:$C$9,MATCH(E833,'Lookup Tables'!$B$7:$B$9,0))</f>
        <v>Tier 3 (Semi-urban/Rural)</v>
      </c>
      <c r="V833" s="21" t="str">
        <f t="shared" si="36"/>
        <v>0-6 months</v>
      </c>
      <c r="W833" s="21" t="str">
        <f t="shared" si="37"/>
        <v>Low Risk</v>
      </c>
      <c r="X833" s="21" t="str">
        <f t="shared" si="38"/>
        <v>No</v>
      </c>
    </row>
    <row r="834" spans="1:24" x14ac:dyDescent="0.3">
      <c r="A834" s="21">
        <f>'Raw Data'!A834</f>
        <v>50833</v>
      </c>
      <c r="B834" s="21">
        <f>'Raw Data'!B834</f>
        <v>0</v>
      </c>
      <c r="C834" s="21">
        <f>'Raw Data'!C834</f>
        <v>14</v>
      </c>
      <c r="D834" s="21" t="str">
        <f>'Raw Data'!D834</f>
        <v>Mobile Phone</v>
      </c>
      <c r="E834" s="21">
        <f>'Raw Data'!E834</f>
        <v>3</v>
      </c>
      <c r="F834" s="21">
        <f>IF('Raw Data'!F834="",ROUND(AVERAGE('Raw Data'!$F$2:$F$1501),1),'Raw Data'!F834)</f>
        <v>24</v>
      </c>
      <c r="G834" s="21" t="str">
        <f>'Raw Data'!G834</f>
        <v>UPI</v>
      </c>
      <c r="H834" s="21" t="str">
        <f>'Raw Data'!H834</f>
        <v>Female</v>
      </c>
      <c r="I834" s="21">
        <f>IF('Raw Data'!I834="",ROUND(AVERAGE('Raw Data'!$I$2:$I$1501),1),'Raw Data'!I834)</f>
        <v>2.7</v>
      </c>
      <c r="J834" s="21">
        <f>'Raw Data'!J834</f>
        <v>4</v>
      </c>
      <c r="K834" s="21" t="str">
        <f>'Raw Data'!K834</f>
        <v>Fashion</v>
      </c>
      <c r="L834" s="21">
        <f>'Raw Data'!L834</f>
        <v>4</v>
      </c>
      <c r="M834" s="21" t="str">
        <f>'Raw Data'!M834</f>
        <v>Single</v>
      </c>
      <c r="N834" s="21">
        <f>'Raw Data'!N834</f>
        <v>1</v>
      </c>
      <c r="O834" s="21">
        <f>'Raw Data'!O834</f>
        <v>0</v>
      </c>
      <c r="P834" s="21">
        <f>IF('Raw Data'!P834="",ROUND(AVERAGE('Raw Data'!$P$2:$P$1501),1),'Raw Data'!P834)</f>
        <v>16.600000000000001</v>
      </c>
      <c r="Q834" s="21">
        <f>IF('Raw Data'!Q834="",ROUND(AVERAGE('Raw Data'!$Q$2:$Q$1501),0),'Raw Data'!Q834)</f>
        <v>2</v>
      </c>
      <c r="R834" s="21">
        <f>'Raw Data'!R834</f>
        <v>2</v>
      </c>
      <c r="S834" s="21">
        <f>IF('Raw Data'!S834="",ROUND(AVERAGE('Raw Data'!$S$2:$S$1501),0),'Raw Data'!S834)</f>
        <v>2</v>
      </c>
      <c r="T834" s="21">
        <f>'Raw Data'!T834</f>
        <v>42.25</v>
      </c>
      <c r="U834" s="21" t="str">
        <f>INDEX('Lookup Tables'!$C$7:$C$9,MATCH(E834,'Lookup Tables'!$B$7:$B$9,0))</f>
        <v>Tier 3 (Semi-urban/Rural)</v>
      </c>
      <c r="V834" s="21" t="str">
        <f t="shared" ref="V834:V897" si="39">IF(C834&lt;=6,"0-6 months",IF(C834&lt;=12,"7-12 months",IF(C834&lt;=24,"13-24 months","25+ months")))</f>
        <v>13-24 months</v>
      </c>
      <c r="W834" s="21" t="str">
        <f t="shared" ref="W834:W897" si="40">IF(AND(O834=1,L834&lt;=2),"High Risk",IF(OR(L834=3,S834&gt;15),"Medium Risk","Low Risk"))</f>
        <v>Low Risk</v>
      </c>
      <c r="X834" s="21" t="str">
        <f t="shared" ref="X834:X897" si="41">IF(B834=1,"Yes","No")</f>
        <v>No</v>
      </c>
    </row>
    <row r="835" spans="1:24" x14ac:dyDescent="0.3">
      <c r="A835" s="21">
        <f>'Raw Data'!A835</f>
        <v>50834</v>
      </c>
      <c r="B835" s="21">
        <f>'Raw Data'!B835</f>
        <v>0</v>
      </c>
      <c r="C835" s="21">
        <f>'Raw Data'!C835</f>
        <v>4</v>
      </c>
      <c r="D835" s="21" t="str">
        <f>'Raw Data'!D835</f>
        <v>Phone</v>
      </c>
      <c r="E835" s="21">
        <f>'Raw Data'!E835</f>
        <v>3</v>
      </c>
      <c r="F835" s="21">
        <f>IF('Raw Data'!F835="",ROUND(AVERAGE('Raw Data'!$F$2:$F$1501),1),'Raw Data'!F835)</f>
        <v>18</v>
      </c>
      <c r="G835" s="21" t="str">
        <f>'Raw Data'!G835</f>
        <v>Debit Card</v>
      </c>
      <c r="H835" s="21" t="str">
        <f>'Raw Data'!H835</f>
        <v>Male</v>
      </c>
      <c r="I835" s="21">
        <f>IF('Raw Data'!I835="",ROUND(AVERAGE('Raw Data'!$I$2:$I$1501),1),'Raw Data'!I835)</f>
        <v>2</v>
      </c>
      <c r="J835" s="21">
        <f>'Raw Data'!J835</f>
        <v>4</v>
      </c>
      <c r="K835" s="21" t="str">
        <f>'Raw Data'!K835</f>
        <v>Grocery</v>
      </c>
      <c r="L835" s="21">
        <f>'Raw Data'!L835</f>
        <v>5</v>
      </c>
      <c r="M835" s="21" t="str">
        <f>'Raw Data'!M835</f>
        <v>Married</v>
      </c>
      <c r="N835" s="21">
        <f>'Raw Data'!N835</f>
        <v>1</v>
      </c>
      <c r="O835" s="21">
        <f>'Raw Data'!O835</f>
        <v>1</v>
      </c>
      <c r="P835" s="21">
        <f>IF('Raw Data'!P835="",ROUND(AVERAGE('Raw Data'!$P$2:$P$1501),1),'Raw Data'!P835)</f>
        <v>16</v>
      </c>
      <c r="Q835" s="21">
        <f>IF('Raw Data'!Q835="",ROUND(AVERAGE('Raw Data'!$Q$2:$Q$1501),0),'Raw Data'!Q835)</f>
        <v>1</v>
      </c>
      <c r="R835" s="21">
        <f>'Raw Data'!R835</f>
        <v>6</v>
      </c>
      <c r="S835" s="21">
        <f>IF('Raw Data'!S835="",ROUND(AVERAGE('Raw Data'!$S$2:$S$1501),0),'Raw Data'!S835)</f>
        <v>1</v>
      </c>
      <c r="T835" s="21">
        <f>'Raw Data'!T835</f>
        <v>174.49</v>
      </c>
      <c r="U835" s="21" t="str">
        <f>INDEX('Lookup Tables'!$C$7:$C$9,MATCH(E835,'Lookup Tables'!$B$7:$B$9,0))</f>
        <v>Tier 3 (Semi-urban/Rural)</v>
      </c>
      <c r="V835" s="21" t="str">
        <f t="shared" si="39"/>
        <v>0-6 months</v>
      </c>
      <c r="W835" s="21" t="str">
        <f t="shared" si="40"/>
        <v>Low Risk</v>
      </c>
      <c r="X835" s="21" t="str">
        <f t="shared" si="41"/>
        <v>No</v>
      </c>
    </row>
    <row r="836" spans="1:24" x14ac:dyDescent="0.3">
      <c r="A836" s="21">
        <f>'Raw Data'!A836</f>
        <v>50835</v>
      </c>
      <c r="B836" s="21">
        <f>'Raw Data'!B836</f>
        <v>1</v>
      </c>
      <c r="C836" s="21">
        <f>'Raw Data'!C836</f>
        <v>10</v>
      </c>
      <c r="D836" s="21" t="str">
        <f>'Raw Data'!D836</f>
        <v>Mobile Phone</v>
      </c>
      <c r="E836" s="21">
        <f>'Raw Data'!E836</f>
        <v>3</v>
      </c>
      <c r="F836" s="21">
        <f>IF('Raw Data'!F836="",ROUND(AVERAGE('Raw Data'!$F$2:$F$1501),1),'Raw Data'!F836)</f>
        <v>13</v>
      </c>
      <c r="G836" s="21" t="str">
        <f>'Raw Data'!G836</f>
        <v>Credit Card</v>
      </c>
      <c r="H836" s="21" t="str">
        <f>'Raw Data'!H836</f>
        <v>Female</v>
      </c>
      <c r="I836" s="21">
        <f>IF('Raw Data'!I836="",ROUND(AVERAGE('Raw Data'!$I$2:$I$1501),1),'Raw Data'!I836)</f>
        <v>3.3</v>
      </c>
      <c r="J836" s="21">
        <f>'Raw Data'!J836</f>
        <v>3</v>
      </c>
      <c r="K836" s="21" t="str">
        <f>'Raw Data'!K836</f>
        <v>Mobile Phone</v>
      </c>
      <c r="L836" s="21">
        <f>'Raw Data'!L836</f>
        <v>2</v>
      </c>
      <c r="M836" s="21" t="str">
        <f>'Raw Data'!M836</f>
        <v>Single</v>
      </c>
      <c r="N836" s="21">
        <f>'Raw Data'!N836</f>
        <v>1</v>
      </c>
      <c r="O836" s="21">
        <f>'Raw Data'!O836</f>
        <v>1</v>
      </c>
      <c r="P836" s="21">
        <f>IF('Raw Data'!P836="",ROUND(AVERAGE('Raw Data'!$P$2:$P$1501),1),'Raw Data'!P836)</f>
        <v>16.3</v>
      </c>
      <c r="Q836" s="21">
        <f>IF('Raw Data'!Q836="",ROUND(AVERAGE('Raw Data'!$Q$2:$Q$1501),0),'Raw Data'!Q836)</f>
        <v>2</v>
      </c>
      <c r="R836" s="21">
        <f>'Raw Data'!R836</f>
        <v>5</v>
      </c>
      <c r="S836" s="21">
        <f>IF('Raw Data'!S836="",ROUND(AVERAGE('Raw Data'!$S$2:$S$1501),0),'Raw Data'!S836)</f>
        <v>4</v>
      </c>
      <c r="T836" s="21">
        <f>'Raw Data'!T836</f>
        <v>150.63</v>
      </c>
      <c r="U836" s="21" t="str">
        <f>INDEX('Lookup Tables'!$C$7:$C$9,MATCH(E836,'Lookup Tables'!$B$7:$B$9,0))</f>
        <v>Tier 3 (Semi-urban/Rural)</v>
      </c>
      <c r="V836" s="21" t="str">
        <f t="shared" si="39"/>
        <v>7-12 months</v>
      </c>
      <c r="W836" s="21" t="str">
        <f t="shared" si="40"/>
        <v>High Risk</v>
      </c>
      <c r="X836" s="21" t="str">
        <f t="shared" si="41"/>
        <v>Yes</v>
      </c>
    </row>
    <row r="837" spans="1:24" x14ac:dyDescent="0.3">
      <c r="A837" s="21">
        <f>'Raw Data'!A837</f>
        <v>50836</v>
      </c>
      <c r="B837" s="21">
        <f>'Raw Data'!B837</f>
        <v>0</v>
      </c>
      <c r="C837" s="21">
        <f>'Raw Data'!C837</f>
        <v>15</v>
      </c>
      <c r="D837" s="21" t="str">
        <f>'Raw Data'!D837</f>
        <v>Phone</v>
      </c>
      <c r="E837" s="21">
        <f>'Raw Data'!E837</f>
        <v>2</v>
      </c>
      <c r="F837" s="21">
        <f>IF('Raw Data'!F837="",ROUND(AVERAGE('Raw Data'!$F$2:$F$1501),1),'Raw Data'!F837)</f>
        <v>10</v>
      </c>
      <c r="G837" s="21" t="str">
        <f>'Raw Data'!G837</f>
        <v>UPI</v>
      </c>
      <c r="H837" s="21" t="str">
        <f>'Raw Data'!H837</f>
        <v>Female</v>
      </c>
      <c r="I837" s="21">
        <f>IF('Raw Data'!I837="",ROUND(AVERAGE('Raw Data'!$I$2:$I$1501),1),'Raw Data'!I837)</f>
        <v>2.4</v>
      </c>
      <c r="J837" s="21">
        <f>'Raw Data'!J837</f>
        <v>3</v>
      </c>
      <c r="K837" s="21" t="str">
        <f>'Raw Data'!K837</f>
        <v>Mobile Phone</v>
      </c>
      <c r="L837" s="21">
        <f>'Raw Data'!L837</f>
        <v>4</v>
      </c>
      <c r="M837" s="21" t="str">
        <f>'Raw Data'!M837</f>
        <v>Single</v>
      </c>
      <c r="N837" s="21">
        <f>'Raw Data'!N837</f>
        <v>6</v>
      </c>
      <c r="O837" s="21">
        <f>'Raw Data'!O837</f>
        <v>0</v>
      </c>
      <c r="P837" s="21">
        <f>IF('Raw Data'!P837="",ROUND(AVERAGE('Raw Data'!$P$2:$P$1501),1),'Raw Data'!P837)</f>
        <v>15.8</v>
      </c>
      <c r="Q837" s="21">
        <f>IF('Raw Data'!Q837="",ROUND(AVERAGE('Raw Data'!$Q$2:$Q$1501),0),'Raw Data'!Q837)</f>
        <v>0</v>
      </c>
      <c r="R837" s="21">
        <f>'Raw Data'!R837</f>
        <v>4</v>
      </c>
      <c r="S837" s="21">
        <f>IF('Raw Data'!S837="",ROUND(AVERAGE('Raw Data'!$S$2:$S$1501),0),'Raw Data'!S837)</f>
        <v>2</v>
      </c>
      <c r="T837" s="21">
        <f>'Raw Data'!T837</f>
        <v>110.56</v>
      </c>
      <c r="U837" s="21" t="str">
        <f>INDEX('Lookup Tables'!$C$7:$C$9,MATCH(E837,'Lookup Tables'!$B$7:$B$9,0))</f>
        <v>Tier 2 (Urban)</v>
      </c>
      <c r="V837" s="21" t="str">
        <f t="shared" si="39"/>
        <v>13-24 months</v>
      </c>
      <c r="W837" s="21" t="str">
        <f t="shared" si="40"/>
        <v>Low Risk</v>
      </c>
      <c r="X837" s="21" t="str">
        <f t="shared" si="41"/>
        <v>No</v>
      </c>
    </row>
    <row r="838" spans="1:24" x14ac:dyDescent="0.3">
      <c r="A838" s="21">
        <f>'Raw Data'!A838</f>
        <v>50837</v>
      </c>
      <c r="B838" s="21">
        <f>'Raw Data'!B838</f>
        <v>0</v>
      </c>
      <c r="C838" s="21">
        <f>'Raw Data'!C838</f>
        <v>26</v>
      </c>
      <c r="D838" s="21" t="str">
        <f>'Raw Data'!D838</f>
        <v>Computer</v>
      </c>
      <c r="E838" s="21">
        <f>'Raw Data'!E838</f>
        <v>1</v>
      </c>
      <c r="F838" s="21">
        <f>IF('Raw Data'!F838="",ROUND(AVERAGE('Raw Data'!$F$2:$F$1501),1),'Raw Data'!F838)</f>
        <v>23</v>
      </c>
      <c r="G838" s="21" t="str">
        <f>'Raw Data'!G838</f>
        <v>Credit Card</v>
      </c>
      <c r="H838" s="21" t="str">
        <f>'Raw Data'!H838</f>
        <v>Male</v>
      </c>
      <c r="I838" s="21">
        <f>IF('Raw Data'!I838="",ROUND(AVERAGE('Raw Data'!$I$2:$I$1501),1),'Raw Data'!I838)</f>
        <v>1.4</v>
      </c>
      <c r="J838" s="21">
        <f>'Raw Data'!J838</f>
        <v>6</v>
      </c>
      <c r="K838" s="21" t="str">
        <f>'Raw Data'!K838</f>
        <v>Grocery</v>
      </c>
      <c r="L838" s="21">
        <f>'Raw Data'!L838</f>
        <v>4</v>
      </c>
      <c r="M838" s="21" t="str">
        <f>'Raw Data'!M838</f>
        <v>Single</v>
      </c>
      <c r="N838" s="21">
        <f>'Raw Data'!N838</f>
        <v>3</v>
      </c>
      <c r="O838" s="21">
        <f>'Raw Data'!O838</f>
        <v>1</v>
      </c>
      <c r="P838" s="21">
        <f>IF('Raw Data'!P838="",ROUND(AVERAGE('Raw Data'!$P$2:$P$1501),1),'Raw Data'!P838)</f>
        <v>14</v>
      </c>
      <c r="Q838" s="21">
        <f>IF('Raw Data'!Q838="",ROUND(AVERAGE('Raw Data'!$Q$2:$Q$1501),0),'Raw Data'!Q838)</f>
        <v>2</v>
      </c>
      <c r="R838" s="21">
        <f>'Raw Data'!R838</f>
        <v>7</v>
      </c>
      <c r="S838" s="21">
        <f>IF('Raw Data'!S838="",ROUND(AVERAGE('Raw Data'!$S$2:$S$1501),0),'Raw Data'!S838)</f>
        <v>1</v>
      </c>
      <c r="T838" s="21">
        <f>'Raw Data'!T838</f>
        <v>225.54</v>
      </c>
      <c r="U838" s="21" t="str">
        <f>INDEX('Lookup Tables'!$C$7:$C$9,MATCH(E838,'Lookup Tables'!$B$7:$B$9,0))</f>
        <v>Tier 1 (Metro)</v>
      </c>
      <c r="V838" s="21" t="str">
        <f t="shared" si="39"/>
        <v>25+ months</v>
      </c>
      <c r="W838" s="21" t="str">
        <f t="shared" si="40"/>
        <v>Low Risk</v>
      </c>
      <c r="X838" s="21" t="str">
        <f t="shared" si="41"/>
        <v>No</v>
      </c>
    </row>
    <row r="839" spans="1:24" x14ac:dyDescent="0.3">
      <c r="A839" s="21">
        <f>'Raw Data'!A839</f>
        <v>50838</v>
      </c>
      <c r="B839" s="21">
        <f>'Raw Data'!B839</f>
        <v>1</v>
      </c>
      <c r="C839" s="21">
        <f>'Raw Data'!C839</f>
        <v>2</v>
      </c>
      <c r="D839" s="21" t="str">
        <f>'Raw Data'!D839</f>
        <v>Phone</v>
      </c>
      <c r="E839" s="21">
        <f>'Raw Data'!E839</f>
        <v>2</v>
      </c>
      <c r="F839" s="21">
        <f>IF('Raw Data'!F839="",ROUND(AVERAGE('Raw Data'!$F$2:$F$1501),1),'Raw Data'!F839)</f>
        <v>5</v>
      </c>
      <c r="G839" s="21" t="str">
        <f>'Raw Data'!G839</f>
        <v>E wallet</v>
      </c>
      <c r="H839" s="21" t="str">
        <f>'Raw Data'!H839</f>
        <v>Female</v>
      </c>
      <c r="I839" s="21">
        <f>IF('Raw Data'!I839="",ROUND(AVERAGE('Raw Data'!$I$2:$I$1501),1),'Raw Data'!I839)</f>
        <v>2.6</v>
      </c>
      <c r="J839" s="21">
        <f>'Raw Data'!J839</f>
        <v>4</v>
      </c>
      <c r="K839" s="21" t="str">
        <f>'Raw Data'!K839</f>
        <v>Mobile Phone</v>
      </c>
      <c r="L839" s="21">
        <f>'Raw Data'!L839</f>
        <v>5</v>
      </c>
      <c r="M839" s="21" t="str">
        <f>'Raw Data'!M839</f>
        <v>Married</v>
      </c>
      <c r="N839" s="21">
        <f>'Raw Data'!N839</f>
        <v>8</v>
      </c>
      <c r="O839" s="21">
        <f>'Raw Data'!O839</f>
        <v>0</v>
      </c>
      <c r="P839" s="21">
        <f>IF('Raw Data'!P839="",ROUND(AVERAGE('Raw Data'!$P$2:$P$1501),1),'Raw Data'!P839)</f>
        <v>16</v>
      </c>
      <c r="Q839" s="21">
        <f>IF('Raw Data'!Q839="",ROUND(AVERAGE('Raw Data'!$Q$2:$Q$1501),0),'Raw Data'!Q839)</f>
        <v>3</v>
      </c>
      <c r="R839" s="21">
        <f>'Raw Data'!R839</f>
        <v>6</v>
      </c>
      <c r="S839" s="21">
        <f>IF('Raw Data'!S839="",ROUND(AVERAGE('Raw Data'!$S$2:$S$1501),0),'Raw Data'!S839)</f>
        <v>11</v>
      </c>
      <c r="T839" s="21">
        <f>'Raw Data'!T839</f>
        <v>93.34</v>
      </c>
      <c r="U839" s="21" t="str">
        <f>INDEX('Lookup Tables'!$C$7:$C$9,MATCH(E839,'Lookup Tables'!$B$7:$B$9,0))</f>
        <v>Tier 2 (Urban)</v>
      </c>
      <c r="V839" s="21" t="str">
        <f t="shared" si="39"/>
        <v>0-6 months</v>
      </c>
      <c r="W839" s="21" t="str">
        <f t="shared" si="40"/>
        <v>Low Risk</v>
      </c>
      <c r="X839" s="21" t="str">
        <f t="shared" si="41"/>
        <v>Yes</v>
      </c>
    </row>
    <row r="840" spans="1:24" x14ac:dyDescent="0.3">
      <c r="A840" s="21">
        <f>'Raw Data'!A840</f>
        <v>50839</v>
      </c>
      <c r="B840" s="21">
        <f>'Raw Data'!B840</f>
        <v>1</v>
      </c>
      <c r="C840" s="21">
        <f>'Raw Data'!C840</f>
        <v>5</v>
      </c>
      <c r="D840" s="21" t="str">
        <f>'Raw Data'!D840</f>
        <v>Phone</v>
      </c>
      <c r="E840" s="21">
        <f>'Raw Data'!E840</f>
        <v>3</v>
      </c>
      <c r="F840" s="21">
        <f>IF('Raw Data'!F840="",ROUND(AVERAGE('Raw Data'!$F$2:$F$1501),1),'Raw Data'!F840)</f>
        <v>7</v>
      </c>
      <c r="G840" s="21" t="str">
        <f>'Raw Data'!G840</f>
        <v>Debit Card</v>
      </c>
      <c r="H840" s="21" t="str">
        <f>'Raw Data'!H840</f>
        <v>Male</v>
      </c>
      <c r="I840" s="21">
        <f>IF('Raw Data'!I840="",ROUND(AVERAGE('Raw Data'!$I$2:$I$1501),1),'Raw Data'!I840)</f>
        <v>3.6</v>
      </c>
      <c r="J840" s="21">
        <f>'Raw Data'!J840</f>
        <v>2</v>
      </c>
      <c r="K840" s="21" t="str">
        <f>'Raw Data'!K840</f>
        <v>Fashion</v>
      </c>
      <c r="L840" s="21">
        <f>'Raw Data'!L840</f>
        <v>4</v>
      </c>
      <c r="M840" s="21" t="str">
        <f>'Raw Data'!M840</f>
        <v>Married</v>
      </c>
      <c r="N840" s="21">
        <f>'Raw Data'!N840</f>
        <v>4</v>
      </c>
      <c r="O840" s="21">
        <f>'Raw Data'!O840</f>
        <v>0</v>
      </c>
      <c r="P840" s="21">
        <f>IF('Raw Data'!P840="",ROUND(AVERAGE('Raw Data'!$P$2:$P$1501),1),'Raw Data'!P840)</f>
        <v>18.5</v>
      </c>
      <c r="Q840" s="21">
        <f>IF('Raw Data'!Q840="",ROUND(AVERAGE('Raw Data'!$Q$2:$Q$1501),0),'Raw Data'!Q840)</f>
        <v>2</v>
      </c>
      <c r="R840" s="21">
        <f>'Raw Data'!R840</f>
        <v>4</v>
      </c>
      <c r="S840" s="21">
        <f>IF('Raw Data'!S840="",ROUND(AVERAGE('Raw Data'!$S$2:$S$1501),0),'Raw Data'!S840)</f>
        <v>1</v>
      </c>
      <c r="T840" s="21">
        <f>'Raw Data'!T840</f>
        <v>213.93</v>
      </c>
      <c r="U840" s="21" t="str">
        <f>INDEX('Lookup Tables'!$C$7:$C$9,MATCH(E840,'Lookup Tables'!$B$7:$B$9,0))</f>
        <v>Tier 3 (Semi-urban/Rural)</v>
      </c>
      <c r="V840" s="21" t="str">
        <f t="shared" si="39"/>
        <v>0-6 months</v>
      </c>
      <c r="W840" s="21" t="str">
        <f t="shared" si="40"/>
        <v>Low Risk</v>
      </c>
      <c r="X840" s="21" t="str">
        <f t="shared" si="41"/>
        <v>Yes</v>
      </c>
    </row>
    <row r="841" spans="1:24" x14ac:dyDescent="0.3">
      <c r="A841" s="21">
        <f>'Raw Data'!A841</f>
        <v>50840</v>
      </c>
      <c r="B841" s="21">
        <f>'Raw Data'!B841</f>
        <v>0</v>
      </c>
      <c r="C841" s="21">
        <f>'Raw Data'!C841</f>
        <v>1</v>
      </c>
      <c r="D841" s="21" t="str">
        <f>'Raw Data'!D841</f>
        <v>Mobile Phone</v>
      </c>
      <c r="E841" s="21">
        <f>'Raw Data'!E841</f>
        <v>3</v>
      </c>
      <c r="F841" s="21">
        <f>IF('Raw Data'!F841="",ROUND(AVERAGE('Raw Data'!$F$2:$F$1501),1),'Raw Data'!F841)</f>
        <v>11</v>
      </c>
      <c r="G841" s="21" t="str">
        <f>'Raw Data'!G841</f>
        <v>Debit Card</v>
      </c>
      <c r="H841" s="21" t="str">
        <f>'Raw Data'!H841</f>
        <v>Female</v>
      </c>
      <c r="I841" s="21">
        <f>IF('Raw Data'!I841="",ROUND(AVERAGE('Raw Data'!$I$2:$I$1501),1),'Raw Data'!I841)</f>
        <v>2.6</v>
      </c>
      <c r="J841" s="21">
        <f>'Raw Data'!J841</f>
        <v>3</v>
      </c>
      <c r="K841" s="21" t="str">
        <f>'Raw Data'!K841</f>
        <v>Mobile Phone</v>
      </c>
      <c r="L841" s="21">
        <f>'Raw Data'!L841</f>
        <v>5</v>
      </c>
      <c r="M841" s="21" t="str">
        <f>'Raw Data'!M841</f>
        <v>Single</v>
      </c>
      <c r="N841" s="21">
        <f>'Raw Data'!N841</f>
        <v>12</v>
      </c>
      <c r="O841" s="21">
        <f>'Raw Data'!O841</f>
        <v>0</v>
      </c>
      <c r="P841" s="21">
        <f>IF('Raw Data'!P841="",ROUND(AVERAGE('Raw Data'!$P$2:$P$1501),1),'Raw Data'!P841)</f>
        <v>21.2</v>
      </c>
      <c r="Q841" s="21">
        <f>IF('Raw Data'!Q841="",ROUND(AVERAGE('Raw Data'!$Q$2:$Q$1501),0),'Raw Data'!Q841)</f>
        <v>3</v>
      </c>
      <c r="R841" s="21">
        <f>'Raw Data'!R841</f>
        <v>7</v>
      </c>
      <c r="S841" s="21">
        <f>IF('Raw Data'!S841="",ROUND(AVERAGE('Raw Data'!$S$2:$S$1501),0),'Raw Data'!S841)</f>
        <v>5</v>
      </c>
      <c r="T841" s="21">
        <f>'Raw Data'!T841</f>
        <v>102.44</v>
      </c>
      <c r="U841" s="21" t="str">
        <f>INDEX('Lookup Tables'!$C$7:$C$9,MATCH(E841,'Lookup Tables'!$B$7:$B$9,0))</f>
        <v>Tier 3 (Semi-urban/Rural)</v>
      </c>
      <c r="V841" s="21" t="str">
        <f t="shared" si="39"/>
        <v>0-6 months</v>
      </c>
      <c r="W841" s="21" t="str">
        <f t="shared" si="40"/>
        <v>Low Risk</v>
      </c>
      <c r="X841" s="21" t="str">
        <f t="shared" si="41"/>
        <v>No</v>
      </c>
    </row>
    <row r="842" spans="1:24" x14ac:dyDescent="0.3">
      <c r="A842" s="21">
        <f>'Raw Data'!A842</f>
        <v>50841</v>
      </c>
      <c r="B842" s="21">
        <f>'Raw Data'!B842</f>
        <v>0</v>
      </c>
      <c r="C842" s="21">
        <f>'Raw Data'!C842</f>
        <v>48</v>
      </c>
      <c r="D842" s="21" t="str">
        <f>'Raw Data'!D842</f>
        <v>Mobile Phone</v>
      </c>
      <c r="E842" s="21">
        <f>'Raw Data'!E842</f>
        <v>2</v>
      </c>
      <c r="F842" s="21">
        <f>IF('Raw Data'!F842="",ROUND(AVERAGE('Raw Data'!$F$2:$F$1501),1),'Raw Data'!F842)</f>
        <v>24</v>
      </c>
      <c r="G842" s="21" t="str">
        <f>'Raw Data'!G842</f>
        <v>UPI</v>
      </c>
      <c r="H842" s="21" t="str">
        <f>'Raw Data'!H842</f>
        <v>Male</v>
      </c>
      <c r="I842" s="21">
        <f>IF('Raw Data'!I842="",ROUND(AVERAGE('Raw Data'!$I$2:$I$1501),1),'Raw Data'!I842)</f>
        <v>4.0999999999999996</v>
      </c>
      <c r="J842" s="21">
        <f>'Raw Data'!J842</f>
        <v>3</v>
      </c>
      <c r="K842" s="21" t="str">
        <f>'Raw Data'!K842</f>
        <v>Mobile Phone</v>
      </c>
      <c r="L842" s="21">
        <f>'Raw Data'!L842</f>
        <v>3</v>
      </c>
      <c r="M842" s="21" t="str">
        <f>'Raw Data'!M842</f>
        <v>Single</v>
      </c>
      <c r="N842" s="21">
        <f>'Raw Data'!N842</f>
        <v>2</v>
      </c>
      <c r="O842" s="21">
        <f>'Raw Data'!O842</f>
        <v>0</v>
      </c>
      <c r="P842" s="21">
        <f>IF('Raw Data'!P842="",ROUND(AVERAGE('Raw Data'!$P$2:$P$1501),1),'Raw Data'!P842)</f>
        <v>19.2</v>
      </c>
      <c r="Q842" s="21">
        <f>IF('Raw Data'!Q842="",ROUND(AVERAGE('Raw Data'!$Q$2:$Q$1501),0),'Raw Data'!Q842)</f>
        <v>3</v>
      </c>
      <c r="R842" s="21">
        <f>'Raw Data'!R842</f>
        <v>5</v>
      </c>
      <c r="S842" s="21">
        <f>IF('Raw Data'!S842="",ROUND(AVERAGE('Raw Data'!$S$2:$S$1501),0),'Raw Data'!S842)</f>
        <v>2</v>
      </c>
      <c r="T842" s="21">
        <f>'Raw Data'!T842</f>
        <v>187.37</v>
      </c>
      <c r="U842" s="21" t="str">
        <f>INDEX('Lookup Tables'!$C$7:$C$9,MATCH(E842,'Lookup Tables'!$B$7:$B$9,0))</f>
        <v>Tier 2 (Urban)</v>
      </c>
      <c r="V842" s="21" t="str">
        <f t="shared" si="39"/>
        <v>25+ months</v>
      </c>
      <c r="W842" s="21" t="str">
        <f t="shared" si="40"/>
        <v>Medium Risk</v>
      </c>
      <c r="X842" s="21" t="str">
        <f t="shared" si="41"/>
        <v>No</v>
      </c>
    </row>
    <row r="843" spans="1:24" x14ac:dyDescent="0.3">
      <c r="A843" s="21">
        <f>'Raw Data'!A843</f>
        <v>50842</v>
      </c>
      <c r="B843" s="21">
        <f>'Raw Data'!B843</f>
        <v>0</v>
      </c>
      <c r="C843" s="21">
        <f>'Raw Data'!C843</f>
        <v>26</v>
      </c>
      <c r="D843" s="21" t="str">
        <f>'Raw Data'!D843</f>
        <v>Mobile Phone</v>
      </c>
      <c r="E843" s="21">
        <f>'Raw Data'!E843</f>
        <v>1</v>
      </c>
      <c r="F843" s="21">
        <f>IF('Raw Data'!F843="",ROUND(AVERAGE('Raw Data'!$F$2:$F$1501),1),'Raw Data'!F843)</f>
        <v>18</v>
      </c>
      <c r="G843" s="21" t="str">
        <f>'Raw Data'!G843</f>
        <v>Debit Card</v>
      </c>
      <c r="H843" s="21" t="str">
        <f>'Raw Data'!H843</f>
        <v>Male</v>
      </c>
      <c r="I843" s="21">
        <f>IF('Raw Data'!I843="",ROUND(AVERAGE('Raw Data'!$I$2:$I$1501),1),'Raw Data'!I843)</f>
        <v>3.2</v>
      </c>
      <c r="J843" s="21">
        <f>'Raw Data'!J843</f>
        <v>3</v>
      </c>
      <c r="K843" s="21" t="str">
        <f>'Raw Data'!K843</f>
        <v>Fashion</v>
      </c>
      <c r="L843" s="21">
        <f>'Raw Data'!L843</f>
        <v>3</v>
      </c>
      <c r="M843" s="21" t="str">
        <f>'Raw Data'!M843</f>
        <v>Married</v>
      </c>
      <c r="N843" s="21">
        <f>'Raw Data'!N843</f>
        <v>3</v>
      </c>
      <c r="O843" s="21">
        <f>'Raw Data'!O843</f>
        <v>0</v>
      </c>
      <c r="P843" s="21">
        <f>IF('Raw Data'!P843="",ROUND(AVERAGE('Raw Data'!$P$2:$P$1501),1),'Raw Data'!P843)</f>
        <v>13.5</v>
      </c>
      <c r="Q843" s="21">
        <f>IF('Raw Data'!Q843="",ROUND(AVERAGE('Raw Data'!$Q$2:$Q$1501),0),'Raw Data'!Q843)</f>
        <v>2</v>
      </c>
      <c r="R843" s="21">
        <f>'Raw Data'!R843</f>
        <v>2</v>
      </c>
      <c r="S843" s="21">
        <f>IF('Raw Data'!S843="",ROUND(AVERAGE('Raw Data'!$S$2:$S$1501),0),'Raw Data'!S843)</f>
        <v>2</v>
      </c>
      <c r="T843" s="21">
        <f>'Raw Data'!T843</f>
        <v>231.37</v>
      </c>
      <c r="U843" s="21" t="str">
        <f>INDEX('Lookup Tables'!$C$7:$C$9,MATCH(E843,'Lookup Tables'!$B$7:$B$9,0))</f>
        <v>Tier 1 (Metro)</v>
      </c>
      <c r="V843" s="21" t="str">
        <f t="shared" si="39"/>
        <v>25+ months</v>
      </c>
      <c r="W843" s="21" t="str">
        <f t="shared" si="40"/>
        <v>Medium Risk</v>
      </c>
      <c r="X843" s="21" t="str">
        <f t="shared" si="41"/>
        <v>No</v>
      </c>
    </row>
    <row r="844" spans="1:24" x14ac:dyDescent="0.3">
      <c r="A844" s="21">
        <f>'Raw Data'!A844</f>
        <v>50843</v>
      </c>
      <c r="B844" s="21">
        <f>'Raw Data'!B844</f>
        <v>1</v>
      </c>
      <c r="C844" s="21">
        <f>'Raw Data'!C844</f>
        <v>7</v>
      </c>
      <c r="D844" s="21" t="str">
        <f>'Raw Data'!D844</f>
        <v>Computer</v>
      </c>
      <c r="E844" s="21">
        <f>'Raw Data'!E844</f>
        <v>1</v>
      </c>
      <c r="F844" s="21">
        <f>IF('Raw Data'!F844="",ROUND(AVERAGE('Raw Data'!$F$2:$F$1501),1),'Raw Data'!F844)</f>
        <v>7</v>
      </c>
      <c r="G844" s="21" t="str">
        <f>'Raw Data'!G844</f>
        <v>Debit Card</v>
      </c>
      <c r="H844" s="21" t="str">
        <f>'Raw Data'!H844</f>
        <v>Female</v>
      </c>
      <c r="I844" s="21">
        <f>IF('Raw Data'!I844="",ROUND(AVERAGE('Raw Data'!$I$2:$I$1501),1),'Raw Data'!I844)</f>
        <v>3.1</v>
      </c>
      <c r="J844" s="21">
        <f>'Raw Data'!J844</f>
        <v>2</v>
      </c>
      <c r="K844" s="21" t="str">
        <f>'Raw Data'!K844</f>
        <v>Laptop &amp; Accessory</v>
      </c>
      <c r="L844" s="21">
        <f>'Raw Data'!L844</f>
        <v>3</v>
      </c>
      <c r="M844" s="21" t="str">
        <f>'Raw Data'!M844</f>
        <v>Married</v>
      </c>
      <c r="N844" s="21">
        <f>'Raw Data'!N844</f>
        <v>3</v>
      </c>
      <c r="O844" s="21">
        <f>'Raw Data'!O844</f>
        <v>1</v>
      </c>
      <c r="P844" s="21">
        <f>IF('Raw Data'!P844="",ROUND(AVERAGE('Raw Data'!$P$2:$P$1501),1),'Raw Data'!P844)</f>
        <v>17.3</v>
      </c>
      <c r="Q844" s="21">
        <f>IF('Raw Data'!Q844="",ROUND(AVERAGE('Raw Data'!$Q$2:$Q$1501),0),'Raw Data'!Q844)</f>
        <v>2</v>
      </c>
      <c r="R844" s="21">
        <f>'Raw Data'!R844</f>
        <v>6</v>
      </c>
      <c r="S844" s="21">
        <f>IF('Raw Data'!S844="",ROUND(AVERAGE('Raw Data'!$S$2:$S$1501),0),'Raw Data'!S844)</f>
        <v>1</v>
      </c>
      <c r="T844" s="21">
        <f>'Raw Data'!T844</f>
        <v>161.41</v>
      </c>
      <c r="U844" s="21" t="str">
        <f>INDEX('Lookup Tables'!$C$7:$C$9,MATCH(E844,'Lookup Tables'!$B$7:$B$9,0))</f>
        <v>Tier 1 (Metro)</v>
      </c>
      <c r="V844" s="21" t="str">
        <f t="shared" si="39"/>
        <v>7-12 months</v>
      </c>
      <c r="W844" s="21" t="str">
        <f t="shared" si="40"/>
        <v>Medium Risk</v>
      </c>
      <c r="X844" s="21" t="str">
        <f t="shared" si="41"/>
        <v>Yes</v>
      </c>
    </row>
    <row r="845" spans="1:24" x14ac:dyDescent="0.3">
      <c r="A845" s="21">
        <f>'Raw Data'!A845</f>
        <v>50844</v>
      </c>
      <c r="B845" s="21">
        <f>'Raw Data'!B845</f>
        <v>0</v>
      </c>
      <c r="C845" s="21">
        <f>'Raw Data'!C845</f>
        <v>18</v>
      </c>
      <c r="D845" s="21" t="str">
        <f>'Raw Data'!D845</f>
        <v>Phone</v>
      </c>
      <c r="E845" s="21">
        <f>'Raw Data'!E845</f>
        <v>3</v>
      </c>
      <c r="F845" s="21">
        <f>IF('Raw Data'!F845="",ROUND(AVERAGE('Raw Data'!$F$2:$F$1501),1),'Raw Data'!F845)</f>
        <v>12</v>
      </c>
      <c r="G845" s="21" t="str">
        <f>'Raw Data'!G845</f>
        <v>UPI</v>
      </c>
      <c r="H845" s="21" t="str">
        <f>'Raw Data'!H845</f>
        <v>Female</v>
      </c>
      <c r="I845" s="21">
        <f>IF('Raw Data'!I845="",ROUND(AVERAGE('Raw Data'!$I$2:$I$1501),1),'Raw Data'!I845)</f>
        <v>2.8</v>
      </c>
      <c r="J845" s="21">
        <f>'Raw Data'!J845</f>
        <v>3</v>
      </c>
      <c r="K845" s="21" t="str">
        <f>'Raw Data'!K845</f>
        <v>Mobile Phone</v>
      </c>
      <c r="L845" s="21">
        <f>'Raw Data'!L845</f>
        <v>3</v>
      </c>
      <c r="M845" s="21" t="str">
        <f>'Raw Data'!M845</f>
        <v>Married</v>
      </c>
      <c r="N845" s="21">
        <f>'Raw Data'!N845</f>
        <v>2</v>
      </c>
      <c r="O845" s="21">
        <f>'Raw Data'!O845</f>
        <v>0</v>
      </c>
      <c r="P845" s="21">
        <f>IF('Raw Data'!P845="",ROUND(AVERAGE('Raw Data'!$P$2:$P$1501),1),'Raw Data'!P845)</f>
        <v>16.2</v>
      </c>
      <c r="Q845" s="21">
        <f>IF('Raw Data'!Q845="",ROUND(AVERAGE('Raw Data'!$Q$2:$Q$1501),0),'Raw Data'!Q845)</f>
        <v>2</v>
      </c>
      <c r="R845" s="21">
        <f>'Raw Data'!R845</f>
        <v>9</v>
      </c>
      <c r="S845" s="21">
        <f>IF('Raw Data'!S845="",ROUND(AVERAGE('Raw Data'!$S$2:$S$1501),0),'Raw Data'!S845)</f>
        <v>6</v>
      </c>
      <c r="T845" s="21">
        <f>'Raw Data'!T845</f>
        <v>272.95</v>
      </c>
      <c r="U845" s="21" t="str">
        <f>INDEX('Lookup Tables'!$C$7:$C$9,MATCH(E845,'Lookup Tables'!$B$7:$B$9,0))</f>
        <v>Tier 3 (Semi-urban/Rural)</v>
      </c>
      <c r="V845" s="21" t="str">
        <f t="shared" si="39"/>
        <v>13-24 months</v>
      </c>
      <c r="W845" s="21" t="str">
        <f t="shared" si="40"/>
        <v>Medium Risk</v>
      </c>
      <c r="X845" s="21" t="str">
        <f t="shared" si="41"/>
        <v>No</v>
      </c>
    </row>
    <row r="846" spans="1:24" x14ac:dyDescent="0.3">
      <c r="A846" s="21">
        <f>'Raw Data'!A846</f>
        <v>50845</v>
      </c>
      <c r="B846" s="21">
        <f>'Raw Data'!B846</f>
        <v>0</v>
      </c>
      <c r="C846" s="21">
        <f>'Raw Data'!C846</f>
        <v>7</v>
      </c>
      <c r="D846" s="21" t="str">
        <f>'Raw Data'!D846</f>
        <v>Mobile Phone</v>
      </c>
      <c r="E846" s="21">
        <f>'Raw Data'!E846</f>
        <v>2</v>
      </c>
      <c r="F846" s="21">
        <f>IF('Raw Data'!F846="",ROUND(AVERAGE('Raw Data'!$F$2:$F$1501),1),'Raw Data'!F846)</f>
        <v>10</v>
      </c>
      <c r="G846" s="21" t="str">
        <f>'Raw Data'!G846</f>
        <v>Debit Card</v>
      </c>
      <c r="H846" s="21" t="str">
        <f>'Raw Data'!H846</f>
        <v>Male</v>
      </c>
      <c r="I846" s="21">
        <f>IF('Raw Data'!I846="",ROUND(AVERAGE('Raw Data'!$I$2:$I$1501),1),'Raw Data'!I846)</f>
        <v>2.9</v>
      </c>
      <c r="J846" s="21">
        <f>'Raw Data'!J846</f>
        <v>5</v>
      </c>
      <c r="K846" s="21" t="str">
        <f>'Raw Data'!K846</f>
        <v>Laptop &amp; Accessory</v>
      </c>
      <c r="L846" s="21">
        <f>'Raw Data'!L846</f>
        <v>1</v>
      </c>
      <c r="M846" s="21" t="str">
        <f>'Raw Data'!M846</f>
        <v>Married</v>
      </c>
      <c r="N846" s="21">
        <f>'Raw Data'!N846</f>
        <v>6</v>
      </c>
      <c r="O846" s="21">
        <f>'Raw Data'!O846</f>
        <v>0</v>
      </c>
      <c r="P846" s="21">
        <f>IF('Raw Data'!P846="",ROUND(AVERAGE('Raw Data'!$P$2:$P$1501),1),'Raw Data'!P846)</f>
        <v>11.3</v>
      </c>
      <c r="Q846" s="21">
        <f>IF('Raw Data'!Q846="",ROUND(AVERAGE('Raw Data'!$Q$2:$Q$1501),0),'Raw Data'!Q846)</f>
        <v>2</v>
      </c>
      <c r="R846" s="21">
        <f>'Raw Data'!R846</f>
        <v>3</v>
      </c>
      <c r="S846" s="21">
        <f>IF('Raw Data'!S846="",ROUND(AVERAGE('Raw Data'!$S$2:$S$1501),0),'Raw Data'!S846)</f>
        <v>6</v>
      </c>
      <c r="T846" s="21">
        <f>'Raw Data'!T846</f>
        <v>285.48</v>
      </c>
      <c r="U846" s="21" t="str">
        <f>INDEX('Lookup Tables'!$C$7:$C$9,MATCH(E846,'Lookup Tables'!$B$7:$B$9,0))</f>
        <v>Tier 2 (Urban)</v>
      </c>
      <c r="V846" s="21" t="str">
        <f t="shared" si="39"/>
        <v>7-12 months</v>
      </c>
      <c r="W846" s="21" t="str">
        <f t="shared" si="40"/>
        <v>Low Risk</v>
      </c>
      <c r="X846" s="21" t="str">
        <f t="shared" si="41"/>
        <v>No</v>
      </c>
    </row>
    <row r="847" spans="1:24" x14ac:dyDescent="0.3">
      <c r="A847" s="21">
        <f>'Raw Data'!A847</f>
        <v>50846</v>
      </c>
      <c r="B847" s="21">
        <f>'Raw Data'!B847</f>
        <v>0</v>
      </c>
      <c r="C847" s="21">
        <f>'Raw Data'!C847</f>
        <v>9</v>
      </c>
      <c r="D847" s="21" t="str">
        <f>'Raw Data'!D847</f>
        <v>Computer</v>
      </c>
      <c r="E847" s="21">
        <f>'Raw Data'!E847</f>
        <v>2</v>
      </c>
      <c r="F847" s="21">
        <f>IF('Raw Data'!F847="",ROUND(AVERAGE('Raw Data'!$F$2:$F$1501),1),'Raw Data'!F847)</f>
        <v>9</v>
      </c>
      <c r="G847" s="21" t="str">
        <f>'Raw Data'!G847</f>
        <v>Cash on Delivery</v>
      </c>
      <c r="H847" s="21" t="str">
        <f>'Raw Data'!H847</f>
        <v>Male</v>
      </c>
      <c r="I847" s="21">
        <f>IF('Raw Data'!I847="",ROUND(AVERAGE('Raw Data'!$I$2:$I$1501),1),'Raw Data'!I847)</f>
        <v>2.7</v>
      </c>
      <c r="J847" s="21">
        <f>'Raw Data'!J847</f>
        <v>4</v>
      </c>
      <c r="K847" s="21" t="str">
        <f>'Raw Data'!K847</f>
        <v>Mobile Phone</v>
      </c>
      <c r="L847" s="21">
        <f>'Raw Data'!L847</f>
        <v>4</v>
      </c>
      <c r="M847" s="21" t="str">
        <f>'Raw Data'!M847</f>
        <v>Single</v>
      </c>
      <c r="N847" s="21">
        <f>'Raw Data'!N847</f>
        <v>3</v>
      </c>
      <c r="O847" s="21">
        <f>'Raw Data'!O847</f>
        <v>1</v>
      </c>
      <c r="P847" s="21">
        <f>IF('Raw Data'!P847="",ROUND(AVERAGE('Raw Data'!$P$2:$P$1501),1),'Raw Data'!P847)</f>
        <v>17.399999999999999</v>
      </c>
      <c r="Q847" s="21">
        <f>IF('Raw Data'!Q847="",ROUND(AVERAGE('Raw Data'!$Q$2:$Q$1501),0),'Raw Data'!Q847)</f>
        <v>3</v>
      </c>
      <c r="R847" s="21">
        <f>'Raw Data'!R847</f>
        <v>3</v>
      </c>
      <c r="S847" s="21">
        <f>IF('Raw Data'!S847="",ROUND(AVERAGE('Raw Data'!$S$2:$S$1501),0),'Raw Data'!S847)</f>
        <v>0</v>
      </c>
      <c r="T847" s="21">
        <f>'Raw Data'!T847</f>
        <v>193.04</v>
      </c>
      <c r="U847" s="21" t="str">
        <f>INDEX('Lookup Tables'!$C$7:$C$9,MATCH(E847,'Lookup Tables'!$B$7:$B$9,0))</f>
        <v>Tier 2 (Urban)</v>
      </c>
      <c r="V847" s="21" t="str">
        <f t="shared" si="39"/>
        <v>7-12 months</v>
      </c>
      <c r="W847" s="21" t="str">
        <f t="shared" si="40"/>
        <v>Low Risk</v>
      </c>
      <c r="X847" s="21" t="str">
        <f t="shared" si="41"/>
        <v>No</v>
      </c>
    </row>
    <row r="848" spans="1:24" x14ac:dyDescent="0.3">
      <c r="A848" s="21">
        <f>'Raw Data'!A848</f>
        <v>50847</v>
      </c>
      <c r="B848" s="21">
        <f>'Raw Data'!B848</f>
        <v>0</v>
      </c>
      <c r="C848" s="21">
        <f>'Raw Data'!C848</f>
        <v>0</v>
      </c>
      <c r="D848" s="21" t="str">
        <f>'Raw Data'!D848</f>
        <v>Mobile Phone</v>
      </c>
      <c r="E848" s="21">
        <f>'Raw Data'!E848</f>
        <v>1</v>
      </c>
      <c r="F848" s="21">
        <f>IF('Raw Data'!F848="",ROUND(AVERAGE('Raw Data'!$F$2:$F$1501),1),'Raw Data'!F848)</f>
        <v>22</v>
      </c>
      <c r="G848" s="21" t="str">
        <f>'Raw Data'!G848</f>
        <v>Cash on Delivery</v>
      </c>
      <c r="H848" s="21" t="str">
        <f>'Raw Data'!H848</f>
        <v>Male</v>
      </c>
      <c r="I848" s="21">
        <f>IF('Raw Data'!I848="",ROUND(AVERAGE('Raw Data'!$I$2:$I$1501),1),'Raw Data'!I848)</f>
        <v>2.7</v>
      </c>
      <c r="J848" s="21">
        <f>'Raw Data'!J848</f>
        <v>1</v>
      </c>
      <c r="K848" s="21" t="str">
        <f>'Raw Data'!K848</f>
        <v>Laptop &amp; Accessory</v>
      </c>
      <c r="L848" s="21">
        <f>'Raw Data'!L848</f>
        <v>4</v>
      </c>
      <c r="M848" s="21" t="str">
        <f>'Raw Data'!M848</f>
        <v>Divorced</v>
      </c>
      <c r="N848" s="21">
        <f>'Raw Data'!N848</f>
        <v>5</v>
      </c>
      <c r="O848" s="21">
        <f>'Raw Data'!O848</f>
        <v>0</v>
      </c>
      <c r="P848" s="21">
        <f>IF('Raw Data'!P848="",ROUND(AVERAGE('Raw Data'!$P$2:$P$1501),1),'Raw Data'!P848)</f>
        <v>22.5</v>
      </c>
      <c r="Q848" s="21">
        <f>IF('Raw Data'!Q848="",ROUND(AVERAGE('Raw Data'!$Q$2:$Q$1501),0),'Raw Data'!Q848)</f>
        <v>2</v>
      </c>
      <c r="R848" s="21">
        <f>'Raw Data'!R848</f>
        <v>5</v>
      </c>
      <c r="S848" s="21">
        <f>IF('Raw Data'!S848="",ROUND(AVERAGE('Raw Data'!$S$2:$S$1501),0),'Raw Data'!S848)</f>
        <v>0</v>
      </c>
      <c r="T848" s="21">
        <f>'Raw Data'!T848</f>
        <v>209.78</v>
      </c>
      <c r="U848" s="21" t="str">
        <f>INDEX('Lookup Tables'!$C$7:$C$9,MATCH(E848,'Lookup Tables'!$B$7:$B$9,0))</f>
        <v>Tier 1 (Metro)</v>
      </c>
      <c r="V848" s="21" t="str">
        <f t="shared" si="39"/>
        <v>0-6 months</v>
      </c>
      <c r="W848" s="21" t="str">
        <f t="shared" si="40"/>
        <v>Low Risk</v>
      </c>
      <c r="X848" s="21" t="str">
        <f t="shared" si="41"/>
        <v>No</v>
      </c>
    </row>
    <row r="849" spans="1:24" x14ac:dyDescent="0.3">
      <c r="A849" s="21">
        <f>'Raw Data'!A849</f>
        <v>50848</v>
      </c>
      <c r="B849" s="21">
        <f>'Raw Data'!B849</f>
        <v>1</v>
      </c>
      <c r="C849" s="21">
        <f>'Raw Data'!C849</f>
        <v>14</v>
      </c>
      <c r="D849" s="21" t="str">
        <f>'Raw Data'!D849</f>
        <v>Phone</v>
      </c>
      <c r="E849" s="21">
        <f>'Raw Data'!E849</f>
        <v>1</v>
      </c>
      <c r="F849" s="21">
        <f>IF('Raw Data'!F849="",ROUND(AVERAGE('Raw Data'!$F$2:$F$1501),1),'Raw Data'!F849)</f>
        <v>5</v>
      </c>
      <c r="G849" s="21" t="str">
        <f>'Raw Data'!G849</f>
        <v>Debit Card</v>
      </c>
      <c r="H849" s="21" t="str">
        <f>'Raw Data'!H849</f>
        <v>Male</v>
      </c>
      <c r="I849" s="21">
        <f>IF('Raw Data'!I849="",ROUND(AVERAGE('Raw Data'!$I$2:$I$1501),1),'Raw Data'!I849)</f>
        <v>2.9</v>
      </c>
      <c r="J849" s="21">
        <f>'Raw Data'!J849</f>
        <v>4</v>
      </c>
      <c r="K849" s="21" t="str">
        <f>'Raw Data'!K849</f>
        <v>Mobile Phone</v>
      </c>
      <c r="L849" s="21">
        <f>'Raw Data'!L849</f>
        <v>4</v>
      </c>
      <c r="M849" s="21" t="str">
        <f>'Raw Data'!M849</f>
        <v>Single</v>
      </c>
      <c r="N849" s="21">
        <f>'Raw Data'!N849</f>
        <v>5</v>
      </c>
      <c r="O849" s="21">
        <f>'Raw Data'!O849</f>
        <v>1</v>
      </c>
      <c r="P849" s="21">
        <f>IF('Raw Data'!P849="",ROUND(AVERAGE('Raw Data'!$P$2:$P$1501),1),'Raw Data'!P849)</f>
        <v>16.100000000000001</v>
      </c>
      <c r="Q849" s="21">
        <f>IF('Raw Data'!Q849="",ROUND(AVERAGE('Raw Data'!$Q$2:$Q$1501),0),'Raw Data'!Q849)</f>
        <v>1</v>
      </c>
      <c r="R849" s="21">
        <f>'Raw Data'!R849</f>
        <v>5</v>
      </c>
      <c r="S849" s="21">
        <f>IF('Raw Data'!S849="",ROUND(AVERAGE('Raw Data'!$S$2:$S$1501),0),'Raw Data'!S849)</f>
        <v>12</v>
      </c>
      <c r="T849" s="21">
        <f>'Raw Data'!T849</f>
        <v>238.34</v>
      </c>
      <c r="U849" s="21" t="str">
        <f>INDEX('Lookup Tables'!$C$7:$C$9,MATCH(E849,'Lookup Tables'!$B$7:$B$9,0))</f>
        <v>Tier 1 (Metro)</v>
      </c>
      <c r="V849" s="21" t="str">
        <f t="shared" si="39"/>
        <v>13-24 months</v>
      </c>
      <c r="W849" s="21" t="str">
        <f t="shared" si="40"/>
        <v>Low Risk</v>
      </c>
      <c r="X849" s="21" t="str">
        <f t="shared" si="41"/>
        <v>Yes</v>
      </c>
    </row>
    <row r="850" spans="1:24" x14ac:dyDescent="0.3">
      <c r="A850" s="21">
        <f>'Raw Data'!A850</f>
        <v>50849</v>
      </c>
      <c r="B850" s="21">
        <f>'Raw Data'!B850</f>
        <v>0</v>
      </c>
      <c r="C850" s="21">
        <f>'Raw Data'!C850</f>
        <v>1</v>
      </c>
      <c r="D850" s="21" t="str">
        <f>'Raw Data'!D850</f>
        <v>Phone</v>
      </c>
      <c r="E850" s="21">
        <f>'Raw Data'!E850</f>
        <v>3</v>
      </c>
      <c r="F850" s="21">
        <f>IF('Raw Data'!F850="",ROUND(AVERAGE('Raw Data'!$F$2:$F$1501),1),'Raw Data'!F850)</f>
        <v>27</v>
      </c>
      <c r="G850" s="21" t="str">
        <f>'Raw Data'!G850</f>
        <v>Debit Card</v>
      </c>
      <c r="H850" s="21" t="str">
        <f>'Raw Data'!H850</f>
        <v>Male</v>
      </c>
      <c r="I850" s="21">
        <f>IF('Raw Data'!I850="",ROUND(AVERAGE('Raw Data'!$I$2:$I$1501),1),'Raw Data'!I850)</f>
        <v>2.2000000000000002</v>
      </c>
      <c r="J850" s="21">
        <f>'Raw Data'!J850</f>
        <v>4</v>
      </c>
      <c r="K850" s="21" t="str">
        <f>'Raw Data'!K850</f>
        <v>Grocery</v>
      </c>
      <c r="L850" s="21">
        <f>'Raw Data'!L850</f>
        <v>3</v>
      </c>
      <c r="M850" s="21" t="str">
        <f>'Raw Data'!M850</f>
        <v>Divorced</v>
      </c>
      <c r="N850" s="21">
        <f>'Raw Data'!N850</f>
        <v>1</v>
      </c>
      <c r="O850" s="21">
        <f>'Raw Data'!O850</f>
        <v>1</v>
      </c>
      <c r="P850" s="21">
        <f>IF('Raw Data'!P850="",ROUND(AVERAGE('Raw Data'!$P$2:$P$1501),1),'Raw Data'!P850)</f>
        <v>16.3</v>
      </c>
      <c r="Q850" s="21">
        <f>IF('Raw Data'!Q850="",ROUND(AVERAGE('Raw Data'!$Q$2:$Q$1501),0),'Raw Data'!Q850)</f>
        <v>1</v>
      </c>
      <c r="R850" s="21">
        <f>'Raw Data'!R850</f>
        <v>2</v>
      </c>
      <c r="S850" s="21">
        <f>IF('Raw Data'!S850="",ROUND(AVERAGE('Raw Data'!$S$2:$S$1501),0),'Raw Data'!S850)</f>
        <v>10</v>
      </c>
      <c r="T850" s="21">
        <f>'Raw Data'!T850</f>
        <v>209.94</v>
      </c>
      <c r="U850" s="21" t="str">
        <f>INDEX('Lookup Tables'!$C$7:$C$9,MATCH(E850,'Lookup Tables'!$B$7:$B$9,0))</f>
        <v>Tier 3 (Semi-urban/Rural)</v>
      </c>
      <c r="V850" s="21" t="str">
        <f t="shared" si="39"/>
        <v>0-6 months</v>
      </c>
      <c r="W850" s="21" t="str">
        <f t="shared" si="40"/>
        <v>Medium Risk</v>
      </c>
      <c r="X850" s="21" t="str">
        <f t="shared" si="41"/>
        <v>No</v>
      </c>
    </row>
    <row r="851" spans="1:24" x14ac:dyDescent="0.3">
      <c r="A851" s="21">
        <f>'Raw Data'!A851</f>
        <v>50850</v>
      </c>
      <c r="B851" s="21">
        <f>'Raw Data'!B851</f>
        <v>0</v>
      </c>
      <c r="C851" s="21">
        <f>'Raw Data'!C851</f>
        <v>17</v>
      </c>
      <c r="D851" s="21" t="str">
        <f>'Raw Data'!D851</f>
        <v>Mobile Phone</v>
      </c>
      <c r="E851" s="21">
        <f>'Raw Data'!E851</f>
        <v>2</v>
      </c>
      <c r="F851" s="21">
        <f>IF('Raw Data'!F851="",ROUND(AVERAGE('Raw Data'!$F$2:$F$1501),1),'Raw Data'!F851)</f>
        <v>21</v>
      </c>
      <c r="G851" s="21" t="str">
        <f>'Raw Data'!G851</f>
        <v>E wallet</v>
      </c>
      <c r="H851" s="21" t="str">
        <f>'Raw Data'!H851</f>
        <v>Male</v>
      </c>
      <c r="I851" s="21">
        <f>IF('Raw Data'!I851="",ROUND(AVERAGE('Raw Data'!$I$2:$I$1501),1),'Raw Data'!I851)</f>
        <v>2.1</v>
      </c>
      <c r="J851" s="21">
        <f>'Raw Data'!J851</f>
        <v>3</v>
      </c>
      <c r="K851" s="21" t="str">
        <f>'Raw Data'!K851</f>
        <v>Grocery</v>
      </c>
      <c r="L851" s="21">
        <f>'Raw Data'!L851</f>
        <v>3</v>
      </c>
      <c r="M851" s="21" t="str">
        <f>'Raw Data'!M851</f>
        <v>Single</v>
      </c>
      <c r="N851" s="21">
        <f>'Raw Data'!N851</f>
        <v>3</v>
      </c>
      <c r="O851" s="21">
        <f>'Raw Data'!O851</f>
        <v>1</v>
      </c>
      <c r="P851" s="21">
        <f>IF('Raw Data'!P851="",ROUND(AVERAGE('Raw Data'!$P$2:$P$1501),1),'Raw Data'!P851)</f>
        <v>16.100000000000001</v>
      </c>
      <c r="Q851" s="21">
        <f>IF('Raw Data'!Q851="",ROUND(AVERAGE('Raw Data'!$Q$2:$Q$1501),0),'Raw Data'!Q851)</f>
        <v>2</v>
      </c>
      <c r="R851" s="21">
        <f>'Raw Data'!R851</f>
        <v>1</v>
      </c>
      <c r="S851" s="21">
        <f>IF('Raw Data'!S851="",ROUND(AVERAGE('Raw Data'!$S$2:$S$1501),0),'Raw Data'!S851)</f>
        <v>3</v>
      </c>
      <c r="T851" s="21">
        <f>'Raw Data'!T851</f>
        <v>204.05</v>
      </c>
      <c r="U851" s="21" t="str">
        <f>INDEX('Lookup Tables'!$C$7:$C$9,MATCH(E851,'Lookup Tables'!$B$7:$B$9,0))</f>
        <v>Tier 2 (Urban)</v>
      </c>
      <c r="V851" s="21" t="str">
        <f t="shared" si="39"/>
        <v>13-24 months</v>
      </c>
      <c r="W851" s="21" t="str">
        <f t="shared" si="40"/>
        <v>Medium Risk</v>
      </c>
      <c r="X851" s="21" t="str">
        <f t="shared" si="41"/>
        <v>No</v>
      </c>
    </row>
    <row r="852" spans="1:24" x14ac:dyDescent="0.3">
      <c r="A852" s="21">
        <f>'Raw Data'!A852</f>
        <v>50851</v>
      </c>
      <c r="B852" s="21">
        <f>'Raw Data'!B852</f>
        <v>1</v>
      </c>
      <c r="C852" s="21">
        <f>'Raw Data'!C852</f>
        <v>15</v>
      </c>
      <c r="D852" s="21" t="str">
        <f>'Raw Data'!D852</f>
        <v>Mobile Phone</v>
      </c>
      <c r="E852" s="21">
        <f>'Raw Data'!E852</f>
        <v>3</v>
      </c>
      <c r="F852" s="21">
        <f>IF('Raw Data'!F852="",ROUND(AVERAGE('Raw Data'!$F$2:$F$1501),1),'Raw Data'!F852)</f>
        <v>23</v>
      </c>
      <c r="G852" s="21" t="str">
        <f>'Raw Data'!G852</f>
        <v>Credit Card</v>
      </c>
      <c r="H852" s="21" t="str">
        <f>'Raw Data'!H852</f>
        <v>Male</v>
      </c>
      <c r="I852" s="21">
        <f>IF('Raw Data'!I852="",ROUND(AVERAGE('Raw Data'!$I$2:$I$1501),1),'Raw Data'!I852)</f>
        <v>2.1</v>
      </c>
      <c r="J852" s="21">
        <f>'Raw Data'!J852</f>
        <v>4</v>
      </c>
      <c r="K852" s="21" t="str">
        <f>'Raw Data'!K852</f>
        <v>Mobile Phone</v>
      </c>
      <c r="L852" s="21">
        <f>'Raw Data'!L852</f>
        <v>3</v>
      </c>
      <c r="M852" s="21" t="str">
        <f>'Raw Data'!M852</f>
        <v>Married</v>
      </c>
      <c r="N852" s="21">
        <f>'Raw Data'!N852</f>
        <v>1</v>
      </c>
      <c r="O852" s="21">
        <f>'Raw Data'!O852</f>
        <v>1</v>
      </c>
      <c r="P852" s="21">
        <f>IF('Raw Data'!P852="",ROUND(AVERAGE('Raw Data'!$P$2:$P$1501),1),'Raw Data'!P852)</f>
        <v>11.8</v>
      </c>
      <c r="Q852" s="21">
        <f>IF('Raw Data'!Q852="",ROUND(AVERAGE('Raw Data'!$Q$2:$Q$1501),0),'Raw Data'!Q852)</f>
        <v>2</v>
      </c>
      <c r="R852" s="21">
        <f>'Raw Data'!R852</f>
        <v>4</v>
      </c>
      <c r="S852" s="21">
        <f>IF('Raw Data'!S852="",ROUND(AVERAGE('Raw Data'!$S$2:$S$1501),0),'Raw Data'!S852)</f>
        <v>3</v>
      </c>
      <c r="T852" s="21">
        <f>'Raw Data'!T852</f>
        <v>151.18</v>
      </c>
      <c r="U852" s="21" t="str">
        <f>INDEX('Lookup Tables'!$C$7:$C$9,MATCH(E852,'Lookup Tables'!$B$7:$B$9,0))</f>
        <v>Tier 3 (Semi-urban/Rural)</v>
      </c>
      <c r="V852" s="21" t="str">
        <f t="shared" si="39"/>
        <v>13-24 months</v>
      </c>
      <c r="W852" s="21" t="str">
        <f t="shared" si="40"/>
        <v>Medium Risk</v>
      </c>
      <c r="X852" s="21" t="str">
        <f t="shared" si="41"/>
        <v>Yes</v>
      </c>
    </row>
    <row r="853" spans="1:24" x14ac:dyDescent="0.3">
      <c r="A853" s="21">
        <f>'Raw Data'!A853</f>
        <v>50852</v>
      </c>
      <c r="B853" s="21">
        <f>'Raw Data'!B853</f>
        <v>0</v>
      </c>
      <c r="C853" s="21">
        <f>'Raw Data'!C853</f>
        <v>12</v>
      </c>
      <c r="D853" s="21" t="str">
        <f>'Raw Data'!D853</f>
        <v>Mobile Phone</v>
      </c>
      <c r="E853" s="21">
        <f>'Raw Data'!E853</f>
        <v>1</v>
      </c>
      <c r="F853" s="21">
        <f>IF('Raw Data'!F853="",ROUND(AVERAGE('Raw Data'!$F$2:$F$1501),1),'Raw Data'!F853)</f>
        <v>11</v>
      </c>
      <c r="G853" s="21" t="str">
        <f>'Raw Data'!G853</f>
        <v>Debit Card</v>
      </c>
      <c r="H853" s="21" t="str">
        <f>'Raw Data'!H853</f>
        <v>Male</v>
      </c>
      <c r="I853" s="21">
        <f>IF('Raw Data'!I853="",ROUND(AVERAGE('Raw Data'!$I$2:$I$1501),1),'Raw Data'!I853)</f>
        <v>4.3</v>
      </c>
      <c r="J853" s="21">
        <f>'Raw Data'!J853</f>
        <v>2</v>
      </c>
      <c r="K853" s="21" t="str">
        <f>'Raw Data'!K853</f>
        <v>Others</v>
      </c>
      <c r="L853" s="21">
        <f>'Raw Data'!L853</f>
        <v>1</v>
      </c>
      <c r="M853" s="21" t="str">
        <f>'Raw Data'!M853</f>
        <v>Single</v>
      </c>
      <c r="N853" s="21">
        <f>'Raw Data'!N853</f>
        <v>3</v>
      </c>
      <c r="O853" s="21">
        <f>'Raw Data'!O853</f>
        <v>0</v>
      </c>
      <c r="P853" s="21">
        <f>IF('Raw Data'!P853="",ROUND(AVERAGE('Raw Data'!$P$2:$P$1501),1),'Raw Data'!P853)</f>
        <v>19</v>
      </c>
      <c r="Q853" s="21">
        <f>IF('Raw Data'!Q853="",ROUND(AVERAGE('Raw Data'!$Q$2:$Q$1501),0),'Raw Data'!Q853)</f>
        <v>2</v>
      </c>
      <c r="R853" s="21">
        <f>'Raw Data'!R853</f>
        <v>3</v>
      </c>
      <c r="S853" s="21">
        <f>IF('Raw Data'!S853="",ROUND(AVERAGE('Raw Data'!$S$2:$S$1501),0),'Raw Data'!S853)</f>
        <v>8</v>
      </c>
      <c r="T853" s="21">
        <f>'Raw Data'!T853</f>
        <v>87.2</v>
      </c>
      <c r="U853" s="21" t="str">
        <f>INDEX('Lookup Tables'!$C$7:$C$9,MATCH(E853,'Lookup Tables'!$B$7:$B$9,0))</f>
        <v>Tier 1 (Metro)</v>
      </c>
      <c r="V853" s="21" t="str">
        <f t="shared" si="39"/>
        <v>7-12 months</v>
      </c>
      <c r="W853" s="21" t="str">
        <f t="shared" si="40"/>
        <v>Low Risk</v>
      </c>
      <c r="X853" s="21" t="str">
        <f t="shared" si="41"/>
        <v>No</v>
      </c>
    </row>
    <row r="854" spans="1:24" x14ac:dyDescent="0.3">
      <c r="A854" s="21">
        <f>'Raw Data'!A854</f>
        <v>50853</v>
      </c>
      <c r="B854" s="21">
        <f>'Raw Data'!B854</f>
        <v>0</v>
      </c>
      <c r="C854" s="21">
        <f>'Raw Data'!C854</f>
        <v>0</v>
      </c>
      <c r="D854" s="21" t="str">
        <f>'Raw Data'!D854</f>
        <v>Computer</v>
      </c>
      <c r="E854" s="21">
        <f>'Raw Data'!E854</f>
        <v>2</v>
      </c>
      <c r="F854" s="21">
        <f>IF('Raw Data'!F854="",ROUND(AVERAGE('Raw Data'!$F$2:$F$1501),1),'Raw Data'!F854)</f>
        <v>13</v>
      </c>
      <c r="G854" s="21" t="str">
        <f>'Raw Data'!G854</f>
        <v>E wallet</v>
      </c>
      <c r="H854" s="21" t="str">
        <f>'Raw Data'!H854</f>
        <v>Male</v>
      </c>
      <c r="I854" s="21">
        <f>IF('Raw Data'!I854="",ROUND(AVERAGE('Raw Data'!$I$2:$I$1501),1),'Raw Data'!I854)</f>
        <v>3.3</v>
      </c>
      <c r="J854" s="21">
        <f>'Raw Data'!J854</f>
        <v>3</v>
      </c>
      <c r="K854" s="21" t="str">
        <f>'Raw Data'!K854</f>
        <v>Mobile Phone</v>
      </c>
      <c r="L854" s="21">
        <f>'Raw Data'!L854</f>
        <v>4</v>
      </c>
      <c r="M854" s="21" t="str">
        <f>'Raw Data'!M854</f>
        <v>Single</v>
      </c>
      <c r="N854" s="21">
        <f>'Raw Data'!N854</f>
        <v>3</v>
      </c>
      <c r="O854" s="21">
        <f>'Raw Data'!O854</f>
        <v>0</v>
      </c>
      <c r="P854" s="21">
        <f>IF('Raw Data'!P854="",ROUND(AVERAGE('Raw Data'!$P$2:$P$1501),1),'Raw Data'!P854)</f>
        <v>17.8</v>
      </c>
      <c r="Q854" s="21">
        <f>IF('Raw Data'!Q854="",ROUND(AVERAGE('Raw Data'!$Q$2:$Q$1501),0),'Raw Data'!Q854)</f>
        <v>2</v>
      </c>
      <c r="R854" s="21">
        <f>'Raw Data'!R854</f>
        <v>7</v>
      </c>
      <c r="S854" s="21">
        <f>IF('Raw Data'!S854="",ROUND(AVERAGE('Raw Data'!$S$2:$S$1501),0),'Raw Data'!S854)</f>
        <v>0</v>
      </c>
      <c r="T854" s="21">
        <f>'Raw Data'!T854</f>
        <v>103.54</v>
      </c>
      <c r="U854" s="21" t="str">
        <f>INDEX('Lookup Tables'!$C$7:$C$9,MATCH(E854,'Lookup Tables'!$B$7:$B$9,0))</f>
        <v>Tier 2 (Urban)</v>
      </c>
      <c r="V854" s="21" t="str">
        <f t="shared" si="39"/>
        <v>0-6 months</v>
      </c>
      <c r="W854" s="21" t="str">
        <f t="shared" si="40"/>
        <v>Low Risk</v>
      </c>
      <c r="X854" s="21" t="str">
        <f t="shared" si="41"/>
        <v>No</v>
      </c>
    </row>
    <row r="855" spans="1:24" x14ac:dyDescent="0.3">
      <c r="A855" s="21">
        <f>'Raw Data'!A855</f>
        <v>50854</v>
      </c>
      <c r="B855" s="21">
        <f>'Raw Data'!B855</f>
        <v>0</v>
      </c>
      <c r="C855" s="21">
        <f>'Raw Data'!C855</f>
        <v>3</v>
      </c>
      <c r="D855" s="21" t="str">
        <f>'Raw Data'!D855</f>
        <v>Mobile Phone</v>
      </c>
      <c r="E855" s="21">
        <f>'Raw Data'!E855</f>
        <v>1</v>
      </c>
      <c r="F855" s="21">
        <f>IF('Raw Data'!F855="",ROUND(AVERAGE('Raw Data'!$F$2:$F$1501),1),'Raw Data'!F855)</f>
        <v>5</v>
      </c>
      <c r="G855" s="21" t="str">
        <f>'Raw Data'!G855</f>
        <v>Debit Card</v>
      </c>
      <c r="H855" s="21" t="str">
        <f>'Raw Data'!H855</f>
        <v>Male</v>
      </c>
      <c r="I855" s="21">
        <f>IF('Raw Data'!I855="",ROUND(AVERAGE('Raw Data'!$I$2:$I$1501),1),'Raw Data'!I855)</f>
        <v>3.1</v>
      </c>
      <c r="J855" s="21">
        <f>'Raw Data'!J855</f>
        <v>5</v>
      </c>
      <c r="K855" s="21" t="str">
        <f>'Raw Data'!K855</f>
        <v>Mobile Phone</v>
      </c>
      <c r="L855" s="21">
        <f>'Raw Data'!L855</f>
        <v>2</v>
      </c>
      <c r="M855" s="21" t="str">
        <f>'Raw Data'!M855</f>
        <v>Married</v>
      </c>
      <c r="N855" s="21">
        <f>'Raw Data'!N855</f>
        <v>20</v>
      </c>
      <c r="O855" s="21">
        <f>'Raw Data'!O855</f>
        <v>0</v>
      </c>
      <c r="P855" s="21">
        <f>IF('Raw Data'!P855="",ROUND(AVERAGE('Raw Data'!$P$2:$P$1501),1),'Raw Data'!P855)</f>
        <v>15.4</v>
      </c>
      <c r="Q855" s="21">
        <f>IF('Raw Data'!Q855="",ROUND(AVERAGE('Raw Data'!$Q$2:$Q$1501),0),'Raw Data'!Q855)</f>
        <v>4</v>
      </c>
      <c r="R855" s="21">
        <f>'Raw Data'!R855</f>
        <v>3</v>
      </c>
      <c r="S855" s="21">
        <f>IF('Raw Data'!S855="",ROUND(AVERAGE('Raw Data'!$S$2:$S$1501),0),'Raw Data'!S855)</f>
        <v>5</v>
      </c>
      <c r="T855" s="21">
        <f>'Raw Data'!T855</f>
        <v>311.02999999999997</v>
      </c>
      <c r="U855" s="21" t="str">
        <f>INDEX('Lookup Tables'!$C$7:$C$9,MATCH(E855,'Lookup Tables'!$B$7:$B$9,0))</f>
        <v>Tier 1 (Metro)</v>
      </c>
      <c r="V855" s="21" t="str">
        <f t="shared" si="39"/>
        <v>0-6 months</v>
      </c>
      <c r="W855" s="21" t="str">
        <f t="shared" si="40"/>
        <v>Low Risk</v>
      </c>
      <c r="X855" s="21" t="str">
        <f t="shared" si="41"/>
        <v>No</v>
      </c>
    </row>
    <row r="856" spans="1:24" x14ac:dyDescent="0.3">
      <c r="A856" s="21">
        <f>'Raw Data'!A856</f>
        <v>50855</v>
      </c>
      <c r="B856" s="21">
        <f>'Raw Data'!B856</f>
        <v>1</v>
      </c>
      <c r="C856" s="21">
        <f>'Raw Data'!C856</f>
        <v>3</v>
      </c>
      <c r="D856" s="21" t="str">
        <f>'Raw Data'!D856</f>
        <v>Mobile Phone</v>
      </c>
      <c r="E856" s="21">
        <f>'Raw Data'!E856</f>
        <v>3</v>
      </c>
      <c r="F856" s="21">
        <f>IF('Raw Data'!F856="",ROUND(AVERAGE('Raw Data'!$F$2:$F$1501),1),'Raw Data'!F856)</f>
        <v>10</v>
      </c>
      <c r="G856" s="21" t="str">
        <f>'Raw Data'!G856</f>
        <v>UPI</v>
      </c>
      <c r="H856" s="21" t="str">
        <f>'Raw Data'!H856</f>
        <v>Male</v>
      </c>
      <c r="I856" s="21">
        <f>IF('Raw Data'!I856="",ROUND(AVERAGE('Raw Data'!$I$2:$I$1501),1),'Raw Data'!I856)</f>
        <v>2.2000000000000002</v>
      </c>
      <c r="J856" s="21">
        <f>'Raw Data'!J856</f>
        <v>3</v>
      </c>
      <c r="K856" s="21" t="str">
        <f>'Raw Data'!K856</f>
        <v>Grocery</v>
      </c>
      <c r="L856" s="21">
        <f>'Raw Data'!L856</f>
        <v>1</v>
      </c>
      <c r="M856" s="21" t="str">
        <f>'Raw Data'!M856</f>
        <v>Married</v>
      </c>
      <c r="N856" s="21">
        <f>'Raw Data'!N856</f>
        <v>1</v>
      </c>
      <c r="O856" s="21">
        <f>'Raw Data'!O856</f>
        <v>0</v>
      </c>
      <c r="P856" s="21">
        <f>IF('Raw Data'!P856="",ROUND(AVERAGE('Raw Data'!$P$2:$P$1501),1),'Raw Data'!P856)</f>
        <v>14.8</v>
      </c>
      <c r="Q856" s="21">
        <f>IF('Raw Data'!Q856="",ROUND(AVERAGE('Raw Data'!$Q$2:$Q$1501),0),'Raw Data'!Q856)</f>
        <v>3</v>
      </c>
      <c r="R856" s="21">
        <f>'Raw Data'!R856</f>
        <v>3</v>
      </c>
      <c r="S856" s="21">
        <f>IF('Raw Data'!S856="",ROUND(AVERAGE('Raw Data'!$S$2:$S$1501),0),'Raw Data'!S856)</f>
        <v>3</v>
      </c>
      <c r="T856" s="21">
        <f>'Raw Data'!T856</f>
        <v>197.74</v>
      </c>
      <c r="U856" s="21" t="str">
        <f>INDEX('Lookup Tables'!$C$7:$C$9,MATCH(E856,'Lookup Tables'!$B$7:$B$9,0))</f>
        <v>Tier 3 (Semi-urban/Rural)</v>
      </c>
      <c r="V856" s="21" t="str">
        <f t="shared" si="39"/>
        <v>0-6 months</v>
      </c>
      <c r="W856" s="21" t="str">
        <f t="shared" si="40"/>
        <v>Low Risk</v>
      </c>
      <c r="X856" s="21" t="str">
        <f t="shared" si="41"/>
        <v>Yes</v>
      </c>
    </row>
    <row r="857" spans="1:24" x14ac:dyDescent="0.3">
      <c r="A857" s="21">
        <f>'Raw Data'!A857</f>
        <v>50856</v>
      </c>
      <c r="B857" s="21">
        <f>'Raw Data'!B857</f>
        <v>0</v>
      </c>
      <c r="C857" s="21">
        <f>'Raw Data'!C857</f>
        <v>4</v>
      </c>
      <c r="D857" s="21" t="str">
        <f>'Raw Data'!D857</f>
        <v>Mobile Phone</v>
      </c>
      <c r="E857" s="21">
        <f>'Raw Data'!E857</f>
        <v>1</v>
      </c>
      <c r="F857" s="21">
        <f>IF('Raw Data'!F857="",ROUND(AVERAGE('Raw Data'!$F$2:$F$1501),1),'Raw Data'!F857)</f>
        <v>18</v>
      </c>
      <c r="G857" s="21" t="str">
        <f>'Raw Data'!G857</f>
        <v>Debit Card</v>
      </c>
      <c r="H857" s="21" t="str">
        <f>'Raw Data'!H857</f>
        <v>Female</v>
      </c>
      <c r="I857" s="21">
        <f>IF('Raw Data'!I857="",ROUND(AVERAGE('Raw Data'!$I$2:$I$1501),1),'Raw Data'!I857)</f>
        <v>3.3</v>
      </c>
      <c r="J857" s="21">
        <f>'Raw Data'!J857</f>
        <v>1</v>
      </c>
      <c r="K857" s="21" t="str">
        <f>'Raw Data'!K857</f>
        <v>Fashion</v>
      </c>
      <c r="L857" s="21">
        <f>'Raw Data'!L857</f>
        <v>4</v>
      </c>
      <c r="M857" s="21" t="str">
        <f>'Raw Data'!M857</f>
        <v>Divorced</v>
      </c>
      <c r="N857" s="21">
        <f>'Raw Data'!N857</f>
        <v>1</v>
      </c>
      <c r="O857" s="21">
        <f>'Raw Data'!O857</f>
        <v>0</v>
      </c>
      <c r="P857" s="21">
        <f>IF('Raw Data'!P857="",ROUND(AVERAGE('Raw Data'!$P$2:$P$1501),1),'Raw Data'!P857)</f>
        <v>15.3</v>
      </c>
      <c r="Q857" s="21">
        <f>IF('Raw Data'!Q857="",ROUND(AVERAGE('Raw Data'!$Q$2:$Q$1501),0),'Raw Data'!Q857)</f>
        <v>4</v>
      </c>
      <c r="R857" s="21">
        <f>'Raw Data'!R857</f>
        <v>4</v>
      </c>
      <c r="S857" s="21">
        <f>IF('Raw Data'!S857="",ROUND(AVERAGE('Raw Data'!$S$2:$S$1501),0),'Raw Data'!S857)</f>
        <v>6</v>
      </c>
      <c r="T857" s="21">
        <f>'Raw Data'!T857</f>
        <v>166.49</v>
      </c>
      <c r="U857" s="21" t="str">
        <f>INDEX('Lookup Tables'!$C$7:$C$9,MATCH(E857,'Lookup Tables'!$B$7:$B$9,0))</f>
        <v>Tier 1 (Metro)</v>
      </c>
      <c r="V857" s="21" t="str">
        <f t="shared" si="39"/>
        <v>0-6 months</v>
      </c>
      <c r="W857" s="21" t="str">
        <f t="shared" si="40"/>
        <v>Low Risk</v>
      </c>
      <c r="X857" s="21" t="str">
        <f t="shared" si="41"/>
        <v>No</v>
      </c>
    </row>
    <row r="858" spans="1:24" x14ac:dyDescent="0.3">
      <c r="A858" s="21">
        <f>'Raw Data'!A858</f>
        <v>50857</v>
      </c>
      <c r="B858" s="21">
        <f>'Raw Data'!B858</f>
        <v>0</v>
      </c>
      <c r="C858" s="21">
        <f>'Raw Data'!C858</f>
        <v>0</v>
      </c>
      <c r="D858" s="21" t="str">
        <f>'Raw Data'!D858</f>
        <v>Mobile Phone</v>
      </c>
      <c r="E858" s="21">
        <f>'Raw Data'!E858</f>
        <v>1</v>
      </c>
      <c r="F858" s="21">
        <f>IF('Raw Data'!F858="",ROUND(AVERAGE('Raw Data'!$F$2:$F$1501),1),'Raw Data'!F858)</f>
        <v>25</v>
      </c>
      <c r="G858" s="21" t="str">
        <f>'Raw Data'!G858</f>
        <v>Debit Card</v>
      </c>
      <c r="H858" s="21" t="str">
        <f>'Raw Data'!H858</f>
        <v>Male</v>
      </c>
      <c r="I858" s="21">
        <f>IF('Raw Data'!I858="",ROUND(AVERAGE('Raw Data'!$I$2:$I$1501),1),'Raw Data'!I858)</f>
        <v>2.8</v>
      </c>
      <c r="J858" s="21">
        <f>'Raw Data'!J858</f>
        <v>3</v>
      </c>
      <c r="K858" s="21" t="str">
        <f>'Raw Data'!K858</f>
        <v>Fashion</v>
      </c>
      <c r="L858" s="21">
        <f>'Raw Data'!L858</f>
        <v>1</v>
      </c>
      <c r="M858" s="21" t="str">
        <f>'Raw Data'!M858</f>
        <v>Married</v>
      </c>
      <c r="N858" s="21">
        <f>'Raw Data'!N858</f>
        <v>1</v>
      </c>
      <c r="O858" s="21">
        <f>'Raw Data'!O858</f>
        <v>0</v>
      </c>
      <c r="P858" s="21">
        <f>IF('Raw Data'!P858="",ROUND(AVERAGE('Raw Data'!$P$2:$P$1501),1),'Raw Data'!P858)</f>
        <v>16.3</v>
      </c>
      <c r="Q858" s="21">
        <f>IF('Raw Data'!Q858="",ROUND(AVERAGE('Raw Data'!$Q$2:$Q$1501),0),'Raw Data'!Q858)</f>
        <v>2</v>
      </c>
      <c r="R858" s="21">
        <f>'Raw Data'!R858</f>
        <v>5</v>
      </c>
      <c r="S858" s="21">
        <f>IF('Raw Data'!S858="",ROUND(AVERAGE('Raw Data'!$S$2:$S$1501),0),'Raw Data'!S858)</f>
        <v>0</v>
      </c>
      <c r="T858" s="21">
        <f>'Raw Data'!T858</f>
        <v>249.48</v>
      </c>
      <c r="U858" s="21" t="str">
        <f>INDEX('Lookup Tables'!$C$7:$C$9,MATCH(E858,'Lookup Tables'!$B$7:$B$9,0))</f>
        <v>Tier 1 (Metro)</v>
      </c>
      <c r="V858" s="21" t="str">
        <f t="shared" si="39"/>
        <v>0-6 months</v>
      </c>
      <c r="W858" s="21" t="str">
        <f t="shared" si="40"/>
        <v>Low Risk</v>
      </c>
      <c r="X858" s="21" t="str">
        <f t="shared" si="41"/>
        <v>No</v>
      </c>
    </row>
    <row r="859" spans="1:24" x14ac:dyDescent="0.3">
      <c r="A859" s="21">
        <f>'Raw Data'!A859</f>
        <v>50858</v>
      </c>
      <c r="B859" s="21">
        <f>'Raw Data'!B859</f>
        <v>0</v>
      </c>
      <c r="C859" s="21">
        <f>'Raw Data'!C859</f>
        <v>27</v>
      </c>
      <c r="D859" s="21" t="str">
        <f>'Raw Data'!D859</f>
        <v>Mobile Phone</v>
      </c>
      <c r="E859" s="21">
        <f>'Raw Data'!E859</f>
        <v>2</v>
      </c>
      <c r="F859" s="21">
        <f>IF('Raw Data'!F859="",ROUND(AVERAGE('Raw Data'!$F$2:$F$1501),1),'Raw Data'!F859)</f>
        <v>6</v>
      </c>
      <c r="G859" s="21" t="str">
        <f>'Raw Data'!G859</f>
        <v>Debit Card</v>
      </c>
      <c r="H859" s="21" t="str">
        <f>'Raw Data'!H859</f>
        <v>Female</v>
      </c>
      <c r="I859" s="21">
        <f>IF('Raw Data'!I859="",ROUND(AVERAGE('Raw Data'!$I$2:$I$1501),1),'Raw Data'!I859)</f>
        <v>3</v>
      </c>
      <c r="J859" s="21">
        <f>'Raw Data'!J859</f>
        <v>3</v>
      </c>
      <c r="K859" s="21" t="str">
        <f>'Raw Data'!K859</f>
        <v>Laptop &amp; Accessory</v>
      </c>
      <c r="L859" s="21">
        <f>'Raw Data'!L859</f>
        <v>5</v>
      </c>
      <c r="M859" s="21" t="str">
        <f>'Raw Data'!M859</f>
        <v>Married</v>
      </c>
      <c r="N859" s="21">
        <f>'Raw Data'!N859</f>
        <v>1</v>
      </c>
      <c r="O859" s="21">
        <f>'Raw Data'!O859</f>
        <v>1</v>
      </c>
      <c r="P859" s="21">
        <f>IF('Raw Data'!P859="",ROUND(AVERAGE('Raw Data'!$P$2:$P$1501),1),'Raw Data'!P859)</f>
        <v>13.3</v>
      </c>
      <c r="Q859" s="21">
        <f>IF('Raw Data'!Q859="",ROUND(AVERAGE('Raw Data'!$Q$2:$Q$1501),0),'Raw Data'!Q859)</f>
        <v>1</v>
      </c>
      <c r="R859" s="21">
        <f>'Raw Data'!R859</f>
        <v>5</v>
      </c>
      <c r="S859" s="21">
        <f>IF('Raw Data'!S859="",ROUND(AVERAGE('Raw Data'!$S$2:$S$1501),0),'Raw Data'!S859)</f>
        <v>4</v>
      </c>
      <c r="T859" s="21">
        <f>'Raw Data'!T859</f>
        <v>138.78</v>
      </c>
      <c r="U859" s="21" t="str">
        <f>INDEX('Lookup Tables'!$C$7:$C$9,MATCH(E859,'Lookup Tables'!$B$7:$B$9,0))</f>
        <v>Tier 2 (Urban)</v>
      </c>
      <c r="V859" s="21" t="str">
        <f t="shared" si="39"/>
        <v>25+ months</v>
      </c>
      <c r="W859" s="21" t="str">
        <f t="shared" si="40"/>
        <v>Low Risk</v>
      </c>
      <c r="X859" s="21" t="str">
        <f t="shared" si="41"/>
        <v>No</v>
      </c>
    </row>
    <row r="860" spans="1:24" x14ac:dyDescent="0.3">
      <c r="A860" s="21">
        <f>'Raw Data'!A860</f>
        <v>50859</v>
      </c>
      <c r="B860" s="21">
        <f>'Raw Data'!B860</f>
        <v>0</v>
      </c>
      <c r="C860" s="21">
        <f>'Raw Data'!C860</f>
        <v>8</v>
      </c>
      <c r="D860" s="21" t="str">
        <f>'Raw Data'!D860</f>
        <v>Computer</v>
      </c>
      <c r="E860" s="21">
        <f>'Raw Data'!E860</f>
        <v>3</v>
      </c>
      <c r="F860" s="21">
        <f>IF('Raw Data'!F860="",ROUND(AVERAGE('Raw Data'!$F$2:$F$1501),1),'Raw Data'!F860)</f>
        <v>12</v>
      </c>
      <c r="G860" s="21" t="str">
        <f>'Raw Data'!G860</f>
        <v>Cash on Delivery</v>
      </c>
      <c r="H860" s="21" t="str">
        <f>'Raw Data'!H860</f>
        <v>Female</v>
      </c>
      <c r="I860" s="21">
        <f>IF('Raw Data'!I860="",ROUND(AVERAGE('Raw Data'!$I$2:$I$1501),1),'Raw Data'!I860)</f>
        <v>2.2000000000000002</v>
      </c>
      <c r="J860" s="21">
        <f>'Raw Data'!J860</f>
        <v>4</v>
      </c>
      <c r="K860" s="21" t="str">
        <f>'Raw Data'!K860</f>
        <v>Mobile Phone</v>
      </c>
      <c r="L860" s="21">
        <f>'Raw Data'!L860</f>
        <v>3</v>
      </c>
      <c r="M860" s="21" t="str">
        <f>'Raw Data'!M860</f>
        <v>Single</v>
      </c>
      <c r="N860" s="21">
        <f>'Raw Data'!N860</f>
        <v>6</v>
      </c>
      <c r="O860" s="21">
        <f>'Raw Data'!O860</f>
        <v>1</v>
      </c>
      <c r="P860" s="21">
        <f>IF('Raw Data'!P860="",ROUND(AVERAGE('Raw Data'!$P$2:$P$1501),1),'Raw Data'!P860)</f>
        <v>11.1</v>
      </c>
      <c r="Q860" s="21">
        <f>IF('Raw Data'!Q860="",ROUND(AVERAGE('Raw Data'!$Q$2:$Q$1501),0),'Raw Data'!Q860)</f>
        <v>2</v>
      </c>
      <c r="R860" s="21">
        <f>'Raw Data'!R860</f>
        <v>2</v>
      </c>
      <c r="S860" s="21">
        <f>IF('Raw Data'!S860="",ROUND(AVERAGE('Raw Data'!$S$2:$S$1501),0),'Raw Data'!S860)</f>
        <v>4</v>
      </c>
      <c r="T860" s="21">
        <f>'Raw Data'!T860</f>
        <v>212.07</v>
      </c>
      <c r="U860" s="21" t="str">
        <f>INDEX('Lookup Tables'!$C$7:$C$9,MATCH(E860,'Lookup Tables'!$B$7:$B$9,0))</f>
        <v>Tier 3 (Semi-urban/Rural)</v>
      </c>
      <c r="V860" s="21" t="str">
        <f t="shared" si="39"/>
        <v>7-12 months</v>
      </c>
      <c r="W860" s="21" t="str">
        <f t="shared" si="40"/>
        <v>Medium Risk</v>
      </c>
      <c r="X860" s="21" t="str">
        <f t="shared" si="41"/>
        <v>No</v>
      </c>
    </row>
    <row r="861" spans="1:24" x14ac:dyDescent="0.3">
      <c r="A861" s="21">
        <f>'Raw Data'!A861</f>
        <v>50860</v>
      </c>
      <c r="B861" s="21">
        <f>'Raw Data'!B861</f>
        <v>0</v>
      </c>
      <c r="C861" s="21">
        <f>'Raw Data'!C861</f>
        <v>3</v>
      </c>
      <c r="D861" s="21" t="str">
        <f>'Raw Data'!D861</f>
        <v>Mobile Phone</v>
      </c>
      <c r="E861" s="21">
        <f>'Raw Data'!E861</f>
        <v>1</v>
      </c>
      <c r="F861" s="21">
        <f>IF('Raw Data'!F861="",ROUND(AVERAGE('Raw Data'!$F$2:$F$1501),1),'Raw Data'!F861)</f>
        <v>13</v>
      </c>
      <c r="G861" s="21" t="str">
        <f>'Raw Data'!G861</f>
        <v>E wallet</v>
      </c>
      <c r="H861" s="21" t="str">
        <f>'Raw Data'!H861</f>
        <v>Female</v>
      </c>
      <c r="I861" s="21">
        <f>IF('Raw Data'!I861="",ROUND(AVERAGE('Raw Data'!$I$2:$I$1501),1),'Raw Data'!I861)</f>
        <v>3</v>
      </c>
      <c r="J861" s="21">
        <f>'Raw Data'!J861</f>
        <v>3</v>
      </c>
      <c r="K861" s="21" t="str">
        <f>'Raw Data'!K861</f>
        <v>Grocery</v>
      </c>
      <c r="L861" s="21">
        <f>'Raw Data'!L861</f>
        <v>5</v>
      </c>
      <c r="M861" s="21" t="str">
        <f>'Raw Data'!M861</f>
        <v>Divorced</v>
      </c>
      <c r="N861" s="21">
        <f>'Raw Data'!N861</f>
        <v>6</v>
      </c>
      <c r="O861" s="21">
        <f>'Raw Data'!O861</f>
        <v>0</v>
      </c>
      <c r="P861" s="21">
        <f>IF('Raw Data'!P861="",ROUND(AVERAGE('Raw Data'!$P$2:$P$1501),1),'Raw Data'!P861)</f>
        <v>20</v>
      </c>
      <c r="Q861" s="21">
        <f>IF('Raw Data'!Q861="",ROUND(AVERAGE('Raw Data'!$Q$2:$Q$1501),0),'Raw Data'!Q861)</f>
        <v>2</v>
      </c>
      <c r="R861" s="21">
        <f>'Raw Data'!R861</f>
        <v>3</v>
      </c>
      <c r="S861" s="21">
        <f>IF('Raw Data'!S861="",ROUND(AVERAGE('Raw Data'!$S$2:$S$1501),0),'Raw Data'!S861)</f>
        <v>9</v>
      </c>
      <c r="T861" s="21">
        <f>'Raw Data'!T861</f>
        <v>184.25</v>
      </c>
      <c r="U861" s="21" t="str">
        <f>INDEX('Lookup Tables'!$C$7:$C$9,MATCH(E861,'Lookup Tables'!$B$7:$B$9,0))</f>
        <v>Tier 1 (Metro)</v>
      </c>
      <c r="V861" s="21" t="str">
        <f t="shared" si="39"/>
        <v>0-6 months</v>
      </c>
      <c r="W861" s="21" t="str">
        <f t="shared" si="40"/>
        <v>Low Risk</v>
      </c>
      <c r="X861" s="21" t="str">
        <f t="shared" si="41"/>
        <v>No</v>
      </c>
    </row>
    <row r="862" spans="1:24" x14ac:dyDescent="0.3">
      <c r="A862" s="21">
        <f>'Raw Data'!A862</f>
        <v>50861</v>
      </c>
      <c r="B862" s="21">
        <f>'Raw Data'!B862</f>
        <v>0</v>
      </c>
      <c r="C862" s="21">
        <f>'Raw Data'!C862</f>
        <v>5</v>
      </c>
      <c r="D862" s="21" t="str">
        <f>'Raw Data'!D862</f>
        <v>Computer</v>
      </c>
      <c r="E862" s="21">
        <f>'Raw Data'!E862</f>
        <v>3</v>
      </c>
      <c r="F862" s="21">
        <f>IF('Raw Data'!F862="",ROUND(AVERAGE('Raw Data'!$F$2:$F$1501),1),'Raw Data'!F862)</f>
        <v>5</v>
      </c>
      <c r="G862" s="21" t="str">
        <f>'Raw Data'!G862</f>
        <v>UPI</v>
      </c>
      <c r="H862" s="21" t="str">
        <f>'Raw Data'!H862</f>
        <v>Female</v>
      </c>
      <c r="I862" s="21">
        <f>IF('Raw Data'!I862="",ROUND(AVERAGE('Raw Data'!$I$2:$I$1501),1),'Raw Data'!I862)</f>
        <v>2.6</v>
      </c>
      <c r="J862" s="21">
        <f>'Raw Data'!J862</f>
        <v>3</v>
      </c>
      <c r="K862" s="21" t="str">
        <f>'Raw Data'!K862</f>
        <v>Mobile Phone</v>
      </c>
      <c r="L862" s="21">
        <f>'Raw Data'!L862</f>
        <v>1</v>
      </c>
      <c r="M862" s="21" t="str">
        <f>'Raw Data'!M862</f>
        <v>Married</v>
      </c>
      <c r="N862" s="21">
        <f>'Raw Data'!N862</f>
        <v>4</v>
      </c>
      <c r="O862" s="21">
        <f>'Raw Data'!O862</f>
        <v>0</v>
      </c>
      <c r="P862" s="21">
        <f>IF('Raw Data'!P862="",ROUND(AVERAGE('Raw Data'!$P$2:$P$1501),1),'Raw Data'!P862)</f>
        <v>14.7</v>
      </c>
      <c r="Q862" s="21">
        <f>IF('Raw Data'!Q862="",ROUND(AVERAGE('Raw Data'!$Q$2:$Q$1501),0),'Raw Data'!Q862)</f>
        <v>2</v>
      </c>
      <c r="R862" s="21">
        <f>'Raw Data'!R862</f>
        <v>9</v>
      </c>
      <c r="S862" s="21">
        <f>IF('Raw Data'!S862="",ROUND(AVERAGE('Raw Data'!$S$2:$S$1501),0),'Raw Data'!S862)</f>
        <v>5</v>
      </c>
      <c r="T862" s="21">
        <f>'Raw Data'!T862</f>
        <v>205.3</v>
      </c>
      <c r="U862" s="21" t="str">
        <f>INDEX('Lookup Tables'!$C$7:$C$9,MATCH(E862,'Lookup Tables'!$B$7:$B$9,0))</f>
        <v>Tier 3 (Semi-urban/Rural)</v>
      </c>
      <c r="V862" s="21" t="str">
        <f t="shared" si="39"/>
        <v>0-6 months</v>
      </c>
      <c r="W862" s="21" t="str">
        <f t="shared" si="40"/>
        <v>Low Risk</v>
      </c>
      <c r="X862" s="21" t="str">
        <f t="shared" si="41"/>
        <v>No</v>
      </c>
    </row>
    <row r="863" spans="1:24" x14ac:dyDescent="0.3">
      <c r="A863" s="21">
        <f>'Raw Data'!A863</f>
        <v>50862</v>
      </c>
      <c r="B863" s="21">
        <f>'Raw Data'!B863</f>
        <v>0</v>
      </c>
      <c r="C863" s="21">
        <f>'Raw Data'!C863</f>
        <v>5</v>
      </c>
      <c r="D863" s="21" t="str">
        <f>'Raw Data'!D863</f>
        <v>Computer</v>
      </c>
      <c r="E863" s="21">
        <f>'Raw Data'!E863</f>
        <v>1</v>
      </c>
      <c r="F863" s="21">
        <f>IF('Raw Data'!F863="",ROUND(AVERAGE('Raw Data'!$F$2:$F$1501),1),'Raw Data'!F863)</f>
        <v>19</v>
      </c>
      <c r="G863" s="21" t="str">
        <f>'Raw Data'!G863</f>
        <v>Credit Card</v>
      </c>
      <c r="H863" s="21" t="str">
        <f>'Raw Data'!H863</f>
        <v>Female</v>
      </c>
      <c r="I863" s="21">
        <f>IF('Raw Data'!I863="",ROUND(AVERAGE('Raw Data'!$I$2:$I$1501),1),'Raw Data'!I863)</f>
        <v>2.4</v>
      </c>
      <c r="J863" s="21">
        <f>'Raw Data'!J863</f>
        <v>4</v>
      </c>
      <c r="K863" s="21" t="str">
        <f>'Raw Data'!K863</f>
        <v>Fashion</v>
      </c>
      <c r="L863" s="21">
        <f>'Raw Data'!L863</f>
        <v>4</v>
      </c>
      <c r="M863" s="21" t="str">
        <f>'Raw Data'!M863</f>
        <v>Married</v>
      </c>
      <c r="N863" s="21">
        <f>'Raw Data'!N863</f>
        <v>7</v>
      </c>
      <c r="O863" s="21">
        <f>'Raw Data'!O863</f>
        <v>0</v>
      </c>
      <c r="P863" s="21">
        <f>IF('Raw Data'!P863="",ROUND(AVERAGE('Raw Data'!$P$2:$P$1501),1),'Raw Data'!P863)</f>
        <v>16.600000000000001</v>
      </c>
      <c r="Q863" s="21">
        <f>IF('Raw Data'!Q863="",ROUND(AVERAGE('Raw Data'!$Q$2:$Q$1501),0),'Raw Data'!Q863)</f>
        <v>2</v>
      </c>
      <c r="R863" s="21">
        <f>'Raw Data'!R863</f>
        <v>4</v>
      </c>
      <c r="S863" s="21">
        <f>IF('Raw Data'!S863="",ROUND(AVERAGE('Raw Data'!$S$2:$S$1501),0),'Raw Data'!S863)</f>
        <v>10</v>
      </c>
      <c r="T863" s="21">
        <f>'Raw Data'!T863</f>
        <v>161.5</v>
      </c>
      <c r="U863" s="21" t="str">
        <f>INDEX('Lookup Tables'!$C$7:$C$9,MATCH(E863,'Lookup Tables'!$B$7:$B$9,0))</f>
        <v>Tier 1 (Metro)</v>
      </c>
      <c r="V863" s="21" t="str">
        <f t="shared" si="39"/>
        <v>0-6 months</v>
      </c>
      <c r="W863" s="21" t="str">
        <f t="shared" si="40"/>
        <v>Low Risk</v>
      </c>
      <c r="X863" s="21" t="str">
        <f t="shared" si="41"/>
        <v>No</v>
      </c>
    </row>
    <row r="864" spans="1:24" x14ac:dyDescent="0.3">
      <c r="A864" s="21">
        <f>'Raw Data'!A864</f>
        <v>50863</v>
      </c>
      <c r="B864" s="21">
        <f>'Raw Data'!B864</f>
        <v>0</v>
      </c>
      <c r="C864" s="21">
        <f>'Raw Data'!C864</f>
        <v>9</v>
      </c>
      <c r="D864" s="21" t="str">
        <f>'Raw Data'!D864</f>
        <v>Mobile Phone</v>
      </c>
      <c r="E864" s="21">
        <f>'Raw Data'!E864</f>
        <v>1</v>
      </c>
      <c r="F864" s="21">
        <f>IF('Raw Data'!F864="",ROUND(AVERAGE('Raw Data'!$F$2:$F$1501),1),'Raw Data'!F864)</f>
        <v>9</v>
      </c>
      <c r="G864" s="21" t="str">
        <f>'Raw Data'!G864</f>
        <v>Debit Card</v>
      </c>
      <c r="H864" s="21" t="str">
        <f>'Raw Data'!H864</f>
        <v>Male</v>
      </c>
      <c r="I864" s="21">
        <f>IF('Raw Data'!I864="",ROUND(AVERAGE('Raw Data'!$I$2:$I$1501),1),'Raw Data'!I864)</f>
        <v>3.4</v>
      </c>
      <c r="J864" s="21">
        <f>'Raw Data'!J864</f>
        <v>3</v>
      </c>
      <c r="K864" s="21" t="str">
        <f>'Raw Data'!K864</f>
        <v>Mobile Phone</v>
      </c>
      <c r="L864" s="21">
        <f>'Raw Data'!L864</f>
        <v>3</v>
      </c>
      <c r="M864" s="21" t="str">
        <f>'Raw Data'!M864</f>
        <v>Married</v>
      </c>
      <c r="N864" s="21">
        <f>'Raw Data'!N864</f>
        <v>1</v>
      </c>
      <c r="O864" s="21">
        <f>'Raw Data'!O864</f>
        <v>1</v>
      </c>
      <c r="P864" s="21">
        <f>IF('Raw Data'!P864="",ROUND(AVERAGE('Raw Data'!$P$2:$P$1501),1),'Raw Data'!P864)</f>
        <v>17</v>
      </c>
      <c r="Q864" s="21">
        <f>IF('Raw Data'!Q864="",ROUND(AVERAGE('Raw Data'!$Q$2:$Q$1501),0),'Raw Data'!Q864)</f>
        <v>3</v>
      </c>
      <c r="R864" s="21">
        <f>'Raw Data'!R864</f>
        <v>4</v>
      </c>
      <c r="S864" s="21">
        <f>IF('Raw Data'!S864="",ROUND(AVERAGE('Raw Data'!$S$2:$S$1501),0),'Raw Data'!S864)</f>
        <v>10</v>
      </c>
      <c r="T864" s="21">
        <f>'Raw Data'!T864</f>
        <v>126.94</v>
      </c>
      <c r="U864" s="21" t="str">
        <f>INDEX('Lookup Tables'!$C$7:$C$9,MATCH(E864,'Lookup Tables'!$B$7:$B$9,0))</f>
        <v>Tier 1 (Metro)</v>
      </c>
      <c r="V864" s="21" t="str">
        <f t="shared" si="39"/>
        <v>7-12 months</v>
      </c>
      <c r="W864" s="21" t="str">
        <f t="shared" si="40"/>
        <v>Medium Risk</v>
      </c>
      <c r="X864" s="21" t="str">
        <f t="shared" si="41"/>
        <v>No</v>
      </c>
    </row>
    <row r="865" spans="1:24" x14ac:dyDescent="0.3">
      <c r="A865" s="21">
        <f>'Raw Data'!A865</f>
        <v>50864</v>
      </c>
      <c r="B865" s="21">
        <f>'Raw Data'!B865</f>
        <v>0</v>
      </c>
      <c r="C865" s="21">
        <f>'Raw Data'!C865</f>
        <v>7</v>
      </c>
      <c r="D865" s="21" t="str">
        <f>'Raw Data'!D865</f>
        <v>Mobile Phone</v>
      </c>
      <c r="E865" s="21">
        <f>'Raw Data'!E865</f>
        <v>1</v>
      </c>
      <c r="F865" s="21">
        <f>IF('Raw Data'!F865="",ROUND(AVERAGE('Raw Data'!$F$2:$F$1501),1),'Raw Data'!F865)</f>
        <v>13</v>
      </c>
      <c r="G865" s="21" t="str">
        <f>'Raw Data'!G865</f>
        <v>Debit Card</v>
      </c>
      <c r="H865" s="21" t="str">
        <f>'Raw Data'!H865</f>
        <v>Male</v>
      </c>
      <c r="I865" s="21">
        <f>IF('Raw Data'!I865="",ROUND(AVERAGE('Raw Data'!$I$2:$I$1501),1),'Raw Data'!I865)</f>
        <v>1.8</v>
      </c>
      <c r="J865" s="21">
        <f>'Raw Data'!J865</f>
        <v>2</v>
      </c>
      <c r="K865" s="21" t="str">
        <f>'Raw Data'!K865</f>
        <v>Grocery</v>
      </c>
      <c r="L865" s="21">
        <f>'Raw Data'!L865</f>
        <v>5</v>
      </c>
      <c r="M865" s="21" t="str">
        <f>'Raw Data'!M865</f>
        <v>Married</v>
      </c>
      <c r="N865" s="21">
        <f>'Raw Data'!N865</f>
        <v>1</v>
      </c>
      <c r="O865" s="21">
        <f>'Raw Data'!O865</f>
        <v>0</v>
      </c>
      <c r="P865" s="21">
        <f>IF('Raw Data'!P865="",ROUND(AVERAGE('Raw Data'!$P$2:$P$1501),1),'Raw Data'!P865)</f>
        <v>17.100000000000001</v>
      </c>
      <c r="Q865" s="21">
        <f>IF('Raw Data'!Q865="",ROUND(AVERAGE('Raw Data'!$Q$2:$Q$1501),0),'Raw Data'!Q865)</f>
        <v>1</v>
      </c>
      <c r="R865" s="21">
        <f>'Raw Data'!R865</f>
        <v>4</v>
      </c>
      <c r="S865" s="21">
        <f>IF('Raw Data'!S865="",ROUND(AVERAGE('Raw Data'!$S$2:$S$1501),0),'Raw Data'!S865)</f>
        <v>2</v>
      </c>
      <c r="T865" s="21">
        <f>'Raw Data'!T865</f>
        <v>134.74</v>
      </c>
      <c r="U865" s="21" t="str">
        <f>INDEX('Lookup Tables'!$C$7:$C$9,MATCH(E865,'Lookup Tables'!$B$7:$B$9,0))</f>
        <v>Tier 1 (Metro)</v>
      </c>
      <c r="V865" s="21" t="str">
        <f t="shared" si="39"/>
        <v>7-12 months</v>
      </c>
      <c r="W865" s="21" t="str">
        <f t="shared" si="40"/>
        <v>Low Risk</v>
      </c>
      <c r="X865" s="21" t="str">
        <f t="shared" si="41"/>
        <v>No</v>
      </c>
    </row>
    <row r="866" spans="1:24" x14ac:dyDescent="0.3">
      <c r="A866" s="21">
        <f>'Raw Data'!A866</f>
        <v>50865</v>
      </c>
      <c r="B866" s="21">
        <f>'Raw Data'!B866</f>
        <v>0</v>
      </c>
      <c r="C866" s="21">
        <f>'Raw Data'!C866</f>
        <v>25</v>
      </c>
      <c r="D866" s="21" t="str">
        <f>'Raw Data'!D866</f>
        <v>Computer</v>
      </c>
      <c r="E866" s="21">
        <f>'Raw Data'!E866</f>
        <v>1</v>
      </c>
      <c r="F866" s="21">
        <f>IF('Raw Data'!F866="",ROUND(AVERAGE('Raw Data'!$F$2:$F$1501),1),'Raw Data'!F866)</f>
        <v>14.8</v>
      </c>
      <c r="G866" s="21" t="str">
        <f>'Raw Data'!G866</f>
        <v>Credit Card</v>
      </c>
      <c r="H866" s="21" t="str">
        <f>'Raw Data'!H866</f>
        <v>Female</v>
      </c>
      <c r="I866" s="21">
        <f>IF('Raw Data'!I866="",ROUND(AVERAGE('Raw Data'!$I$2:$I$1501),1),'Raw Data'!I866)</f>
        <v>3.3</v>
      </c>
      <c r="J866" s="21">
        <f>'Raw Data'!J866</f>
        <v>4</v>
      </c>
      <c r="K866" s="21" t="str">
        <f>'Raw Data'!K866</f>
        <v>Laptop &amp; Accessory</v>
      </c>
      <c r="L866" s="21">
        <f>'Raw Data'!L866</f>
        <v>3</v>
      </c>
      <c r="M866" s="21" t="str">
        <f>'Raw Data'!M866</f>
        <v>Divorced</v>
      </c>
      <c r="N866" s="21">
        <f>'Raw Data'!N866</f>
        <v>1</v>
      </c>
      <c r="O866" s="21">
        <f>'Raw Data'!O866</f>
        <v>0</v>
      </c>
      <c r="P866" s="21">
        <f>IF('Raw Data'!P866="",ROUND(AVERAGE('Raw Data'!$P$2:$P$1501),1),'Raw Data'!P866)</f>
        <v>16.3</v>
      </c>
      <c r="Q866" s="21">
        <f>IF('Raw Data'!Q866="",ROUND(AVERAGE('Raw Data'!$Q$2:$Q$1501),0),'Raw Data'!Q866)</f>
        <v>3</v>
      </c>
      <c r="R866" s="21">
        <f>'Raw Data'!R866</f>
        <v>3</v>
      </c>
      <c r="S866" s="21">
        <f>IF('Raw Data'!S866="",ROUND(AVERAGE('Raw Data'!$S$2:$S$1501),0),'Raw Data'!S866)</f>
        <v>0</v>
      </c>
      <c r="T866" s="21">
        <f>'Raw Data'!T866</f>
        <v>136.88999999999999</v>
      </c>
      <c r="U866" s="21" t="str">
        <f>INDEX('Lookup Tables'!$C$7:$C$9,MATCH(E866,'Lookup Tables'!$B$7:$B$9,0))</f>
        <v>Tier 1 (Metro)</v>
      </c>
      <c r="V866" s="21" t="str">
        <f t="shared" si="39"/>
        <v>25+ months</v>
      </c>
      <c r="W866" s="21" t="str">
        <f t="shared" si="40"/>
        <v>Medium Risk</v>
      </c>
      <c r="X866" s="21" t="str">
        <f t="shared" si="41"/>
        <v>No</v>
      </c>
    </row>
    <row r="867" spans="1:24" x14ac:dyDescent="0.3">
      <c r="A867" s="21">
        <f>'Raw Data'!A867</f>
        <v>50866</v>
      </c>
      <c r="B867" s="21">
        <f>'Raw Data'!B867</f>
        <v>0</v>
      </c>
      <c r="C867" s="21">
        <f>'Raw Data'!C867</f>
        <v>6</v>
      </c>
      <c r="D867" s="21" t="str">
        <f>'Raw Data'!D867</f>
        <v>Phone</v>
      </c>
      <c r="E867" s="21">
        <f>'Raw Data'!E867</f>
        <v>2</v>
      </c>
      <c r="F867" s="21">
        <f>IF('Raw Data'!F867="",ROUND(AVERAGE('Raw Data'!$F$2:$F$1501),1),'Raw Data'!F867)</f>
        <v>8</v>
      </c>
      <c r="G867" s="21" t="str">
        <f>'Raw Data'!G867</f>
        <v>Credit Card</v>
      </c>
      <c r="H867" s="21" t="str">
        <f>'Raw Data'!H867</f>
        <v>Male</v>
      </c>
      <c r="I867" s="21">
        <f>IF('Raw Data'!I867="",ROUND(AVERAGE('Raw Data'!$I$2:$I$1501),1),'Raw Data'!I867)</f>
        <v>2.9</v>
      </c>
      <c r="J867" s="21">
        <f>'Raw Data'!J867</f>
        <v>3</v>
      </c>
      <c r="K867" s="21" t="str">
        <f>'Raw Data'!K867</f>
        <v>Mobile Phone</v>
      </c>
      <c r="L867" s="21">
        <f>'Raw Data'!L867</f>
        <v>3</v>
      </c>
      <c r="M867" s="21" t="str">
        <f>'Raw Data'!M867</f>
        <v>Single</v>
      </c>
      <c r="N867" s="21">
        <f>'Raw Data'!N867</f>
        <v>6</v>
      </c>
      <c r="O867" s="21">
        <f>'Raw Data'!O867</f>
        <v>0</v>
      </c>
      <c r="P867" s="21">
        <f>IF('Raw Data'!P867="",ROUND(AVERAGE('Raw Data'!$P$2:$P$1501),1),'Raw Data'!P867)</f>
        <v>11</v>
      </c>
      <c r="Q867" s="21">
        <f>IF('Raw Data'!Q867="",ROUND(AVERAGE('Raw Data'!$Q$2:$Q$1501),0),'Raw Data'!Q867)</f>
        <v>3</v>
      </c>
      <c r="R867" s="21">
        <f>'Raw Data'!R867</f>
        <v>3</v>
      </c>
      <c r="S867" s="21">
        <f>IF('Raw Data'!S867="",ROUND(AVERAGE('Raw Data'!$S$2:$S$1501),0),'Raw Data'!S867)</f>
        <v>4</v>
      </c>
      <c r="T867" s="21">
        <f>'Raw Data'!T867</f>
        <v>179.84</v>
      </c>
      <c r="U867" s="21" t="str">
        <f>INDEX('Lookup Tables'!$C$7:$C$9,MATCH(E867,'Lookup Tables'!$B$7:$B$9,0))</f>
        <v>Tier 2 (Urban)</v>
      </c>
      <c r="V867" s="21" t="str">
        <f t="shared" si="39"/>
        <v>0-6 months</v>
      </c>
      <c r="W867" s="21" t="str">
        <f t="shared" si="40"/>
        <v>Medium Risk</v>
      </c>
      <c r="X867" s="21" t="str">
        <f t="shared" si="41"/>
        <v>No</v>
      </c>
    </row>
    <row r="868" spans="1:24" x14ac:dyDescent="0.3">
      <c r="A868" s="21">
        <f>'Raw Data'!A868</f>
        <v>50867</v>
      </c>
      <c r="B868" s="21">
        <f>'Raw Data'!B868</f>
        <v>0</v>
      </c>
      <c r="C868" s="21">
        <f>'Raw Data'!C868</f>
        <v>48</v>
      </c>
      <c r="D868" s="21" t="str">
        <f>'Raw Data'!D868</f>
        <v>Mobile Phone</v>
      </c>
      <c r="E868" s="21">
        <f>'Raw Data'!E868</f>
        <v>1</v>
      </c>
      <c r="F868" s="21">
        <f>IF('Raw Data'!F868="",ROUND(AVERAGE('Raw Data'!$F$2:$F$1501),1),'Raw Data'!F868)</f>
        <v>14</v>
      </c>
      <c r="G868" s="21" t="str">
        <f>'Raw Data'!G868</f>
        <v>E wallet</v>
      </c>
      <c r="H868" s="21" t="str">
        <f>'Raw Data'!H868</f>
        <v>Female</v>
      </c>
      <c r="I868" s="21">
        <f>IF('Raw Data'!I868="",ROUND(AVERAGE('Raw Data'!$I$2:$I$1501),1),'Raw Data'!I868)</f>
        <v>2.2999999999999998</v>
      </c>
      <c r="J868" s="21">
        <f>'Raw Data'!J868</f>
        <v>3</v>
      </c>
      <c r="K868" s="21" t="str">
        <f>'Raw Data'!K868</f>
        <v>Laptop &amp; Accessory</v>
      </c>
      <c r="L868" s="21">
        <f>'Raw Data'!L868</f>
        <v>5</v>
      </c>
      <c r="M868" s="21" t="str">
        <f>'Raw Data'!M868</f>
        <v>Single</v>
      </c>
      <c r="N868" s="21">
        <f>'Raw Data'!N868</f>
        <v>4</v>
      </c>
      <c r="O868" s="21">
        <f>'Raw Data'!O868</f>
        <v>0</v>
      </c>
      <c r="P868" s="21">
        <f>IF('Raw Data'!P868="",ROUND(AVERAGE('Raw Data'!$P$2:$P$1501),1),'Raw Data'!P868)</f>
        <v>13.9</v>
      </c>
      <c r="Q868" s="21">
        <f>IF('Raw Data'!Q868="",ROUND(AVERAGE('Raw Data'!$Q$2:$Q$1501),0),'Raw Data'!Q868)</f>
        <v>3</v>
      </c>
      <c r="R868" s="21">
        <f>'Raw Data'!R868</f>
        <v>3</v>
      </c>
      <c r="S868" s="21">
        <f>IF('Raw Data'!S868="",ROUND(AVERAGE('Raw Data'!$S$2:$S$1501),0),'Raw Data'!S868)</f>
        <v>10</v>
      </c>
      <c r="T868" s="21">
        <f>'Raw Data'!T868</f>
        <v>94.41</v>
      </c>
      <c r="U868" s="21" t="str">
        <f>INDEX('Lookup Tables'!$C$7:$C$9,MATCH(E868,'Lookup Tables'!$B$7:$B$9,0))</f>
        <v>Tier 1 (Metro)</v>
      </c>
      <c r="V868" s="21" t="str">
        <f t="shared" si="39"/>
        <v>25+ months</v>
      </c>
      <c r="W868" s="21" t="str">
        <f t="shared" si="40"/>
        <v>Low Risk</v>
      </c>
      <c r="X868" s="21" t="str">
        <f t="shared" si="41"/>
        <v>No</v>
      </c>
    </row>
    <row r="869" spans="1:24" x14ac:dyDescent="0.3">
      <c r="A869" s="21">
        <f>'Raw Data'!A869</f>
        <v>50868</v>
      </c>
      <c r="B869" s="21">
        <f>'Raw Data'!B869</f>
        <v>0</v>
      </c>
      <c r="C869" s="21">
        <f>'Raw Data'!C869</f>
        <v>19</v>
      </c>
      <c r="D869" s="21" t="str">
        <f>'Raw Data'!D869</f>
        <v>Mobile Phone</v>
      </c>
      <c r="E869" s="21">
        <f>'Raw Data'!E869</f>
        <v>1</v>
      </c>
      <c r="F869" s="21">
        <f>IF('Raw Data'!F869="",ROUND(AVERAGE('Raw Data'!$F$2:$F$1501),1),'Raw Data'!F869)</f>
        <v>13</v>
      </c>
      <c r="G869" s="21" t="str">
        <f>'Raw Data'!G869</f>
        <v>Debit Card</v>
      </c>
      <c r="H869" s="21" t="str">
        <f>'Raw Data'!H869</f>
        <v>Male</v>
      </c>
      <c r="I869" s="21">
        <f>IF('Raw Data'!I869="",ROUND(AVERAGE('Raw Data'!$I$2:$I$1501),1),'Raw Data'!I869)</f>
        <v>2.2999999999999998</v>
      </c>
      <c r="J869" s="21">
        <f>'Raw Data'!J869</f>
        <v>3</v>
      </c>
      <c r="K869" s="21" t="str">
        <f>'Raw Data'!K869</f>
        <v>Fashion</v>
      </c>
      <c r="L869" s="21">
        <f>'Raw Data'!L869</f>
        <v>3</v>
      </c>
      <c r="M869" s="21" t="str">
        <f>'Raw Data'!M869</f>
        <v>Single</v>
      </c>
      <c r="N869" s="21">
        <f>'Raw Data'!N869</f>
        <v>4</v>
      </c>
      <c r="O869" s="21">
        <f>'Raw Data'!O869</f>
        <v>1</v>
      </c>
      <c r="P869" s="21">
        <f>IF('Raw Data'!P869="",ROUND(AVERAGE('Raw Data'!$P$2:$P$1501),1),'Raw Data'!P869)</f>
        <v>17.399999999999999</v>
      </c>
      <c r="Q869" s="21">
        <f>IF('Raw Data'!Q869="",ROUND(AVERAGE('Raw Data'!$Q$2:$Q$1501),0),'Raw Data'!Q869)</f>
        <v>2</v>
      </c>
      <c r="R869" s="21">
        <f>'Raw Data'!R869</f>
        <v>2</v>
      </c>
      <c r="S869" s="21">
        <f>IF('Raw Data'!S869="",ROUND(AVERAGE('Raw Data'!$S$2:$S$1501),0),'Raw Data'!S869)</f>
        <v>0</v>
      </c>
      <c r="T869" s="21">
        <f>'Raw Data'!T869</f>
        <v>111.39</v>
      </c>
      <c r="U869" s="21" t="str">
        <f>INDEX('Lookup Tables'!$C$7:$C$9,MATCH(E869,'Lookup Tables'!$B$7:$B$9,0))</f>
        <v>Tier 1 (Metro)</v>
      </c>
      <c r="V869" s="21" t="str">
        <f t="shared" si="39"/>
        <v>13-24 months</v>
      </c>
      <c r="W869" s="21" t="str">
        <f t="shared" si="40"/>
        <v>Medium Risk</v>
      </c>
      <c r="X869" s="21" t="str">
        <f t="shared" si="41"/>
        <v>No</v>
      </c>
    </row>
    <row r="870" spans="1:24" x14ac:dyDescent="0.3">
      <c r="A870" s="21">
        <f>'Raw Data'!A870</f>
        <v>50869</v>
      </c>
      <c r="B870" s="21">
        <f>'Raw Data'!B870</f>
        <v>0</v>
      </c>
      <c r="C870" s="21">
        <f>'Raw Data'!C870</f>
        <v>2</v>
      </c>
      <c r="D870" s="21" t="str">
        <f>'Raw Data'!D870</f>
        <v>Mobile Phone</v>
      </c>
      <c r="E870" s="21">
        <f>'Raw Data'!E870</f>
        <v>3</v>
      </c>
      <c r="F870" s="21">
        <f>IF('Raw Data'!F870="",ROUND(AVERAGE('Raw Data'!$F$2:$F$1501),1),'Raw Data'!F870)</f>
        <v>12</v>
      </c>
      <c r="G870" s="21" t="str">
        <f>'Raw Data'!G870</f>
        <v>Cash on Delivery</v>
      </c>
      <c r="H870" s="21" t="str">
        <f>'Raw Data'!H870</f>
        <v>Female</v>
      </c>
      <c r="I870" s="21">
        <f>IF('Raw Data'!I870="",ROUND(AVERAGE('Raw Data'!$I$2:$I$1501),1),'Raw Data'!I870)</f>
        <v>2.7</v>
      </c>
      <c r="J870" s="21">
        <f>'Raw Data'!J870</f>
        <v>2</v>
      </c>
      <c r="K870" s="21" t="str">
        <f>'Raw Data'!K870</f>
        <v>Fashion</v>
      </c>
      <c r="L870" s="21">
        <f>'Raw Data'!L870</f>
        <v>1</v>
      </c>
      <c r="M870" s="21" t="str">
        <f>'Raw Data'!M870</f>
        <v>Married</v>
      </c>
      <c r="N870" s="21">
        <f>'Raw Data'!N870</f>
        <v>1</v>
      </c>
      <c r="O870" s="21">
        <f>'Raw Data'!O870</f>
        <v>0</v>
      </c>
      <c r="P870" s="21">
        <f>IF('Raw Data'!P870="",ROUND(AVERAGE('Raw Data'!$P$2:$P$1501),1),'Raw Data'!P870)</f>
        <v>16.3</v>
      </c>
      <c r="Q870" s="21">
        <f>IF('Raw Data'!Q870="",ROUND(AVERAGE('Raw Data'!$Q$2:$Q$1501),0),'Raw Data'!Q870)</f>
        <v>3</v>
      </c>
      <c r="R870" s="21">
        <f>'Raw Data'!R870</f>
        <v>6</v>
      </c>
      <c r="S870" s="21">
        <f>IF('Raw Data'!S870="",ROUND(AVERAGE('Raw Data'!$S$2:$S$1501),0),'Raw Data'!S870)</f>
        <v>4</v>
      </c>
      <c r="T870" s="21">
        <f>'Raw Data'!T870</f>
        <v>187.45</v>
      </c>
      <c r="U870" s="21" t="str">
        <f>INDEX('Lookup Tables'!$C$7:$C$9,MATCH(E870,'Lookup Tables'!$B$7:$B$9,0))</f>
        <v>Tier 3 (Semi-urban/Rural)</v>
      </c>
      <c r="V870" s="21" t="str">
        <f t="shared" si="39"/>
        <v>0-6 months</v>
      </c>
      <c r="W870" s="21" t="str">
        <f t="shared" si="40"/>
        <v>Low Risk</v>
      </c>
      <c r="X870" s="21" t="str">
        <f t="shared" si="41"/>
        <v>No</v>
      </c>
    </row>
    <row r="871" spans="1:24" x14ac:dyDescent="0.3">
      <c r="A871" s="21">
        <f>'Raw Data'!A871</f>
        <v>50870</v>
      </c>
      <c r="B871" s="21">
        <f>'Raw Data'!B871</f>
        <v>0</v>
      </c>
      <c r="C871" s="21">
        <f>'Raw Data'!C871</f>
        <v>26</v>
      </c>
      <c r="D871" s="21" t="str">
        <f>'Raw Data'!D871</f>
        <v>Computer</v>
      </c>
      <c r="E871" s="21">
        <f>'Raw Data'!E871</f>
        <v>1</v>
      </c>
      <c r="F871" s="21">
        <f>IF('Raw Data'!F871="",ROUND(AVERAGE('Raw Data'!$F$2:$F$1501),1),'Raw Data'!F871)</f>
        <v>9</v>
      </c>
      <c r="G871" s="21" t="str">
        <f>'Raw Data'!G871</f>
        <v>Debit Card</v>
      </c>
      <c r="H871" s="21" t="str">
        <f>'Raw Data'!H871</f>
        <v>Male</v>
      </c>
      <c r="I871" s="21">
        <f>IF('Raw Data'!I871="",ROUND(AVERAGE('Raw Data'!$I$2:$I$1501),1),'Raw Data'!I871)</f>
        <v>3.1</v>
      </c>
      <c r="J871" s="21">
        <f>'Raw Data'!J871</f>
        <v>3</v>
      </c>
      <c r="K871" s="21" t="str">
        <f>'Raw Data'!K871</f>
        <v>Laptop &amp; Accessory</v>
      </c>
      <c r="L871" s="21">
        <f>'Raw Data'!L871</f>
        <v>3</v>
      </c>
      <c r="M871" s="21" t="str">
        <f>'Raw Data'!M871</f>
        <v>Single</v>
      </c>
      <c r="N871" s="21">
        <f>'Raw Data'!N871</f>
        <v>1</v>
      </c>
      <c r="O871" s="21">
        <f>'Raw Data'!O871</f>
        <v>0</v>
      </c>
      <c r="P871" s="21">
        <f>IF('Raw Data'!P871="",ROUND(AVERAGE('Raw Data'!$P$2:$P$1501),1),'Raw Data'!P871)</f>
        <v>14.8</v>
      </c>
      <c r="Q871" s="21">
        <f>IF('Raw Data'!Q871="",ROUND(AVERAGE('Raw Data'!$Q$2:$Q$1501),0),'Raw Data'!Q871)</f>
        <v>2</v>
      </c>
      <c r="R871" s="21">
        <f>'Raw Data'!R871</f>
        <v>7</v>
      </c>
      <c r="S871" s="21">
        <f>IF('Raw Data'!S871="",ROUND(AVERAGE('Raw Data'!$S$2:$S$1501),0),'Raw Data'!S871)</f>
        <v>0</v>
      </c>
      <c r="T871" s="21">
        <f>'Raw Data'!T871</f>
        <v>172.98</v>
      </c>
      <c r="U871" s="21" t="str">
        <f>INDEX('Lookup Tables'!$C$7:$C$9,MATCH(E871,'Lookup Tables'!$B$7:$B$9,0))</f>
        <v>Tier 1 (Metro)</v>
      </c>
      <c r="V871" s="21" t="str">
        <f t="shared" si="39"/>
        <v>25+ months</v>
      </c>
      <c r="W871" s="21" t="str">
        <f t="shared" si="40"/>
        <v>Medium Risk</v>
      </c>
      <c r="X871" s="21" t="str">
        <f t="shared" si="41"/>
        <v>No</v>
      </c>
    </row>
    <row r="872" spans="1:24" x14ac:dyDescent="0.3">
      <c r="A872" s="21">
        <f>'Raw Data'!A872</f>
        <v>50871</v>
      </c>
      <c r="B872" s="21">
        <f>'Raw Data'!B872</f>
        <v>0</v>
      </c>
      <c r="C872" s="21">
        <f>'Raw Data'!C872</f>
        <v>1</v>
      </c>
      <c r="D872" s="21" t="str">
        <f>'Raw Data'!D872</f>
        <v>Mobile Phone</v>
      </c>
      <c r="E872" s="21">
        <f>'Raw Data'!E872</f>
        <v>3</v>
      </c>
      <c r="F872" s="21">
        <f>IF('Raw Data'!F872="",ROUND(AVERAGE('Raw Data'!$F$2:$F$1501),1),'Raw Data'!F872)</f>
        <v>17</v>
      </c>
      <c r="G872" s="21" t="str">
        <f>'Raw Data'!G872</f>
        <v>Cash on Delivery</v>
      </c>
      <c r="H872" s="21" t="str">
        <f>'Raw Data'!H872</f>
        <v>Male</v>
      </c>
      <c r="I872" s="21">
        <f>IF('Raw Data'!I872="",ROUND(AVERAGE('Raw Data'!$I$2:$I$1501),1),'Raw Data'!I872)</f>
        <v>2.8</v>
      </c>
      <c r="J872" s="21">
        <f>'Raw Data'!J872</f>
        <v>3</v>
      </c>
      <c r="K872" s="21" t="str">
        <f>'Raw Data'!K872</f>
        <v>Fashion</v>
      </c>
      <c r="L872" s="21">
        <f>'Raw Data'!L872</f>
        <v>4</v>
      </c>
      <c r="M872" s="21" t="str">
        <f>'Raw Data'!M872</f>
        <v>Single</v>
      </c>
      <c r="N872" s="21">
        <f>'Raw Data'!N872</f>
        <v>11</v>
      </c>
      <c r="O872" s="21">
        <f>'Raw Data'!O872</f>
        <v>1</v>
      </c>
      <c r="P872" s="21">
        <f>IF('Raw Data'!P872="",ROUND(AVERAGE('Raw Data'!$P$2:$P$1501),1),'Raw Data'!P872)</f>
        <v>23.4</v>
      </c>
      <c r="Q872" s="21">
        <f>IF('Raw Data'!Q872="",ROUND(AVERAGE('Raw Data'!$Q$2:$Q$1501),0),'Raw Data'!Q872)</f>
        <v>3</v>
      </c>
      <c r="R872" s="21">
        <f>'Raw Data'!R872</f>
        <v>4</v>
      </c>
      <c r="S872" s="21">
        <f>IF('Raw Data'!S872="",ROUND(AVERAGE('Raw Data'!$S$2:$S$1501),0),'Raw Data'!S872)</f>
        <v>0</v>
      </c>
      <c r="T872" s="21">
        <f>'Raw Data'!T872</f>
        <v>190.46</v>
      </c>
      <c r="U872" s="21" t="str">
        <f>INDEX('Lookup Tables'!$C$7:$C$9,MATCH(E872,'Lookup Tables'!$B$7:$B$9,0))</f>
        <v>Tier 3 (Semi-urban/Rural)</v>
      </c>
      <c r="V872" s="21" t="str">
        <f t="shared" si="39"/>
        <v>0-6 months</v>
      </c>
      <c r="W872" s="21" t="str">
        <f t="shared" si="40"/>
        <v>Low Risk</v>
      </c>
      <c r="X872" s="21" t="str">
        <f t="shared" si="41"/>
        <v>No</v>
      </c>
    </row>
    <row r="873" spans="1:24" x14ac:dyDescent="0.3">
      <c r="A873" s="21">
        <f>'Raw Data'!A873</f>
        <v>50872</v>
      </c>
      <c r="B873" s="21">
        <f>'Raw Data'!B873</f>
        <v>0</v>
      </c>
      <c r="C873" s="21">
        <f>'Raw Data'!C873</f>
        <v>17</v>
      </c>
      <c r="D873" s="21" t="str">
        <f>'Raw Data'!D873</f>
        <v>Mobile Phone</v>
      </c>
      <c r="E873" s="21">
        <f>'Raw Data'!E873</f>
        <v>1</v>
      </c>
      <c r="F873" s="21">
        <f>IF('Raw Data'!F873="",ROUND(AVERAGE('Raw Data'!$F$2:$F$1501),1),'Raw Data'!F873)</f>
        <v>28</v>
      </c>
      <c r="G873" s="21" t="str">
        <f>'Raw Data'!G873</f>
        <v>Debit Card</v>
      </c>
      <c r="H873" s="21" t="str">
        <f>'Raw Data'!H873</f>
        <v>Male</v>
      </c>
      <c r="I873" s="21">
        <f>IF('Raw Data'!I873="",ROUND(AVERAGE('Raw Data'!$I$2:$I$1501),1),'Raw Data'!I873)</f>
        <v>2.9</v>
      </c>
      <c r="J873" s="21">
        <f>'Raw Data'!J873</f>
        <v>3</v>
      </c>
      <c r="K873" s="21" t="str">
        <f>'Raw Data'!K873</f>
        <v>Mobile Phone</v>
      </c>
      <c r="L873" s="21">
        <f>'Raw Data'!L873</f>
        <v>3</v>
      </c>
      <c r="M873" s="21" t="str">
        <f>'Raw Data'!M873</f>
        <v>Single</v>
      </c>
      <c r="N873" s="21">
        <f>'Raw Data'!N873</f>
        <v>1</v>
      </c>
      <c r="O873" s="21">
        <f>'Raw Data'!O873</f>
        <v>1</v>
      </c>
      <c r="P873" s="21">
        <f>IF('Raw Data'!P873="",ROUND(AVERAGE('Raw Data'!$P$2:$P$1501),1),'Raw Data'!P873)</f>
        <v>11</v>
      </c>
      <c r="Q873" s="21">
        <f>IF('Raw Data'!Q873="",ROUND(AVERAGE('Raw Data'!$Q$2:$Q$1501),0),'Raw Data'!Q873)</f>
        <v>1</v>
      </c>
      <c r="R873" s="21">
        <f>'Raw Data'!R873</f>
        <v>7</v>
      </c>
      <c r="S873" s="21">
        <f>IF('Raw Data'!S873="",ROUND(AVERAGE('Raw Data'!$S$2:$S$1501),0),'Raw Data'!S873)</f>
        <v>5</v>
      </c>
      <c r="T873" s="21">
        <f>'Raw Data'!T873</f>
        <v>177.52</v>
      </c>
      <c r="U873" s="21" t="str">
        <f>INDEX('Lookup Tables'!$C$7:$C$9,MATCH(E873,'Lookup Tables'!$B$7:$B$9,0))</f>
        <v>Tier 1 (Metro)</v>
      </c>
      <c r="V873" s="21" t="str">
        <f t="shared" si="39"/>
        <v>13-24 months</v>
      </c>
      <c r="W873" s="21" t="str">
        <f t="shared" si="40"/>
        <v>Medium Risk</v>
      </c>
      <c r="X873" s="21" t="str">
        <f t="shared" si="41"/>
        <v>No</v>
      </c>
    </row>
    <row r="874" spans="1:24" x14ac:dyDescent="0.3">
      <c r="A874" s="21">
        <f>'Raw Data'!A874</f>
        <v>50873</v>
      </c>
      <c r="B874" s="21">
        <f>'Raw Data'!B874</f>
        <v>0</v>
      </c>
      <c r="C874" s="21">
        <f>'Raw Data'!C874</f>
        <v>4</v>
      </c>
      <c r="D874" s="21" t="str">
        <f>'Raw Data'!D874</f>
        <v>Computer</v>
      </c>
      <c r="E874" s="21">
        <f>'Raw Data'!E874</f>
        <v>2</v>
      </c>
      <c r="F874" s="21">
        <f>IF('Raw Data'!F874="",ROUND(AVERAGE('Raw Data'!$F$2:$F$1501),1),'Raw Data'!F874)</f>
        <v>16</v>
      </c>
      <c r="G874" s="21" t="str">
        <f>'Raw Data'!G874</f>
        <v>Credit Card</v>
      </c>
      <c r="H874" s="21" t="str">
        <f>'Raw Data'!H874</f>
        <v>Female</v>
      </c>
      <c r="I874" s="21">
        <f>IF('Raw Data'!I874="",ROUND(AVERAGE('Raw Data'!$I$2:$I$1501),1),'Raw Data'!I874)</f>
        <v>4.0999999999999996</v>
      </c>
      <c r="J874" s="21">
        <f>'Raw Data'!J874</f>
        <v>4</v>
      </c>
      <c r="K874" s="21" t="str">
        <f>'Raw Data'!K874</f>
        <v>Laptop &amp; Accessory</v>
      </c>
      <c r="L874" s="21">
        <f>'Raw Data'!L874</f>
        <v>3</v>
      </c>
      <c r="M874" s="21" t="str">
        <f>'Raw Data'!M874</f>
        <v>Married</v>
      </c>
      <c r="N874" s="21">
        <f>'Raw Data'!N874</f>
        <v>5</v>
      </c>
      <c r="O874" s="21">
        <f>'Raw Data'!O874</f>
        <v>1</v>
      </c>
      <c r="P874" s="21">
        <f>IF('Raw Data'!P874="",ROUND(AVERAGE('Raw Data'!$P$2:$P$1501),1),'Raw Data'!P874)</f>
        <v>13.4</v>
      </c>
      <c r="Q874" s="21">
        <f>IF('Raw Data'!Q874="",ROUND(AVERAGE('Raw Data'!$Q$2:$Q$1501),0),'Raw Data'!Q874)</f>
        <v>1</v>
      </c>
      <c r="R874" s="21">
        <f>'Raw Data'!R874</f>
        <v>3</v>
      </c>
      <c r="S874" s="21">
        <f>IF('Raw Data'!S874="",ROUND(AVERAGE('Raw Data'!$S$2:$S$1501),0),'Raw Data'!S874)</f>
        <v>5</v>
      </c>
      <c r="T874" s="21">
        <f>'Raw Data'!T874</f>
        <v>318.54000000000002</v>
      </c>
      <c r="U874" s="21" t="str">
        <f>INDEX('Lookup Tables'!$C$7:$C$9,MATCH(E874,'Lookup Tables'!$B$7:$B$9,0))</f>
        <v>Tier 2 (Urban)</v>
      </c>
      <c r="V874" s="21" t="str">
        <f t="shared" si="39"/>
        <v>0-6 months</v>
      </c>
      <c r="W874" s="21" t="str">
        <f t="shared" si="40"/>
        <v>Medium Risk</v>
      </c>
      <c r="X874" s="21" t="str">
        <f t="shared" si="41"/>
        <v>No</v>
      </c>
    </row>
    <row r="875" spans="1:24" x14ac:dyDescent="0.3">
      <c r="A875" s="21">
        <f>'Raw Data'!A875</f>
        <v>50874</v>
      </c>
      <c r="B875" s="21">
        <f>'Raw Data'!B875</f>
        <v>0</v>
      </c>
      <c r="C875" s="21">
        <f>'Raw Data'!C875</f>
        <v>21</v>
      </c>
      <c r="D875" s="21" t="str">
        <f>'Raw Data'!D875</f>
        <v>Computer</v>
      </c>
      <c r="E875" s="21">
        <f>'Raw Data'!E875</f>
        <v>1</v>
      </c>
      <c r="F875" s="21">
        <f>IF('Raw Data'!F875="",ROUND(AVERAGE('Raw Data'!$F$2:$F$1501),1),'Raw Data'!F875)</f>
        <v>22</v>
      </c>
      <c r="G875" s="21" t="str">
        <f>'Raw Data'!G875</f>
        <v>Debit Card</v>
      </c>
      <c r="H875" s="21" t="str">
        <f>'Raw Data'!H875</f>
        <v>Female</v>
      </c>
      <c r="I875" s="21">
        <f>IF('Raw Data'!I875="",ROUND(AVERAGE('Raw Data'!$I$2:$I$1501),1),'Raw Data'!I875)</f>
        <v>2.5</v>
      </c>
      <c r="J875" s="21">
        <f>'Raw Data'!J875</f>
        <v>3</v>
      </c>
      <c r="K875" s="21" t="str">
        <f>'Raw Data'!K875</f>
        <v>Mobile Phone</v>
      </c>
      <c r="L875" s="21">
        <f>'Raw Data'!L875</f>
        <v>1</v>
      </c>
      <c r="M875" s="21" t="str">
        <f>'Raw Data'!M875</f>
        <v>Married</v>
      </c>
      <c r="N875" s="21">
        <f>'Raw Data'!N875</f>
        <v>1</v>
      </c>
      <c r="O875" s="21">
        <f>'Raw Data'!O875</f>
        <v>0</v>
      </c>
      <c r="P875" s="21">
        <f>IF('Raw Data'!P875="",ROUND(AVERAGE('Raw Data'!$P$2:$P$1501),1),'Raw Data'!P875)</f>
        <v>22.6</v>
      </c>
      <c r="Q875" s="21">
        <f>IF('Raw Data'!Q875="",ROUND(AVERAGE('Raw Data'!$Q$2:$Q$1501),0),'Raw Data'!Q875)</f>
        <v>1</v>
      </c>
      <c r="R875" s="21">
        <f>'Raw Data'!R875</f>
        <v>4</v>
      </c>
      <c r="S875" s="21">
        <f>IF('Raw Data'!S875="",ROUND(AVERAGE('Raw Data'!$S$2:$S$1501),0),'Raw Data'!S875)</f>
        <v>4</v>
      </c>
      <c r="T875" s="21">
        <f>'Raw Data'!T875</f>
        <v>186.97</v>
      </c>
      <c r="U875" s="21" t="str">
        <f>INDEX('Lookup Tables'!$C$7:$C$9,MATCH(E875,'Lookup Tables'!$B$7:$B$9,0))</f>
        <v>Tier 1 (Metro)</v>
      </c>
      <c r="V875" s="21" t="str">
        <f t="shared" si="39"/>
        <v>13-24 months</v>
      </c>
      <c r="W875" s="21" t="str">
        <f t="shared" si="40"/>
        <v>Low Risk</v>
      </c>
      <c r="X875" s="21" t="str">
        <f t="shared" si="41"/>
        <v>No</v>
      </c>
    </row>
    <row r="876" spans="1:24" x14ac:dyDescent="0.3">
      <c r="A876" s="21">
        <f>'Raw Data'!A876</f>
        <v>50875</v>
      </c>
      <c r="B876" s="21">
        <f>'Raw Data'!B876</f>
        <v>0</v>
      </c>
      <c r="C876" s="21">
        <f>'Raw Data'!C876</f>
        <v>20</v>
      </c>
      <c r="D876" s="21" t="str">
        <f>'Raw Data'!D876</f>
        <v>Mobile Phone</v>
      </c>
      <c r="E876" s="21">
        <f>'Raw Data'!E876</f>
        <v>1</v>
      </c>
      <c r="F876" s="21">
        <f>IF('Raw Data'!F876="",ROUND(AVERAGE('Raw Data'!$F$2:$F$1501),1),'Raw Data'!F876)</f>
        <v>5</v>
      </c>
      <c r="G876" s="21" t="str">
        <f>'Raw Data'!G876</f>
        <v>Credit Card</v>
      </c>
      <c r="H876" s="21" t="str">
        <f>'Raw Data'!H876</f>
        <v>Male</v>
      </c>
      <c r="I876" s="21">
        <f>IF('Raw Data'!I876="",ROUND(AVERAGE('Raw Data'!$I$2:$I$1501),1),'Raw Data'!I876)</f>
        <v>1.7</v>
      </c>
      <c r="J876" s="21">
        <f>'Raw Data'!J876</f>
        <v>4</v>
      </c>
      <c r="K876" s="21" t="str">
        <f>'Raw Data'!K876</f>
        <v>Laptop &amp; Accessory</v>
      </c>
      <c r="L876" s="21">
        <f>'Raw Data'!L876</f>
        <v>4</v>
      </c>
      <c r="M876" s="21" t="str">
        <f>'Raw Data'!M876</f>
        <v>Single</v>
      </c>
      <c r="N876" s="21">
        <f>'Raw Data'!N876</f>
        <v>1</v>
      </c>
      <c r="O876" s="21">
        <f>'Raw Data'!O876</f>
        <v>0</v>
      </c>
      <c r="P876" s="21">
        <f>IF('Raw Data'!P876="",ROUND(AVERAGE('Raw Data'!$P$2:$P$1501),1),'Raw Data'!P876)</f>
        <v>15.8</v>
      </c>
      <c r="Q876" s="21">
        <f>IF('Raw Data'!Q876="",ROUND(AVERAGE('Raw Data'!$Q$2:$Q$1501),0),'Raw Data'!Q876)</f>
        <v>2</v>
      </c>
      <c r="R876" s="21">
        <f>'Raw Data'!R876</f>
        <v>3</v>
      </c>
      <c r="S876" s="21">
        <f>IF('Raw Data'!S876="",ROUND(AVERAGE('Raw Data'!$S$2:$S$1501),0),'Raw Data'!S876)</f>
        <v>4</v>
      </c>
      <c r="T876" s="21">
        <f>'Raw Data'!T876</f>
        <v>159.15</v>
      </c>
      <c r="U876" s="21" t="str">
        <f>INDEX('Lookup Tables'!$C$7:$C$9,MATCH(E876,'Lookup Tables'!$B$7:$B$9,0))</f>
        <v>Tier 1 (Metro)</v>
      </c>
      <c r="V876" s="21" t="str">
        <f t="shared" si="39"/>
        <v>13-24 months</v>
      </c>
      <c r="W876" s="21" t="str">
        <f t="shared" si="40"/>
        <v>Low Risk</v>
      </c>
      <c r="X876" s="21" t="str">
        <f t="shared" si="41"/>
        <v>No</v>
      </c>
    </row>
    <row r="877" spans="1:24" x14ac:dyDescent="0.3">
      <c r="A877" s="21">
        <f>'Raw Data'!A877</f>
        <v>50876</v>
      </c>
      <c r="B877" s="21">
        <f>'Raw Data'!B877</f>
        <v>0</v>
      </c>
      <c r="C877" s="21">
        <f>'Raw Data'!C877</f>
        <v>16</v>
      </c>
      <c r="D877" s="21" t="str">
        <f>'Raw Data'!D877</f>
        <v>Mobile Phone</v>
      </c>
      <c r="E877" s="21">
        <f>'Raw Data'!E877</f>
        <v>1</v>
      </c>
      <c r="F877" s="21">
        <f>IF('Raw Data'!F877="",ROUND(AVERAGE('Raw Data'!$F$2:$F$1501),1),'Raw Data'!F877)</f>
        <v>16</v>
      </c>
      <c r="G877" s="21" t="str">
        <f>'Raw Data'!G877</f>
        <v>Credit Card</v>
      </c>
      <c r="H877" s="21" t="str">
        <f>'Raw Data'!H877</f>
        <v>Female</v>
      </c>
      <c r="I877" s="21">
        <f>IF('Raw Data'!I877="",ROUND(AVERAGE('Raw Data'!$I$2:$I$1501),1),'Raw Data'!I877)</f>
        <v>3.5</v>
      </c>
      <c r="J877" s="21">
        <f>'Raw Data'!J877</f>
        <v>3</v>
      </c>
      <c r="K877" s="21" t="str">
        <f>'Raw Data'!K877</f>
        <v>Mobile Phone</v>
      </c>
      <c r="L877" s="21">
        <f>'Raw Data'!L877</f>
        <v>4</v>
      </c>
      <c r="M877" s="21" t="str">
        <f>'Raw Data'!M877</f>
        <v>Divorced</v>
      </c>
      <c r="N877" s="21">
        <f>'Raw Data'!N877</f>
        <v>4</v>
      </c>
      <c r="O877" s="21">
        <f>'Raw Data'!O877</f>
        <v>0</v>
      </c>
      <c r="P877" s="21">
        <f>IF('Raw Data'!P877="",ROUND(AVERAGE('Raw Data'!$P$2:$P$1501),1),'Raw Data'!P877)</f>
        <v>13.5</v>
      </c>
      <c r="Q877" s="21">
        <f>IF('Raw Data'!Q877="",ROUND(AVERAGE('Raw Data'!$Q$2:$Q$1501),0),'Raw Data'!Q877)</f>
        <v>4</v>
      </c>
      <c r="R877" s="21">
        <f>'Raw Data'!R877</f>
        <v>4</v>
      </c>
      <c r="S877" s="21">
        <f>IF('Raw Data'!S877="",ROUND(AVERAGE('Raw Data'!$S$2:$S$1501),0),'Raw Data'!S877)</f>
        <v>0</v>
      </c>
      <c r="T877" s="21">
        <f>'Raw Data'!T877</f>
        <v>185.56</v>
      </c>
      <c r="U877" s="21" t="str">
        <f>INDEX('Lookup Tables'!$C$7:$C$9,MATCH(E877,'Lookup Tables'!$B$7:$B$9,0))</f>
        <v>Tier 1 (Metro)</v>
      </c>
      <c r="V877" s="21" t="str">
        <f t="shared" si="39"/>
        <v>13-24 months</v>
      </c>
      <c r="W877" s="21" t="str">
        <f t="shared" si="40"/>
        <v>Low Risk</v>
      </c>
      <c r="X877" s="21" t="str">
        <f t="shared" si="41"/>
        <v>No</v>
      </c>
    </row>
    <row r="878" spans="1:24" x14ac:dyDescent="0.3">
      <c r="A878" s="21">
        <f>'Raw Data'!A878</f>
        <v>50877</v>
      </c>
      <c r="B878" s="21">
        <f>'Raw Data'!B878</f>
        <v>0</v>
      </c>
      <c r="C878" s="21">
        <f>'Raw Data'!C878</f>
        <v>15</v>
      </c>
      <c r="D878" s="21" t="str">
        <f>'Raw Data'!D878</f>
        <v>Computer</v>
      </c>
      <c r="E878" s="21">
        <f>'Raw Data'!E878</f>
        <v>1</v>
      </c>
      <c r="F878" s="21">
        <f>IF('Raw Data'!F878="",ROUND(AVERAGE('Raw Data'!$F$2:$F$1501),1),'Raw Data'!F878)</f>
        <v>6</v>
      </c>
      <c r="G878" s="21" t="str">
        <f>'Raw Data'!G878</f>
        <v>Credit Card</v>
      </c>
      <c r="H878" s="21" t="str">
        <f>'Raw Data'!H878</f>
        <v>Male</v>
      </c>
      <c r="I878" s="21">
        <f>IF('Raw Data'!I878="",ROUND(AVERAGE('Raw Data'!$I$2:$I$1501),1),'Raw Data'!I878)</f>
        <v>4.0999999999999996</v>
      </c>
      <c r="J878" s="21">
        <f>'Raw Data'!J878</f>
        <v>4</v>
      </c>
      <c r="K878" s="21" t="str">
        <f>'Raw Data'!K878</f>
        <v>Mobile Phone</v>
      </c>
      <c r="L878" s="21">
        <f>'Raw Data'!L878</f>
        <v>3</v>
      </c>
      <c r="M878" s="21" t="str">
        <f>'Raw Data'!M878</f>
        <v>Divorced</v>
      </c>
      <c r="N878" s="21">
        <f>'Raw Data'!N878</f>
        <v>1</v>
      </c>
      <c r="O878" s="21">
        <f>'Raw Data'!O878</f>
        <v>0</v>
      </c>
      <c r="P878" s="21">
        <f>IF('Raw Data'!P878="",ROUND(AVERAGE('Raw Data'!$P$2:$P$1501),1),'Raw Data'!P878)</f>
        <v>20.100000000000001</v>
      </c>
      <c r="Q878" s="21">
        <f>IF('Raw Data'!Q878="",ROUND(AVERAGE('Raw Data'!$Q$2:$Q$1501),0),'Raw Data'!Q878)</f>
        <v>2</v>
      </c>
      <c r="R878" s="21">
        <f>'Raw Data'!R878</f>
        <v>6</v>
      </c>
      <c r="S878" s="21">
        <f>IF('Raw Data'!S878="",ROUND(AVERAGE('Raw Data'!$S$2:$S$1501),0),'Raw Data'!S878)</f>
        <v>0</v>
      </c>
      <c r="T878" s="21">
        <f>'Raw Data'!T878</f>
        <v>236.1</v>
      </c>
      <c r="U878" s="21" t="str">
        <f>INDEX('Lookup Tables'!$C$7:$C$9,MATCH(E878,'Lookup Tables'!$B$7:$B$9,0))</f>
        <v>Tier 1 (Metro)</v>
      </c>
      <c r="V878" s="21" t="str">
        <f t="shared" si="39"/>
        <v>13-24 months</v>
      </c>
      <c r="W878" s="21" t="str">
        <f t="shared" si="40"/>
        <v>Medium Risk</v>
      </c>
      <c r="X878" s="21" t="str">
        <f t="shared" si="41"/>
        <v>No</v>
      </c>
    </row>
    <row r="879" spans="1:24" x14ac:dyDescent="0.3">
      <c r="A879" s="21">
        <f>'Raw Data'!A879</f>
        <v>50878</v>
      </c>
      <c r="B879" s="21">
        <f>'Raw Data'!B879</f>
        <v>0</v>
      </c>
      <c r="C879" s="21">
        <f>'Raw Data'!C879</f>
        <v>3</v>
      </c>
      <c r="D879" s="21" t="str">
        <f>'Raw Data'!D879</f>
        <v>Mobile Phone</v>
      </c>
      <c r="E879" s="21">
        <f>'Raw Data'!E879</f>
        <v>1</v>
      </c>
      <c r="F879" s="21">
        <f>IF('Raw Data'!F879="",ROUND(AVERAGE('Raw Data'!$F$2:$F$1501),1),'Raw Data'!F879)</f>
        <v>5</v>
      </c>
      <c r="G879" s="21" t="str">
        <f>'Raw Data'!G879</f>
        <v>Credit Card</v>
      </c>
      <c r="H879" s="21" t="str">
        <f>'Raw Data'!H879</f>
        <v>Male</v>
      </c>
      <c r="I879" s="21">
        <f>IF('Raw Data'!I879="",ROUND(AVERAGE('Raw Data'!$I$2:$I$1501),1),'Raw Data'!I879)</f>
        <v>3.2</v>
      </c>
      <c r="J879" s="21">
        <f>'Raw Data'!J879</f>
        <v>4</v>
      </c>
      <c r="K879" s="21" t="str">
        <f>'Raw Data'!K879</f>
        <v>Fashion</v>
      </c>
      <c r="L879" s="21">
        <f>'Raw Data'!L879</f>
        <v>3</v>
      </c>
      <c r="M879" s="21" t="str">
        <f>'Raw Data'!M879</f>
        <v>Single</v>
      </c>
      <c r="N879" s="21">
        <f>'Raw Data'!N879</f>
        <v>4</v>
      </c>
      <c r="O879" s="21">
        <f>'Raw Data'!O879</f>
        <v>0</v>
      </c>
      <c r="P879" s="21">
        <f>IF('Raw Data'!P879="",ROUND(AVERAGE('Raw Data'!$P$2:$P$1501),1),'Raw Data'!P879)</f>
        <v>16.2</v>
      </c>
      <c r="Q879" s="21">
        <f>IF('Raw Data'!Q879="",ROUND(AVERAGE('Raw Data'!$Q$2:$Q$1501),0),'Raw Data'!Q879)</f>
        <v>4</v>
      </c>
      <c r="R879" s="21">
        <f>'Raw Data'!R879</f>
        <v>4</v>
      </c>
      <c r="S879" s="21">
        <f>IF('Raw Data'!S879="",ROUND(AVERAGE('Raw Data'!$S$2:$S$1501),0),'Raw Data'!S879)</f>
        <v>9</v>
      </c>
      <c r="T879" s="21">
        <f>'Raw Data'!T879</f>
        <v>177.27</v>
      </c>
      <c r="U879" s="21" t="str">
        <f>INDEX('Lookup Tables'!$C$7:$C$9,MATCH(E879,'Lookup Tables'!$B$7:$B$9,0))</f>
        <v>Tier 1 (Metro)</v>
      </c>
      <c r="V879" s="21" t="str">
        <f t="shared" si="39"/>
        <v>0-6 months</v>
      </c>
      <c r="W879" s="21" t="str">
        <f t="shared" si="40"/>
        <v>Medium Risk</v>
      </c>
      <c r="X879" s="21" t="str">
        <f t="shared" si="41"/>
        <v>No</v>
      </c>
    </row>
    <row r="880" spans="1:24" x14ac:dyDescent="0.3">
      <c r="A880" s="21">
        <f>'Raw Data'!A880</f>
        <v>50879</v>
      </c>
      <c r="B880" s="21">
        <f>'Raw Data'!B880</f>
        <v>0</v>
      </c>
      <c r="C880" s="21">
        <f>'Raw Data'!C880</f>
        <v>0</v>
      </c>
      <c r="D880" s="21" t="str">
        <f>'Raw Data'!D880</f>
        <v>Mobile Phone</v>
      </c>
      <c r="E880" s="21">
        <f>'Raw Data'!E880</f>
        <v>2</v>
      </c>
      <c r="F880" s="21">
        <f>IF('Raw Data'!F880="",ROUND(AVERAGE('Raw Data'!$F$2:$F$1501),1),'Raw Data'!F880)</f>
        <v>9</v>
      </c>
      <c r="G880" s="21" t="str">
        <f>'Raw Data'!G880</f>
        <v>E wallet</v>
      </c>
      <c r="H880" s="21" t="str">
        <f>'Raw Data'!H880</f>
        <v>Male</v>
      </c>
      <c r="I880" s="21">
        <f>IF('Raw Data'!I880="",ROUND(AVERAGE('Raw Data'!$I$2:$I$1501),1),'Raw Data'!I880)</f>
        <v>2.1</v>
      </c>
      <c r="J880" s="21">
        <f>'Raw Data'!J880</f>
        <v>3</v>
      </c>
      <c r="K880" s="21" t="str">
        <f>'Raw Data'!K880</f>
        <v>Fashion</v>
      </c>
      <c r="L880" s="21">
        <f>'Raw Data'!L880</f>
        <v>1</v>
      </c>
      <c r="M880" s="21" t="str">
        <f>'Raw Data'!M880</f>
        <v>Married</v>
      </c>
      <c r="N880" s="21">
        <f>'Raw Data'!N880</f>
        <v>4</v>
      </c>
      <c r="O880" s="21">
        <f>'Raw Data'!O880</f>
        <v>0</v>
      </c>
      <c r="P880" s="21">
        <f>IF('Raw Data'!P880="",ROUND(AVERAGE('Raw Data'!$P$2:$P$1501),1),'Raw Data'!P880)</f>
        <v>14.8</v>
      </c>
      <c r="Q880" s="21">
        <f>IF('Raw Data'!Q880="",ROUND(AVERAGE('Raw Data'!$Q$2:$Q$1501),0),'Raw Data'!Q880)</f>
        <v>2</v>
      </c>
      <c r="R880" s="21">
        <f>'Raw Data'!R880</f>
        <v>4</v>
      </c>
      <c r="S880" s="21">
        <f>IF('Raw Data'!S880="",ROUND(AVERAGE('Raw Data'!$S$2:$S$1501),0),'Raw Data'!S880)</f>
        <v>3</v>
      </c>
      <c r="T880" s="21">
        <f>'Raw Data'!T880</f>
        <v>217.66</v>
      </c>
      <c r="U880" s="21" t="str">
        <f>INDEX('Lookup Tables'!$C$7:$C$9,MATCH(E880,'Lookup Tables'!$B$7:$B$9,0))</f>
        <v>Tier 2 (Urban)</v>
      </c>
      <c r="V880" s="21" t="str">
        <f t="shared" si="39"/>
        <v>0-6 months</v>
      </c>
      <c r="W880" s="21" t="str">
        <f t="shared" si="40"/>
        <v>Low Risk</v>
      </c>
      <c r="X880" s="21" t="str">
        <f t="shared" si="41"/>
        <v>No</v>
      </c>
    </row>
    <row r="881" spans="1:24" x14ac:dyDescent="0.3">
      <c r="A881" s="21">
        <f>'Raw Data'!A881</f>
        <v>50880</v>
      </c>
      <c r="B881" s="21">
        <f>'Raw Data'!B881</f>
        <v>0</v>
      </c>
      <c r="C881" s="21">
        <f>'Raw Data'!C881</f>
        <v>5</v>
      </c>
      <c r="D881" s="21" t="str">
        <f>'Raw Data'!D881</f>
        <v>Phone</v>
      </c>
      <c r="E881" s="21">
        <f>'Raw Data'!E881</f>
        <v>3</v>
      </c>
      <c r="F881" s="21">
        <f>IF('Raw Data'!F881="",ROUND(AVERAGE('Raw Data'!$F$2:$F$1501),1),'Raw Data'!F881)</f>
        <v>24</v>
      </c>
      <c r="G881" s="21" t="str">
        <f>'Raw Data'!G881</f>
        <v>E wallet</v>
      </c>
      <c r="H881" s="21" t="str">
        <f>'Raw Data'!H881</f>
        <v>Male</v>
      </c>
      <c r="I881" s="21">
        <f>IF('Raw Data'!I881="",ROUND(AVERAGE('Raw Data'!$I$2:$I$1501),1),'Raw Data'!I881)</f>
        <v>2.8</v>
      </c>
      <c r="J881" s="21">
        <f>'Raw Data'!J881</f>
        <v>3</v>
      </c>
      <c r="K881" s="21" t="str">
        <f>'Raw Data'!K881</f>
        <v>Fashion</v>
      </c>
      <c r="L881" s="21">
        <f>'Raw Data'!L881</f>
        <v>2</v>
      </c>
      <c r="M881" s="21" t="str">
        <f>'Raw Data'!M881</f>
        <v>Married</v>
      </c>
      <c r="N881" s="21">
        <f>'Raw Data'!N881</f>
        <v>2</v>
      </c>
      <c r="O881" s="21">
        <f>'Raw Data'!O881</f>
        <v>0</v>
      </c>
      <c r="P881" s="21">
        <f>IF('Raw Data'!P881="",ROUND(AVERAGE('Raw Data'!$P$2:$P$1501),1),'Raw Data'!P881)</f>
        <v>16.7</v>
      </c>
      <c r="Q881" s="21">
        <f>IF('Raw Data'!Q881="",ROUND(AVERAGE('Raw Data'!$Q$2:$Q$1501),0),'Raw Data'!Q881)</f>
        <v>1</v>
      </c>
      <c r="R881" s="21">
        <f>'Raw Data'!R881</f>
        <v>4</v>
      </c>
      <c r="S881" s="21">
        <f>IF('Raw Data'!S881="",ROUND(AVERAGE('Raw Data'!$S$2:$S$1501),0),'Raw Data'!S881)</f>
        <v>1</v>
      </c>
      <c r="T881" s="21">
        <f>'Raw Data'!T881</f>
        <v>201.78</v>
      </c>
      <c r="U881" s="21" t="str">
        <f>INDEX('Lookup Tables'!$C$7:$C$9,MATCH(E881,'Lookup Tables'!$B$7:$B$9,0))</f>
        <v>Tier 3 (Semi-urban/Rural)</v>
      </c>
      <c r="V881" s="21" t="str">
        <f t="shared" si="39"/>
        <v>0-6 months</v>
      </c>
      <c r="W881" s="21" t="str">
        <f t="shared" si="40"/>
        <v>Low Risk</v>
      </c>
      <c r="X881" s="21" t="str">
        <f t="shared" si="41"/>
        <v>No</v>
      </c>
    </row>
    <row r="882" spans="1:24" x14ac:dyDescent="0.3">
      <c r="A882" s="21">
        <f>'Raw Data'!A882</f>
        <v>50881</v>
      </c>
      <c r="B882" s="21">
        <f>'Raw Data'!B882</f>
        <v>0</v>
      </c>
      <c r="C882" s="21">
        <f>'Raw Data'!C882</f>
        <v>1</v>
      </c>
      <c r="D882" s="21" t="str">
        <f>'Raw Data'!D882</f>
        <v>Mobile Phone</v>
      </c>
      <c r="E882" s="21">
        <f>'Raw Data'!E882</f>
        <v>3</v>
      </c>
      <c r="F882" s="21">
        <f>IF('Raw Data'!F882="",ROUND(AVERAGE('Raw Data'!$F$2:$F$1501),1),'Raw Data'!F882)</f>
        <v>22</v>
      </c>
      <c r="G882" s="21" t="str">
        <f>'Raw Data'!G882</f>
        <v>UPI</v>
      </c>
      <c r="H882" s="21" t="str">
        <f>'Raw Data'!H882</f>
        <v>Male</v>
      </c>
      <c r="I882" s="21">
        <f>IF('Raw Data'!I882="",ROUND(AVERAGE('Raw Data'!$I$2:$I$1501),1),'Raw Data'!I882)</f>
        <v>2.1</v>
      </c>
      <c r="J882" s="21">
        <f>'Raw Data'!J882</f>
        <v>2</v>
      </c>
      <c r="K882" s="21" t="str">
        <f>'Raw Data'!K882</f>
        <v>Laptop &amp; Accessory</v>
      </c>
      <c r="L882" s="21">
        <f>'Raw Data'!L882</f>
        <v>2</v>
      </c>
      <c r="M882" s="21" t="str">
        <f>'Raw Data'!M882</f>
        <v>Single</v>
      </c>
      <c r="N882" s="21">
        <f>'Raw Data'!N882</f>
        <v>5</v>
      </c>
      <c r="O882" s="21">
        <f>'Raw Data'!O882</f>
        <v>1</v>
      </c>
      <c r="P882" s="21">
        <f>IF('Raw Data'!P882="",ROUND(AVERAGE('Raw Data'!$P$2:$P$1501),1),'Raw Data'!P882)</f>
        <v>13.7</v>
      </c>
      <c r="Q882" s="21">
        <f>IF('Raw Data'!Q882="",ROUND(AVERAGE('Raw Data'!$Q$2:$Q$1501),0),'Raw Data'!Q882)</f>
        <v>2</v>
      </c>
      <c r="R882" s="21">
        <f>'Raw Data'!R882</f>
        <v>6</v>
      </c>
      <c r="S882" s="21">
        <f>IF('Raw Data'!S882="",ROUND(AVERAGE('Raw Data'!$S$2:$S$1501),0),'Raw Data'!S882)</f>
        <v>6</v>
      </c>
      <c r="T882" s="21">
        <f>'Raw Data'!T882</f>
        <v>164.03</v>
      </c>
      <c r="U882" s="21" t="str">
        <f>INDEX('Lookup Tables'!$C$7:$C$9,MATCH(E882,'Lookup Tables'!$B$7:$B$9,0))</f>
        <v>Tier 3 (Semi-urban/Rural)</v>
      </c>
      <c r="V882" s="21" t="str">
        <f t="shared" si="39"/>
        <v>0-6 months</v>
      </c>
      <c r="W882" s="21" t="str">
        <f t="shared" si="40"/>
        <v>High Risk</v>
      </c>
      <c r="X882" s="21" t="str">
        <f t="shared" si="41"/>
        <v>No</v>
      </c>
    </row>
    <row r="883" spans="1:24" x14ac:dyDescent="0.3">
      <c r="A883" s="21">
        <f>'Raw Data'!A883</f>
        <v>50882</v>
      </c>
      <c r="B883" s="21">
        <f>'Raw Data'!B883</f>
        <v>1</v>
      </c>
      <c r="C883" s="21">
        <f>'Raw Data'!C883</f>
        <v>11</v>
      </c>
      <c r="D883" s="21" t="str">
        <f>'Raw Data'!D883</f>
        <v>Computer</v>
      </c>
      <c r="E883" s="21">
        <f>'Raw Data'!E883</f>
        <v>2</v>
      </c>
      <c r="F883" s="21">
        <f>IF('Raw Data'!F883="",ROUND(AVERAGE('Raw Data'!$F$2:$F$1501),1),'Raw Data'!F883)</f>
        <v>16</v>
      </c>
      <c r="G883" s="21" t="str">
        <f>'Raw Data'!G883</f>
        <v>Debit Card</v>
      </c>
      <c r="H883" s="21" t="str">
        <f>'Raw Data'!H883</f>
        <v>Male</v>
      </c>
      <c r="I883" s="21">
        <f>IF('Raw Data'!I883="",ROUND(AVERAGE('Raw Data'!$I$2:$I$1501),1),'Raw Data'!I883)</f>
        <v>3.3</v>
      </c>
      <c r="J883" s="21">
        <f>'Raw Data'!J883</f>
        <v>4</v>
      </c>
      <c r="K883" s="21" t="str">
        <f>'Raw Data'!K883</f>
        <v>Others</v>
      </c>
      <c r="L883" s="21">
        <f>'Raw Data'!L883</f>
        <v>3</v>
      </c>
      <c r="M883" s="21" t="str">
        <f>'Raw Data'!M883</f>
        <v>Single</v>
      </c>
      <c r="N883" s="21">
        <f>'Raw Data'!N883</f>
        <v>3</v>
      </c>
      <c r="O883" s="21">
        <f>'Raw Data'!O883</f>
        <v>0</v>
      </c>
      <c r="P883" s="21">
        <f>IF('Raw Data'!P883="",ROUND(AVERAGE('Raw Data'!$P$2:$P$1501),1),'Raw Data'!P883)</f>
        <v>12.4</v>
      </c>
      <c r="Q883" s="21">
        <f>IF('Raw Data'!Q883="",ROUND(AVERAGE('Raw Data'!$Q$2:$Q$1501),0),'Raw Data'!Q883)</f>
        <v>2</v>
      </c>
      <c r="R883" s="21">
        <f>'Raw Data'!R883</f>
        <v>5</v>
      </c>
      <c r="S883" s="21">
        <f>IF('Raw Data'!S883="",ROUND(AVERAGE('Raw Data'!$S$2:$S$1501),0),'Raw Data'!S883)</f>
        <v>11</v>
      </c>
      <c r="T883" s="21">
        <f>'Raw Data'!T883</f>
        <v>186.1</v>
      </c>
      <c r="U883" s="21" t="str">
        <f>INDEX('Lookup Tables'!$C$7:$C$9,MATCH(E883,'Lookup Tables'!$B$7:$B$9,0))</f>
        <v>Tier 2 (Urban)</v>
      </c>
      <c r="V883" s="21" t="str">
        <f t="shared" si="39"/>
        <v>7-12 months</v>
      </c>
      <c r="W883" s="21" t="str">
        <f t="shared" si="40"/>
        <v>Medium Risk</v>
      </c>
      <c r="X883" s="21" t="str">
        <f t="shared" si="41"/>
        <v>Yes</v>
      </c>
    </row>
    <row r="884" spans="1:24" x14ac:dyDescent="0.3">
      <c r="A884" s="21">
        <f>'Raw Data'!A884</f>
        <v>50883</v>
      </c>
      <c r="B884" s="21">
        <f>'Raw Data'!B884</f>
        <v>0</v>
      </c>
      <c r="C884" s="21">
        <f>'Raw Data'!C884</f>
        <v>4</v>
      </c>
      <c r="D884" s="21" t="str">
        <f>'Raw Data'!D884</f>
        <v>Phone</v>
      </c>
      <c r="E884" s="21">
        <f>'Raw Data'!E884</f>
        <v>1</v>
      </c>
      <c r="F884" s="21">
        <f>IF('Raw Data'!F884="",ROUND(AVERAGE('Raw Data'!$F$2:$F$1501),1),'Raw Data'!F884)</f>
        <v>5</v>
      </c>
      <c r="G884" s="21" t="str">
        <f>'Raw Data'!G884</f>
        <v>E wallet</v>
      </c>
      <c r="H884" s="21" t="str">
        <f>'Raw Data'!H884</f>
        <v>Female</v>
      </c>
      <c r="I884" s="21">
        <f>IF('Raw Data'!I884="",ROUND(AVERAGE('Raw Data'!$I$2:$I$1501),1),'Raw Data'!I884)</f>
        <v>2</v>
      </c>
      <c r="J884" s="21">
        <f>'Raw Data'!J884</f>
        <v>3</v>
      </c>
      <c r="K884" s="21" t="str">
        <f>'Raw Data'!K884</f>
        <v>Fashion</v>
      </c>
      <c r="L884" s="21">
        <f>'Raw Data'!L884</f>
        <v>3</v>
      </c>
      <c r="M884" s="21" t="str">
        <f>'Raw Data'!M884</f>
        <v>Married</v>
      </c>
      <c r="N884" s="21">
        <f>'Raw Data'!N884</f>
        <v>1</v>
      </c>
      <c r="O884" s="21">
        <f>'Raw Data'!O884</f>
        <v>1</v>
      </c>
      <c r="P884" s="21">
        <f>IF('Raw Data'!P884="",ROUND(AVERAGE('Raw Data'!$P$2:$P$1501),1),'Raw Data'!P884)</f>
        <v>15.6</v>
      </c>
      <c r="Q884" s="21">
        <f>IF('Raw Data'!Q884="",ROUND(AVERAGE('Raw Data'!$Q$2:$Q$1501),0),'Raw Data'!Q884)</f>
        <v>3</v>
      </c>
      <c r="R884" s="21">
        <f>'Raw Data'!R884</f>
        <v>4</v>
      </c>
      <c r="S884" s="21">
        <f>IF('Raw Data'!S884="",ROUND(AVERAGE('Raw Data'!$S$2:$S$1501),0),'Raw Data'!S884)</f>
        <v>5</v>
      </c>
      <c r="T884" s="21">
        <f>'Raw Data'!T884</f>
        <v>267.94</v>
      </c>
      <c r="U884" s="21" t="str">
        <f>INDEX('Lookup Tables'!$C$7:$C$9,MATCH(E884,'Lookup Tables'!$B$7:$B$9,0))</f>
        <v>Tier 1 (Metro)</v>
      </c>
      <c r="V884" s="21" t="str">
        <f t="shared" si="39"/>
        <v>0-6 months</v>
      </c>
      <c r="W884" s="21" t="str">
        <f t="shared" si="40"/>
        <v>Medium Risk</v>
      </c>
      <c r="X884" s="21" t="str">
        <f t="shared" si="41"/>
        <v>No</v>
      </c>
    </row>
    <row r="885" spans="1:24" x14ac:dyDescent="0.3">
      <c r="A885" s="21">
        <f>'Raw Data'!A885</f>
        <v>50884</v>
      </c>
      <c r="B885" s="21">
        <f>'Raw Data'!B885</f>
        <v>0</v>
      </c>
      <c r="C885" s="21">
        <f>'Raw Data'!C885</f>
        <v>37</v>
      </c>
      <c r="D885" s="21" t="str">
        <f>'Raw Data'!D885</f>
        <v>Mobile Phone</v>
      </c>
      <c r="E885" s="21">
        <f>'Raw Data'!E885</f>
        <v>1</v>
      </c>
      <c r="F885" s="21">
        <f>IF('Raw Data'!F885="",ROUND(AVERAGE('Raw Data'!$F$2:$F$1501),1),'Raw Data'!F885)</f>
        <v>13</v>
      </c>
      <c r="G885" s="21" t="str">
        <f>'Raw Data'!G885</f>
        <v>Credit Card</v>
      </c>
      <c r="H885" s="21" t="str">
        <f>'Raw Data'!H885</f>
        <v>Female</v>
      </c>
      <c r="I885" s="21">
        <f>IF('Raw Data'!I885="",ROUND(AVERAGE('Raw Data'!$I$2:$I$1501),1),'Raw Data'!I885)</f>
        <v>2.7</v>
      </c>
      <c r="J885" s="21">
        <f>'Raw Data'!J885</f>
        <v>3</v>
      </c>
      <c r="K885" s="21" t="str">
        <f>'Raw Data'!K885</f>
        <v>Laptop &amp; Accessory</v>
      </c>
      <c r="L885" s="21">
        <f>'Raw Data'!L885</f>
        <v>5</v>
      </c>
      <c r="M885" s="21" t="str">
        <f>'Raw Data'!M885</f>
        <v>Married</v>
      </c>
      <c r="N885" s="21">
        <f>'Raw Data'!N885</f>
        <v>4</v>
      </c>
      <c r="O885" s="21">
        <f>'Raw Data'!O885</f>
        <v>0</v>
      </c>
      <c r="P885" s="21">
        <f>IF('Raw Data'!P885="",ROUND(AVERAGE('Raw Data'!$P$2:$P$1501),1),'Raw Data'!P885)</f>
        <v>12.5</v>
      </c>
      <c r="Q885" s="21">
        <f>IF('Raw Data'!Q885="",ROUND(AVERAGE('Raw Data'!$Q$2:$Q$1501),0),'Raw Data'!Q885)</f>
        <v>0</v>
      </c>
      <c r="R885" s="21">
        <f>'Raw Data'!R885</f>
        <v>2</v>
      </c>
      <c r="S885" s="21">
        <f>IF('Raw Data'!S885="",ROUND(AVERAGE('Raw Data'!$S$2:$S$1501),0),'Raw Data'!S885)</f>
        <v>7</v>
      </c>
      <c r="T885" s="21">
        <f>'Raw Data'!T885</f>
        <v>193.37</v>
      </c>
      <c r="U885" s="21" t="str">
        <f>INDEX('Lookup Tables'!$C$7:$C$9,MATCH(E885,'Lookup Tables'!$B$7:$B$9,0))</f>
        <v>Tier 1 (Metro)</v>
      </c>
      <c r="V885" s="21" t="str">
        <f t="shared" si="39"/>
        <v>25+ months</v>
      </c>
      <c r="W885" s="21" t="str">
        <f t="shared" si="40"/>
        <v>Low Risk</v>
      </c>
      <c r="X885" s="21" t="str">
        <f t="shared" si="41"/>
        <v>No</v>
      </c>
    </row>
    <row r="886" spans="1:24" x14ac:dyDescent="0.3">
      <c r="A886" s="21">
        <f>'Raw Data'!A886</f>
        <v>50885</v>
      </c>
      <c r="B886" s="21">
        <f>'Raw Data'!B886</f>
        <v>1</v>
      </c>
      <c r="C886" s="21">
        <f>'Raw Data'!C886</f>
        <v>10</v>
      </c>
      <c r="D886" s="21" t="str">
        <f>'Raw Data'!D886</f>
        <v>Mobile Phone</v>
      </c>
      <c r="E886" s="21">
        <f>'Raw Data'!E886</f>
        <v>1</v>
      </c>
      <c r="F886" s="21">
        <f>IF('Raw Data'!F886="",ROUND(AVERAGE('Raw Data'!$F$2:$F$1501),1),'Raw Data'!F886)</f>
        <v>17</v>
      </c>
      <c r="G886" s="21" t="str">
        <f>'Raw Data'!G886</f>
        <v>Credit Card</v>
      </c>
      <c r="H886" s="21" t="str">
        <f>'Raw Data'!H886</f>
        <v>Male</v>
      </c>
      <c r="I886" s="21">
        <f>IF('Raw Data'!I886="",ROUND(AVERAGE('Raw Data'!$I$2:$I$1501),1),'Raw Data'!I886)</f>
        <v>2.2000000000000002</v>
      </c>
      <c r="J886" s="21">
        <f>'Raw Data'!J886</f>
        <v>4</v>
      </c>
      <c r="K886" s="21" t="str">
        <f>'Raw Data'!K886</f>
        <v>Grocery</v>
      </c>
      <c r="L886" s="21">
        <f>'Raw Data'!L886</f>
        <v>1</v>
      </c>
      <c r="M886" s="21" t="str">
        <f>'Raw Data'!M886</f>
        <v>Single</v>
      </c>
      <c r="N886" s="21">
        <f>'Raw Data'!N886</f>
        <v>3</v>
      </c>
      <c r="O886" s="21">
        <f>'Raw Data'!O886</f>
        <v>0</v>
      </c>
      <c r="P886" s="21">
        <f>IF('Raw Data'!P886="",ROUND(AVERAGE('Raw Data'!$P$2:$P$1501),1),'Raw Data'!P886)</f>
        <v>16</v>
      </c>
      <c r="Q886" s="21">
        <f>IF('Raw Data'!Q886="",ROUND(AVERAGE('Raw Data'!$Q$2:$Q$1501),0),'Raw Data'!Q886)</f>
        <v>1</v>
      </c>
      <c r="R886" s="21">
        <f>'Raw Data'!R886</f>
        <v>5</v>
      </c>
      <c r="S886" s="21">
        <f>IF('Raw Data'!S886="",ROUND(AVERAGE('Raw Data'!$S$2:$S$1501),0),'Raw Data'!S886)</f>
        <v>1</v>
      </c>
      <c r="T886" s="21">
        <f>'Raw Data'!T886</f>
        <v>125.77</v>
      </c>
      <c r="U886" s="21" t="str">
        <f>INDEX('Lookup Tables'!$C$7:$C$9,MATCH(E886,'Lookup Tables'!$B$7:$B$9,0))</f>
        <v>Tier 1 (Metro)</v>
      </c>
      <c r="V886" s="21" t="str">
        <f t="shared" si="39"/>
        <v>7-12 months</v>
      </c>
      <c r="W886" s="21" t="str">
        <f t="shared" si="40"/>
        <v>Low Risk</v>
      </c>
      <c r="X886" s="21" t="str">
        <f t="shared" si="41"/>
        <v>Yes</v>
      </c>
    </row>
    <row r="887" spans="1:24" x14ac:dyDescent="0.3">
      <c r="A887" s="21">
        <f>'Raw Data'!A887</f>
        <v>50886</v>
      </c>
      <c r="B887" s="21">
        <f>'Raw Data'!B887</f>
        <v>0</v>
      </c>
      <c r="C887" s="21">
        <f>'Raw Data'!C887</f>
        <v>17</v>
      </c>
      <c r="D887" s="21" t="str">
        <f>'Raw Data'!D887</f>
        <v>Computer</v>
      </c>
      <c r="E887" s="21">
        <f>'Raw Data'!E887</f>
        <v>1</v>
      </c>
      <c r="F887" s="21">
        <f>IF('Raw Data'!F887="",ROUND(AVERAGE('Raw Data'!$F$2:$F$1501),1),'Raw Data'!F887)</f>
        <v>16</v>
      </c>
      <c r="G887" s="21" t="str">
        <f>'Raw Data'!G887</f>
        <v>Credit Card</v>
      </c>
      <c r="H887" s="21" t="str">
        <f>'Raw Data'!H887</f>
        <v>Male</v>
      </c>
      <c r="I887" s="21">
        <f>IF('Raw Data'!I887="",ROUND(AVERAGE('Raw Data'!$I$2:$I$1501),1),'Raw Data'!I887)</f>
        <v>3</v>
      </c>
      <c r="J887" s="21">
        <f>'Raw Data'!J887</f>
        <v>2</v>
      </c>
      <c r="K887" s="21" t="str">
        <f>'Raw Data'!K887</f>
        <v>Laptop &amp; Accessory</v>
      </c>
      <c r="L887" s="21">
        <f>'Raw Data'!L887</f>
        <v>4</v>
      </c>
      <c r="M887" s="21" t="str">
        <f>'Raw Data'!M887</f>
        <v>Married</v>
      </c>
      <c r="N887" s="21">
        <f>'Raw Data'!N887</f>
        <v>1</v>
      </c>
      <c r="O887" s="21">
        <f>'Raw Data'!O887</f>
        <v>0</v>
      </c>
      <c r="P887" s="21">
        <f>IF('Raw Data'!P887="",ROUND(AVERAGE('Raw Data'!$P$2:$P$1501),1),'Raw Data'!P887)</f>
        <v>17.2</v>
      </c>
      <c r="Q887" s="21">
        <f>IF('Raw Data'!Q887="",ROUND(AVERAGE('Raw Data'!$Q$2:$Q$1501),0),'Raw Data'!Q887)</f>
        <v>1</v>
      </c>
      <c r="R887" s="21">
        <f>'Raw Data'!R887</f>
        <v>2</v>
      </c>
      <c r="S887" s="21">
        <f>IF('Raw Data'!S887="",ROUND(AVERAGE('Raw Data'!$S$2:$S$1501),0),'Raw Data'!S887)</f>
        <v>1</v>
      </c>
      <c r="T887" s="21">
        <f>'Raw Data'!T887</f>
        <v>162.43</v>
      </c>
      <c r="U887" s="21" t="str">
        <f>INDEX('Lookup Tables'!$C$7:$C$9,MATCH(E887,'Lookup Tables'!$B$7:$B$9,0))</f>
        <v>Tier 1 (Metro)</v>
      </c>
      <c r="V887" s="21" t="str">
        <f t="shared" si="39"/>
        <v>13-24 months</v>
      </c>
      <c r="W887" s="21" t="str">
        <f t="shared" si="40"/>
        <v>Low Risk</v>
      </c>
      <c r="X887" s="21" t="str">
        <f t="shared" si="41"/>
        <v>No</v>
      </c>
    </row>
    <row r="888" spans="1:24" x14ac:dyDescent="0.3">
      <c r="A888" s="21">
        <f>'Raw Data'!A888</f>
        <v>50887</v>
      </c>
      <c r="B888" s="21">
        <f>'Raw Data'!B888</f>
        <v>1</v>
      </c>
      <c r="C888" s="21">
        <f>'Raw Data'!C888</f>
        <v>1</v>
      </c>
      <c r="D888" s="21" t="str">
        <f>'Raw Data'!D888</f>
        <v>Phone</v>
      </c>
      <c r="E888" s="21">
        <f>'Raw Data'!E888</f>
        <v>2</v>
      </c>
      <c r="F888" s="21">
        <f>IF('Raw Data'!F888="",ROUND(AVERAGE('Raw Data'!$F$2:$F$1501),1),'Raw Data'!F888)</f>
        <v>5</v>
      </c>
      <c r="G888" s="21" t="str">
        <f>'Raw Data'!G888</f>
        <v>Debit Card</v>
      </c>
      <c r="H888" s="21" t="str">
        <f>'Raw Data'!H888</f>
        <v>Male</v>
      </c>
      <c r="I888" s="21">
        <f>IF('Raw Data'!I888="",ROUND(AVERAGE('Raw Data'!$I$2:$I$1501),1),'Raw Data'!I888)</f>
        <v>2.6</v>
      </c>
      <c r="J888" s="21">
        <f>'Raw Data'!J888</f>
        <v>3</v>
      </c>
      <c r="K888" s="21" t="str">
        <f>'Raw Data'!K888</f>
        <v>Mobile Phone</v>
      </c>
      <c r="L888" s="21">
        <f>'Raw Data'!L888</f>
        <v>3</v>
      </c>
      <c r="M888" s="21" t="str">
        <f>'Raw Data'!M888</f>
        <v>Married</v>
      </c>
      <c r="N888" s="21">
        <f>'Raw Data'!N888</f>
        <v>8</v>
      </c>
      <c r="O888" s="21">
        <f>'Raw Data'!O888</f>
        <v>1</v>
      </c>
      <c r="P888" s="21">
        <f>IF('Raw Data'!P888="",ROUND(AVERAGE('Raw Data'!$P$2:$P$1501),1),'Raw Data'!P888)</f>
        <v>19</v>
      </c>
      <c r="Q888" s="21">
        <f>IF('Raw Data'!Q888="",ROUND(AVERAGE('Raw Data'!$Q$2:$Q$1501),0),'Raw Data'!Q888)</f>
        <v>1</v>
      </c>
      <c r="R888" s="21">
        <f>'Raw Data'!R888</f>
        <v>8</v>
      </c>
      <c r="S888" s="21">
        <f>IF('Raw Data'!S888="",ROUND(AVERAGE('Raw Data'!$S$2:$S$1501),0),'Raw Data'!S888)</f>
        <v>9</v>
      </c>
      <c r="T888" s="21">
        <f>'Raw Data'!T888</f>
        <v>63.72</v>
      </c>
      <c r="U888" s="21" t="str">
        <f>INDEX('Lookup Tables'!$C$7:$C$9,MATCH(E888,'Lookup Tables'!$B$7:$B$9,0))</f>
        <v>Tier 2 (Urban)</v>
      </c>
      <c r="V888" s="21" t="str">
        <f t="shared" si="39"/>
        <v>0-6 months</v>
      </c>
      <c r="W888" s="21" t="str">
        <f t="shared" si="40"/>
        <v>Medium Risk</v>
      </c>
      <c r="X888" s="21" t="str">
        <f t="shared" si="41"/>
        <v>Yes</v>
      </c>
    </row>
    <row r="889" spans="1:24" x14ac:dyDescent="0.3">
      <c r="A889" s="21">
        <f>'Raw Data'!A889</f>
        <v>50888</v>
      </c>
      <c r="B889" s="21">
        <f>'Raw Data'!B889</f>
        <v>0</v>
      </c>
      <c r="C889" s="21">
        <f>'Raw Data'!C889</f>
        <v>19</v>
      </c>
      <c r="D889" s="21" t="str">
        <f>'Raw Data'!D889</f>
        <v>Phone</v>
      </c>
      <c r="E889" s="21">
        <f>'Raw Data'!E889</f>
        <v>2</v>
      </c>
      <c r="F889" s="21">
        <f>IF('Raw Data'!F889="",ROUND(AVERAGE('Raw Data'!$F$2:$F$1501),1),'Raw Data'!F889)</f>
        <v>14.8</v>
      </c>
      <c r="G889" s="21" t="str">
        <f>'Raw Data'!G889</f>
        <v>Debit Card</v>
      </c>
      <c r="H889" s="21" t="str">
        <f>'Raw Data'!H889</f>
        <v>Male</v>
      </c>
      <c r="I889" s="21">
        <f>IF('Raw Data'!I889="",ROUND(AVERAGE('Raw Data'!$I$2:$I$1501),1),'Raw Data'!I889)</f>
        <v>3</v>
      </c>
      <c r="J889" s="21">
        <f>'Raw Data'!J889</f>
        <v>4</v>
      </c>
      <c r="K889" s="21" t="str">
        <f>'Raw Data'!K889</f>
        <v>Mobile Phone</v>
      </c>
      <c r="L889" s="21">
        <f>'Raw Data'!L889</f>
        <v>3</v>
      </c>
      <c r="M889" s="21" t="str">
        <f>'Raw Data'!M889</f>
        <v>Married</v>
      </c>
      <c r="N889" s="21">
        <f>'Raw Data'!N889</f>
        <v>2</v>
      </c>
      <c r="O889" s="21">
        <f>'Raw Data'!O889</f>
        <v>0</v>
      </c>
      <c r="P889" s="21">
        <f>IF('Raw Data'!P889="",ROUND(AVERAGE('Raw Data'!$P$2:$P$1501),1),'Raw Data'!P889)</f>
        <v>19.899999999999999</v>
      </c>
      <c r="Q889" s="21">
        <f>IF('Raw Data'!Q889="",ROUND(AVERAGE('Raw Data'!$Q$2:$Q$1501),0),'Raw Data'!Q889)</f>
        <v>3</v>
      </c>
      <c r="R889" s="21">
        <f>'Raw Data'!R889</f>
        <v>6</v>
      </c>
      <c r="S889" s="21">
        <f>IF('Raw Data'!S889="",ROUND(AVERAGE('Raw Data'!$S$2:$S$1501),0),'Raw Data'!S889)</f>
        <v>4</v>
      </c>
      <c r="T889" s="21">
        <f>'Raw Data'!T889</f>
        <v>187.56</v>
      </c>
      <c r="U889" s="21" t="str">
        <f>INDEX('Lookup Tables'!$C$7:$C$9,MATCH(E889,'Lookup Tables'!$B$7:$B$9,0))</f>
        <v>Tier 2 (Urban)</v>
      </c>
      <c r="V889" s="21" t="str">
        <f t="shared" si="39"/>
        <v>13-24 months</v>
      </c>
      <c r="W889" s="21" t="str">
        <f t="shared" si="40"/>
        <v>Medium Risk</v>
      </c>
      <c r="X889" s="21" t="str">
        <f t="shared" si="41"/>
        <v>No</v>
      </c>
    </row>
    <row r="890" spans="1:24" x14ac:dyDescent="0.3">
      <c r="A890" s="21">
        <f>'Raw Data'!A890</f>
        <v>50889</v>
      </c>
      <c r="B890" s="21">
        <f>'Raw Data'!B890</f>
        <v>0</v>
      </c>
      <c r="C890" s="21">
        <f>'Raw Data'!C890</f>
        <v>25</v>
      </c>
      <c r="D890" s="21" t="str">
        <f>'Raw Data'!D890</f>
        <v>Computer</v>
      </c>
      <c r="E890" s="21">
        <f>'Raw Data'!E890</f>
        <v>1</v>
      </c>
      <c r="F890" s="21">
        <f>IF('Raw Data'!F890="",ROUND(AVERAGE('Raw Data'!$F$2:$F$1501),1),'Raw Data'!F890)</f>
        <v>14</v>
      </c>
      <c r="G890" s="21" t="str">
        <f>'Raw Data'!G890</f>
        <v>Debit Card</v>
      </c>
      <c r="H890" s="21" t="str">
        <f>'Raw Data'!H890</f>
        <v>Male</v>
      </c>
      <c r="I890" s="21">
        <f>IF('Raw Data'!I890="",ROUND(AVERAGE('Raw Data'!$I$2:$I$1501),1),'Raw Data'!I890)</f>
        <v>2.9</v>
      </c>
      <c r="J890" s="21">
        <f>'Raw Data'!J890</f>
        <v>4</v>
      </c>
      <c r="K890" s="21" t="str">
        <f>'Raw Data'!K890</f>
        <v>Mobile Phone</v>
      </c>
      <c r="L890" s="21">
        <f>'Raw Data'!L890</f>
        <v>5</v>
      </c>
      <c r="M890" s="21" t="str">
        <f>'Raw Data'!M890</f>
        <v>Single</v>
      </c>
      <c r="N890" s="21">
        <f>'Raw Data'!N890</f>
        <v>7</v>
      </c>
      <c r="O890" s="21">
        <f>'Raw Data'!O890</f>
        <v>1</v>
      </c>
      <c r="P890" s="21">
        <f>IF('Raw Data'!P890="",ROUND(AVERAGE('Raw Data'!$P$2:$P$1501),1),'Raw Data'!P890)</f>
        <v>14.6</v>
      </c>
      <c r="Q890" s="21">
        <f>IF('Raw Data'!Q890="",ROUND(AVERAGE('Raw Data'!$Q$2:$Q$1501),0),'Raw Data'!Q890)</f>
        <v>1</v>
      </c>
      <c r="R890" s="21">
        <f>'Raw Data'!R890</f>
        <v>5</v>
      </c>
      <c r="S890" s="21">
        <f>IF('Raw Data'!S890="",ROUND(AVERAGE('Raw Data'!$S$2:$S$1501),0),'Raw Data'!S890)</f>
        <v>1</v>
      </c>
      <c r="T890" s="21">
        <f>'Raw Data'!T890</f>
        <v>252.16</v>
      </c>
      <c r="U890" s="21" t="str">
        <f>INDEX('Lookup Tables'!$C$7:$C$9,MATCH(E890,'Lookup Tables'!$B$7:$B$9,0))</f>
        <v>Tier 1 (Metro)</v>
      </c>
      <c r="V890" s="21" t="str">
        <f t="shared" si="39"/>
        <v>25+ months</v>
      </c>
      <c r="W890" s="21" t="str">
        <f t="shared" si="40"/>
        <v>Low Risk</v>
      </c>
      <c r="X890" s="21" t="str">
        <f t="shared" si="41"/>
        <v>No</v>
      </c>
    </row>
    <row r="891" spans="1:24" x14ac:dyDescent="0.3">
      <c r="A891" s="21">
        <f>'Raw Data'!A891</f>
        <v>50890</v>
      </c>
      <c r="B891" s="21">
        <f>'Raw Data'!B891</f>
        <v>1</v>
      </c>
      <c r="C891" s="21">
        <f>'Raw Data'!C891</f>
        <v>6</v>
      </c>
      <c r="D891" s="21" t="str">
        <f>'Raw Data'!D891</f>
        <v>Mobile Phone</v>
      </c>
      <c r="E891" s="21">
        <f>'Raw Data'!E891</f>
        <v>1</v>
      </c>
      <c r="F891" s="21">
        <f>IF('Raw Data'!F891="",ROUND(AVERAGE('Raw Data'!$F$2:$F$1501),1),'Raw Data'!F891)</f>
        <v>19</v>
      </c>
      <c r="G891" s="21" t="str">
        <f>'Raw Data'!G891</f>
        <v>Debit Card</v>
      </c>
      <c r="H891" s="21" t="str">
        <f>'Raw Data'!H891</f>
        <v>Male</v>
      </c>
      <c r="I891" s="21">
        <f>IF('Raw Data'!I891="",ROUND(AVERAGE('Raw Data'!$I$2:$I$1501),1),'Raw Data'!I891)</f>
        <v>2.2000000000000002</v>
      </c>
      <c r="J891" s="21">
        <f>'Raw Data'!J891</f>
        <v>3</v>
      </c>
      <c r="K891" s="21" t="str">
        <f>'Raw Data'!K891</f>
        <v>Grocery</v>
      </c>
      <c r="L891" s="21">
        <f>'Raw Data'!L891</f>
        <v>2</v>
      </c>
      <c r="M891" s="21" t="str">
        <f>'Raw Data'!M891</f>
        <v>Married</v>
      </c>
      <c r="N891" s="21">
        <f>'Raw Data'!N891</f>
        <v>7</v>
      </c>
      <c r="O891" s="21">
        <f>'Raw Data'!O891</f>
        <v>0</v>
      </c>
      <c r="P891" s="21">
        <f>IF('Raw Data'!P891="",ROUND(AVERAGE('Raw Data'!$P$2:$P$1501),1),'Raw Data'!P891)</f>
        <v>17.7</v>
      </c>
      <c r="Q891" s="21">
        <f>IF('Raw Data'!Q891="",ROUND(AVERAGE('Raw Data'!$Q$2:$Q$1501),0),'Raw Data'!Q891)</f>
        <v>1</v>
      </c>
      <c r="R891" s="21">
        <f>'Raw Data'!R891</f>
        <v>8</v>
      </c>
      <c r="S891" s="21">
        <f>IF('Raw Data'!S891="",ROUND(AVERAGE('Raw Data'!$S$2:$S$1501),0),'Raw Data'!S891)</f>
        <v>3</v>
      </c>
      <c r="T891" s="21">
        <f>'Raw Data'!T891</f>
        <v>106.22</v>
      </c>
      <c r="U891" s="21" t="str">
        <f>INDEX('Lookup Tables'!$C$7:$C$9,MATCH(E891,'Lookup Tables'!$B$7:$B$9,0))</f>
        <v>Tier 1 (Metro)</v>
      </c>
      <c r="V891" s="21" t="str">
        <f t="shared" si="39"/>
        <v>0-6 months</v>
      </c>
      <c r="W891" s="21" t="str">
        <f t="shared" si="40"/>
        <v>Low Risk</v>
      </c>
      <c r="X891" s="21" t="str">
        <f t="shared" si="41"/>
        <v>Yes</v>
      </c>
    </row>
    <row r="892" spans="1:24" x14ac:dyDescent="0.3">
      <c r="A892" s="21">
        <f>'Raw Data'!A892</f>
        <v>50891</v>
      </c>
      <c r="B892" s="21">
        <f>'Raw Data'!B892</f>
        <v>0</v>
      </c>
      <c r="C892" s="21">
        <f>'Raw Data'!C892</f>
        <v>9</v>
      </c>
      <c r="D892" s="21" t="str">
        <f>'Raw Data'!D892</f>
        <v>Computer</v>
      </c>
      <c r="E892" s="21">
        <f>'Raw Data'!E892</f>
        <v>3</v>
      </c>
      <c r="F892" s="21">
        <f>IF('Raw Data'!F892="",ROUND(AVERAGE('Raw Data'!$F$2:$F$1501),1),'Raw Data'!F892)</f>
        <v>5</v>
      </c>
      <c r="G892" s="21" t="str">
        <f>'Raw Data'!G892</f>
        <v>E wallet</v>
      </c>
      <c r="H892" s="21" t="str">
        <f>'Raw Data'!H892</f>
        <v>Female</v>
      </c>
      <c r="I892" s="21">
        <f>IF('Raw Data'!I892="",ROUND(AVERAGE('Raw Data'!$I$2:$I$1501),1),'Raw Data'!I892)</f>
        <v>3.3</v>
      </c>
      <c r="J892" s="21">
        <f>'Raw Data'!J892</f>
        <v>3</v>
      </c>
      <c r="K892" s="21" t="str">
        <f>'Raw Data'!K892</f>
        <v>Mobile Phone</v>
      </c>
      <c r="L892" s="21">
        <f>'Raw Data'!L892</f>
        <v>1</v>
      </c>
      <c r="M892" s="21" t="str">
        <f>'Raw Data'!M892</f>
        <v>Single</v>
      </c>
      <c r="N892" s="21">
        <f>'Raw Data'!N892</f>
        <v>2</v>
      </c>
      <c r="O892" s="21">
        <f>'Raw Data'!O892</f>
        <v>1</v>
      </c>
      <c r="P892" s="21">
        <f>IF('Raw Data'!P892="",ROUND(AVERAGE('Raw Data'!$P$2:$P$1501),1),'Raw Data'!P892)</f>
        <v>17.7</v>
      </c>
      <c r="Q892" s="21">
        <f>IF('Raw Data'!Q892="",ROUND(AVERAGE('Raw Data'!$Q$2:$Q$1501),0),'Raw Data'!Q892)</f>
        <v>5</v>
      </c>
      <c r="R892" s="21">
        <f>'Raw Data'!R892</f>
        <v>5</v>
      </c>
      <c r="S892" s="21">
        <f>IF('Raw Data'!S892="",ROUND(AVERAGE('Raw Data'!$S$2:$S$1501),0),'Raw Data'!S892)</f>
        <v>5</v>
      </c>
      <c r="T892" s="21">
        <f>'Raw Data'!T892</f>
        <v>188.24</v>
      </c>
      <c r="U892" s="21" t="str">
        <f>INDEX('Lookup Tables'!$C$7:$C$9,MATCH(E892,'Lookup Tables'!$B$7:$B$9,0))</f>
        <v>Tier 3 (Semi-urban/Rural)</v>
      </c>
      <c r="V892" s="21" t="str">
        <f t="shared" si="39"/>
        <v>7-12 months</v>
      </c>
      <c r="W892" s="21" t="str">
        <f t="shared" si="40"/>
        <v>High Risk</v>
      </c>
      <c r="X892" s="21" t="str">
        <f t="shared" si="41"/>
        <v>No</v>
      </c>
    </row>
    <row r="893" spans="1:24" x14ac:dyDescent="0.3">
      <c r="A893" s="21">
        <f>'Raw Data'!A893</f>
        <v>50892</v>
      </c>
      <c r="B893" s="21">
        <f>'Raw Data'!B893</f>
        <v>0</v>
      </c>
      <c r="C893" s="21">
        <f>'Raw Data'!C893</f>
        <v>14</v>
      </c>
      <c r="D893" s="21" t="str">
        <f>'Raw Data'!D893</f>
        <v>Mobile Phone</v>
      </c>
      <c r="E893" s="21">
        <f>'Raw Data'!E893</f>
        <v>3</v>
      </c>
      <c r="F893" s="21">
        <f>IF('Raw Data'!F893="",ROUND(AVERAGE('Raw Data'!$F$2:$F$1501),1),'Raw Data'!F893)</f>
        <v>13</v>
      </c>
      <c r="G893" s="21" t="str">
        <f>'Raw Data'!G893</f>
        <v>E wallet</v>
      </c>
      <c r="H893" s="21" t="str">
        <f>'Raw Data'!H893</f>
        <v>Female</v>
      </c>
      <c r="I893" s="21">
        <f>IF('Raw Data'!I893="",ROUND(AVERAGE('Raw Data'!$I$2:$I$1501),1),'Raw Data'!I893)</f>
        <v>2.9</v>
      </c>
      <c r="J893" s="21">
        <f>'Raw Data'!J893</f>
        <v>3</v>
      </c>
      <c r="K893" s="21" t="str">
        <f>'Raw Data'!K893</f>
        <v>Laptop &amp; Accessory</v>
      </c>
      <c r="L893" s="21">
        <f>'Raw Data'!L893</f>
        <v>4</v>
      </c>
      <c r="M893" s="21" t="str">
        <f>'Raw Data'!M893</f>
        <v>Married</v>
      </c>
      <c r="N893" s="21">
        <f>'Raw Data'!N893</f>
        <v>2</v>
      </c>
      <c r="O893" s="21">
        <f>'Raw Data'!O893</f>
        <v>0</v>
      </c>
      <c r="P893" s="21">
        <f>IF('Raw Data'!P893="",ROUND(AVERAGE('Raw Data'!$P$2:$P$1501),1),'Raw Data'!P893)</f>
        <v>17.100000000000001</v>
      </c>
      <c r="Q893" s="21">
        <f>IF('Raw Data'!Q893="",ROUND(AVERAGE('Raw Data'!$Q$2:$Q$1501),0),'Raw Data'!Q893)</f>
        <v>2</v>
      </c>
      <c r="R893" s="21">
        <f>'Raw Data'!R893</f>
        <v>8</v>
      </c>
      <c r="S893" s="21">
        <f>IF('Raw Data'!S893="",ROUND(AVERAGE('Raw Data'!$S$2:$S$1501),0),'Raw Data'!S893)</f>
        <v>1</v>
      </c>
      <c r="T893" s="21">
        <f>'Raw Data'!T893</f>
        <v>234.2</v>
      </c>
      <c r="U893" s="21" t="str">
        <f>INDEX('Lookup Tables'!$C$7:$C$9,MATCH(E893,'Lookup Tables'!$B$7:$B$9,0))</f>
        <v>Tier 3 (Semi-urban/Rural)</v>
      </c>
      <c r="V893" s="21" t="str">
        <f t="shared" si="39"/>
        <v>13-24 months</v>
      </c>
      <c r="W893" s="21" t="str">
        <f t="shared" si="40"/>
        <v>Low Risk</v>
      </c>
      <c r="X893" s="21" t="str">
        <f t="shared" si="41"/>
        <v>No</v>
      </c>
    </row>
    <row r="894" spans="1:24" x14ac:dyDescent="0.3">
      <c r="A894" s="21">
        <f>'Raw Data'!A894</f>
        <v>50893</v>
      </c>
      <c r="B894" s="21">
        <f>'Raw Data'!B894</f>
        <v>0</v>
      </c>
      <c r="C894" s="21">
        <f>'Raw Data'!C894</f>
        <v>1</v>
      </c>
      <c r="D894" s="21" t="str">
        <f>'Raw Data'!D894</f>
        <v>Mobile Phone</v>
      </c>
      <c r="E894" s="21">
        <f>'Raw Data'!E894</f>
        <v>1</v>
      </c>
      <c r="F894" s="21">
        <f>IF('Raw Data'!F894="",ROUND(AVERAGE('Raw Data'!$F$2:$F$1501),1),'Raw Data'!F894)</f>
        <v>16</v>
      </c>
      <c r="G894" s="21" t="str">
        <f>'Raw Data'!G894</f>
        <v>Cash on Delivery</v>
      </c>
      <c r="H894" s="21" t="str">
        <f>'Raw Data'!H894</f>
        <v>Male</v>
      </c>
      <c r="I894" s="21">
        <f>IF('Raw Data'!I894="",ROUND(AVERAGE('Raw Data'!$I$2:$I$1501),1),'Raw Data'!I894)</f>
        <v>2.2000000000000002</v>
      </c>
      <c r="J894" s="21">
        <f>'Raw Data'!J894</f>
        <v>2</v>
      </c>
      <c r="K894" s="21" t="str">
        <f>'Raw Data'!K894</f>
        <v>Others</v>
      </c>
      <c r="L894" s="21">
        <f>'Raw Data'!L894</f>
        <v>3</v>
      </c>
      <c r="M894" s="21" t="str">
        <f>'Raw Data'!M894</f>
        <v>Married</v>
      </c>
      <c r="N894" s="21">
        <f>'Raw Data'!N894</f>
        <v>1</v>
      </c>
      <c r="O894" s="21">
        <f>'Raw Data'!O894</f>
        <v>1</v>
      </c>
      <c r="P894" s="21">
        <f>IF('Raw Data'!P894="",ROUND(AVERAGE('Raw Data'!$P$2:$P$1501),1),'Raw Data'!P894)</f>
        <v>14.3</v>
      </c>
      <c r="Q894" s="21">
        <f>IF('Raw Data'!Q894="",ROUND(AVERAGE('Raw Data'!$Q$2:$Q$1501),0),'Raw Data'!Q894)</f>
        <v>0</v>
      </c>
      <c r="R894" s="21">
        <f>'Raw Data'!R894</f>
        <v>5</v>
      </c>
      <c r="S894" s="21">
        <f>IF('Raw Data'!S894="",ROUND(AVERAGE('Raw Data'!$S$2:$S$1501),0),'Raw Data'!S894)</f>
        <v>5</v>
      </c>
      <c r="T894" s="21">
        <f>'Raw Data'!T894</f>
        <v>240.01</v>
      </c>
      <c r="U894" s="21" t="str">
        <f>INDEX('Lookup Tables'!$C$7:$C$9,MATCH(E894,'Lookup Tables'!$B$7:$B$9,0))</f>
        <v>Tier 1 (Metro)</v>
      </c>
      <c r="V894" s="21" t="str">
        <f t="shared" si="39"/>
        <v>0-6 months</v>
      </c>
      <c r="W894" s="21" t="str">
        <f t="shared" si="40"/>
        <v>Medium Risk</v>
      </c>
      <c r="X894" s="21" t="str">
        <f t="shared" si="41"/>
        <v>No</v>
      </c>
    </row>
    <row r="895" spans="1:24" x14ac:dyDescent="0.3">
      <c r="A895" s="21">
        <f>'Raw Data'!A895</f>
        <v>50894</v>
      </c>
      <c r="B895" s="21">
        <f>'Raw Data'!B895</f>
        <v>0</v>
      </c>
      <c r="C895" s="21">
        <f>'Raw Data'!C895</f>
        <v>6</v>
      </c>
      <c r="D895" s="21" t="str">
        <f>'Raw Data'!D895</f>
        <v>Mobile Phone</v>
      </c>
      <c r="E895" s="21">
        <f>'Raw Data'!E895</f>
        <v>3</v>
      </c>
      <c r="F895" s="21">
        <f>IF('Raw Data'!F895="",ROUND(AVERAGE('Raw Data'!$F$2:$F$1501),1),'Raw Data'!F895)</f>
        <v>21</v>
      </c>
      <c r="G895" s="21" t="str">
        <f>'Raw Data'!G895</f>
        <v>E wallet</v>
      </c>
      <c r="H895" s="21" t="str">
        <f>'Raw Data'!H895</f>
        <v>Male</v>
      </c>
      <c r="I895" s="21">
        <f>IF('Raw Data'!I895="",ROUND(AVERAGE('Raw Data'!$I$2:$I$1501),1),'Raw Data'!I895)</f>
        <v>4.5</v>
      </c>
      <c r="J895" s="21">
        <f>'Raw Data'!J895</f>
        <v>3</v>
      </c>
      <c r="K895" s="21" t="str">
        <f>'Raw Data'!K895</f>
        <v>Others</v>
      </c>
      <c r="L895" s="21">
        <f>'Raw Data'!L895</f>
        <v>1</v>
      </c>
      <c r="M895" s="21" t="str">
        <f>'Raw Data'!M895</f>
        <v>Married</v>
      </c>
      <c r="N895" s="21">
        <f>'Raw Data'!N895</f>
        <v>2</v>
      </c>
      <c r="O895" s="21">
        <f>'Raw Data'!O895</f>
        <v>0</v>
      </c>
      <c r="P895" s="21">
        <f>IF('Raw Data'!P895="",ROUND(AVERAGE('Raw Data'!$P$2:$P$1501),1),'Raw Data'!P895)</f>
        <v>12.4</v>
      </c>
      <c r="Q895" s="21">
        <f>IF('Raw Data'!Q895="",ROUND(AVERAGE('Raw Data'!$Q$2:$Q$1501),0),'Raw Data'!Q895)</f>
        <v>1</v>
      </c>
      <c r="R895" s="21">
        <f>'Raw Data'!R895</f>
        <v>4</v>
      </c>
      <c r="S895" s="21">
        <f>IF('Raw Data'!S895="",ROUND(AVERAGE('Raw Data'!$S$2:$S$1501),0),'Raw Data'!S895)</f>
        <v>0</v>
      </c>
      <c r="T895" s="21">
        <f>'Raw Data'!T895</f>
        <v>250.39</v>
      </c>
      <c r="U895" s="21" t="str">
        <f>INDEX('Lookup Tables'!$C$7:$C$9,MATCH(E895,'Lookup Tables'!$B$7:$B$9,0))</f>
        <v>Tier 3 (Semi-urban/Rural)</v>
      </c>
      <c r="V895" s="21" t="str">
        <f t="shared" si="39"/>
        <v>0-6 months</v>
      </c>
      <c r="W895" s="21" t="str">
        <f t="shared" si="40"/>
        <v>Low Risk</v>
      </c>
      <c r="X895" s="21" t="str">
        <f t="shared" si="41"/>
        <v>No</v>
      </c>
    </row>
    <row r="896" spans="1:24" x14ac:dyDescent="0.3">
      <c r="A896" s="21">
        <f>'Raw Data'!A896</f>
        <v>50895</v>
      </c>
      <c r="B896" s="21">
        <f>'Raw Data'!B896</f>
        <v>0</v>
      </c>
      <c r="C896" s="21">
        <f>'Raw Data'!C896</f>
        <v>5</v>
      </c>
      <c r="D896" s="21" t="str">
        <f>'Raw Data'!D896</f>
        <v>Mobile Phone</v>
      </c>
      <c r="E896" s="21">
        <f>'Raw Data'!E896</f>
        <v>3</v>
      </c>
      <c r="F896" s="21">
        <f>IF('Raw Data'!F896="",ROUND(AVERAGE('Raw Data'!$F$2:$F$1501),1),'Raw Data'!F896)</f>
        <v>20</v>
      </c>
      <c r="G896" s="21" t="str">
        <f>'Raw Data'!G896</f>
        <v>Debit Card</v>
      </c>
      <c r="H896" s="21" t="str">
        <f>'Raw Data'!H896</f>
        <v>Male</v>
      </c>
      <c r="I896" s="21">
        <f>IF('Raw Data'!I896="",ROUND(AVERAGE('Raw Data'!$I$2:$I$1501),1),'Raw Data'!I896)</f>
        <v>3.2</v>
      </c>
      <c r="J896" s="21">
        <f>'Raw Data'!J896</f>
        <v>5</v>
      </c>
      <c r="K896" s="21" t="str">
        <f>'Raw Data'!K896</f>
        <v>Fashion</v>
      </c>
      <c r="L896" s="21">
        <f>'Raw Data'!L896</f>
        <v>3</v>
      </c>
      <c r="M896" s="21" t="str">
        <f>'Raw Data'!M896</f>
        <v>Single</v>
      </c>
      <c r="N896" s="21">
        <f>'Raw Data'!N896</f>
        <v>7</v>
      </c>
      <c r="O896" s="21">
        <f>'Raw Data'!O896</f>
        <v>1</v>
      </c>
      <c r="P896" s="21">
        <f>IF('Raw Data'!P896="",ROUND(AVERAGE('Raw Data'!$P$2:$P$1501),1),'Raw Data'!P896)</f>
        <v>17.8</v>
      </c>
      <c r="Q896" s="21">
        <f>IF('Raw Data'!Q896="",ROUND(AVERAGE('Raw Data'!$Q$2:$Q$1501),0),'Raw Data'!Q896)</f>
        <v>1</v>
      </c>
      <c r="R896" s="21">
        <f>'Raw Data'!R896</f>
        <v>2</v>
      </c>
      <c r="S896" s="21">
        <f>IF('Raw Data'!S896="",ROUND(AVERAGE('Raw Data'!$S$2:$S$1501),0),'Raw Data'!S896)</f>
        <v>1</v>
      </c>
      <c r="T896" s="21">
        <f>'Raw Data'!T896</f>
        <v>77.25</v>
      </c>
      <c r="U896" s="21" t="str">
        <f>INDEX('Lookup Tables'!$C$7:$C$9,MATCH(E896,'Lookup Tables'!$B$7:$B$9,0))</f>
        <v>Tier 3 (Semi-urban/Rural)</v>
      </c>
      <c r="V896" s="21" t="str">
        <f t="shared" si="39"/>
        <v>0-6 months</v>
      </c>
      <c r="W896" s="21" t="str">
        <f t="shared" si="40"/>
        <v>Medium Risk</v>
      </c>
      <c r="X896" s="21" t="str">
        <f t="shared" si="41"/>
        <v>No</v>
      </c>
    </row>
    <row r="897" spans="1:24" x14ac:dyDescent="0.3">
      <c r="A897" s="21">
        <f>'Raw Data'!A897</f>
        <v>50896</v>
      </c>
      <c r="B897" s="21">
        <f>'Raw Data'!B897</f>
        <v>0</v>
      </c>
      <c r="C897" s="21">
        <f>'Raw Data'!C897</f>
        <v>1</v>
      </c>
      <c r="D897" s="21" t="str">
        <f>'Raw Data'!D897</f>
        <v>Computer</v>
      </c>
      <c r="E897" s="21">
        <f>'Raw Data'!E897</f>
        <v>1</v>
      </c>
      <c r="F897" s="21">
        <f>IF('Raw Data'!F897="",ROUND(AVERAGE('Raw Data'!$F$2:$F$1501),1),'Raw Data'!F897)</f>
        <v>19</v>
      </c>
      <c r="G897" s="21" t="str">
        <f>'Raw Data'!G897</f>
        <v>UPI</v>
      </c>
      <c r="H897" s="21" t="str">
        <f>'Raw Data'!H897</f>
        <v>Female</v>
      </c>
      <c r="I897" s="21">
        <f>IF('Raw Data'!I897="",ROUND(AVERAGE('Raw Data'!$I$2:$I$1501),1),'Raw Data'!I897)</f>
        <v>2.8</v>
      </c>
      <c r="J897" s="21">
        <f>'Raw Data'!J897</f>
        <v>3</v>
      </c>
      <c r="K897" s="21" t="str">
        <f>'Raw Data'!K897</f>
        <v>Mobile Phone</v>
      </c>
      <c r="L897" s="21">
        <f>'Raw Data'!L897</f>
        <v>3</v>
      </c>
      <c r="M897" s="21" t="str">
        <f>'Raw Data'!M897</f>
        <v>Married</v>
      </c>
      <c r="N897" s="21">
        <f>'Raw Data'!N897</f>
        <v>5</v>
      </c>
      <c r="O897" s="21">
        <f>'Raw Data'!O897</f>
        <v>0</v>
      </c>
      <c r="P897" s="21">
        <f>IF('Raw Data'!P897="",ROUND(AVERAGE('Raw Data'!$P$2:$P$1501),1),'Raw Data'!P897)</f>
        <v>11</v>
      </c>
      <c r="Q897" s="21">
        <f>IF('Raw Data'!Q897="",ROUND(AVERAGE('Raw Data'!$Q$2:$Q$1501),0),'Raw Data'!Q897)</f>
        <v>2</v>
      </c>
      <c r="R897" s="21">
        <f>'Raw Data'!R897</f>
        <v>4</v>
      </c>
      <c r="S897" s="21">
        <f>IF('Raw Data'!S897="",ROUND(AVERAGE('Raw Data'!$S$2:$S$1501),0),'Raw Data'!S897)</f>
        <v>5</v>
      </c>
      <c r="T897" s="21">
        <f>'Raw Data'!T897</f>
        <v>207.77</v>
      </c>
      <c r="U897" s="21" t="str">
        <f>INDEX('Lookup Tables'!$C$7:$C$9,MATCH(E897,'Lookup Tables'!$B$7:$B$9,0))</f>
        <v>Tier 1 (Metro)</v>
      </c>
      <c r="V897" s="21" t="str">
        <f t="shared" si="39"/>
        <v>0-6 months</v>
      </c>
      <c r="W897" s="21" t="str">
        <f t="shared" si="40"/>
        <v>Medium Risk</v>
      </c>
      <c r="X897" s="21" t="str">
        <f t="shared" si="41"/>
        <v>No</v>
      </c>
    </row>
    <row r="898" spans="1:24" x14ac:dyDescent="0.3">
      <c r="A898" s="21">
        <f>'Raw Data'!A898</f>
        <v>50897</v>
      </c>
      <c r="B898" s="21">
        <f>'Raw Data'!B898</f>
        <v>0</v>
      </c>
      <c r="C898" s="21">
        <f>'Raw Data'!C898</f>
        <v>4</v>
      </c>
      <c r="D898" s="21" t="str">
        <f>'Raw Data'!D898</f>
        <v>Mobile Phone</v>
      </c>
      <c r="E898" s="21">
        <f>'Raw Data'!E898</f>
        <v>1</v>
      </c>
      <c r="F898" s="21">
        <f>IF('Raw Data'!F898="",ROUND(AVERAGE('Raw Data'!$F$2:$F$1501),1),'Raw Data'!F898)</f>
        <v>8</v>
      </c>
      <c r="G898" s="21" t="str">
        <f>'Raw Data'!G898</f>
        <v>UPI</v>
      </c>
      <c r="H898" s="21" t="str">
        <f>'Raw Data'!H898</f>
        <v>Male</v>
      </c>
      <c r="I898" s="21">
        <f>IF('Raw Data'!I898="",ROUND(AVERAGE('Raw Data'!$I$2:$I$1501),1),'Raw Data'!I898)</f>
        <v>3.9</v>
      </c>
      <c r="J898" s="21">
        <f>'Raw Data'!J898</f>
        <v>3</v>
      </c>
      <c r="K898" s="21" t="str">
        <f>'Raw Data'!K898</f>
        <v>Laptop &amp; Accessory</v>
      </c>
      <c r="L898" s="21">
        <f>'Raw Data'!L898</f>
        <v>4</v>
      </c>
      <c r="M898" s="21" t="str">
        <f>'Raw Data'!M898</f>
        <v>Divorced</v>
      </c>
      <c r="N898" s="21">
        <f>'Raw Data'!N898</f>
        <v>1</v>
      </c>
      <c r="O898" s="21">
        <f>'Raw Data'!O898</f>
        <v>0</v>
      </c>
      <c r="P898" s="21">
        <f>IF('Raw Data'!P898="",ROUND(AVERAGE('Raw Data'!$P$2:$P$1501),1),'Raw Data'!P898)</f>
        <v>15.1</v>
      </c>
      <c r="Q898" s="21">
        <f>IF('Raw Data'!Q898="",ROUND(AVERAGE('Raw Data'!$Q$2:$Q$1501),0),'Raw Data'!Q898)</f>
        <v>1</v>
      </c>
      <c r="R898" s="21">
        <f>'Raw Data'!R898</f>
        <v>2</v>
      </c>
      <c r="S898" s="21">
        <f>IF('Raw Data'!S898="",ROUND(AVERAGE('Raw Data'!$S$2:$S$1501),0),'Raw Data'!S898)</f>
        <v>0</v>
      </c>
      <c r="T898" s="21">
        <f>'Raw Data'!T898</f>
        <v>97.19</v>
      </c>
      <c r="U898" s="21" t="str">
        <f>INDEX('Lookup Tables'!$C$7:$C$9,MATCH(E898,'Lookup Tables'!$B$7:$B$9,0))</f>
        <v>Tier 1 (Metro)</v>
      </c>
      <c r="V898" s="21" t="str">
        <f t="shared" ref="V898:V961" si="42">IF(C898&lt;=6,"0-6 months",IF(C898&lt;=12,"7-12 months",IF(C898&lt;=24,"13-24 months","25+ months")))</f>
        <v>0-6 months</v>
      </c>
      <c r="W898" s="21" t="str">
        <f t="shared" ref="W898:W961" si="43">IF(AND(O898=1,L898&lt;=2),"High Risk",IF(OR(L898=3,S898&gt;15),"Medium Risk","Low Risk"))</f>
        <v>Low Risk</v>
      </c>
      <c r="X898" s="21" t="str">
        <f t="shared" ref="X898:X961" si="44">IF(B898=1,"Yes","No")</f>
        <v>No</v>
      </c>
    </row>
    <row r="899" spans="1:24" x14ac:dyDescent="0.3">
      <c r="A899" s="21">
        <f>'Raw Data'!A899</f>
        <v>50898</v>
      </c>
      <c r="B899" s="21">
        <f>'Raw Data'!B899</f>
        <v>0</v>
      </c>
      <c r="C899" s="21">
        <f>'Raw Data'!C899</f>
        <v>0</v>
      </c>
      <c r="D899" s="21" t="str">
        <f>'Raw Data'!D899</f>
        <v>Mobile Phone</v>
      </c>
      <c r="E899" s="21">
        <f>'Raw Data'!E899</f>
        <v>2</v>
      </c>
      <c r="F899" s="21">
        <f>IF('Raw Data'!F899="",ROUND(AVERAGE('Raw Data'!$F$2:$F$1501),1),'Raw Data'!F899)</f>
        <v>5</v>
      </c>
      <c r="G899" s="21" t="str">
        <f>'Raw Data'!G899</f>
        <v>Credit Card</v>
      </c>
      <c r="H899" s="21" t="str">
        <f>'Raw Data'!H899</f>
        <v>Male</v>
      </c>
      <c r="I899" s="21">
        <f>IF('Raw Data'!I899="",ROUND(AVERAGE('Raw Data'!$I$2:$I$1501),1),'Raw Data'!I899)</f>
        <v>4.2</v>
      </c>
      <c r="J899" s="21">
        <f>'Raw Data'!J899</f>
        <v>3</v>
      </c>
      <c r="K899" s="21" t="str">
        <f>'Raw Data'!K899</f>
        <v>Grocery</v>
      </c>
      <c r="L899" s="21">
        <f>'Raw Data'!L899</f>
        <v>2</v>
      </c>
      <c r="M899" s="21" t="str">
        <f>'Raw Data'!M899</f>
        <v>Married</v>
      </c>
      <c r="N899" s="21">
        <f>'Raw Data'!N899</f>
        <v>3</v>
      </c>
      <c r="O899" s="21">
        <f>'Raw Data'!O899</f>
        <v>1</v>
      </c>
      <c r="P899" s="21">
        <f>IF('Raw Data'!P899="",ROUND(AVERAGE('Raw Data'!$P$2:$P$1501),1),'Raw Data'!P899)</f>
        <v>11</v>
      </c>
      <c r="Q899" s="21">
        <f>IF('Raw Data'!Q899="",ROUND(AVERAGE('Raw Data'!$Q$2:$Q$1501),0),'Raw Data'!Q899)</f>
        <v>3</v>
      </c>
      <c r="R899" s="21">
        <f>'Raw Data'!R899</f>
        <v>5</v>
      </c>
      <c r="S899" s="21">
        <f>IF('Raw Data'!S899="",ROUND(AVERAGE('Raw Data'!$S$2:$S$1501),0),'Raw Data'!S899)</f>
        <v>1</v>
      </c>
      <c r="T899" s="21">
        <f>'Raw Data'!T899</f>
        <v>125.09</v>
      </c>
      <c r="U899" s="21" t="str">
        <f>INDEX('Lookup Tables'!$C$7:$C$9,MATCH(E899,'Lookup Tables'!$B$7:$B$9,0))</f>
        <v>Tier 2 (Urban)</v>
      </c>
      <c r="V899" s="21" t="str">
        <f t="shared" si="42"/>
        <v>0-6 months</v>
      </c>
      <c r="W899" s="21" t="str">
        <f t="shared" si="43"/>
        <v>High Risk</v>
      </c>
      <c r="X899" s="21" t="str">
        <f t="shared" si="44"/>
        <v>No</v>
      </c>
    </row>
    <row r="900" spans="1:24" x14ac:dyDescent="0.3">
      <c r="A900" s="21">
        <f>'Raw Data'!A900</f>
        <v>50899</v>
      </c>
      <c r="B900" s="21">
        <f>'Raw Data'!B900</f>
        <v>0</v>
      </c>
      <c r="C900" s="21">
        <f>'Raw Data'!C900</f>
        <v>0</v>
      </c>
      <c r="D900" s="21" t="str">
        <f>'Raw Data'!D900</f>
        <v>Mobile Phone</v>
      </c>
      <c r="E900" s="21">
        <f>'Raw Data'!E900</f>
        <v>3</v>
      </c>
      <c r="F900" s="21">
        <f>IF('Raw Data'!F900="",ROUND(AVERAGE('Raw Data'!$F$2:$F$1501),1),'Raw Data'!F900)</f>
        <v>11</v>
      </c>
      <c r="G900" s="21" t="str">
        <f>'Raw Data'!G900</f>
        <v>Credit Card</v>
      </c>
      <c r="H900" s="21" t="str">
        <f>'Raw Data'!H900</f>
        <v>Female</v>
      </c>
      <c r="I900" s="21">
        <f>IF('Raw Data'!I900="",ROUND(AVERAGE('Raw Data'!$I$2:$I$1501),1),'Raw Data'!I900)</f>
        <v>2.8</v>
      </c>
      <c r="J900" s="21">
        <f>'Raw Data'!J900</f>
        <v>3</v>
      </c>
      <c r="K900" s="21" t="str">
        <f>'Raw Data'!K900</f>
        <v>Laptop &amp; Accessory</v>
      </c>
      <c r="L900" s="21">
        <f>'Raw Data'!L900</f>
        <v>3</v>
      </c>
      <c r="M900" s="21" t="str">
        <f>'Raw Data'!M900</f>
        <v>Single</v>
      </c>
      <c r="N900" s="21">
        <f>'Raw Data'!N900</f>
        <v>19</v>
      </c>
      <c r="O900" s="21">
        <f>'Raw Data'!O900</f>
        <v>0</v>
      </c>
      <c r="P900" s="21">
        <f>IF('Raw Data'!P900="",ROUND(AVERAGE('Raw Data'!$P$2:$P$1501),1),'Raw Data'!P900)</f>
        <v>16.3</v>
      </c>
      <c r="Q900" s="21">
        <f>IF('Raw Data'!Q900="",ROUND(AVERAGE('Raw Data'!$Q$2:$Q$1501),0),'Raw Data'!Q900)</f>
        <v>2</v>
      </c>
      <c r="R900" s="21">
        <f>'Raw Data'!R900</f>
        <v>4</v>
      </c>
      <c r="S900" s="21">
        <f>IF('Raw Data'!S900="",ROUND(AVERAGE('Raw Data'!$S$2:$S$1501),0),'Raw Data'!S900)</f>
        <v>10</v>
      </c>
      <c r="T900" s="21">
        <f>'Raw Data'!T900</f>
        <v>225.16</v>
      </c>
      <c r="U900" s="21" t="str">
        <f>INDEX('Lookup Tables'!$C$7:$C$9,MATCH(E900,'Lookup Tables'!$B$7:$B$9,0))</f>
        <v>Tier 3 (Semi-urban/Rural)</v>
      </c>
      <c r="V900" s="21" t="str">
        <f t="shared" si="42"/>
        <v>0-6 months</v>
      </c>
      <c r="W900" s="21" t="str">
        <f t="shared" si="43"/>
        <v>Medium Risk</v>
      </c>
      <c r="X900" s="21" t="str">
        <f t="shared" si="44"/>
        <v>No</v>
      </c>
    </row>
    <row r="901" spans="1:24" x14ac:dyDescent="0.3">
      <c r="A901" s="21">
        <f>'Raw Data'!A901</f>
        <v>50900</v>
      </c>
      <c r="B901" s="21">
        <f>'Raw Data'!B901</f>
        <v>1</v>
      </c>
      <c r="C901" s="21">
        <f>'Raw Data'!C901</f>
        <v>1</v>
      </c>
      <c r="D901" s="21" t="str">
        <f>'Raw Data'!D901</f>
        <v>Phone</v>
      </c>
      <c r="E901" s="21">
        <f>'Raw Data'!E901</f>
        <v>3</v>
      </c>
      <c r="F901" s="21">
        <f>IF('Raw Data'!F901="",ROUND(AVERAGE('Raw Data'!$F$2:$F$1501),1),'Raw Data'!F901)</f>
        <v>23</v>
      </c>
      <c r="G901" s="21" t="str">
        <f>'Raw Data'!G901</f>
        <v>Cash on Delivery</v>
      </c>
      <c r="H901" s="21" t="str">
        <f>'Raw Data'!H901</f>
        <v>Male</v>
      </c>
      <c r="I901" s="21">
        <f>IF('Raw Data'!I901="",ROUND(AVERAGE('Raw Data'!$I$2:$I$1501),1),'Raw Data'!I901)</f>
        <v>3.1</v>
      </c>
      <c r="J901" s="21">
        <f>'Raw Data'!J901</f>
        <v>3</v>
      </c>
      <c r="K901" s="21" t="str">
        <f>'Raw Data'!K901</f>
        <v>Laptop &amp; Accessory</v>
      </c>
      <c r="L901" s="21">
        <f>'Raw Data'!L901</f>
        <v>3</v>
      </c>
      <c r="M901" s="21" t="str">
        <f>'Raw Data'!M901</f>
        <v>Married</v>
      </c>
      <c r="N901" s="21">
        <f>'Raw Data'!N901</f>
        <v>3</v>
      </c>
      <c r="O901" s="21">
        <f>'Raw Data'!O901</f>
        <v>0</v>
      </c>
      <c r="P901" s="21">
        <f>IF('Raw Data'!P901="",ROUND(AVERAGE('Raw Data'!$P$2:$P$1501),1),'Raw Data'!P901)</f>
        <v>12.9</v>
      </c>
      <c r="Q901" s="21">
        <f>IF('Raw Data'!Q901="",ROUND(AVERAGE('Raw Data'!$Q$2:$Q$1501),0),'Raw Data'!Q901)</f>
        <v>3</v>
      </c>
      <c r="R901" s="21">
        <f>'Raw Data'!R901</f>
        <v>4</v>
      </c>
      <c r="S901" s="21">
        <f>IF('Raw Data'!S901="",ROUND(AVERAGE('Raw Data'!$S$2:$S$1501),0),'Raw Data'!S901)</f>
        <v>5</v>
      </c>
      <c r="T901" s="21">
        <f>'Raw Data'!T901</f>
        <v>188.69</v>
      </c>
      <c r="U901" s="21" t="str">
        <f>INDEX('Lookup Tables'!$C$7:$C$9,MATCH(E901,'Lookup Tables'!$B$7:$B$9,0))</f>
        <v>Tier 3 (Semi-urban/Rural)</v>
      </c>
      <c r="V901" s="21" t="str">
        <f t="shared" si="42"/>
        <v>0-6 months</v>
      </c>
      <c r="W901" s="21" t="str">
        <f t="shared" si="43"/>
        <v>Medium Risk</v>
      </c>
      <c r="X901" s="21" t="str">
        <f t="shared" si="44"/>
        <v>Yes</v>
      </c>
    </row>
    <row r="902" spans="1:24" x14ac:dyDescent="0.3">
      <c r="A902" s="21">
        <f>'Raw Data'!A902</f>
        <v>50901</v>
      </c>
      <c r="B902" s="21">
        <f>'Raw Data'!B902</f>
        <v>0</v>
      </c>
      <c r="C902" s="21">
        <f>'Raw Data'!C902</f>
        <v>32</v>
      </c>
      <c r="D902" s="21" t="str">
        <f>'Raw Data'!D902</f>
        <v>Computer</v>
      </c>
      <c r="E902" s="21">
        <f>'Raw Data'!E902</f>
        <v>1</v>
      </c>
      <c r="F902" s="21">
        <f>IF('Raw Data'!F902="",ROUND(AVERAGE('Raw Data'!$F$2:$F$1501),1),'Raw Data'!F902)</f>
        <v>26</v>
      </c>
      <c r="G902" s="21" t="str">
        <f>'Raw Data'!G902</f>
        <v>Credit Card</v>
      </c>
      <c r="H902" s="21" t="str">
        <f>'Raw Data'!H902</f>
        <v>Male</v>
      </c>
      <c r="I902" s="21">
        <f>IF('Raw Data'!I902="",ROUND(AVERAGE('Raw Data'!$I$2:$I$1501),1),'Raw Data'!I902)</f>
        <v>2.2000000000000002</v>
      </c>
      <c r="J902" s="21">
        <f>'Raw Data'!J902</f>
        <v>4</v>
      </c>
      <c r="K902" s="21" t="str">
        <f>'Raw Data'!K902</f>
        <v>Mobile Phone</v>
      </c>
      <c r="L902" s="21">
        <f>'Raw Data'!L902</f>
        <v>3</v>
      </c>
      <c r="M902" s="21" t="str">
        <f>'Raw Data'!M902</f>
        <v>Single</v>
      </c>
      <c r="N902" s="21">
        <f>'Raw Data'!N902</f>
        <v>5</v>
      </c>
      <c r="O902" s="21">
        <f>'Raw Data'!O902</f>
        <v>1</v>
      </c>
      <c r="P902" s="21">
        <f>IF('Raw Data'!P902="",ROUND(AVERAGE('Raw Data'!$P$2:$P$1501),1),'Raw Data'!P902)</f>
        <v>19.8</v>
      </c>
      <c r="Q902" s="21">
        <f>IF('Raw Data'!Q902="",ROUND(AVERAGE('Raw Data'!$Q$2:$Q$1501),0),'Raw Data'!Q902)</f>
        <v>4</v>
      </c>
      <c r="R902" s="21">
        <f>'Raw Data'!R902</f>
        <v>4</v>
      </c>
      <c r="S902" s="21">
        <f>IF('Raw Data'!S902="",ROUND(AVERAGE('Raw Data'!$S$2:$S$1501),0),'Raw Data'!S902)</f>
        <v>3</v>
      </c>
      <c r="T902" s="21">
        <f>'Raw Data'!T902</f>
        <v>219.95</v>
      </c>
      <c r="U902" s="21" t="str">
        <f>INDEX('Lookup Tables'!$C$7:$C$9,MATCH(E902,'Lookup Tables'!$B$7:$B$9,0))</f>
        <v>Tier 1 (Metro)</v>
      </c>
      <c r="V902" s="21" t="str">
        <f t="shared" si="42"/>
        <v>25+ months</v>
      </c>
      <c r="W902" s="21" t="str">
        <f t="shared" si="43"/>
        <v>Medium Risk</v>
      </c>
      <c r="X902" s="21" t="str">
        <f t="shared" si="44"/>
        <v>No</v>
      </c>
    </row>
    <row r="903" spans="1:24" x14ac:dyDescent="0.3">
      <c r="A903" s="21">
        <f>'Raw Data'!A903</f>
        <v>50902</v>
      </c>
      <c r="B903" s="21">
        <f>'Raw Data'!B903</f>
        <v>0</v>
      </c>
      <c r="C903" s="21">
        <f>'Raw Data'!C903</f>
        <v>7</v>
      </c>
      <c r="D903" s="21" t="str">
        <f>'Raw Data'!D903</f>
        <v>Mobile Phone</v>
      </c>
      <c r="E903" s="21">
        <f>'Raw Data'!E903</f>
        <v>1</v>
      </c>
      <c r="F903" s="21">
        <f>IF('Raw Data'!F903="",ROUND(AVERAGE('Raw Data'!$F$2:$F$1501),1),'Raw Data'!F903)</f>
        <v>20</v>
      </c>
      <c r="G903" s="21" t="str">
        <f>'Raw Data'!G903</f>
        <v>Cash on Delivery</v>
      </c>
      <c r="H903" s="21" t="str">
        <f>'Raw Data'!H903</f>
        <v>Male</v>
      </c>
      <c r="I903" s="21">
        <f>IF('Raw Data'!I903="",ROUND(AVERAGE('Raw Data'!$I$2:$I$1501),1),'Raw Data'!I903)</f>
        <v>2.8</v>
      </c>
      <c r="J903" s="21">
        <f>'Raw Data'!J903</f>
        <v>3</v>
      </c>
      <c r="K903" s="21" t="str">
        <f>'Raw Data'!K903</f>
        <v>Laptop &amp; Accessory</v>
      </c>
      <c r="L903" s="21">
        <f>'Raw Data'!L903</f>
        <v>5</v>
      </c>
      <c r="M903" s="21" t="str">
        <f>'Raw Data'!M903</f>
        <v>Married</v>
      </c>
      <c r="N903" s="21">
        <f>'Raw Data'!N903</f>
        <v>5</v>
      </c>
      <c r="O903" s="21">
        <f>'Raw Data'!O903</f>
        <v>0</v>
      </c>
      <c r="P903" s="21">
        <f>IF('Raw Data'!P903="",ROUND(AVERAGE('Raw Data'!$P$2:$P$1501),1),'Raw Data'!P903)</f>
        <v>18.399999999999999</v>
      </c>
      <c r="Q903" s="21">
        <f>IF('Raw Data'!Q903="",ROUND(AVERAGE('Raw Data'!$Q$2:$Q$1501),0),'Raw Data'!Q903)</f>
        <v>3</v>
      </c>
      <c r="R903" s="21">
        <f>'Raw Data'!R903</f>
        <v>3</v>
      </c>
      <c r="S903" s="21">
        <f>IF('Raw Data'!S903="",ROUND(AVERAGE('Raw Data'!$S$2:$S$1501),0),'Raw Data'!S903)</f>
        <v>1</v>
      </c>
      <c r="T903" s="21">
        <f>'Raw Data'!T903</f>
        <v>128.9</v>
      </c>
      <c r="U903" s="21" t="str">
        <f>INDEX('Lookup Tables'!$C$7:$C$9,MATCH(E903,'Lookup Tables'!$B$7:$B$9,0))</f>
        <v>Tier 1 (Metro)</v>
      </c>
      <c r="V903" s="21" t="str">
        <f t="shared" si="42"/>
        <v>7-12 months</v>
      </c>
      <c r="W903" s="21" t="str">
        <f t="shared" si="43"/>
        <v>Low Risk</v>
      </c>
      <c r="X903" s="21" t="str">
        <f t="shared" si="44"/>
        <v>No</v>
      </c>
    </row>
    <row r="904" spans="1:24" x14ac:dyDescent="0.3">
      <c r="A904" s="21">
        <f>'Raw Data'!A904</f>
        <v>50903</v>
      </c>
      <c r="B904" s="21">
        <f>'Raw Data'!B904</f>
        <v>0</v>
      </c>
      <c r="C904" s="21">
        <f>'Raw Data'!C904</f>
        <v>33</v>
      </c>
      <c r="D904" s="21" t="str">
        <f>'Raw Data'!D904</f>
        <v>Mobile Phone</v>
      </c>
      <c r="E904" s="21">
        <f>'Raw Data'!E904</f>
        <v>2</v>
      </c>
      <c r="F904" s="21">
        <f>IF('Raw Data'!F904="",ROUND(AVERAGE('Raw Data'!$F$2:$F$1501),1),'Raw Data'!F904)</f>
        <v>18</v>
      </c>
      <c r="G904" s="21" t="str">
        <f>'Raw Data'!G904</f>
        <v>Debit Card</v>
      </c>
      <c r="H904" s="21" t="str">
        <f>'Raw Data'!H904</f>
        <v>Male</v>
      </c>
      <c r="I904" s="21">
        <f>IF('Raw Data'!I904="",ROUND(AVERAGE('Raw Data'!$I$2:$I$1501),1),'Raw Data'!I904)</f>
        <v>2.9</v>
      </c>
      <c r="J904" s="21">
        <f>'Raw Data'!J904</f>
        <v>4</v>
      </c>
      <c r="K904" s="21" t="str">
        <f>'Raw Data'!K904</f>
        <v>Laptop &amp; Accessory</v>
      </c>
      <c r="L904" s="21">
        <f>'Raw Data'!L904</f>
        <v>1</v>
      </c>
      <c r="M904" s="21" t="str">
        <f>'Raw Data'!M904</f>
        <v>Married</v>
      </c>
      <c r="N904" s="21">
        <f>'Raw Data'!N904</f>
        <v>1</v>
      </c>
      <c r="O904" s="21">
        <f>'Raw Data'!O904</f>
        <v>0</v>
      </c>
      <c r="P904" s="21">
        <f>IF('Raw Data'!P904="",ROUND(AVERAGE('Raw Data'!$P$2:$P$1501),1),'Raw Data'!P904)</f>
        <v>14.1</v>
      </c>
      <c r="Q904" s="21">
        <f>IF('Raw Data'!Q904="",ROUND(AVERAGE('Raw Data'!$Q$2:$Q$1501),0),'Raw Data'!Q904)</f>
        <v>1</v>
      </c>
      <c r="R904" s="21">
        <f>'Raw Data'!R904</f>
        <v>5</v>
      </c>
      <c r="S904" s="21">
        <f>IF('Raw Data'!S904="",ROUND(AVERAGE('Raw Data'!$S$2:$S$1501),0),'Raw Data'!S904)</f>
        <v>2</v>
      </c>
      <c r="T904" s="21">
        <f>'Raw Data'!T904</f>
        <v>261.05</v>
      </c>
      <c r="U904" s="21" t="str">
        <f>INDEX('Lookup Tables'!$C$7:$C$9,MATCH(E904,'Lookup Tables'!$B$7:$B$9,0))</f>
        <v>Tier 2 (Urban)</v>
      </c>
      <c r="V904" s="21" t="str">
        <f t="shared" si="42"/>
        <v>25+ months</v>
      </c>
      <c r="W904" s="21" t="str">
        <f t="shared" si="43"/>
        <v>Low Risk</v>
      </c>
      <c r="X904" s="21" t="str">
        <f t="shared" si="44"/>
        <v>No</v>
      </c>
    </row>
    <row r="905" spans="1:24" x14ac:dyDescent="0.3">
      <c r="A905" s="21">
        <f>'Raw Data'!A905</f>
        <v>50904</v>
      </c>
      <c r="B905" s="21">
        <f>'Raw Data'!B905</f>
        <v>0</v>
      </c>
      <c r="C905" s="21">
        <f>'Raw Data'!C905</f>
        <v>5</v>
      </c>
      <c r="D905" s="21" t="str">
        <f>'Raw Data'!D905</f>
        <v>Mobile Phone</v>
      </c>
      <c r="E905" s="21">
        <f>'Raw Data'!E905</f>
        <v>2</v>
      </c>
      <c r="F905" s="21">
        <f>IF('Raw Data'!F905="",ROUND(AVERAGE('Raw Data'!$F$2:$F$1501),1),'Raw Data'!F905)</f>
        <v>18</v>
      </c>
      <c r="G905" s="21" t="str">
        <f>'Raw Data'!G905</f>
        <v>Debit Card</v>
      </c>
      <c r="H905" s="21" t="str">
        <f>'Raw Data'!H905</f>
        <v>Male</v>
      </c>
      <c r="I905" s="21">
        <f>IF('Raw Data'!I905="",ROUND(AVERAGE('Raw Data'!$I$2:$I$1501),1),'Raw Data'!I905)</f>
        <v>3</v>
      </c>
      <c r="J905" s="21">
        <f>'Raw Data'!J905</f>
        <v>2</v>
      </c>
      <c r="K905" s="21" t="str">
        <f>'Raw Data'!K905</f>
        <v>Mobile Phone</v>
      </c>
      <c r="L905" s="21">
        <f>'Raw Data'!L905</f>
        <v>5</v>
      </c>
      <c r="M905" s="21" t="str">
        <f>'Raw Data'!M905</f>
        <v>Single</v>
      </c>
      <c r="N905" s="21">
        <f>'Raw Data'!N905</f>
        <v>1</v>
      </c>
      <c r="O905" s="21">
        <f>'Raw Data'!O905</f>
        <v>0</v>
      </c>
      <c r="P905" s="21">
        <f>IF('Raw Data'!P905="",ROUND(AVERAGE('Raw Data'!$P$2:$P$1501),1),'Raw Data'!P905)</f>
        <v>18.600000000000001</v>
      </c>
      <c r="Q905" s="21">
        <f>IF('Raw Data'!Q905="",ROUND(AVERAGE('Raw Data'!$Q$2:$Q$1501),0),'Raw Data'!Q905)</f>
        <v>1</v>
      </c>
      <c r="R905" s="21">
        <f>'Raw Data'!R905</f>
        <v>7</v>
      </c>
      <c r="S905" s="21">
        <f>IF('Raw Data'!S905="",ROUND(AVERAGE('Raw Data'!$S$2:$S$1501),0),'Raw Data'!S905)</f>
        <v>4</v>
      </c>
      <c r="T905" s="21">
        <f>'Raw Data'!T905</f>
        <v>217.86</v>
      </c>
      <c r="U905" s="21" t="str">
        <f>INDEX('Lookup Tables'!$C$7:$C$9,MATCH(E905,'Lookup Tables'!$B$7:$B$9,0))</f>
        <v>Tier 2 (Urban)</v>
      </c>
      <c r="V905" s="21" t="str">
        <f t="shared" si="42"/>
        <v>0-6 months</v>
      </c>
      <c r="W905" s="21" t="str">
        <f t="shared" si="43"/>
        <v>Low Risk</v>
      </c>
      <c r="X905" s="21" t="str">
        <f t="shared" si="44"/>
        <v>No</v>
      </c>
    </row>
    <row r="906" spans="1:24" x14ac:dyDescent="0.3">
      <c r="A906" s="21">
        <f>'Raw Data'!A906</f>
        <v>50905</v>
      </c>
      <c r="B906" s="21">
        <f>'Raw Data'!B906</f>
        <v>0</v>
      </c>
      <c r="C906" s="21">
        <f>'Raw Data'!C906</f>
        <v>3</v>
      </c>
      <c r="D906" s="21" t="str">
        <f>'Raw Data'!D906</f>
        <v>Phone</v>
      </c>
      <c r="E906" s="21">
        <f>'Raw Data'!E906</f>
        <v>1</v>
      </c>
      <c r="F906" s="21">
        <f>IF('Raw Data'!F906="",ROUND(AVERAGE('Raw Data'!$F$2:$F$1501),1),'Raw Data'!F906)</f>
        <v>10</v>
      </c>
      <c r="G906" s="21" t="str">
        <f>'Raw Data'!G906</f>
        <v>Credit Card</v>
      </c>
      <c r="H906" s="21" t="str">
        <f>'Raw Data'!H906</f>
        <v>Male</v>
      </c>
      <c r="I906" s="21">
        <f>IF('Raw Data'!I906="",ROUND(AVERAGE('Raw Data'!$I$2:$I$1501),1),'Raw Data'!I906)</f>
        <v>3.1</v>
      </c>
      <c r="J906" s="21">
        <f>'Raw Data'!J906</f>
        <v>3</v>
      </c>
      <c r="K906" s="21" t="str">
        <f>'Raw Data'!K906</f>
        <v>Laptop &amp; Accessory</v>
      </c>
      <c r="L906" s="21">
        <f>'Raw Data'!L906</f>
        <v>4</v>
      </c>
      <c r="M906" s="21" t="str">
        <f>'Raw Data'!M906</f>
        <v>Single</v>
      </c>
      <c r="N906" s="21">
        <f>'Raw Data'!N906</f>
        <v>4</v>
      </c>
      <c r="O906" s="21">
        <f>'Raw Data'!O906</f>
        <v>1</v>
      </c>
      <c r="P906" s="21">
        <f>IF('Raw Data'!P906="",ROUND(AVERAGE('Raw Data'!$P$2:$P$1501),1),'Raw Data'!P906)</f>
        <v>19.100000000000001</v>
      </c>
      <c r="Q906" s="21">
        <f>IF('Raw Data'!Q906="",ROUND(AVERAGE('Raw Data'!$Q$2:$Q$1501),0),'Raw Data'!Q906)</f>
        <v>5</v>
      </c>
      <c r="R906" s="21">
        <f>'Raw Data'!R906</f>
        <v>2</v>
      </c>
      <c r="S906" s="21">
        <f>IF('Raw Data'!S906="",ROUND(AVERAGE('Raw Data'!$S$2:$S$1501),0),'Raw Data'!S906)</f>
        <v>0</v>
      </c>
      <c r="T906" s="21">
        <f>'Raw Data'!T906</f>
        <v>228.91</v>
      </c>
      <c r="U906" s="21" t="str">
        <f>INDEX('Lookup Tables'!$C$7:$C$9,MATCH(E906,'Lookup Tables'!$B$7:$B$9,0))</f>
        <v>Tier 1 (Metro)</v>
      </c>
      <c r="V906" s="21" t="str">
        <f t="shared" si="42"/>
        <v>0-6 months</v>
      </c>
      <c r="W906" s="21" t="str">
        <f t="shared" si="43"/>
        <v>Low Risk</v>
      </c>
      <c r="X906" s="21" t="str">
        <f t="shared" si="44"/>
        <v>No</v>
      </c>
    </row>
    <row r="907" spans="1:24" x14ac:dyDescent="0.3">
      <c r="A907" s="21">
        <f>'Raw Data'!A907</f>
        <v>50906</v>
      </c>
      <c r="B907" s="21">
        <f>'Raw Data'!B907</f>
        <v>1</v>
      </c>
      <c r="C907" s="21">
        <f>'Raw Data'!C907</f>
        <v>7</v>
      </c>
      <c r="D907" s="21" t="str">
        <f>'Raw Data'!D907</f>
        <v>Computer</v>
      </c>
      <c r="E907" s="21">
        <f>'Raw Data'!E907</f>
        <v>3</v>
      </c>
      <c r="F907" s="21">
        <f>IF('Raw Data'!F907="",ROUND(AVERAGE('Raw Data'!$F$2:$F$1501),1),'Raw Data'!F907)</f>
        <v>13</v>
      </c>
      <c r="G907" s="21" t="str">
        <f>'Raw Data'!G907</f>
        <v>Credit Card</v>
      </c>
      <c r="H907" s="21" t="str">
        <f>'Raw Data'!H907</f>
        <v>Male</v>
      </c>
      <c r="I907" s="21">
        <f>IF('Raw Data'!I907="",ROUND(AVERAGE('Raw Data'!$I$2:$I$1501),1),'Raw Data'!I907)</f>
        <v>3.3</v>
      </c>
      <c r="J907" s="21">
        <f>'Raw Data'!J907</f>
        <v>3</v>
      </c>
      <c r="K907" s="21" t="str">
        <f>'Raw Data'!K907</f>
        <v>Laptop &amp; Accessory</v>
      </c>
      <c r="L907" s="21">
        <f>'Raw Data'!L907</f>
        <v>4</v>
      </c>
      <c r="M907" s="21" t="str">
        <f>'Raw Data'!M907</f>
        <v>Single</v>
      </c>
      <c r="N907" s="21">
        <f>'Raw Data'!N907</f>
        <v>2</v>
      </c>
      <c r="O907" s="21">
        <f>'Raw Data'!O907</f>
        <v>0</v>
      </c>
      <c r="P907" s="21">
        <f>IF('Raw Data'!P907="",ROUND(AVERAGE('Raw Data'!$P$2:$P$1501),1),'Raw Data'!P907)</f>
        <v>15.4</v>
      </c>
      <c r="Q907" s="21">
        <f>IF('Raw Data'!Q907="",ROUND(AVERAGE('Raw Data'!$Q$2:$Q$1501),0),'Raw Data'!Q907)</f>
        <v>1</v>
      </c>
      <c r="R907" s="21">
        <f>'Raw Data'!R907</f>
        <v>7</v>
      </c>
      <c r="S907" s="21">
        <f>IF('Raw Data'!S907="",ROUND(AVERAGE('Raw Data'!$S$2:$S$1501),0),'Raw Data'!S907)</f>
        <v>3</v>
      </c>
      <c r="T907" s="21">
        <f>'Raw Data'!T907</f>
        <v>120.59</v>
      </c>
      <c r="U907" s="21" t="str">
        <f>INDEX('Lookup Tables'!$C$7:$C$9,MATCH(E907,'Lookup Tables'!$B$7:$B$9,0))</f>
        <v>Tier 3 (Semi-urban/Rural)</v>
      </c>
      <c r="V907" s="21" t="str">
        <f t="shared" si="42"/>
        <v>7-12 months</v>
      </c>
      <c r="W907" s="21" t="str">
        <f t="shared" si="43"/>
        <v>Low Risk</v>
      </c>
      <c r="X907" s="21" t="str">
        <f t="shared" si="44"/>
        <v>Yes</v>
      </c>
    </row>
    <row r="908" spans="1:24" x14ac:dyDescent="0.3">
      <c r="A908" s="21">
        <f>'Raw Data'!A908</f>
        <v>50907</v>
      </c>
      <c r="B908" s="21">
        <f>'Raw Data'!B908</f>
        <v>1</v>
      </c>
      <c r="C908" s="21">
        <f>'Raw Data'!C908</f>
        <v>5</v>
      </c>
      <c r="D908" s="21" t="str">
        <f>'Raw Data'!D908</f>
        <v>Mobile Phone</v>
      </c>
      <c r="E908" s="21">
        <f>'Raw Data'!E908</f>
        <v>2</v>
      </c>
      <c r="F908" s="21">
        <f>IF('Raw Data'!F908="",ROUND(AVERAGE('Raw Data'!$F$2:$F$1501),1),'Raw Data'!F908)</f>
        <v>28</v>
      </c>
      <c r="G908" s="21" t="str">
        <f>'Raw Data'!G908</f>
        <v>UPI</v>
      </c>
      <c r="H908" s="21" t="str">
        <f>'Raw Data'!H908</f>
        <v>Male</v>
      </c>
      <c r="I908" s="21">
        <f>IF('Raw Data'!I908="",ROUND(AVERAGE('Raw Data'!$I$2:$I$1501),1),'Raw Data'!I908)</f>
        <v>3.1</v>
      </c>
      <c r="J908" s="21">
        <f>'Raw Data'!J908</f>
        <v>4</v>
      </c>
      <c r="K908" s="21" t="str">
        <f>'Raw Data'!K908</f>
        <v>Laptop &amp; Accessory</v>
      </c>
      <c r="L908" s="21">
        <f>'Raw Data'!L908</f>
        <v>3</v>
      </c>
      <c r="M908" s="21" t="str">
        <f>'Raw Data'!M908</f>
        <v>Divorced</v>
      </c>
      <c r="N908" s="21">
        <f>'Raw Data'!N908</f>
        <v>2</v>
      </c>
      <c r="O908" s="21">
        <f>'Raw Data'!O908</f>
        <v>0</v>
      </c>
      <c r="P908" s="21">
        <f>IF('Raw Data'!P908="",ROUND(AVERAGE('Raw Data'!$P$2:$P$1501),1),'Raw Data'!P908)</f>
        <v>11.2</v>
      </c>
      <c r="Q908" s="21">
        <f>IF('Raw Data'!Q908="",ROUND(AVERAGE('Raw Data'!$Q$2:$Q$1501),0),'Raw Data'!Q908)</f>
        <v>1</v>
      </c>
      <c r="R908" s="21">
        <f>'Raw Data'!R908</f>
        <v>8</v>
      </c>
      <c r="S908" s="21">
        <f>IF('Raw Data'!S908="",ROUND(AVERAGE('Raw Data'!$S$2:$S$1501),0),'Raw Data'!S908)</f>
        <v>2</v>
      </c>
      <c r="T908" s="21">
        <f>'Raw Data'!T908</f>
        <v>244.43</v>
      </c>
      <c r="U908" s="21" t="str">
        <f>INDEX('Lookup Tables'!$C$7:$C$9,MATCH(E908,'Lookup Tables'!$B$7:$B$9,0))</f>
        <v>Tier 2 (Urban)</v>
      </c>
      <c r="V908" s="21" t="str">
        <f t="shared" si="42"/>
        <v>0-6 months</v>
      </c>
      <c r="W908" s="21" t="str">
        <f t="shared" si="43"/>
        <v>Medium Risk</v>
      </c>
      <c r="X908" s="21" t="str">
        <f t="shared" si="44"/>
        <v>Yes</v>
      </c>
    </row>
    <row r="909" spans="1:24" x14ac:dyDescent="0.3">
      <c r="A909" s="21">
        <f>'Raw Data'!A909</f>
        <v>50908</v>
      </c>
      <c r="B909" s="21">
        <f>'Raw Data'!B909</f>
        <v>0</v>
      </c>
      <c r="C909" s="21">
        <f>'Raw Data'!C909</f>
        <v>1</v>
      </c>
      <c r="D909" s="21" t="str">
        <f>'Raw Data'!D909</f>
        <v>Computer</v>
      </c>
      <c r="E909" s="21">
        <f>'Raw Data'!E909</f>
        <v>3</v>
      </c>
      <c r="F909" s="21">
        <f>IF('Raw Data'!F909="",ROUND(AVERAGE('Raw Data'!$F$2:$F$1501),1),'Raw Data'!F909)</f>
        <v>7</v>
      </c>
      <c r="G909" s="21" t="str">
        <f>'Raw Data'!G909</f>
        <v>Cash on Delivery</v>
      </c>
      <c r="H909" s="21" t="str">
        <f>'Raw Data'!H909</f>
        <v>Female</v>
      </c>
      <c r="I909" s="21">
        <f>IF('Raw Data'!I909="",ROUND(AVERAGE('Raw Data'!$I$2:$I$1501),1),'Raw Data'!I909)</f>
        <v>2.1</v>
      </c>
      <c r="J909" s="21">
        <f>'Raw Data'!J909</f>
        <v>2</v>
      </c>
      <c r="K909" s="21" t="str">
        <f>'Raw Data'!K909</f>
        <v>Laptop &amp; Accessory</v>
      </c>
      <c r="L909" s="21">
        <f>'Raw Data'!L909</f>
        <v>3</v>
      </c>
      <c r="M909" s="21" t="str">
        <f>'Raw Data'!M909</f>
        <v>Single</v>
      </c>
      <c r="N909" s="21">
        <f>'Raw Data'!N909</f>
        <v>4</v>
      </c>
      <c r="O909" s="21">
        <f>'Raw Data'!O909</f>
        <v>0</v>
      </c>
      <c r="P909" s="21">
        <f>IF('Raw Data'!P909="",ROUND(AVERAGE('Raw Data'!$P$2:$P$1501),1),'Raw Data'!P909)</f>
        <v>15.3</v>
      </c>
      <c r="Q909" s="21">
        <f>IF('Raw Data'!Q909="",ROUND(AVERAGE('Raw Data'!$Q$2:$Q$1501),0),'Raw Data'!Q909)</f>
        <v>3</v>
      </c>
      <c r="R909" s="21">
        <f>'Raw Data'!R909</f>
        <v>3</v>
      </c>
      <c r="S909" s="21">
        <f>IF('Raw Data'!S909="",ROUND(AVERAGE('Raw Data'!$S$2:$S$1501),0),'Raw Data'!S909)</f>
        <v>3</v>
      </c>
      <c r="T909" s="21">
        <f>'Raw Data'!T909</f>
        <v>162.61000000000001</v>
      </c>
      <c r="U909" s="21" t="str">
        <f>INDEX('Lookup Tables'!$C$7:$C$9,MATCH(E909,'Lookup Tables'!$B$7:$B$9,0))</f>
        <v>Tier 3 (Semi-urban/Rural)</v>
      </c>
      <c r="V909" s="21" t="str">
        <f t="shared" si="42"/>
        <v>0-6 months</v>
      </c>
      <c r="W909" s="21" t="str">
        <f t="shared" si="43"/>
        <v>Medium Risk</v>
      </c>
      <c r="X909" s="21" t="str">
        <f t="shared" si="44"/>
        <v>No</v>
      </c>
    </row>
    <row r="910" spans="1:24" x14ac:dyDescent="0.3">
      <c r="A910" s="21">
        <f>'Raw Data'!A910</f>
        <v>50909</v>
      </c>
      <c r="B910" s="21">
        <f>'Raw Data'!B910</f>
        <v>0</v>
      </c>
      <c r="C910" s="21">
        <f>'Raw Data'!C910</f>
        <v>10</v>
      </c>
      <c r="D910" s="21" t="str">
        <f>'Raw Data'!D910</f>
        <v>Mobile Phone</v>
      </c>
      <c r="E910" s="21">
        <f>'Raw Data'!E910</f>
        <v>3</v>
      </c>
      <c r="F910" s="21">
        <f>IF('Raw Data'!F910="",ROUND(AVERAGE('Raw Data'!$F$2:$F$1501),1),'Raw Data'!F910)</f>
        <v>27</v>
      </c>
      <c r="G910" s="21" t="str">
        <f>'Raw Data'!G910</f>
        <v>Credit Card</v>
      </c>
      <c r="H910" s="21" t="str">
        <f>'Raw Data'!H910</f>
        <v>Male</v>
      </c>
      <c r="I910" s="21">
        <f>IF('Raw Data'!I910="",ROUND(AVERAGE('Raw Data'!$I$2:$I$1501),1),'Raw Data'!I910)</f>
        <v>2.2000000000000002</v>
      </c>
      <c r="J910" s="21">
        <f>'Raw Data'!J910</f>
        <v>4</v>
      </c>
      <c r="K910" s="21" t="str">
        <f>'Raw Data'!K910</f>
        <v>Fashion</v>
      </c>
      <c r="L910" s="21">
        <f>'Raw Data'!L910</f>
        <v>5</v>
      </c>
      <c r="M910" s="21" t="str">
        <f>'Raw Data'!M910</f>
        <v>Married</v>
      </c>
      <c r="N910" s="21">
        <f>'Raw Data'!N910</f>
        <v>5</v>
      </c>
      <c r="O910" s="21">
        <f>'Raw Data'!O910</f>
        <v>1</v>
      </c>
      <c r="P910" s="21">
        <f>IF('Raw Data'!P910="",ROUND(AVERAGE('Raw Data'!$P$2:$P$1501),1),'Raw Data'!P910)</f>
        <v>15.7</v>
      </c>
      <c r="Q910" s="21">
        <f>IF('Raw Data'!Q910="",ROUND(AVERAGE('Raw Data'!$Q$2:$Q$1501),0),'Raw Data'!Q910)</f>
        <v>2</v>
      </c>
      <c r="R910" s="21">
        <f>'Raw Data'!R910</f>
        <v>4</v>
      </c>
      <c r="S910" s="21">
        <f>IF('Raw Data'!S910="",ROUND(AVERAGE('Raw Data'!$S$2:$S$1501),0),'Raw Data'!S910)</f>
        <v>0</v>
      </c>
      <c r="T910" s="21">
        <f>'Raw Data'!T910</f>
        <v>146.38</v>
      </c>
      <c r="U910" s="21" t="str">
        <f>INDEX('Lookup Tables'!$C$7:$C$9,MATCH(E910,'Lookup Tables'!$B$7:$B$9,0))</f>
        <v>Tier 3 (Semi-urban/Rural)</v>
      </c>
      <c r="V910" s="21" t="str">
        <f t="shared" si="42"/>
        <v>7-12 months</v>
      </c>
      <c r="W910" s="21" t="str">
        <f t="shared" si="43"/>
        <v>Low Risk</v>
      </c>
      <c r="X910" s="21" t="str">
        <f t="shared" si="44"/>
        <v>No</v>
      </c>
    </row>
    <row r="911" spans="1:24" x14ac:dyDescent="0.3">
      <c r="A911" s="21">
        <f>'Raw Data'!A911</f>
        <v>50910</v>
      </c>
      <c r="B911" s="21">
        <f>'Raw Data'!B911</f>
        <v>0</v>
      </c>
      <c r="C911" s="21">
        <f>'Raw Data'!C911</f>
        <v>2</v>
      </c>
      <c r="D911" s="21" t="str">
        <f>'Raw Data'!D911</f>
        <v>Phone</v>
      </c>
      <c r="E911" s="21">
        <f>'Raw Data'!E911</f>
        <v>3</v>
      </c>
      <c r="F911" s="21">
        <f>IF('Raw Data'!F911="",ROUND(AVERAGE('Raw Data'!$F$2:$F$1501),1),'Raw Data'!F911)</f>
        <v>12</v>
      </c>
      <c r="G911" s="21" t="str">
        <f>'Raw Data'!G911</f>
        <v>Debit Card</v>
      </c>
      <c r="H911" s="21" t="str">
        <f>'Raw Data'!H911</f>
        <v>Male</v>
      </c>
      <c r="I911" s="21">
        <f>IF('Raw Data'!I911="",ROUND(AVERAGE('Raw Data'!$I$2:$I$1501),1),'Raw Data'!I911)</f>
        <v>2.5</v>
      </c>
      <c r="J911" s="21">
        <f>'Raw Data'!J911</f>
        <v>4</v>
      </c>
      <c r="K911" s="21" t="str">
        <f>'Raw Data'!K911</f>
        <v>Grocery</v>
      </c>
      <c r="L911" s="21">
        <f>'Raw Data'!L911</f>
        <v>5</v>
      </c>
      <c r="M911" s="21" t="str">
        <f>'Raw Data'!M911</f>
        <v>Divorced</v>
      </c>
      <c r="N911" s="21">
        <f>'Raw Data'!N911</f>
        <v>1</v>
      </c>
      <c r="O911" s="21">
        <f>'Raw Data'!O911</f>
        <v>1</v>
      </c>
      <c r="P911" s="21">
        <f>IF('Raw Data'!P911="",ROUND(AVERAGE('Raw Data'!$P$2:$P$1501),1),'Raw Data'!P911)</f>
        <v>11.7</v>
      </c>
      <c r="Q911" s="21">
        <f>IF('Raw Data'!Q911="",ROUND(AVERAGE('Raw Data'!$Q$2:$Q$1501),0),'Raw Data'!Q911)</f>
        <v>6</v>
      </c>
      <c r="R911" s="21">
        <f>'Raw Data'!R911</f>
        <v>2</v>
      </c>
      <c r="S911" s="21">
        <f>IF('Raw Data'!S911="",ROUND(AVERAGE('Raw Data'!$S$2:$S$1501),0),'Raw Data'!S911)</f>
        <v>0</v>
      </c>
      <c r="T911" s="21">
        <f>'Raw Data'!T911</f>
        <v>214.4</v>
      </c>
      <c r="U911" s="21" t="str">
        <f>INDEX('Lookup Tables'!$C$7:$C$9,MATCH(E911,'Lookup Tables'!$B$7:$B$9,0))</f>
        <v>Tier 3 (Semi-urban/Rural)</v>
      </c>
      <c r="V911" s="21" t="str">
        <f t="shared" si="42"/>
        <v>0-6 months</v>
      </c>
      <c r="W911" s="21" t="str">
        <f t="shared" si="43"/>
        <v>Low Risk</v>
      </c>
      <c r="X911" s="21" t="str">
        <f t="shared" si="44"/>
        <v>No</v>
      </c>
    </row>
    <row r="912" spans="1:24" x14ac:dyDescent="0.3">
      <c r="A912" s="21">
        <f>'Raw Data'!A912</f>
        <v>50911</v>
      </c>
      <c r="B912" s="21">
        <f>'Raw Data'!B912</f>
        <v>0</v>
      </c>
      <c r="C912" s="21">
        <f>'Raw Data'!C912</f>
        <v>9</v>
      </c>
      <c r="D912" s="21" t="str">
        <f>'Raw Data'!D912</f>
        <v>Mobile Phone</v>
      </c>
      <c r="E912" s="21">
        <f>'Raw Data'!E912</f>
        <v>1</v>
      </c>
      <c r="F912" s="21">
        <f>IF('Raw Data'!F912="",ROUND(AVERAGE('Raw Data'!$F$2:$F$1501),1),'Raw Data'!F912)</f>
        <v>25</v>
      </c>
      <c r="G912" s="21" t="str">
        <f>'Raw Data'!G912</f>
        <v>UPI</v>
      </c>
      <c r="H912" s="21" t="str">
        <f>'Raw Data'!H912</f>
        <v>Female</v>
      </c>
      <c r="I912" s="21">
        <f>IF('Raw Data'!I912="",ROUND(AVERAGE('Raw Data'!$I$2:$I$1501),1),'Raw Data'!I912)</f>
        <v>2.7</v>
      </c>
      <c r="J912" s="21">
        <f>'Raw Data'!J912</f>
        <v>2</v>
      </c>
      <c r="K912" s="21" t="str">
        <f>'Raw Data'!K912</f>
        <v>Mobile Phone</v>
      </c>
      <c r="L912" s="21">
        <f>'Raw Data'!L912</f>
        <v>2</v>
      </c>
      <c r="M912" s="21" t="str">
        <f>'Raw Data'!M912</f>
        <v>Single</v>
      </c>
      <c r="N912" s="21">
        <f>'Raw Data'!N912</f>
        <v>1</v>
      </c>
      <c r="O912" s="21">
        <f>'Raw Data'!O912</f>
        <v>1</v>
      </c>
      <c r="P912" s="21">
        <f>IF('Raw Data'!P912="",ROUND(AVERAGE('Raw Data'!$P$2:$P$1501),1),'Raw Data'!P912)</f>
        <v>17.3</v>
      </c>
      <c r="Q912" s="21">
        <f>IF('Raw Data'!Q912="",ROUND(AVERAGE('Raw Data'!$Q$2:$Q$1501),0),'Raw Data'!Q912)</f>
        <v>2</v>
      </c>
      <c r="R912" s="21">
        <f>'Raw Data'!R912</f>
        <v>3</v>
      </c>
      <c r="S912" s="21">
        <f>IF('Raw Data'!S912="",ROUND(AVERAGE('Raw Data'!$S$2:$S$1501),0),'Raw Data'!S912)</f>
        <v>16</v>
      </c>
      <c r="T912" s="21">
        <f>'Raw Data'!T912</f>
        <v>212.08</v>
      </c>
      <c r="U912" s="21" t="str">
        <f>INDEX('Lookup Tables'!$C$7:$C$9,MATCH(E912,'Lookup Tables'!$B$7:$B$9,0))</f>
        <v>Tier 1 (Metro)</v>
      </c>
      <c r="V912" s="21" t="str">
        <f t="shared" si="42"/>
        <v>7-12 months</v>
      </c>
      <c r="W912" s="21" t="str">
        <f t="shared" si="43"/>
        <v>High Risk</v>
      </c>
      <c r="X912" s="21" t="str">
        <f t="shared" si="44"/>
        <v>No</v>
      </c>
    </row>
    <row r="913" spans="1:24" x14ac:dyDescent="0.3">
      <c r="A913" s="21">
        <f>'Raw Data'!A913</f>
        <v>50912</v>
      </c>
      <c r="B913" s="21">
        <f>'Raw Data'!B913</f>
        <v>0</v>
      </c>
      <c r="C913" s="21">
        <f>'Raw Data'!C913</f>
        <v>10</v>
      </c>
      <c r="D913" s="21" t="str">
        <f>'Raw Data'!D913</f>
        <v>Mobile Phone</v>
      </c>
      <c r="E913" s="21">
        <f>'Raw Data'!E913</f>
        <v>2</v>
      </c>
      <c r="F913" s="21">
        <f>IF('Raw Data'!F913="",ROUND(AVERAGE('Raw Data'!$F$2:$F$1501),1),'Raw Data'!F913)</f>
        <v>5</v>
      </c>
      <c r="G913" s="21" t="str">
        <f>'Raw Data'!G913</f>
        <v>E wallet</v>
      </c>
      <c r="H913" s="21" t="str">
        <f>'Raw Data'!H913</f>
        <v>Female</v>
      </c>
      <c r="I913" s="21">
        <f>IF('Raw Data'!I913="",ROUND(AVERAGE('Raw Data'!$I$2:$I$1501),1),'Raw Data'!I913)</f>
        <v>2.9</v>
      </c>
      <c r="J913" s="21">
        <f>'Raw Data'!J913</f>
        <v>3</v>
      </c>
      <c r="K913" s="21" t="str">
        <f>'Raw Data'!K913</f>
        <v>Mobile Phone</v>
      </c>
      <c r="L913" s="21">
        <f>'Raw Data'!L913</f>
        <v>2</v>
      </c>
      <c r="M913" s="21" t="str">
        <f>'Raw Data'!M913</f>
        <v>Married</v>
      </c>
      <c r="N913" s="21">
        <f>'Raw Data'!N913</f>
        <v>1</v>
      </c>
      <c r="O913" s="21">
        <f>'Raw Data'!O913</f>
        <v>0</v>
      </c>
      <c r="P913" s="21">
        <f>IF('Raw Data'!P913="",ROUND(AVERAGE('Raw Data'!$P$2:$P$1501),1),'Raw Data'!P913)</f>
        <v>17</v>
      </c>
      <c r="Q913" s="21">
        <f>IF('Raw Data'!Q913="",ROUND(AVERAGE('Raw Data'!$Q$2:$Q$1501),0),'Raw Data'!Q913)</f>
        <v>4</v>
      </c>
      <c r="R913" s="21">
        <f>'Raw Data'!R913</f>
        <v>3</v>
      </c>
      <c r="S913" s="21">
        <f>IF('Raw Data'!S913="",ROUND(AVERAGE('Raw Data'!$S$2:$S$1501),0),'Raw Data'!S913)</f>
        <v>19</v>
      </c>
      <c r="T913" s="21">
        <f>'Raw Data'!T913</f>
        <v>133.41999999999999</v>
      </c>
      <c r="U913" s="21" t="str">
        <f>INDEX('Lookup Tables'!$C$7:$C$9,MATCH(E913,'Lookup Tables'!$B$7:$B$9,0))</f>
        <v>Tier 2 (Urban)</v>
      </c>
      <c r="V913" s="21" t="str">
        <f t="shared" si="42"/>
        <v>7-12 months</v>
      </c>
      <c r="W913" s="21" t="str">
        <f t="shared" si="43"/>
        <v>Medium Risk</v>
      </c>
      <c r="X913" s="21" t="str">
        <f t="shared" si="44"/>
        <v>No</v>
      </c>
    </row>
    <row r="914" spans="1:24" x14ac:dyDescent="0.3">
      <c r="A914" s="21">
        <f>'Raw Data'!A914</f>
        <v>50913</v>
      </c>
      <c r="B914" s="21">
        <f>'Raw Data'!B914</f>
        <v>0</v>
      </c>
      <c r="C914" s="21">
        <f>'Raw Data'!C914</f>
        <v>1</v>
      </c>
      <c r="D914" s="21" t="str">
        <f>'Raw Data'!D914</f>
        <v>Mobile Phone</v>
      </c>
      <c r="E914" s="21">
        <f>'Raw Data'!E914</f>
        <v>1</v>
      </c>
      <c r="F914" s="21">
        <f>IF('Raw Data'!F914="",ROUND(AVERAGE('Raw Data'!$F$2:$F$1501),1),'Raw Data'!F914)</f>
        <v>19</v>
      </c>
      <c r="G914" s="21" t="str">
        <f>'Raw Data'!G914</f>
        <v>Debit Card</v>
      </c>
      <c r="H914" s="21" t="str">
        <f>'Raw Data'!H914</f>
        <v>Female</v>
      </c>
      <c r="I914" s="21">
        <f>IF('Raw Data'!I914="",ROUND(AVERAGE('Raw Data'!$I$2:$I$1501),1),'Raw Data'!I914)</f>
        <v>2.9</v>
      </c>
      <c r="J914" s="21">
        <f>'Raw Data'!J914</f>
        <v>3</v>
      </c>
      <c r="K914" s="21" t="str">
        <f>'Raw Data'!K914</f>
        <v>Laptop &amp; Accessory</v>
      </c>
      <c r="L914" s="21">
        <f>'Raw Data'!L914</f>
        <v>3</v>
      </c>
      <c r="M914" s="21" t="str">
        <f>'Raw Data'!M914</f>
        <v>Married</v>
      </c>
      <c r="N914" s="21">
        <f>'Raw Data'!N914</f>
        <v>2</v>
      </c>
      <c r="O914" s="21">
        <f>'Raw Data'!O914</f>
        <v>0</v>
      </c>
      <c r="P914" s="21">
        <f>IF('Raw Data'!P914="",ROUND(AVERAGE('Raw Data'!$P$2:$P$1501),1),'Raw Data'!P914)</f>
        <v>17.600000000000001</v>
      </c>
      <c r="Q914" s="21">
        <f>IF('Raw Data'!Q914="",ROUND(AVERAGE('Raw Data'!$Q$2:$Q$1501),0),'Raw Data'!Q914)</f>
        <v>1</v>
      </c>
      <c r="R914" s="21">
        <f>'Raw Data'!R914</f>
        <v>4</v>
      </c>
      <c r="S914" s="21">
        <f>IF('Raw Data'!S914="",ROUND(AVERAGE('Raw Data'!$S$2:$S$1501),0),'Raw Data'!S914)</f>
        <v>2</v>
      </c>
      <c r="T914" s="21">
        <f>'Raw Data'!T914</f>
        <v>293.10000000000002</v>
      </c>
      <c r="U914" s="21" t="str">
        <f>INDEX('Lookup Tables'!$C$7:$C$9,MATCH(E914,'Lookup Tables'!$B$7:$B$9,0))</f>
        <v>Tier 1 (Metro)</v>
      </c>
      <c r="V914" s="21" t="str">
        <f t="shared" si="42"/>
        <v>0-6 months</v>
      </c>
      <c r="W914" s="21" t="str">
        <f t="shared" si="43"/>
        <v>Medium Risk</v>
      </c>
      <c r="X914" s="21" t="str">
        <f t="shared" si="44"/>
        <v>No</v>
      </c>
    </row>
    <row r="915" spans="1:24" x14ac:dyDescent="0.3">
      <c r="A915" s="21">
        <f>'Raw Data'!A915</f>
        <v>50914</v>
      </c>
      <c r="B915" s="21">
        <f>'Raw Data'!B915</f>
        <v>0</v>
      </c>
      <c r="C915" s="21">
        <f>'Raw Data'!C915</f>
        <v>0</v>
      </c>
      <c r="D915" s="21" t="str">
        <f>'Raw Data'!D915</f>
        <v>Mobile Phone</v>
      </c>
      <c r="E915" s="21">
        <f>'Raw Data'!E915</f>
        <v>2</v>
      </c>
      <c r="F915" s="21">
        <f>IF('Raw Data'!F915="",ROUND(AVERAGE('Raw Data'!$F$2:$F$1501),1),'Raw Data'!F915)</f>
        <v>9</v>
      </c>
      <c r="G915" s="21" t="str">
        <f>'Raw Data'!G915</f>
        <v>Credit Card</v>
      </c>
      <c r="H915" s="21" t="str">
        <f>'Raw Data'!H915</f>
        <v>Male</v>
      </c>
      <c r="I915" s="21">
        <f>IF('Raw Data'!I915="",ROUND(AVERAGE('Raw Data'!$I$2:$I$1501),1),'Raw Data'!I915)</f>
        <v>2.6</v>
      </c>
      <c r="J915" s="21">
        <f>'Raw Data'!J915</f>
        <v>6</v>
      </c>
      <c r="K915" s="21" t="str">
        <f>'Raw Data'!K915</f>
        <v>Laptop &amp; Accessory</v>
      </c>
      <c r="L915" s="21">
        <f>'Raw Data'!L915</f>
        <v>5</v>
      </c>
      <c r="M915" s="21" t="str">
        <f>'Raw Data'!M915</f>
        <v>Married</v>
      </c>
      <c r="N915" s="21">
        <f>'Raw Data'!N915</f>
        <v>1</v>
      </c>
      <c r="O915" s="21">
        <f>'Raw Data'!O915</f>
        <v>0</v>
      </c>
      <c r="P915" s="21">
        <f>IF('Raw Data'!P915="",ROUND(AVERAGE('Raw Data'!$P$2:$P$1501),1),'Raw Data'!P915)</f>
        <v>17</v>
      </c>
      <c r="Q915" s="21">
        <f>IF('Raw Data'!Q915="",ROUND(AVERAGE('Raw Data'!$Q$2:$Q$1501),0),'Raw Data'!Q915)</f>
        <v>2</v>
      </c>
      <c r="R915" s="21">
        <f>'Raw Data'!R915</f>
        <v>4</v>
      </c>
      <c r="S915" s="21">
        <f>IF('Raw Data'!S915="",ROUND(AVERAGE('Raw Data'!$S$2:$S$1501),0),'Raw Data'!S915)</f>
        <v>7</v>
      </c>
      <c r="T915" s="21">
        <f>'Raw Data'!T915</f>
        <v>279.79000000000002</v>
      </c>
      <c r="U915" s="21" t="str">
        <f>INDEX('Lookup Tables'!$C$7:$C$9,MATCH(E915,'Lookup Tables'!$B$7:$B$9,0))</f>
        <v>Tier 2 (Urban)</v>
      </c>
      <c r="V915" s="21" t="str">
        <f t="shared" si="42"/>
        <v>0-6 months</v>
      </c>
      <c r="W915" s="21" t="str">
        <f t="shared" si="43"/>
        <v>Low Risk</v>
      </c>
      <c r="X915" s="21" t="str">
        <f t="shared" si="44"/>
        <v>No</v>
      </c>
    </row>
    <row r="916" spans="1:24" x14ac:dyDescent="0.3">
      <c r="A916" s="21">
        <f>'Raw Data'!A916</f>
        <v>50915</v>
      </c>
      <c r="B916" s="21">
        <f>'Raw Data'!B916</f>
        <v>0</v>
      </c>
      <c r="C916" s="21">
        <f>'Raw Data'!C916</f>
        <v>15</v>
      </c>
      <c r="D916" s="21" t="str">
        <f>'Raw Data'!D916</f>
        <v>Phone</v>
      </c>
      <c r="E916" s="21">
        <f>'Raw Data'!E916</f>
        <v>1</v>
      </c>
      <c r="F916" s="21">
        <f>IF('Raw Data'!F916="",ROUND(AVERAGE('Raw Data'!$F$2:$F$1501),1),'Raw Data'!F916)</f>
        <v>5</v>
      </c>
      <c r="G916" s="21" t="str">
        <f>'Raw Data'!G916</f>
        <v>E wallet</v>
      </c>
      <c r="H916" s="21" t="str">
        <f>'Raw Data'!H916</f>
        <v>Male</v>
      </c>
      <c r="I916" s="21">
        <f>IF('Raw Data'!I916="",ROUND(AVERAGE('Raw Data'!$I$2:$I$1501),1),'Raw Data'!I916)</f>
        <v>3.6</v>
      </c>
      <c r="J916" s="21">
        <f>'Raw Data'!J916</f>
        <v>3</v>
      </c>
      <c r="K916" s="21" t="str">
        <f>'Raw Data'!K916</f>
        <v>Laptop &amp; Accessory</v>
      </c>
      <c r="L916" s="21">
        <f>'Raw Data'!L916</f>
        <v>3</v>
      </c>
      <c r="M916" s="21" t="str">
        <f>'Raw Data'!M916</f>
        <v>Single</v>
      </c>
      <c r="N916" s="21">
        <f>'Raw Data'!N916</f>
        <v>2</v>
      </c>
      <c r="O916" s="21">
        <f>'Raw Data'!O916</f>
        <v>0</v>
      </c>
      <c r="P916" s="21">
        <f>IF('Raw Data'!P916="",ROUND(AVERAGE('Raw Data'!$P$2:$P$1501),1),'Raw Data'!P916)</f>
        <v>18.600000000000001</v>
      </c>
      <c r="Q916" s="21">
        <f>IF('Raw Data'!Q916="",ROUND(AVERAGE('Raw Data'!$Q$2:$Q$1501),0),'Raw Data'!Q916)</f>
        <v>1</v>
      </c>
      <c r="R916" s="21">
        <f>'Raw Data'!R916</f>
        <v>5</v>
      </c>
      <c r="S916" s="21">
        <f>IF('Raw Data'!S916="",ROUND(AVERAGE('Raw Data'!$S$2:$S$1501),0),'Raw Data'!S916)</f>
        <v>5</v>
      </c>
      <c r="T916" s="21">
        <f>'Raw Data'!T916</f>
        <v>213.28</v>
      </c>
      <c r="U916" s="21" t="str">
        <f>INDEX('Lookup Tables'!$C$7:$C$9,MATCH(E916,'Lookup Tables'!$B$7:$B$9,0))</f>
        <v>Tier 1 (Metro)</v>
      </c>
      <c r="V916" s="21" t="str">
        <f t="shared" si="42"/>
        <v>13-24 months</v>
      </c>
      <c r="W916" s="21" t="str">
        <f t="shared" si="43"/>
        <v>Medium Risk</v>
      </c>
      <c r="X916" s="21" t="str">
        <f t="shared" si="44"/>
        <v>No</v>
      </c>
    </row>
    <row r="917" spans="1:24" x14ac:dyDescent="0.3">
      <c r="A917" s="21">
        <f>'Raw Data'!A917</f>
        <v>50916</v>
      </c>
      <c r="B917" s="21">
        <f>'Raw Data'!B917</f>
        <v>0</v>
      </c>
      <c r="C917" s="21">
        <f>'Raw Data'!C917</f>
        <v>6</v>
      </c>
      <c r="D917" s="21" t="str">
        <f>'Raw Data'!D917</f>
        <v>Mobile Phone</v>
      </c>
      <c r="E917" s="21">
        <f>'Raw Data'!E917</f>
        <v>2</v>
      </c>
      <c r="F917" s="21">
        <f>IF('Raw Data'!F917="",ROUND(AVERAGE('Raw Data'!$F$2:$F$1501),1),'Raw Data'!F917)</f>
        <v>16</v>
      </c>
      <c r="G917" s="21" t="str">
        <f>'Raw Data'!G917</f>
        <v>UPI</v>
      </c>
      <c r="H917" s="21" t="str">
        <f>'Raw Data'!H917</f>
        <v>Female</v>
      </c>
      <c r="I917" s="21">
        <f>IF('Raw Data'!I917="",ROUND(AVERAGE('Raw Data'!$I$2:$I$1501),1),'Raw Data'!I917)</f>
        <v>2.7</v>
      </c>
      <c r="J917" s="21">
        <f>'Raw Data'!J917</f>
        <v>5</v>
      </c>
      <c r="K917" s="21" t="str">
        <f>'Raw Data'!K917</f>
        <v>Mobile Phone</v>
      </c>
      <c r="L917" s="21">
        <f>'Raw Data'!L917</f>
        <v>4</v>
      </c>
      <c r="M917" s="21" t="str">
        <f>'Raw Data'!M917</f>
        <v>Single</v>
      </c>
      <c r="N917" s="21">
        <f>'Raw Data'!N917</f>
        <v>1</v>
      </c>
      <c r="O917" s="21">
        <f>'Raw Data'!O917</f>
        <v>1</v>
      </c>
      <c r="P917" s="21">
        <f>IF('Raw Data'!P917="",ROUND(AVERAGE('Raw Data'!$P$2:$P$1501),1),'Raw Data'!P917)</f>
        <v>15.4</v>
      </c>
      <c r="Q917" s="21">
        <f>IF('Raw Data'!Q917="",ROUND(AVERAGE('Raw Data'!$Q$2:$Q$1501),0),'Raw Data'!Q917)</f>
        <v>4</v>
      </c>
      <c r="R917" s="21">
        <f>'Raw Data'!R917</f>
        <v>1</v>
      </c>
      <c r="S917" s="21">
        <f>IF('Raw Data'!S917="",ROUND(AVERAGE('Raw Data'!$S$2:$S$1501),0),'Raw Data'!S917)</f>
        <v>4</v>
      </c>
      <c r="T917" s="21">
        <f>'Raw Data'!T917</f>
        <v>203.67</v>
      </c>
      <c r="U917" s="21" t="str">
        <f>INDEX('Lookup Tables'!$C$7:$C$9,MATCH(E917,'Lookup Tables'!$B$7:$B$9,0))</f>
        <v>Tier 2 (Urban)</v>
      </c>
      <c r="V917" s="21" t="str">
        <f t="shared" si="42"/>
        <v>0-6 months</v>
      </c>
      <c r="W917" s="21" t="str">
        <f t="shared" si="43"/>
        <v>Low Risk</v>
      </c>
      <c r="X917" s="21" t="str">
        <f t="shared" si="44"/>
        <v>No</v>
      </c>
    </row>
    <row r="918" spans="1:24" x14ac:dyDescent="0.3">
      <c r="A918" s="21">
        <f>'Raw Data'!A918</f>
        <v>50917</v>
      </c>
      <c r="B918" s="21">
        <f>'Raw Data'!B918</f>
        <v>1</v>
      </c>
      <c r="C918" s="21">
        <f>'Raw Data'!C918</f>
        <v>0</v>
      </c>
      <c r="D918" s="21" t="str">
        <f>'Raw Data'!D918</f>
        <v>Phone</v>
      </c>
      <c r="E918" s="21">
        <f>'Raw Data'!E918</f>
        <v>1</v>
      </c>
      <c r="F918" s="21">
        <f>IF('Raw Data'!F918="",ROUND(AVERAGE('Raw Data'!$F$2:$F$1501),1),'Raw Data'!F918)</f>
        <v>23</v>
      </c>
      <c r="G918" s="21" t="str">
        <f>'Raw Data'!G918</f>
        <v>Credit Card</v>
      </c>
      <c r="H918" s="21" t="str">
        <f>'Raw Data'!H918</f>
        <v>Female</v>
      </c>
      <c r="I918" s="21">
        <f>IF('Raw Data'!I918="",ROUND(AVERAGE('Raw Data'!$I$2:$I$1501),1),'Raw Data'!I918)</f>
        <v>3.2</v>
      </c>
      <c r="J918" s="21">
        <f>'Raw Data'!J918</f>
        <v>2</v>
      </c>
      <c r="K918" s="21" t="str">
        <f>'Raw Data'!K918</f>
        <v>Fashion</v>
      </c>
      <c r="L918" s="21">
        <f>'Raw Data'!L918</f>
        <v>4</v>
      </c>
      <c r="M918" s="21" t="str">
        <f>'Raw Data'!M918</f>
        <v>Married</v>
      </c>
      <c r="N918" s="21">
        <f>'Raw Data'!N918</f>
        <v>2</v>
      </c>
      <c r="O918" s="21">
        <f>'Raw Data'!O918</f>
        <v>1</v>
      </c>
      <c r="P918" s="21">
        <f>IF('Raw Data'!P918="",ROUND(AVERAGE('Raw Data'!$P$2:$P$1501),1),'Raw Data'!P918)</f>
        <v>16.3</v>
      </c>
      <c r="Q918" s="21">
        <f>IF('Raw Data'!Q918="",ROUND(AVERAGE('Raw Data'!$Q$2:$Q$1501),0),'Raw Data'!Q918)</f>
        <v>0</v>
      </c>
      <c r="R918" s="21">
        <f>'Raw Data'!R918</f>
        <v>3</v>
      </c>
      <c r="S918" s="21">
        <f>IF('Raw Data'!S918="",ROUND(AVERAGE('Raw Data'!$S$2:$S$1501),0),'Raw Data'!S918)</f>
        <v>1</v>
      </c>
      <c r="T918" s="21">
        <f>'Raw Data'!T918</f>
        <v>198.14</v>
      </c>
      <c r="U918" s="21" t="str">
        <f>INDEX('Lookup Tables'!$C$7:$C$9,MATCH(E918,'Lookup Tables'!$B$7:$B$9,0))</f>
        <v>Tier 1 (Metro)</v>
      </c>
      <c r="V918" s="21" t="str">
        <f t="shared" si="42"/>
        <v>0-6 months</v>
      </c>
      <c r="W918" s="21" t="str">
        <f t="shared" si="43"/>
        <v>Low Risk</v>
      </c>
      <c r="X918" s="21" t="str">
        <f t="shared" si="44"/>
        <v>Yes</v>
      </c>
    </row>
    <row r="919" spans="1:24" x14ac:dyDescent="0.3">
      <c r="A919" s="21">
        <f>'Raw Data'!A919</f>
        <v>50918</v>
      </c>
      <c r="B919" s="21">
        <f>'Raw Data'!B919</f>
        <v>0</v>
      </c>
      <c r="C919" s="21">
        <f>'Raw Data'!C919</f>
        <v>52</v>
      </c>
      <c r="D919" s="21" t="str">
        <f>'Raw Data'!D919</f>
        <v>Computer</v>
      </c>
      <c r="E919" s="21">
        <f>'Raw Data'!E919</f>
        <v>1</v>
      </c>
      <c r="F919" s="21">
        <f>IF('Raw Data'!F919="",ROUND(AVERAGE('Raw Data'!$F$2:$F$1501),1),'Raw Data'!F919)</f>
        <v>14.8</v>
      </c>
      <c r="G919" s="21" t="str">
        <f>'Raw Data'!G919</f>
        <v>Debit Card</v>
      </c>
      <c r="H919" s="21" t="str">
        <f>'Raw Data'!H919</f>
        <v>Male</v>
      </c>
      <c r="I919" s="21">
        <f>IF('Raw Data'!I919="",ROUND(AVERAGE('Raw Data'!$I$2:$I$1501),1),'Raw Data'!I919)</f>
        <v>2.8</v>
      </c>
      <c r="J919" s="21">
        <f>'Raw Data'!J919</f>
        <v>2</v>
      </c>
      <c r="K919" s="21" t="str">
        <f>'Raw Data'!K919</f>
        <v>Fashion</v>
      </c>
      <c r="L919" s="21">
        <f>'Raw Data'!L919</f>
        <v>4</v>
      </c>
      <c r="M919" s="21" t="str">
        <f>'Raw Data'!M919</f>
        <v>Divorced</v>
      </c>
      <c r="N919" s="21">
        <f>'Raw Data'!N919</f>
        <v>1</v>
      </c>
      <c r="O919" s="21">
        <f>'Raw Data'!O919</f>
        <v>0</v>
      </c>
      <c r="P919" s="21">
        <f>IF('Raw Data'!P919="",ROUND(AVERAGE('Raw Data'!$P$2:$P$1501),1),'Raw Data'!P919)</f>
        <v>14.6</v>
      </c>
      <c r="Q919" s="21">
        <f>IF('Raw Data'!Q919="",ROUND(AVERAGE('Raw Data'!$Q$2:$Q$1501),0),'Raw Data'!Q919)</f>
        <v>1</v>
      </c>
      <c r="R919" s="21">
        <f>'Raw Data'!R919</f>
        <v>4</v>
      </c>
      <c r="S919" s="21">
        <f>IF('Raw Data'!S919="",ROUND(AVERAGE('Raw Data'!$S$2:$S$1501),0),'Raw Data'!S919)</f>
        <v>1</v>
      </c>
      <c r="T919" s="21">
        <f>'Raw Data'!T919</f>
        <v>94.75</v>
      </c>
      <c r="U919" s="21" t="str">
        <f>INDEX('Lookup Tables'!$C$7:$C$9,MATCH(E919,'Lookup Tables'!$B$7:$B$9,0))</f>
        <v>Tier 1 (Metro)</v>
      </c>
      <c r="V919" s="21" t="str">
        <f t="shared" si="42"/>
        <v>25+ months</v>
      </c>
      <c r="W919" s="21" t="str">
        <f t="shared" si="43"/>
        <v>Low Risk</v>
      </c>
      <c r="X919" s="21" t="str">
        <f t="shared" si="44"/>
        <v>No</v>
      </c>
    </row>
    <row r="920" spans="1:24" x14ac:dyDescent="0.3">
      <c r="A920" s="21">
        <f>'Raw Data'!A920</f>
        <v>50919</v>
      </c>
      <c r="B920" s="21">
        <f>'Raw Data'!B920</f>
        <v>0</v>
      </c>
      <c r="C920" s="21">
        <f>'Raw Data'!C920</f>
        <v>0</v>
      </c>
      <c r="D920" s="21" t="str">
        <f>'Raw Data'!D920</f>
        <v>Mobile Phone</v>
      </c>
      <c r="E920" s="21">
        <f>'Raw Data'!E920</f>
        <v>1</v>
      </c>
      <c r="F920" s="21">
        <f>IF('Raw Data'!F920="",ROUND(AVERAGE('Raw Data'!$F$2:$F$1501),1),'Raw Data'!F920)</f>
        <v>5</v>
      </c>
      <c r="G920" s="21" t="str">
        <f>'Raw Data'!G920</f>
        <v>Cash on Delivery</v>
      </c>
      <c r="H920" s="21" t="str">
        <f>'Raw Data'!H920</f>
        <v>Female</v>
      </c>
      <c r="I920" s="21">
        <f>IF('Raw Data'!I920="",ROUND(AVERAGE('Raw Data'!$I$2:$I$1501),1),'Raw Data'!I920)</f>
        <v>3.1</v>
      </c>
      <c r="J920" s="21">
        <f>'Raw Data'!J920</f>
        <v>3</v>
      </c>
      <c r="K920" s="21" t="str">
        <f>'Raw Data'!K920</f>
        <v>Mobile Phone</v>
      </c>
      <c r="L920" s="21">
        <f>'Raw Data'!L920</f>
        <v>4</v>
      </c>
      <c r="M920" s="21" t="str">
        <f>'Raw Data'!M920</f>
        <v>Single</v>
      </c>
      <c r="N920" s="21">
        <f>'Raw Data'!N920</f>
        <v>2</v>
      </c>
      <c r="O920" s="21">
        <f>'Raw Data'!O920</f>
        <v>0</v>
      </c>
      <c r="P920" s="21">
        <f>IF('Raw Data'!P920="",ROUND(AVERAGE('Raw Data'!$P$2:$P$1501),1),'Raw Data'!P920)</f>
        <v>14</v>
      </c>
      <c r="Q920" s="21">
        <f>IF('Raw Data'!Q920="",ROUND(AVERAGE('Raw Data'!$Q$2:$Q$1501),0),'Raw Data'!Q920)</f>
        <v>1</v>
      </c>
      <c r="R920" s="21">
        <f>'Raw Data'!R920</f>
        <v>5</v>
      </c>
      <c r="S920" s="21">
        <f>IF('Raw Data'!S920="",ROUND(AVERAGE('Raw Data'!$S$2:$S$1501),0),'Raw Data'!S920)</f>
        <v>4</v>
      </c>
      <c r="T920" s="21">
        <f>'Raw Data'!T920</f>
        <v>186.2</v>
      </c>
      <c r="U920" s="21" t="str">
        <f>INDEX('Lookup Tables'!$C$7:$C$9,MATCH(E920,'Lookup Tables'!$B$7:$B$9,0))</f>
        <v>Tier 1 (Metro)</v>
      </c>
      <c r="V920" s="21" t="str">
        <f t="shared" si="42"/>
        <v>0-6 months</v>
      </c>
      <c r="W920" s="21" t="str">
        <f t="shared" si="43"/>
        <v>Low Risk</v>
      </c>
      <c r="X920" s="21" t="str">
        <f t="shared" si="44"/>
        <v>No</v>
      </c>
    </row>
    <row r="921" spans="1:24" x14ac:dyDescent="0.3">
      <c r="A921" s="21">
        <f>'Raw Data'!A921</f>
        <v>50920</v>
      </c>
      <c r="B921" s="21">
        <f>'Raw Data'!B921</f>
        <v>0</v>
      </c>
      <c r="C921" s="21">
        <f>'Raw Data'!C921</f>
        <v>11</v>
      </c>
      <c r="D921" s="21" t="str">
        <f>'Raw Data'!D921</f>
        <v>Mobile Phone</v>
      </c>
      <c r="E921" s="21">
        <f>'Raw Data'!E921</f>
        <v>1</v>
      </c>
      <c r="F921" s="21">
        <f>IF('Raw Data'!F921="",ROUND(AVERAGE('Raw Data'!$F$2:$F$1501),1),'Raw Data'!F921)</f>
        <v>14</v>
      </c>
      <c r="G921" s="21" t="str">
        <f>'Raw Data'!G921</f>
        <v>E wallet</v>
      </c>
      <c r="H921" s="21" t="str">
        <f>'Raw Data'!H921</f>
        <v>Male</v>
      </c>
      <c r="I921" s="21">
        <f>IF('Raw Data'!I921="",ROUND(AVERAGE('Raw Data'!$I$2:$I$1501),1),'Raw Data'!I921)</f>
        <v>2.7</v>
      </c>
      <c r="J921" s="21">
        <f>'Raw Data'!J921</f>
        <v>2</v>
      </c>
      <c r="K921" s="21" t="str">
        <f>'Raw Data'!K921</f>
        <v>Laptop &amp; Accessory</v>
      </c>
      <c r="L921" s="21">
        <f>'Raw Data'!L921</f>
        <v>3</v>
      </c>
      <c r="M921" s="21" t="str">
        <f>'Raw Data'!M921</f>
        <v>Single</v>
      </c>
      <c r="N921" s="21">
        <f>'Raw Data'!N921</f>
        <v>1</v>
      </c>
      <c r="O921" s="21">
        <f>'Raw Data'!O921</f>
        <v>0</v>
      </c>
      <c r="P921" s="21">
        <f>IF('Raw Data'!P921="",ROUND(AVERAGE('Raw Data'!$P$2:$P$1501),1),'Raw Data'!P921)</f>
        <v>20.7</v>
      </c>
      <c r="Q921" s="21">
        <f>IF('Raw Data'!Q921="",ROUND(AVERAGE('Raw Data'!$Q$2:$Q$1501),0),'Raw Data'!Q921)</f>
        <v>1</v>
      </c>
      <c r="R921" s="21">
        <f>'Raw Data'!R921</f>
        <v>2</v>
      </c>
      <c r="S921" s="21">
        <f>IF('Raw Data'!S921="",ROUND(AVERAGE('Raw Data'!$S$2:$S$1501),0),'Raw Data'!S921)</f>
        <v>4</v>
      </c>
      <c r="T921" s="21">
        <f>'Raw Data'!T921</f>
        <v>185.47</v>
      </c>
      <c r="U921" s="21" t="str">
        <f>INDEX('Lookup Tables'!$C$7:$C$9,MATCH(E921,'Lookup Tables'!$B$7:$B$9,0))</f>
        <v>Tier 1 (Metro)</v>
      </c>
      <c r="V921" s="21" t="str">
        <f t="shared" si="42"/>
        <v>7-12 months</v>
      </c>
      <c r="W921" s="21" t="str">
        <f t="shared" si="43"/>
        <v>Medium Risk</v>
      </c>
      <c r="X921" s="21" t="str">
        <f t="shared" si="44"/>
        <v>No</v>
      </c>
    </row>
    <row r="922" spans="1:24" x14ac:dyDescent="0.3">
      <c r="A922" s="21">
        <f>'Raw Data'!A922</f>
        <v>50921</v>
      </c>
      <c r="B922" s="21">
        <f>'Raw Data'!B922</f>
        <v>0</v>
      </c>
      <c r="C922" s="21">
        <f>'Raw Data'!C922</f>
        <v>41</v>
      </c>
      <c r="D922" s="21" t="str">
        <f>'Raw Data'!D922</f>
        <v>Mobile Phone</v>
      </c>
      <c r="E922" s="21">
        <f>'Raw Data'!E922</f>
        <v>3</v>
      </c>
      <c r="F922" s="21">
        <f>IF('Raw Data'!F922="",ROUND(AVERAGE('Raw Data'!$F$2:$F$1501),1),'Raw Data'!F922)</f>
        <v>14</v>
      </c>
      <c r="G922" s="21" t="str">
        <f>'Raw Data'!G922</f>
        <v>Credit Card</v>
      </c>
      <c r="H922" s="21" t="str">
        <f>'Raw Data'!H922</f>
        <v>Female</v>
      </c>
      <c r="I922" s="21">
        <f>IF('Raw Data'!I922="",ROUND(AVERAGE('Raw Data'!$I$2:$I$1501),1),'Raw Data'!I922)</f>
        <v>3.4</v>
      </c>
      <c r="J922" s="21">
        <f>'Raw Data'!J922</f>
        <v>3</v>
      </c>
      <c r="K922" s="21" t="str">
        <f>'Raw Data'!K922</f>
        <v>Grocery</v>
      </c>
      <c r="L922" s="21">
        <f>'Raw Data'!L922</f>
        <v>5</v>
      </c>
      <c r="M922" s="21" t="str">
        <f>'Raw Data'!M922</f>
        <v>Single</v>
      </c>
      <c r="N922" s="21">
        <f>'Raw Data'!N922</f>
        <v>1</v>
      </c>
      <c r="O922" s="21">
        <f>'Raw Data'!O922</f>
        <v>0</v>
      </c>
      <c r="P922" s="21">
        <f>IF('Raw Data'!P922="",ROUND(AVERAGE('Raw Data'!$P$2:$P$1501),1),'Raw Data'!P922)</f>
        <v>11</v>
      </c>
      <c r="Q922" s="21">
        <f>IF('Raw Data'!Q922="",ROUND(AVERAGE('Raw Data'!$Q$2:$Q$1501),0),'Raw Data'!Q922)</f>
        <v>2</v>
      </c>
      <c r="R922" s="21">
        <f>'Raw Data'!R922</f>
        <v>2</v>
      </c>
      <c r="S922" s="21">
        <f>IF('Raw Data'!S922="",ROUND(AVERAGE('Raw Data'!$S$2:$S$1501),0),'Raw Data'!S922)</f>
        <v>12</v>
      </c>
      <c r="T922" s="21">
        <f>'Raw Data'!T922</f>
        <v>148.32</v>
      </c>
      <c r="U922" s="21" t="str">
        <f>INDEX('Lookup Tables'!$C$7:$C$9,MATCH(E922,'Lookup Tables'!$B$7:$B$9,0))</f>
        <v>Tier 3 (Semi-urban/Rural)</v>
      </c>
      <c r="V922" s="21" t="str">
        <f t="shared" si="42"/>
        <v>25+ months</v>
      </c>
      <c r="W922" s="21" t="str">
        <f t="shared" si="43"/>
        <v>Low Risk</v>
      </c>
      <c r="X922" s="21" t="str">
        <f t="shared" si="44"/>
        <v>No</v>
      </c>
    </row>
    <row r="923" spans="1:24" x14ac:dyDescent="0.3">
      <c r="A923" s="21">
        <f>'Raw Data'!A923</f>
        <v>50922</v>
      </c>
      <c r="B923" s="21">
        <f>'Raw Data'!B923</f>
        <v>0</v>
      </c>
      <c r="C923" s="21">
        <f>'Raw Data'!C923</f>
        <v>2</v>
      </c>
      <c r="D923" s="21" t="str">
        <f>'Raw Data'!D923</f>
        <v>Computer</v>
      </c>
      <c r="E923" s="21">
        <f>'Raw Data'!E923</f>
        <v>3</v>
      </c>
      <c r="F923" s="21">
        <f>IF('Raw Data'!F923="",ROUND(AVERAGE('Raw Data'!$F$2:$F$1501),1),'Raw Data'!F923)</f>
        <v>19</v>
      </c>
      <c r="G923" s="21" t="str">
        <f>'Raw Data'!G923</f>
        <v>Debit Card</v>
      </c>
      <c r="H923" s="21" t="str">
        <f>'Raw Data'!H923</f>
        <v>Female</v>
      </c>
      <c r="I923" s="21">
        <f>IF('Raw Data'!I923="",ROUND(AVERAGE('Raw Data'!$I$2:$I$1501),1),'Raw Data'!I923)</f>
        <v>1.8</v>
      </c>
      <c r="J923" s="21">
        <f>'Raw Data'!J923</f>
        <v>2</v>
      </c>
      <c r="K923" s="21" t="str">
        <f>'Raw Data'!K923</f>
        <v>Mobile Phone</v>
      </c>
      <c r="L923" s="21">
        <f>'Raw Data'!L923</f>
        <v>4</v>
      </c>
      <c r="M923" s="21" t="str">
        <f>'Raw Data'!M923</f>
        <v>Married</v>
      </c>
      <c r="N923" s="21">
        <f>'Raw Data'!N923</f>
        <v>8</v>
      </c>
      <c r="O923" s="21">
        <f>'Raw Data'!O923</f>
        <v>0</v>
      </c>
      <c r="P923" s="21">
        <f>IF('Raw Data'!P923="",ROUND(AVERAGE('Raw Data'!$P$2:$P$1501),1),'Raw Data'!P923)</f>
        <v>19.100000000000001</v>
      </c>
      <c r="Q923" s="21">
        <f>IF('Raw Data'!Q923="",ROUND(AVERAGE('Raw Data'!$Q$2:$Q$1501),0),'Raw Data'!Q923)</f>
        <v>0</v>
      </c>
      <c r="R923" s="21">
        <f>'Raw Data'!R923</f>
        <v>4</v>
      </c>
      <c r="S923" s="21">
        <f>IF('Raw Data'!S923="",ROUND(AVERAGE('Raw Data'!$S$2:$S$1501),0),'Raw Data'!S923)</f>
        <v>7</v>
      </c>
      <c r="T923" s="21">
        <f>'Raw Data'!T923</f>
        <v>162.99</v>
      </c>
      <c r="U923" s="21" t="str">
        <f>INDEX('Lookup Tables'!$C$7:$C$9,MATCH(E923,'Lookup Tables'!$B$7:$B$9,0))</f>
        <v>Tier 3 (Semi-urban/Rural)</v>
      </c>
      <c r="V923" s="21" t="str">
        <f t="shared" si="42"/>
        <v>0-6 months</v>
      </c>
      <c r="W923" s="21" t="str">
        <f t="shared" si="43"/>
        <v>Low Risk</v>
      </c>
      <c r="X923" s="21" t="str">
        <f t="shared" si="44"/>
        <v>No</v>
      </c>
    </row>
    <row r="924" spans="1:24" x14ac:dyDescent="0.3">
      <c r="A924" s="21">
        <f>'Raw Data'!A924</f>
        <v>50923</v>
      </c>
      <c r="B924" s="21">
        <f>'Raw Data'!B924</f>
        <v>0</v>
      </c>
      <c r="C924" s="21">
        <f>'Raw Data'!C924</f>
        <v>1</v>
      </c>
      <c r="D924" s="21" t="str">
        <f>'Raw Data'!D924</f>
        <v>Mobile Phone</v>
      </c>
      <c r="E924" s="21">
        <f>'Raw Data'!E924</f>
        <v>2</v>
      </c>
      <c r="F924" s="21">
        <f>IF('Raw Data'!F924="",ROUND(AVERAGE('Raw Data'!$F$2:$F$1501),1),'Raw Data'!F924)</f>
        <v>22</v>
      </c>
      <c r="G924" s="21" t="str">
        <f>'Raw Data'!G924</f>
        <v>E wallet</v>
      </c>
      <c r="H924" s="21" t="str">
        <f>'Raw Data'!H924</f>
        <v>Female</v>
      </c>
      <c r="I924" s="21">
        <f>IF('Raw Data'!I924="",ROUND(AVERAGE('Raw Data'!$I$2:$I$1501),1),'Raw Data'!I924)</f>
        <v>2.6</v>
      </c>
      <c r="J924" s="21">
        <f>'Raw Data'!J924</f>
        <v>2</v>
      </c>
      <c r="K924" s="21" t="str">
        <f>'Raw Data'!K924</f>
        <v>Fashion</v>
      </c>
      <c r="L924" s="21">
        <f>'Raw Data'!L924</f>
        <v>4</v>
      </c>
      <c r="M924" s="21" t="str">
        <f>'Raw Data'!M924</f>
        <v>Single</v>
      </c>
      <c r="N924" s="21">
        <f>'Raw Data'!N924</f>
        <v>1</v>
      </c>
      <c r="O924" s="21">
        <f>'Raw Data'!O924</f>
        <v>0</v>
      </c>
      <c r="P924" s="21">
        <f>IF('Raw Data'!P924="",ROUND(AVERAGE('Raw Data'!$P$2:$P$1501),1),'Raw Data'!P924)</f>
        <v>13.8</v>
      </c>
      <c r="Q924" s="21">
        <f>IF('Raw Data'!Q924="",ROUND(AVERAGE('Raw Data'!$Q$2:$Q$1501),0),'Raw Data'!Q924)</f>
        <v>2</v>
      </c>
      <c r="R924" s="21">
        <f>'Raw Data'!R924</f>
        <v>4</v>
      </c>
      <c r="S924" s="21">
        <f>IF('Raw Data'!S924="",ROUND(AVERAGE('Raw Data'!$S$2:$S$1501),0),'Raw Data'!S924)</f>
        <v>9</v>
      </c>
      <c r="T924" s="21">
        <f>'Raw Data'!T924</f>
        <v>49.03</v>
      </c>
      <c r="U924" s="21" t="str">
        <f>INDEX('Lookup Tables'!$C$7:$C$9,MATCH(E924,'Lookup Tables'!$B$7:$B$9,0))</f>
        <v>Tier 2 (Urban)</v>
      </c>
      <c r="V924" s="21" t="str">
        <f t="shared" si="42"/>
        <v>0-6 months</v>
      </c>
      <c r="W924" s="21" t="str">
        <f t="shared" si="43"/>
        <v>Low Risk</v>
      </c>
      <c r="X924" s="21" t="str">
        <f t="shared" si="44"/>
        <v>No</v>
      </c>
    </row>
    <row r="925" spans="1:24" x14ac:dyDescent="0.3">
      <c r="A925" s="21">
        <f>'Raw Data'!A925</f>
        <v>50924</v>
      </c>
      <c r="B925" s="21">
        <f>'Raw Data'!B925</f>
        <v>1</v>
      </c>
      <c r="C925" s="21">
        <f>'Raw Data'!C925</f>
        <v>1</v>
      </c>
      <c r="D925" s="21" t="str">
        <f>'Raw Data'!D925</f>
        <v>Mobile Phone</v>
      </c>
      <c r="E925" s="21">
        <f>'Raw Data'!E925</f>
        <v>1</v>
      </c>
      <c r="F925" s="21">
        <f>IF('Raw Data'!F925="",ROUND(AVERAGE('Raw Data'!$F$2:$F$1501),1),'Raw Data'!F925)</f>
        <v>14</v>
      </c>
      <c r="G925" s="21" t="str">
        <f>'Raw Data'!G925</f>
        <v>Debit Card</v>
      </c>
      <c r="H925" s="21" t="str">
        <f>'Raw Data'!H925</f>
        <v>Female</v>
      </c>
      <c r="I925" s="21">
        <f>IF('Raw Data'!I925="",ROUND(AVERAGE('Raw Data'!$I$2:$I$1501),1),'Raw Data'!I925)</f>
        <v>3.1</v>
      </c>
      <c r="J925" s="21">
        <f>'Raw Data'!J925</f>
        <v>4</v>
      </c>
      <c r="K925" s="21" t="str">
        <f>'Raw Data'!K925</f>
        <v>Mobile Phone</v>
      </c>
      <c r="L925" s="21">
        <f>'Raw Data'!L925</f>
        <v>3</v>
      </c>
      <c r="M925" s="21" t="str">
        <f>'Raw Data'!M925</f>
        <v>Divorced</v>
      </c>
      <c r="N925" s="21">
        <f>'Raw Data'!N925</f>
        <v>4</v>
      </c>
      <c r="O925" s="21">
        <f>'Raw Data'!O925</f>
        <v>0</v>
      </c>
      <c r="P925" s="21">
        <f>IF('Raw Data'!P925="",ROUND(AVERAGE('Raw Data'!$P$2:$P$1501),1),'Raw Data'!P925)</f>
        <v>13.4</v>
      </c>
      <c r="Q925" s="21">
        <f>IF('Raw Data'!Q925="",ROUND(AVERAGE('Raw Data'!$Q$2:$Q$1501),0),'Raw Data'!Q925)</f>
        <v>2</v>
      </c>
      <c r="R925" s="21">
        <f>'Raw Data'!R925</f>
        <v>4</v>
      </c>
      <c r="S925" s="21">
        <f>IF('Raw Data'!S925="",ROUND(AVERAGE('Raw Data'!$S$2:$S$1501),0),'Raw Data'!S925)</f>
        <v>11</v>
      </c>
      <c r="T925" s="21">
        <f>'Raw Data'!T925</f>
        <v>119.65</v>
      </c>
      <c r="U925" s="21" t="str">
        <f>INDEX('Lookup Tables'!$C$7:$C$9,MATCH(E925,'Lookup Tables'!$B$7:$B$9,0))</f>
        <v>Tier 1 (Metro)</v>
      </c>
      <c r="V925" s="21" t="str">
        <f t="shared" si="42"/>
        <v>0-6 months</v>
      </c>
      <c r="W925" s="21" t="str">
        <f t="shared" si="43"/>
        <v>Medium Risk</v>
      </c>
      <c r="X925" s="21" t="str">
        <f t="shared" si="44"/>
        <v>Yes</v>
      </c>
    </row>
    <row r="926" spans="1:24" x14ac:dyDescent="0.3">
      <c r="A926" s="21">
        <f>'Raw Data'!A926</f>
        <v>50925</v>
      </c>
      <c r="B926" s="21">
        <f>'Raw Data'!B926</f>
        <v>0</v>
      </c>
      <c r="C926" s="21">
        <f>'Raw Data'!C926</f>
        <v>3</v>
      </c>
      <c r="D926" s="21" t="str">
        <f>'Raw Data'!D926</f>
        <v>Mobile Phone</v>
      </c>
      <c r="E926" s="21">
        <f>'Raw Data'!E926</f>
        <v>1</v>
      </c>
      <c r="F926" s="21">
        <f>IF('Raw Data'!F926="",ROUND(AVERAGE('Raw Data'!$F$2:$F$1501),1),'Raw Data'!F926)</f>
        <v>29</v>
      </c>
      <c r="G926" s="21" t="str">
        <f>'Raw Data'!G926</f>
        <v>Debit Card</v>
      </c>
      <c r="H926" s="21" t="str">
        <f>'Raw Data'!H926</f>
        <v>Female</v>
      </c>
      <c r="I926" s="21">
        <f>IF('Raw Data'!I926="",ROUND(AVERAGE('Raw Data'!$I$2:$I$1501),1),'Raw Data'!I926)</f>
        <v>3.3</v>
      </c>
      <c r="J926" s="21">
        <f>'Raw Data'!J926</f>
        <v>4</v>
      </c>
      <c r="K926" s="21" t="str">
        <f>'Raw Data'!K926</f>
        <v>Fashion</v>
      </c>
      <c r="L926" s="21">
        <f>'Raw Data'!L926</f>
        <v>4</v>
      </c>
      <c r="M926" s="21" t="str">
        <f>'Raw Data'!M926</f>
        <v>Single</v>
      </c>
      <c r="N926" s="21">
        <f>'Raw Data'!N926</f>
        <v>9</v>
      </c>
      <c r="O926" s="21">
        <f>'Raw Data'!O926</f>
        <v>1</v>
      </c>
      <c r="P926" s="21">
        <f>IF('Raw Data'!P926="",ROUND(AVERAGE('Raw Data'!$P$2:$P$1501),1),'Raw Data'!P926)</f>
        <v>16.899999999999999</v>
      </c>
      <c r="Q926" s="21">
        <f>IF('Raw Data'!Q926="",ROUND(AVERAGE('Raw Data'!$Q$2:$Q$1501),0),'Raw Data'!Q926)</f>
        <v>3</v>
      </c>
      <c r="R926" s="21">
        <f>'Raw Data'!R926</f>
        <v>5</v>
      </c>
      <c r="S926" s="21">
        <f>IF('Raw Data'!S926="",ROUND(AVERAGE('Raw Data'!$S$2:$S$1501),0),'Raw Data'!S926)</f>
        <v>8</v>
      </c>
      <c r="T926" s="21">
        <f>'Raw Data'!T926</f>
        <v>230.7</v>
      </c>
      <c r="U926" s="21" t="str">
        <f>INDEX('Lookup Tables'!$C$7:$C$9,MATCH(E926,'Lookup Tables'!$B$7:$B$9,0))</f>
        <v>Tier 1 (Metro)</v>
      </c>
      <c r="V926" s="21" t="str">
        <f t="shared" si="42"/>
        <v>0-6 months</v>
      </c>
      <c r="W926" s="21" t="str">
        <f t="shared" si="43"/>
        <v>Low Risk</v>
      </c>
      <c r="X926" s="21" t="str">
        <f t="shared" si="44"/>
        <v>No</v>
      </c>
    </row>
    <row r="927" spans="1:24" x14ac:dyDescent="0.3">
      <c r="A927" s="21">
        <f>'Raw Data'!A927</f>
        <v>50926</v>
      </c>
      <c r="B927" s="21">
        <f>'Raw Data'!B927</f>
        <v>1</v>
      </c>
      <c r="C927" s="21">
        <f>'Raw Data'!C927</f>
        <v>1</v>
      </c>
      <c r="D927" s="21" t="str">
        <f>'Raw Data'!D927</f>
        <v>Computer</v>
      </c>
      <c r="E927" s="21">
        <f>'Raw Data'!E927</f>
        <v>1</v>
      </c>
      <c r="F927" s="21">
        <f>IF('Raw Data'!F927="",ROUND(AVERAGE('Raw Data'!$F$2:$F$1501),1),'Raw Data'!F927)</f>
        <v>16</v>
      </c>
      <c r="G927" s="21" t="str">
        <f>'Raw Data'!G927</f>
        <v>Credit Card</v>
      </c>
      <c r="H927" s="21" t="str">
        <f>'Raw Data'!H927</f>
        <v>Male</v>
      </c>
      <c r="I927" s="21">
        <f>IF('Raw Data'!I927="",ROUND(AVERAGE('Raw Data'!$I$2:$I$1501),1),'Raw Data'!I927)</f>
        <v>3.9</v>
      </c>
      <c r="J927" s="21">
        <f>'Raw Data'!J927</f>
        <v>4</v>
      </c>
      <c r="K927" s="21" t="str">
        <f>'Raw Data'!K927</f>
        <v>Others</v>
      </c>
      <c r="L927" s="21">
        <f>'Raw Data'!L927</f>
        <v>3</v>
      </c>
      <c r="M927" s="21" t="str">
        <f>'Raw Data'!M927</f>
        <v>Divorced</v>
      </c>
      <c r="N927" s="21">
        <f>'Raw Data'!N927</f>
        <v>2</v>
      </c>
      <c r="O927" s="21">
        <f>'Raw Data'!O927</f>
        <v>0</v>
      </c>
      <c r="P927" s="21">
        <f>IF('Raw Data'!P927="",ROUND(AVERAGE('Raw Data'!$P$2:$P$1501),1),'Raw Data'!P927)</f>
        <v>11</v>
      </c>
      <c r="Q927" s="21">
        <f>IF('Raw Data'!Q927="",ROUND(AVERAGE('Raw Data'!$Q$2:$Q$1501),0),'Raw Data'!Q927)</f>
        <v>2</v>
      </c>
      <c r="R927" s="21">
        <f>'Raw Data'!R927</f>
        <v>3</v>
      </c>
      <c r="S927" s="21">
        <f>IF('Raw Data'!S927="",ROUND(AVERAGE('Raw Data'!$S$2:$S$1501),0),'Raw Data'!S927)</f>
        <v>2</v>
      </c>
      <c r="T927" s="21">
        <f>'Raw Data'!T927</f>
        <v>275.22000000000003</v>
      </c>
      <c r="U927" s="21" t="str">
        <f>INDEX('Lookup Tables'!$C$7:$C$9,MATCH(E927,'Lookup Tables'!$B$7:$B$9,0))</f>
        <v>Tier 1 (Metro)</v>
      </c>
      <c r="V927" s="21" t="str">
        <f t="shared" si="42"/>
        <v>0-6 months</v>
      </c>
      <c r="W927" s="21" t="str">
        <f t="shared" si="43"/>
        <v>Medium Risk</v>
      </c>
      <c r="X927" s="21" t="str">
        <f t="shared" si="44"/>
        <v>Yes</v>
      </c>
    </row>
    <row r="928" spans="1:24" x14ac:dyDescent="0.3">
      <c r="A928" s="21">
        <f>'Raw Data'!A928</f>
        <v>50927</v>
      </c>
      <c r="B928" s="21">
        <f>'Raw Data'!B928</f>
        <v>0</v>
      </c>
      <c r="C928" s="21">
        <f>'Raw Data'!C928</f>
        <v>11</v>
      </c>
      <c r="D928" s="21" t="str">
        <f>'Raw Data'!D928</f>
        <v>Mobile Phone</v>
      </c>
      <c r="E928" s="21">
        <f>'Raw Data'!E928</f>
        <v>1</v>
      </c>
      <c r="F928" s="21">
        <f>IF('Raw Data'!F928="",ROUND(AVERAGE('Raw Data'!$F$2:$F$1501),1),'Raw Data'!F928)</f>
        <v>12</v>
      </c>
      <c r="G928" s="21" t="str">
        <f>'Raw Data'!G928</f>
        <v>Debit Card</v>
      </c>
      <c r="H928" s="21" t="str">
        <f>'Raw Data'!H928</f>
        <v>Male</v>
      </c>
      <c r="I928" s="21">
        <f>IF('Raw Data'!I928="",ROUND(AVERAGE('Raw Data'!$I$2:$I$1501),1),'Raw Data'!I928)</f>
        <v>2.6</v>
      </c>
      <c r="J928" s="21">
        <f>'Raw Data'!J928</f>
        <v>4</v>
      </c>
      <c r="K928" s="21" t="str">
        <f>'Raw Data'!K928</f>
        <v>Others</v>
      </c>
      <c r="L928" s="21">
        <f>'Raw Data'!L928</f>
        <v>2</v>
      </c>
      <c r="M928" s="21" t="str">
        <f>'Raw Data'!M928</f>
        <v>Married</v>
      </c>
      <c r="N928" s="21">
        <f>'Raw Data'!N928</f>
        <v>7</v>
      </c>
      <c r="O928" s="21">
        <f>'Raw Data'!O928</f>
        <v>0</v>
      </c>
      <c r="P928" s="21">
        <f>IF('Raw Data'!P928="",ROUND(AVERAGE('Raw Data'!$P$2:$P$1501),1),'Raw Data'!P928)</f>
        <v>13.1</v>
      </c>
      <c r="Q928" s="21">
        <f>IF('Raw Data'!Q928="",ROUND(AVERAGE('Raw Data'!$Q$2:$Q$1501),0),'Raw Data'!Q928)</f>
        <v>0</v>
      </c>
      <c r="R928" s="21">
        <f>'Raw Data'!R928</f>
        <v>5</v>
      </c>
      <c r="S928" s="21">
        <f>IF('Raw Data'!S928="",ROUND(AVERAGE('Raw Data'!$S$2:$S$1501),0),'Raw Data'!S928)</f>
        <v>1</v>
      </c>
      <c r="T928" s="21">
        <f>'Raw Data'!T928</f>
        <v>128.11000000000001</v>
      </c>
      <c r="U928" s="21" t="str">
        <f>INDEX('Lookup Tables'!$C$7:$C$9,MATCH(E928,'Lookup Tables'!$B$7:$B$9,0))</f>
        <v>Tier 1 (Metro)</v>
      </c>
      <c r="V928" s="21" t="str">
        <f t="shared" si="42"/>
        <v>7-12 months</v>
      </c>
      <c r="W928" s="21" t="str">
        <f t="shared" si="43"/>
        <v>Low Risk</v>
      </c>
      <c r="X928" s="21" t="str">
        <f t="shared" si="44"/>
        <v>No</v>
      </c>
    </row>
    <row r="929" spans="1:24" x14ac:dyDescent="0.3">
      <c r="A929" s="21">
        <f>'Raw Data'!A929</f>
        <v>50928</v>
      </c>
      <c r="B929" s="21">
        <f>'Raw Data'!B929</f>
        <v>1</v>
      </c>
      <c r="C929" s="21">
        <f>'Raw Data'!C929</f>
        <v>0</v>
      </c>
      <c r="D929" s="21" t="str">
        <f>'Raw Data'!D929</f>
        <v>Mobile Phone</v>
      </c>
      <c r="E929" s="21">
        <f>'Raw Data'!E929</f>
        <v>3</v>
      </c>
      <c r="F929" s="21">
        <f>IF('Raw Data'!F929="",ROUND(AVERAGE('Raw Data'!$F$2:$F$1501),1),'Raw Data'!F929)</f>
        <v>5</v>
      </c>
      <c r="G929" s="21" t="str">
        <f>'Raw Data'!G929</f>
        <v>E wallet</v>
      </c>
      <c r="H929" s="21" t="str">
        <f>'Raw Data'!H929</f>
        <v>Male</v>
      </c>
      <c r="I929" s="21">
        <f>IF('Raw Data'!I929="",ROUND(AVERAGE('Raw Data'!$I$2:$I$1501),1),'Raw Data'!I929)</f>
        <v>3.9</v>
      </c>
      <c r="J929" s="21">
        <f>'Raw Data'!J929</f>
        <v>3</v>
      </c>
      <c r="K929" s="21" t="str">
        <f>'Raw Data'!K929</f>
        <v>Mobile Phone</v>
      </c>
      <c r="L929" s="21">
        <f>'Raw Data'!L929</f>
        <v>4</v>
      </c>
      <c r="M929" s="21" t="str">
        <f>'Raw Data'!M929</f>
        <v>Married</v>
      </c>
      <c r="N929" s="21">
        <f>'Raw Data'!N929</f>
        <v>1</v>
      </c>
      <c r="O929" s="21">
        <f>'Raw Data'!O929</f>
        <v>0</v>
      </c>
      <c r="P929" s="21">
        <f>IF('Raw Data'!P929="",ROUND(AVERAGE('Raw Data'!$P$2:$P$1501),1),'Raw Data'!P929)</f>
        <v>13</v>
      </c>
      <c r="Q929" s="21">
        <f>IF('Raw Data'!Q929="",ROUND(AVERAGE('Raw Data'!$Q$2:$Q$1501),0),'Raw Data'!Q929)</f>
        <v>0</v>
      </c>
      <c r="R929" s="21">
        <f>'Raw Data'!R929</f>
        <v>6</v>
      </c>
      <c r="S929" s="21">
        <f>IF('Raw Data'!S929="",ROUND(AVERAGE('Raw Data'!$S$2:$S$1501),0),'Raw Data'!S929)</f>
        <v>4</v>
      </c>
      <c r="T929" s="21">
        <f>'Raw Data'!T929</f>
        <v>190.06</v>
      </c>
      <c r="U929" s="21" t="str">
        <f>INDEX('Lookup Tables'!$C$7:$C$9,MATCH(E929,'Lookup Tables'!$B$7:$B$9,0))</f>
        <v>Tier 3 (Semi-urban/Rural)</v>
      </c>
      <c r="V929" s="21" t="str">
        <f t="shared" si="42"/>
        <v>0-6 months</v>
      </c>
      <c r="W929" s="21" t="str">
        <f t="shared" si="43"/>
        <v>Low Risk</v>
      </c>
      <c r="X929" s="21" t="str">
        <f t="shared" si="44"/>
        <v>Yes</v>
      </c>
    </row>
    <row r="930" spans="1:24" x14ac:dyDescent="0.3">
      <c r="A930" s="21">
        <f>'Raw Data'!A930</f>
        <v>50929</v>
      </c>
      <c r="B930" s="21">
        <f>'Raw Data'!B930</f>
        <v>0</v>
      </c>
      <c r="C930" s="21">
        <f>'Raw Data'!C930</f>
        <v>7</v>
      </c>
      <c r="D930" s="21" t="str">
        <f>'Raw Data'!D930</f>
        <v>Mobile Phone</v>
      </c>
      <c r="E930" s="21">
        <f>'Raw Data'!E930</f>
        <v>1</v>
      </c>
      <c r="F930" s="21">
        <f>IF('Raw Data'!F930="",ROUND(AVERAGE('Raw Data'!$F$2:$F$1501),1),'Raw Data'!F930)</f>
        <v>12</v>
      </c>
      <c r="G930" s="21" t="str">
        <f>'Raw Data'!G930</f>
        <v>Debit Card</v>
      </c>
      <c r="H930" s="21" t="str">
        <f>'Raw Data'!H930</f>
        <v>Male</v>
      </c>
      <c r="I930" s="21">
        <f>IF('Raw Data'!I930="",ROUND(AVERAGE('Raw Data'!$I$2:$I$1501),1),'Raw Data'!I930)</f>
        <v>2.4</v>
      </c>
      <c r="J930" s="21">
        <f>'Raw Data'!J930</f>
        <v>3</v>
      </c>
      <c r="K930" s="21" t="str">
        <f>'Raw Data'!K930</f>
        <v>Mobile Phone</v>
      </c>
      <c r="L930" s="21">
        <f>'Raw Data'!L930</f>
        <v>3</v>
      </c>
      <c r="M930" s="21" t="str">
        <f>'Raw Data'!M930</f>
        <v>Single</v>
      </c>
      <c r="N930" s="21">
        <f>'Raw Data'!N930</f>
        <v>2</v>
      </c>
      <c r="O930" s="21">
        <f>'Raw Data'!O930</f>
        <v>1</v>
      </c>
      <c r="P930" s="21">
        <f>IF('Raw Data'!P930="",ROUND(AVERAGE('Raw Data'!$P$2:$P$1501),1),'Raw Data'!P930)</f>
        <v>15.2</v>
      </c>
      <c r="Q930" s="21">
        <f>IF('Raw Data'!Q930="",ROUND(AVERAGE('Raw Data'!$Q$2:$Q$1501),0),'Raw Data'!Q930)</f>
        <v>0</v>
      </c>
      <c r="R930" s="21">
        <f>'Raw Data'!R930</f>
        <v>6</v>
      </c>
      <c r="S930" s="21">
        <f>IF('Raw Data'!S930="",ROUND(AVERAGE('Raw Data'!$S$2:$S$1501),0),'Raw Data'!S930)</f>
        <v>5</v>
      </c>
      <c r="T930" s="21">
        <f>'Raw Data'!T930</f>
        <v>240.41</v>
      </c>
      <c r="U930" s="21" t="str">
        <f>INDEX('Lookup Tables'!$C$7:$C$9,MATCH(E930,'Lookup Tables'!$B$7:$B$9,0))</f>
        <v>Tier 1 (Metro)</v>
      </c>
      <c r="V930" s="21" t="str">
        <f t="shared" si="42"/>
        <v>7-12 months</v>
      </c>
      <c r="W930" s="21" t="str">
        <f t="shared" si="43"/>
        <v>Medium Risk</v>
      </c>
      <c r="X930" s="21" t="str">
        <f t="shared" si="44"/>
        <v>No</v>
      </c>
    </row>
    <row r="931" spans="1:24" x14ac:dyDescent="0.3">
      <c r="A931" s="21">
        <f>'Raw Data'!A931</f>
        <v>50930</v>
      </c>
      <c r="B931" s="21">
        <f>'Raw Data'!B931</f>
        <v>0</v>
      </c>
      <c r="C931" s="21">
        <f>'Raw Data'!C931</f>
        <v>57</v>
      </c>
      <c r="D931" s="21" t="str">
        <f>'Raw Data'!D931</f>
        <v>Mobile Phone</v>
      </c>
      <c r="E931" s="21">
        <f>'Raw Data'!E931</f>
        <v>1</v>
      </c>
      <c r="F931" s="21">
        <f>IF('Raw Data'!F931="",ROUND(AVERAGE('Raw Data'!$F$2:$F$1501),1),'Raw Data'!F931)</f>
        <v>12</v>
      </c>
      <c r="G931" s="21" t="str">
        <f>'Raw Data'!G931</f>
        <v>E wallet</v>
      </c>
      <c r="H931" s="21" t="str">
        <f>'Raw Data'!H931</f>
        <v>Female</v>
      </c>
      <c r="I931" s="21">
        <f>IF('Raw Data'!I931="",ROUND(AVERAGE('Raw Data'!$I$2:$I$1501),1),'Raw Data'!I931)</f>
        <v>3.8</v>
      </c>
      <c r="J931" s="21">
        <f>'Raw Data'!J931</f>
        <v>2</v>
      </c>
      <c r="K931" s="21" t="str">
        <f>'Raw Data'!K931</f>
        <v>Laptop &amp; Accessory</v>
      </c>
      <c r="L931" s="21">
        <f>'Raw Data'!L931</f>
        <v>4</v>
      </c>
      <c r="M931" s="21" t="str">
        <f>'Raw Data'!M931</f>
        <v>Married</v>
      </c>
      <c r="N931" s="21">
        <f>'Raw Data'!N931</f>
        <v>2</v>
      </c>
      <c r="O931" s="21">
        <f>'Raw Data'!O931</f>
        <v>1</v>
      </c>
      <c r="P931" s="21">
        <f>IF('Raw Data'!P931="",ROUND(AVERAGE('Raw Data'!$P$2:$P$1501),1),'Raw Data'!P931)</f>
        <v>13.2</v>
      </c>
      <c r="Q931" s="21">
        <f>IF('Raw Data'!Q931="",ROUND(AVERAGE('Raw Data'!$Q$2:$Q$1501),0),'Raw Data'!Q931)</f>
        <v>1</v>
      </c>
      <c r="R931" s="21">
        <f>'Raw Data'!R931</f>
        <v>6</v>
      </c>
      <c r="S931" s="21">
        <f>IF('Raw Data'!S931="",ROUND(AVERAGE('Raw Data'!$S$2:$S$1501),0),'Raw Data'!S931)</f>
        <v>2</v>
      </c>
      <c r="T931" s="21">
        <f>'Raw Data'!T931</f>
        <v>151.38999999999999</v>
      </c>
      <c r="U931" s="21" t="str">
        <f>INDEX('Lookup Tables'!$C$7:$C$9,MATCH(E931,'Lookup Tables'!$B$7:$B$9,0))</f>
        <v>Tier 1 (Metro)</v>
      </c>
      <c r="V931" s="21" t="str">
        <f t="shared" si="42"/>
        <v>25+ months</v>
      </c>
      <c r="W931" s="21" t="str">
        <f t="shared" si="43"/>
        <v>Low Risk</v>
      </c>
      <c r="X931" s="21" t="str">
        <f t="shared" si="44"/>
        <v>No</v>
      </c>
    </row>
    <row r="932" spans="1:24" x14ac:dyDescent="0.3">
      <c r="A932" s="21">
        <f>'Raw Data'!A932</f>
        <v>50931</v>
      </c>
      <c r="B932" s="21">
        <f>'Raw Data'!B932</f>
        <v>0</v>
      </c>
      <c r="C932" s="21">
        <f>'Raw Data'!C932</f>
        <v>16</v>
      </c>
      <c r="D932" s="21" t="str">
        <f>'Raw Data'!D932</f>
        <v>Phone</v>
      </c>
      <c r="E932" s="21">
        <f>'Raw Data'!E932</f>
        <v>1</v>
      </c>
      <c r="F932" s="21">
        <f>IF('Raw Data'!F932="",ROUND(AVERAGE('Raw Data'!$F$2:$F$1501),1),'Raw Data'!F932)</f>
        <v>22</v>
      </c>
      <c r="G932" s="21" t="str">
        <f>'Raw Data'!G932</f>
        <v>Debit Card</v>
      </c>
      <c r="H932" s="21" t="str">
        <f>'Raw Data'!H932</f>
        <v>Male</v>
      </c>
      <c r="I932" s="21">
        <f>IF('Raw Data'!I932="",ROUND(AVERAGE('Raw Data'!$I$2:$I$1501),1),'Raw Data'!I932)</f>
        <v>3.5</v>
      </c>
      <c r="J932" s="21">
        <f>'Raw Data'!J932</f>
        <v>4</v>
      </c>
      <c r="K932" s="21" t="str">
        <f>'Raw Data'!K932</f>
        <v>Others</v>
      </c>
      <c r="L932" s="21">
        <f>'Raw Data'!L932</f>
        <v>3</v>
      </c>
      <c r="M932" s="21" t="str">
        <f>'Raw Data'!M932</f>
        <v>Single</v>
      </c>
      <c r="N932" s="21">
        <f>'Raw Data'!N932</f>
        <v>1</v>
      </c>
      <c r="O932" s="21">
        <f>'Raw Data'!O932</f>
        <v>0</v>
      </c>
      <c r="P932" s="21">
        <f>IF('Raw Data'!P932="",ROUND(AVERAGE('Raw Data'!$P$2:$P$1501),1),'Raw Data'!P932)</f>
        <v>21.6</v>
      </c>
      <c r="Q932" s="21">
        <f>IF('Raw Data'!Q932="",ROUND(AVERAGE('Raw Data'!$Q$2:$Q$1501),0),'Raw Data'!Q932)</f>
        <v>4</v>
      </c>
      <c r="R932" s="21">
        <f>'Raw Data'!R932</f>
        <v>2</v>
      </c>
      <c r="S932" s="21">
        <f>IF('Raw Data'!S932="",ROUND(AVERAGE('Raw Data'!$S$2:$S$1501),0),'Raw Data'!S932)</f>
        <v>9</v>
      </c>
      <c r="T932" s="21">
        <f>'Raw Data'!T932</f>
        <v>217.19</v>
      </c>
      <c r="U932" s="21" t="str">
        <f>INDEX('Lookup Tables'!$C$7:$C$9,MATCH(E932,'Lookup Tables'!$B$7:$B$9,0))</f>
        <v>Tier 1 (Metro)</v>
      </c>
      <c r="V932" s="21" t="str">
        <f t="shared" si="42"/>
        <v>13-24 months</v>
      </c>
      <c r="W932" s="21" t="str">
        <f t="shared" si="43"/>
        <v>Medium Risk</v>
      </c>
      <c r="X932" s="21" t="str">
        <f t="shared" si="44"/>
        <v>No</v>
      </c>
    </row>
    <row r="933" spans="1:24" x14ac:dyDescent="0.3">
      <c r="A933" s="21">
        <f>'Raw Data'!A933</f>
        <v>50932</v>
      </c>
      <c r="B933" s="21">
        <f>'Raw Data'!B933</f>
        <v>0</v>
      </c>
      <c r="C933" s="21">
        <f>'Raw Data'!C933</f>
        <v>9</v>
      </c>
      <c r="D933" s="21" t="str">
        <f>'Raw Data'!D933</f>
        <v>Mobile Phone</v>
      </c>
      <c r="E933" s="21">
        <f>'Raw Data'!E933</f>
        <v>1</v>
      </c>
      <c r="F933" s="21">
        <f>IF('Raw Data'!F933="",ROUND(AVERAGE('Raw Data'!$F$2:$F$1501),1),'Raw Data'!F933)</f>
        <v>18</v>
      </c>
      <c r="G933" s="21" t="str">
        <f>'Raw Data'!G933</f>
        <v>Debit Card</v>
      </c>
      <c r="H933" s="21" t="str">
        <f>'Raw Data'!H933</f>
        <v>Male</v>
      </c>
      <c r="I933" s="21">
        <f>IF('Raw Data'!I933="",ROUND(AVERAGE('Raw Data'!$I$2:$I$1501),1),'Raw Data'!I933)</f>
        <v>2.2999999999999998</v>
      </c>
      <c r="J933" s="21">
        <f>'Raw Data'!J933</f>
        <v>2</v>
      </c>
      <c r="K933" s="21" t="str">
        <f>'Raw Data'!K933</f>
        <v>Mobile Phone</v>
      </c>
      <c r="L933" s="21">
        <f>'Raw Data'!L933</f>
        <v>4</v>
      </c>
      <c r="M933" s="21" t="str">
        <f>'Raw Data'!M933</f>
        <v>Single</v>
      </c>
      <c r="N933" s="21">
        <f>'Raw Data'!N933</f>
        <v>2</v>
      </c>
      <c r="O933" s="21">
        <f>'Raw Data'!O933</f>
        <v>0</v>
      </c>
      <c r="P933" s="21">
        <f>IF('Raw Data'!P933="",ROUND(AVERAGE('Raw Data'!$P$2:$P$1501),1),'Raw Data'!P933)</f>
        <v>22.3</v>
      </c>
      <c r="Q933" s="21">
        <f>IF('Raw Data'!Q933="",ROUND(AVERAGE('Raw Data'!$Q$2:$Q$1501),0),'Raw Data'!Q933)</f>
        <v>0</v>
      </c>
      <c r="R933" s="21">
        <f>'Raw Data'!R933</f>
        <v>2</v>
      </c>
      <c r="S933" s="21">
        <f>IF('Raw Data'!S933="",ROUND(AVERAGE('Raw Data'!$S$2:$S$1501),0),'Raw Data'!S933)</f>
        <v>16</v>
      </c>
      <c r="T933" s="21">
        <f>'Raw Data'!T933</f>
        <v>178.14</v>
      </c>
      <c r="U933" s="21" t="str">
        <f>INDEX('Lookup Tables'!$C$7:$C$9,MATCH(E933,'Lookup Tables'!$B$7:$B$9,0))</f>
        <v>Tier 1 (Metro)</v>
      </c>
      <c r="V933" s="21" t="str">
        <f t="shared" si="42"/>
        <v>7-12 months</v>
      </c>
      <c r="W933" s="21" t="str">
        <f t="shared" si="43"/>
        <v>Medium Risk</v>
      </c>
      <c r="X933" s="21" t="str">
        <f t="shared" si="44"/>
        <v>No</v>
      </c>
    </row>
    <row r="934" spans="1:24" x14ac:dyDescent="0.3">
      <c r="A934" s="21">
        <f>'Raw Data'!A934</f>
        <v>50933</v>
      </c>
      <c r="B934" s="21">
        <f>'Raw Data'!B934</f>
        <v>0</v>
      </c>
      <c r="C934" s="21">
        <f>'Raw Data'!C934</f>
        <v>3</v>
      </c>
      <c r="D934" s="21" t="str">
        <f>'Raw Data'!D934</f>
        <v>Phone</v>
      </c>
      <c r="E934" s="21">
        <f>'Raw Data'!E934</f>
        <v>2</v>
      </c>
      <c r="F934" s="21">
        <f>IF('Raw Data'!F934="",ROUND(AVERAGE('Raw Data'!$F$2:$F$1501),1),'Raw Data'!F934)</f>
        <v>5</v>
      </c>
      <c r="G934" s="21" t="str">
        <f>'Raw Data'!G934</f>
        <v>Debit Card</v>
      </c>
      <c r="H934" s="21" t="str">
        <f>'Raw Data'!H934</f>
        <v>Male</v>
      </c>
      <c r="I934" s="21">
        <f>IF('Raw Data'!I934="",ROUND(AVERAGE('Raw Data'!$I$2:$I$1501),1),'Raw Data'!I934)</f>
        <v>3.1</v>
      </c>
      <c r="J934" s="21">
        <f>'Raw Data'!J934</f>
        <v>2</v>
      </c>
      <c r="K934" s="21" t="str">
        <f>'Raw Data'!K934</f>
        <v>Laptop &amp; Accessory</v>
      </c>
      <c r="L934" s="21">
        <f>'Raw Data'!L934</f>
        <v>3</v>
      </c>
      <c r="M934" s="21" t="str">
        <f>'Raw Data'!M934</f>
        <v>Single</v>
      </c>
      <c r="N934" s="21">
        <f>'Raw Data'!N934</f>
        <v>1</v>
      </c>
      <c r="O934" s="21">
        <f>'Raw Data'!O934</f>
        <v>0</v>
      </c>
      <c r="P934" s="21">
        <f>IF('Raw Data'!P934="",ROUND(AVERAGE('Raw Data'!$P$2:$P$1501),1),'Raw Data'!P934)</f>
        <v>11</v>
      </c>
      <c r="Q934" s="21">
        <f>IF('Raw Data'!Q934="",ROUND(AVERAGE('Raw Data'!$Q$2:$Q$1501),0),'Raw Data'!Q934)</f>
        <v>2</v>
      </c>
      <c r="R934" s="21">
        <f>'Raw Data'!R934</f>
        <v>2</v>
      </c>
      <c r="S934" s="21">
        <f>IF('Raw Data'!S934="",ROUND(AVERAGE('Raw Data'!$S$2:$S$1501),0),'Raw Data'!S934)</f>
        <v>4</v>
      </c>
      <c r="T934" s="21">
        <f>'Raw Data'!T934</f>
        <v>245.47</v>
      </c>
      <c r="U934" s="21" t="str">
        <f>INDEX('Lookup Tables'!$C$7:$C$9,MATCH(E934,'Lookup Tables'!$B$7:$B$9,0))</f>
        <v>Tier 2 (Urban)</v>
      </c>
      <c r="V934" s="21" t="str">
        <f t="shared" si="42"/>
        <v>0-6 months</v>
      </c>
      <c r="W934" s="21" t="str">
        <f t="shared" si="43"/>
        <v>Medium Risk</v>
      </c>
      <c r="X934" s="21" t="str">
        <f t="shared" si="44"/>
        <v>No</v>
      </c>
    </row>
    <row r="935" spans="1:24" x14ac:dyDescent="0.3">
      <c r="A935" s="21">
        <f>'Raw Data'!A935</f>
        <v>50934</v>
      </c>
      <c r="B935" s="21">
        <f>'Raw Data'!B935</f>
        <v>1</v>
      </c>
      <c r="C935" s="21">
        <f>'Raw Data'!C935</f>
        <v>9</v>
      </c>
      <c r="D935" s="21" t="str">
        <f>'Raw Data'!D935</f>
        <v>Computer</v>
      </c>
      <c r="E935" s="21">
        <f>'Raw Data'!E935</f>
        <v>2</v>
      </c>
      <c r="F935" s="21">
        <f>IF('Raw Data'!F935="",ROUND(AVERAGE('Raw Data'!$F$2:$F$1501),1),'Raw Data'!F935)</f>
        <v>16</v>
      </c>
      <c r="G935" s="21" t="str">
        <f>'Raw Data'!G935</f>
        <v>Cash on Delivery</v>
      </c>
      <c r="H935" s="21" t="str">
        <f>'Raw Data'!H935</f>
        <v>Female</v>
      </c>
      <c r="I935" s="21">
        <f>IF('Raw Data'!I935="",ROUND(AVERAGE('Raw Data'!$I$2:$I$1501),1),'Raw Data'!I935)</f>
        <v>2.9</v>
      </c>
      <c r="J935" s="21">
        <f>'Raw Data'!J935</f>
        <v>4</v>
      </c>
      <c r="K935" s="21" t="str">
        <f>'Raw Data'!K935</f>
        <v>Mobile Phone</v>
      </c>
      <c r="L935" s="21">
        <f>'Raw Data'!L935</f>
        <v>4</v>
      </c>
      <c r="M935" s="21" t="str">
        <f>'Raw Data'!M935</f>
        <v>Married</v>
      </c>
      <c r="N935" s="21">
        <f>'Raw Data'!N935</f>
        <v>3</v>
      </c>
      <c r="O935" s="21">
        <f>'Raw Data'!O935</f>
        <v>0</v>
      </c>
      <c r="P935" s="21">
        <f>IF('Raw Data'!P935="",ROUND(AVERAGE('Raw Data'!$P$2:$P$1501),1),'Raw Data'!P935)</f>
        <v>17.899999999999999</v>
      </c>
      <c r="Q935" s="21">
        <f>IF('Raw Data'!Q935="",ROUND(AVERAGE('Raw Data'!$Q$2:$Q$1501),0),'Raw Data'!Q935)</f>
        <v>0</v>
      </c>
      <c r="R935" s="21">
        <f>'Raw Data'!R935</f>
        <v>6</v>
      </c>
      <c r="S935" s="21">
        <f>IF('Raw Data'!S935="",ROUND(AVERAGE('Raw Data'!$S$2:$S$1501),0),'Raw Data'!S935)</f>
        <v>3</v>
      </c>
      <c r="T935" s="21">
        <f>'Raw Data'!T935</f>
        <v>109.47</v>
      </c>
      <c r="U935" s="21" t="str">
        <f>INDEX('Lookup Tables'!$C$7:$C$9,MATCH(E935,'Lookup Tables'!$B$7:$B$9,0))</f>
        <v>Tier 2 (Urban)</v>
      </c>
      <c r="V935" s="21" t="str">
        <f t="shared" si="42"/>
        <v>7-12 months</v>
      </c>
      <c r="W935" s="21" t="str">
        <f t="shared" si="43"/>
        <v>Low Risk</v>
      </c>
      <c r="X935" s="21" t="str">
        <f t="shared" si="44"/>
        <v>Yes</v>
      </c>
    </row>
    <row r="936" spans="1:24" x14ac:dyDescent="0.3">
      <c r="A936" s="21">
        <f>'Raw Data'!A936</f>
        <v>50935</v>
      </c>
      <c r="B936" s="21">
        <f>'Raw Data'!B936</f>
        <v>1</v>
      </c>
      <c r="C936" s="21">
        <f>'Raw Data'!C936</f>
        <v>7</v>
      </c>
      <c r="D936" s="21" t="str">
        <f>'Raw Data'!D936</f>
        <v>Computer</v>
      </c>
      <c r="E936" s="21">
        <f>'Raw Data'!E936</f>
        <v>1</v>
      </c>
      <c r="F936" s="21">
        <f>IF('Raw Data'!F936="",ROUND(AVERAGE('Raw Data'!$F$2:$F$1501),1),'Raw Data'!F936)</f>
        <v>20</v>
      </c>
      <c r="G936" s="21" t="str">
        <f>'Raw Data'!G936</f>
        <v>UPI</v>
      </c>
      <c r="H936" s="21" t="str">
        <f>'Raw Data'!H936</f>
        <v>Male</v>
      </c>
      <c r="I936" s="21">
        <f>IF('Raw Data'!I936="",ROUND(AVERAGE('Raw Data'!$I$2:$I$1501),1),'Raw Data'!I936)</f>
        <v>3.3</v>
      </c>
      <c r="J936" s="21">
        <f>'Raw Data'!J936</f>
        <v>5</v>
      </c>
      <c r="K936" s="21" t="str">
        <f>'Raw Data'!K936</f>
        <v>Laptop &amp; Accessory</v>
      </c>
      <c r="L936" s="21">
        <f>'Raw Data'!L936</f>
        <v>3</v>
      </c>
      <c r="M936" s="21" t="str">
        <f>'Raw Data'!M936</f>
        <v>Married</v>
      </c>
      <c r="N936" s="21">
        <f>'Raw Data'!N936</f>
        <v>9</v>
      </c>
      <c r="O936" s="21">
        <f>'Raw Data'!O936</f>
        <v>0</v>
      </c>
      <c r="P936" s="21">
        <f>IF('Raw Data'!P936="",ROUND(AVERAGE('Raw Data'!$P$2:$P$1501),1),'Raw Data'!P936)</f>
        <v>16.3</v>
      </c>
      <c r="Q936" s="21">
        <f>IF('Raw Data'!Q936="",ROUND(AVERAGE('Raw Data'!$Q$2:$Q$1501),0),'Raw Data'!Q936)</f>
        <v>1</v>
      </c>
      <c r="R936" s="21">
        <f>'Raw Data'!R936</f>
        <v>6</v>
      </c>
      <c r="S936" s="21">
        <f>IF('Raw Data'!S936="",ROUND(AVERAGE('Raw Data'!$S$2:$S$1501),0),'Raw Data'!S936)</f>
        <v>9</v>
      </c>
      <c r="T936" s="21">
        <f>'Raw Data'!T936</f>
        <v>119.25</v>
      </c>
      <c r="U936" s="21" t="str">
        <f>INDEX('Lookup Tables'!$C$7:$C$9,MATCH(E936,'Lookup Tables'!$B$7:$B$9,0))</f>
        <v>Tier 1 (Metro)</v>
      </c>
      <c r="V936" s="21" t="str">
        <f t="shared" si="42"/>
        <v>7-12 months</v>
      </c>
      <c r="W936" s="21" t="str">
        <f t="shared" si="43"/>
        <v>Medium Risk</v>
      </c>
      <c r="X936" s="21" t="str">
        <f t="shared" si="44"/>
        <v>Yes</v>
      </c>
    </row>
    <row r="937" spans="1:24" x14ac:dyDescent="0.3">
      <c r="A937" s="21">
        <f>'Raw Data'!A937</f>
        <v>50936</v>
      </c>
      <c r="B937" s="21">
        <f>'Raw Data'!B937</f>
        <v>0</v>
      </c>
      <c r="C937" s="21">
        <f>'Raw Data'!C937</f>
        <v>5</v>
      </c>
      <c r="D937" s="21" t="str">
        <f>'Raw Data'!D937</f>
        <v>Computer</v>
      </c>
      <c r="E937" s="21">
        <f>'Raw Data'!E937</f>
        <v>1</v>
      </c>
      <c r="F937" s="21">
        <f>IF('Raw Data'!F937="",ROUND(AVERAGE('Raw Data'!$F$2:$F$1501),1),'Raw Data'!F937)</f>
        <v>27</v>
      </c>
      <c r="G937" s="21" t="str">
        <f>'Raw Data'!G937</f>
        <v>Debit Card</v>
      </c>
      <c r="H937" s="21" t="str">
        <f>'Raw Data'!H937</f>
        <v>Male</v>
      </c>
      <c r="I937" s="21">
        <f>IF('Raw Data'!I937="",ROUND(AVERAGE('Raw Data'!$I$2:$I$1501),1),'Raw Data'!I937)</f>
        <v>2.7</v>
      </c>
      <c r="J937" s="21">
        <f>'Raw Data'!J937</f>
        <v>4</v>
      </c>
      <c r="K937" s="21" t="str">
        <f>'Raw Data'!K937</f>
        <v>Mobile Phone</v>
      </c>
      <c r="L937" s="21">
        <f>'Raw Data'!L937</f>
        <v>4</v>
      </c>
      <c r="M937" s="21" t="str">
        <f>'Raw Data'!M937</f>
        <v>Married</v>
      </c>
      <c r="N937" s="21">
        <f>'Raw Data'!N937</f>
        <v>1</v>
      </c>
      <c r="O937" s="21">
        <f>'Raw Data'!O937</f>
        <v>0</v>
      </c>
      <c r="P937" s="21">
        <f>IF('Raw Data'!P937="",ROUND(AVERAGE('Raw Data'!$P$2:$P$1501),1),'Raw Data'!P937)</f>
        <v>17.899999999999999</v>
      </c>
      <c r="Q937" s="21">
        <f>IF('Raw Data'!Q937="",ROUND(AVERAGE('Raw Data'!$Q$2:$Q$1501),0),'Raw Data'!Q937)</f>
        <v>1</v>
      </c>
      <c r="R937" s="21">
        <f>'Raw Data'!R937</f>
        <v>6</v>
      </c>
      <c r="S937" s="21">
        <f>IF('Raw Data'!S937="",ROUND(AVERAGE('Raw Data'!$S$2:$S$1501),0),'Raw Data'!S937)</f>
        <v>0</v>
      </c>
      <c r="T937" s="21">
        <f>'Raw Data'!T937</f>
        <v>195.37</v>
      </c>
      <c r="U937" s="21" t="str">
        <f>INDEX('Lookup Tables'!$C$7:$C$9,MATCH(E937,'Lookup Tables'!$B$7:$B$9,0))</f>
        <v>Tier 1 (Metro)</v>
      </c>
      <c r="V937" s="21" t="str">
        <f t="shared" si="42"/>
        <v>0-6 months</v>
      </c>
      <c r="W937" s="21" t="str">
        <f t="shared" si="43"/>
        <v>Low Risk</v>
      </c>
      <c r="X937" s="21" t="str">
        <f t="shared" si="44"/>
        <v>No</v>
      </c>
    </row>
    <row r="938" spans="1:24" x14ac:dyDescent="0.3">
      <c r="A938" s="21">
        <f>'Raw Data'!A938</f>
        <v>50937</v>
      </c>
      <c r="B938" s="21">
        <f>'Raw Data'!B938</f>
        <v>1</v>
      </c>
      <c r="C938" s="21">
        <f>'Raw Data'!C938</f>
        <v>1</v>
      </c>
      <c r="D938" s="21" t="str">
        <f>'Raw Data'!D938</f>
        <v>Mobile Phone</v>
      </c>
      <c r="E938" s="21">
        <f>'Raw Data'!E938</f>
        <v>1</v>
      </c>
      <c r="F938" s="21">
        <f>IF('Raw Data'!F938="",ROUND(AVERAGE('Raw Data'!$F$2:$F$1501),1),'Raw Data'!F938)</f>
        <v>22</v>
      </c>
      <c r="G938" s="21" t="str">
        <f>'Raw Data'!G938</f>
        <v>UPI</v>
      </c>
      <c r="H938" s="21" t="str">
        <f>'Raw Data'!H938</f>
        <v>Male</v>
      </c>
      <c r="I938" s="21">
        <f>IF('Raw Data'!I938="",ROUND(AVERAGE('Raw Data'!$I$2:$I$1501),1),'Raw Data'!I938)</f>
        <v>2.7</v>
      </c>
      <c r="J938" s="21">
        <f>'Raw Data'!J938</f>
        <v>4</v>
      </c>
      <c r="K938" s="21" t="str">
        <f>'Raw Data'!K938</f>
        <v>Mobile Phone</v>
      </c>
      <c r="L938" s="21">
        <f>'Raw Data'!L938</f>
        <v>4</v>
      </c>
      <c r="M938" s="21" t="str">
        <f>'Raw Data'!M938</f>
        <v>Married</v>
      </c>
      <c r="N938" s="21">
        <f>'Raw Data'!N938</f>
        <v>1</v>
      </c>
      <c r="O938" s="21">
        <f>'Raw Data'!O938</f>
        <v>0</v>
      </c>
      <c r="P938" s="21">
        <f>IF('Raw Data'!P938="",ROUND(AVERAGE('Raw Data'!$P$2:$P$1501),1),'Raw Data'!P938)</f>
        <v>13.7</v>
      </c>
      <c r="Q938" s="21">
        <f>IF('Raw Data'!Q938="",ROUND(AVERAGE('Raw Data'!$Q$2:$Q$1501),0),'Raw Data'!Q938)</f>
        <v>2</v>
      </c>
      <c r="R938" s="21">
        <f>'Raw Data'!R938</f>
        <v>2</v>
      </c>
      <c r="S938" s="21">
        <f>IF('Raw Data'!S938="",ROUND(AVERAGE('Raw Data'!$S$2:$S$1501),0),'Raw Data'!S938)</f>
        <v>0</v>
      </c>
      <c r="T938" s="21">
        <f>'Raw Data'!T938</f>
        <v>185.29</v>
      </c>
      <c r="U938" s="21" t="str">
        <f>INDEX('Lookup Tables'!$C$7:$C$9,MATCH(E938,'Lookup Tables'!$B$7:$B$9,0))</f>
        <v>Tier 1 (Metro)</v>
      </c>
      <c r="V938" s="21" t="str">
        <f t="shared" si="42"/>
        <v>0-6 months</v>
      </c>
      <c r="W938" s="21" t="str">
        <f t="shared" si="43"/>
        <v>Low Risk</v>
      </c>
      <c r="X938" s="21" t="str">
        <f t="shared" si="44"/>
        <v>Yes</v>
      </c>
    </row>
    <row r="939" spans="1:24" x14ac:dyDescent="0.3">
      <c r="A939" s="21">
        <f>'Raw Data'!A939</f>
        <v>50938</v>
      </c>
      <c r="B939" s="21">
        <f>'Raw Data'!B939</f>
        <v>0</v>
      </c>
      <c r="C939" s="21">
        <f>'Raw Data'!C939</f>
        <v>21</v>
      </c>
      <c r="D939" s="21" t="str">
        <f>'Raw Data'!D939</f>
        <v>Mobile Phone</v>
      </c>
      <c r="E939" s="21">
        <f>'Raw Data'!E939</f>
        <v>1</v>
      </c>
      <c r="F939" s="21">
        <f>IF('Raw Data'!F939="",ROUND(AVERAGE('Raw Data'!$F$2:$F$1501),1),'Raw Data'!F939)</f>
        <v>21</v>
      </c>
      <c r="G939" s="21" t="str">
        <f>'Raw Data'!G939</f>
        <v>E wallet</v>
      </c>
      <c r="H939" s="21" t="str">
        <f>'Raw Data'!H939</f>
        <v>Female</v>
      </c>
      <c r="I939" s="21">
        <f>IF('Raw Data'!I939="",ROUND(AVERAGE('Raw Data'!$I$2:$I$1501),1),'Raw Data'!I939)</f>
        <v>3.9</v>
      </c>
      <c r="J939" s="21">
        <f>'Raw Data'!J939</f>
        <v>3</v>
      </c>
      <c r="K939" s="21" t="str">
        <f>'Raw Data'!K939</f>
        <v>Mobile Phone</v>
      </c>
      <c r="L939" s="21">
        <f>'Raw Data'!L939</f>
        <v>3</v>
      </c>
      <c r="M939" s="21" t="str">
        <f>'Raw Data'!M939</f>
        <v>Single</v>
      </c>
      <c r="N939" s="21">
        <f>'Raw Data'!N939</f>
        <v>2</v>
      </c>
      <c r="O939" s="21">
        <f>'Raw Data'!O939</f>
        <v>0</v>
      </c>
      <c r="P939" s="21">
        <f>IF('Raw Data'!P939="",ROUND(AVERAGE('Raw Data'!$P$2:$P$1501),1),'Raw Data'!P939)</f>
        <v>15.1</v>
      </c>
      <c r="Q939" s="21">
        <f>IF('Raw Data'!Q939="",ROUND(AVERAGE('Raw Data'!$Q$2:$Q$1501),0),'Raw Data'!Q939)</f>
        <v>2</v>
      </c>
      <c r="R939" s="21">
        <f>'Raw Data'!R939</f>
        <v>3</v>
      </c>
      <c r="S939" s="21">
        <f>IF('Raw Data'!S939="",ROUND(AVERAGE('Raw Data'!$S$2:$S$1501),0),'Raw Data'!S939)</f>
        <v>9</v>
      </c>
      <c r="T939" s="21">
        <f>'Raw Data'!T939</f>
        <v>176.9</v>
      </c>
      <c r="U939" s="21" t="str">
        <f>INDEX('Lookup Tables'!$C$7:$C$9,MATCH(E939,'Lookup Tables'!$B$7:$B$9,0))</f>
        <v>Tier 1 (Metro)</v>
      </c>
      <c r="V939" s="21" t="str">
        <f t="shared" si="42"/>
        <v>13-24 months</v>
      </c>
      <c r="W939" s="21" t="str">
        <f t="shared" si="43"/>
        <v>Medium Risk</v>
      </c>
      <c r="X939" s="21" t="str">
        <f t="shared" si="44"/>
        <v>No</v>
      </c>
    </row>
    <row r="940" spans="1:24" x14ac:dyDescent="0.3">
      <c r="A940" s="21">
        <f>'Raw Data'!A940</f>
        <v>50939</v>
      </c>
      <c r="B940" s="21">
        <f>'Raw Data'!B940</f>
        <v>1</v>
      </c>
      <c r="C940" s="21">
        <f>'Raw Data'!C940</f>
        <v>5</v>
      </c>
      <c r="D940" s="21" t="str">
        <f>'Raw Data'!D940</f>
        <v>Computer</v>
      </c>
      <c r="E940" s="21">
        <f>'Raw Data'!E940</f>
        <v>1</v>
      </c>
      <c r="F940" s="21">
        <f>IF('Raw Data'!F940="",ROUND(AVERAGE('Raw Data'!$F$2:$F$1501),1),'Raw Data'!F940)</f>
        <v>15</v>
      </c>
      <c r="G940" s="21" t="str">
        <f>'Raw Data'!G940</f>
        <v>Cash on Delivery</v>
      </c>
      <c r="H940" s="21" t="str">
        <f>'Raw Data'!H940</f>
        <v>Male</v>
      </c>
      <c r="I940" s="21">
        <f>IF('Raw Data'!I940="",ROUND(AVERAGE('Raw Data'!$I$2:$I$1501),1),'Raw Data'!I940)</f>
        <v>2.9</v>
      </c>
      <c r="J940" s="21">
        <f>'Raw Data'!J940</f>
        <v>2</v>
      </c>
      <c r="K940" s="21" t="str">
        <f>'Raw Data'!K940</f>
        <v>Laptop &amp; Accessory</v>
      </c>
      <c r="L940" s="21">
        <f>'Raw Data'!L940</f>
        <v>3</v>
      </c>
      <c r="M940" s="21" t="str">
        <f>'Raw Data'!M940</f>
        <v>Married</v>
      </c>
      <c r="N940" s="21">
        <f>'Raw Data'!N940</f>
        <v>2</v>
      </c>
      <c r="O940" s="21">
        <f>'Raw Data'!O940</f>
        <v>0</v>
      </c>
      <c r="P940" s="21">
        <f>IF('Raw Data'!P940="",ROUND(AVERAGE('Raw Data'!$P$2:$P$1501),1),'Raw Data'!P940)</f>
        <v>13.4</v>
      </c>
      <c r="Q940" s="21">
        <f>IF('Raw Data'!Q940="",ROUND(AVERAGE('Raw Data'!$Q$2:$Q$1501),0),'Raw Data'!Q940)</f>
        <v>1</v>
      </c>
      <c r="R940" s="21">
        <f>'Raw Data'!R940</f>
        <v>4</v>
      </c>
      <c r="S940" s="21">
        <f>IF('Raw Data'!S940="",ROUND(AVERAGE('Raw Data'!$S$2:$S$1501),0),'Raw Data'!S940)</f>
        <v>6</v>
      </c>
      <c r="T940" s="21">
        <f>'Raw Data'!T940</f>
        <v>211.67</v>
      </c>
      <c r="U940" s="21" t="str">
        <f>INDEX('Lookup Tables'!$C$7:$C$9,MATCH(E940,'Lookup Tables'!$B$7:$B$9,0))</f>
        <v>Tier 1 (Metro)</v>
      </c>
      <c r="V940" s="21" t="str">
        <f t="shared" si="42"/>
        <v>0-6 months</v>
      </c>
      <c r="W940" s="21" t="str">
        <f t="shared" si="43"/>
        <v>Medium Risk</v>
      </c>
      <c r="X940" s="21" t="str">
        <f t="shared" si="44"/>
        <v>Yes</v>
      </c>
    </row>
    <row r="941" spans="1:24" x14ac:dyDescent="0.3">
      <c r="A941" s="21">
        <f>'Raw Data'!A941</f>
        <v>50940</v>
      </c>
      <c r="B941" s="21">
        <f>'Raw Data'!B941</f>
        <v>0</v>
      </c>
      <c r="C941" s="21">
        <f>'Raw Data'!C941</f>
        <v>2</v>
      </c>
      <c r="D941" s="21" t="str">
        <f>'Raw Data'!D941</f>
        <v>Mobile Phone</v>
      </c>
      <c r="E941" s="21">
        <f>'Raw Data'!E941</f>
        <v>3</v>
      </c>
      <c r="F941" s="21">
        <f>IF('Raw Data'!F941="",ROUND(AVERAGE('Raw Data'!$F$2:$F$1501),1),'Raw Data'!F941)</f>
        <v>18</v>
      </c>
      <c r="G941" s="21" t="str">
        <f>'Raw Data'!G941</f>
        <v>Credit Card</v>
      </c>
      <c r="H941" s="21" t="str">
        <f>'Raw Data'!H941</f>
        <v>Female</v>
      </c>
      <c r="I941" s="21">
        <f>IF('Raw Data'!I941="",ROUND(AVERAGE('Raw Data'!$I$2:$I$1501),1),'Raw Data'!I941)</f>
        <v>3.5</v>
      </c>
      <c r="J941" s="21">
        <f>'Raw Data'!J941</f>
        <v>4</v>
      </c>
      <c r="K941" s="21" t="str">
        <f>'Raw Data'!K941</f>
        <v>Others</v>
      </c>
      <c r="L941" s="21">
        <f>'Raw Data'!L941</f>
        <v>4</v>
      </c>
      <c r="M941" s="21" t="str">
        <f>'Raw Data'!M941</f>
        <v>Married</v>
      </c>
      <c r="N941" s="21">
        <f>'Raw Data'!N941</f>
        <v>5</v>
      </c>
      <c r="O941" s="21">
        <f>'Raw Data'!O941</f>
        <v>0</v>
      </c>
      <c r="P941" s="21">
        <f>IF('Raw Data'!P941="",ROUND(AVERAGE('Raw Data'!$P$2:$P$1501),1),'Raw Data'!P941)</f>
        <v>14.5</v>
      </c>
      <c r="Q941" s="21">
        <f>IF('Raw Data'!Q941="",ROUND(AVERAGE('Raw Data'!$Q$2:$Q$1501),0),'Raw Data'!Q941)</f>
        <v>2</v>
      </c>
      <c r="R941" s="21">
        <f>'Raw Data'!R941</f>
        <v>4</v>
      </c>
      <c r="S941" s="21">
        <f>IF('Raw Data'!S941="",ROUND(AVERAGE('Raw Data'!$S$2:$S$1501),0),'Raw Data'!S941)</f>
        <v>2</v>
      </c>
      <c r="T941" s="21">
        <f>'Raw Data'!T941</f>
        <v>128.81</v>
      </c>
      <c r="U941" s="21" t="str">
        <f>INDEX('Lookup Tables'!$C$7:$C$9,MATCH(E941,'Lookup Tables'!$B$7:$B$9,0))</f>
        <v>Tier 3 (Semi-urban/Rural)</v>
      </c>
      <c r="V941" s="21" t="str">
        <f t="shared" si="42"/>
        <v>0-6 months</v>
      </c>
      <c r="W941" s="21" t="str">
        <f t="shared" si="43"/>
        <v>Low Risk</v>
      </c>
      <c r="X941" s="21" t="str">
        <f t="shared" si="44"/>
        <v>No</v>
      </c>
    </row>
    <row r="942" spans="1:24" x14ac:dyDescent="0.3">
      <c r="A942" s="21">
        <f>'Raw Data'!A942</f>
        <v>50941</v>
      </c>
      <c r="B942" s="21">
        <f>'Raw Data'!B942</f>
        <v>0</v>
      </c>
      <c r="C942" s="21">
        <f>'Raw Data'!C942</f>
        <v>4</v>
      </c>
      <c r="D942" s="21" t="str">
        <f>'Raw Data'!D942</f>
        <v>Computer</v>
      </c>
      <c r="E942" s="21">
        <f>'Raw Data'!E942</f>
        <v>2</v>
      </c>
      <c r="F942" s="21">
        <f>IF('Raw Data'!F942="",ROUND(AVERAGE('Raw Data'!$F$2:$F$1501),1),'Raw Data'!F942)</f>
        <v>24</v>
      </c>
      <c r="G942" s="21" t="str">
        <f>'Raw Data'!G942</f>
        <v>E wallet</v>
      </c>
      <c r="H942" s="21" t="str">
        <f>'Raw Data'!H942</f>
        <v>Male</v>
      </c>
      <c r="I942" s="21">
        <f>IF('Raw Data'!I942="",ROUND(AVERAGE('Raw Data'!$I$2:$I$1501),1),'Raw Data'!I942)</f>
        <v>2.7</v>
      </c>
      <c r="J942" s="21">
        <f>'Raw Data'!J942</f>
        <v>4</v>
      </c>
      <c r="K942" s="21" t="str">
        <f>'Raw Data'!K942</f>
        <v>Fashion</v>
      </c>
      <c r="L942" s="21">
        <f>'Raw Data'!L942</f>
        <v>4</v>
      </c>
      <c r="M942" s="21" t="str">
        <f>'Raw Data'!M942</f>
        <v>Married</v>
      </c>
      <c r="N942" s="21">
        <f>'Raw Data'!N942</f>
        <v>2</v>
      </c>
      <c r="O942" s="21">
        <f>'Raw Data'!O942</f>
        <v>0</v>
      </c>
      <c r="P942" s="21">
        <f>IF('Raw Data'!P942="",ROUND(AVERAGE('Raw Data'!$P$2:$P$1501),1),'Raw Data'!P942)</f>
        <v>11.8</v>
      </c>
      <c r="Q942" s="21">
        <f>IF('Raw Data'!Q942="",ROUND(AVERAGE('Raw Data'!$Q$2:$Q$1501),0),'Raw Data'!Q942)</f>
        <v>1</v>
      </c>
      <c r="R942" s="21">
        <f>'Raw Data'!R942</f>
        <v>4</v>
      </c>
      <c r="S942" s="21">
        <f>IF('Raw Data'!S942="",ROUND(AVERAGE('Raw Data'!$S$2:$S$1501),0),'Raw Data'!S942)</f>
        <v>10</v>
      </c>
      <c r="T942" s="21">
        <f>'Raw Data'!T942</f>
        <v>104.68</v>
      </c>
      <c r="U942" s="21" t="str">
        <f>INDEX('Lookup Tables'!$C$7:$C$9,MATCH(E942,'Lookup Tables'!$B$7:$B$9,0))</f>
        <v>Tier 2 (Urban)</v>
      </c>
      <c r="V942" s="21" t="str">
        <f t="shared" si="42"/>
        <v>0-6 months</v>
      </c>
      <c r="W942" s="21" t="str">
        <f t="shared" si="43"/>
        <v>Low Risk</v>
      </c>
      <c r="X942" s="21" t="str">
        <f t="shared" si="44"/>
        <v>No</v>
      </c>
    </row>
    <row r="943" spans="1:24" x14ac:dyDescent="0.3">
      <c r="A943" s="21">
        <f>'Raw Data'!A943</f>
        <v>50942</v>
      </c>
      <c r="B943" s="21">
        <f>'Raw Data'!B943</f>
        <v>0</v>
      </c>
      <c r="C943" s="21">
        <f>'Raw Data'!C943</f>
        <v>5</v>
      </c>
      <c r="D943" s="21" t="str">
        <f>'Raw Data'!D943</f>
        <v>Mobile Phone</v>
      </c>
      <c r="E943" s="21">
        <f>'Raw Data'!E943</f>
        <v>2</v>
      </c>
      <c r="F943" s="21">
        <f>IF('Raw Data'!F943="",ROUND(AVERAGE('Raw Data'!$F$2:$F$1501),1),'Raw Data'!F943)</f>
        <v>5</v>
      </c>
      <c r="G943" s="21" t="str">
        <f>'Raw Data'!G943</f>
        <v>Debit Card</v>
      </c>
      <c r="H943" s="21" t="str">
        <f>'Raw Data'!H943</f>
        <v>Male</v>
      </c>
      <c r="I943" s="21">
        <f>IF('Raw Data'!I943="",ROUND(AVERAGE('Raw Data'!$I$2:$I$1501),1),'Raw Data'!I943)</f>
        <v>4.0999999999999996</v>
      </c>
      <c r="J943" s="21">
        <f>'Raw Data'!J943</f>
        <v>3</v>
      </c>
      <c r="K943" s="21" t="str">
        <f>'Raw Data'!K943</f>
        <v>Grocery</v>
      </c>
      <c r="L943" s="21">
        <f>'Raw Data'!L943</f>
        <v>4</v>
      </c>
      <c r="M943" s="21" t="str">
        <f>'Raw Data'!M943</f>
        <v>Married</v>
      </c>
      <c r="N943" s="21">
        <f>'Raw Data'!N943</f>
        <v>1</v>
      </c>
      <c r="O943" s="21">
        <f>'Raw Data'!O943</f>
        <v>0</v>
      </c>
      <c r="P943" s="21">
        <f>IF('Raw Data'!P943="",ROUND(AVERAGE('Raw Data'!$P$2:$P$1501),1),'Raw Data'!P943)</f>
        <v>15.6</v>
      </c>
      <c r="Q943" s="21">
        <f>IF('Raw Data'!Q943="",ROUND(AVERAGE('Raw Data'!$Q$2:$Q$1501),0),'Raw Data'!Q943)</f>
        <v>0</v>
      </c>
      <c r="R943" s="21">
        <f>'Raw Data'!R943</f>
        <v>4</v>
      </c>
      <c r="S943" s="21">
        <f>IF('Raw Data'!S943="",ROUND(AVERAGE('Raw Data'!$S$2:$S$1501),0),'Raw Data'!S943)</f>
        <v>2</v>
      </c>
      <c r="T943" s="21">
        <f>'Raw Data'!T943</f>
        <v>152.49</v>
      </c>
      <c r="U943" s="21" t="str">
        <f>INDEX('Lookup Tables'!$C$7:$C$9,MATCH(E943,'Lookup Tables'!$B$7:$B$9,0))</f>
        <v>Tier 2 (Urban)</v>
      </c>
      <c r="V943" s="21" t="str">
        <f t="shared" si="42"/>
        <v>0-6 months</v>
      </c>
      <c r="W943" s="21" t="str">
        <f t="shared" si="43"/>
        <v>Low Risk</v>
      </c>
      <c r="X943" s="21" t="str">
        <f t="shared" si="44"/>
        <v>No</v>
      </c>
    </row>
    <row r="944" spans="1:24" x14ac:dyDescent="0.3">
      <c r="A944" s="21">
        <f>'Raw Data'!A944</f>
        <v>50943</v>
      </c>
      <c r="B944" s="21">
        <f>'Raw Data'!B944</f>
        <v>0</v>
      </c>
      <c r="C944" s="21">
        <f>'Raw Data'!C944</f>
        <v>17</v>
      </c>
      <c r="D944" s="21" t="str">
        <f>'Raw Data'!D944</f>
        <v>Phone</v>
      </c>
      <c r="E944" s="21">
        <f>'Raw Data'!E944</f>
        <v>1</v>
      </c>
      <c r="F944" s="21">
        <f>IF('Raw Data'!F944="",ROUND(AVERAGE('Raw Data'!$F$2:$F$1501),1),'Raw Data'!F944)</f>
        <v>12</v>
      </c>
      <c r="G944" s="21" t="str">
        <f>'Raw Data'!G944</f>
        <v>Credit Card</v>
      </c>
      <c r="H944" s="21" t="str">
        <f>'Raw Data'!H944</f>
        <v>Female</v>
      </c>
      <c r="I944" s="21">
        <f>IF('Raw Data'!I944="",ROUND(AVERAGE('Raw Data'!$I$2:$I$1501),1),'Raw Data'!I944)</f>
        <v>2.4</v>
      </c>
      <c r="J944" s="21">
        <f>'Raw Data'!J944</f>
        <v>3</v>
      </c>
      <c r="K944" s="21" t="str">
        <f>'Raw Data'!K944</f>
        <v>Mobile Phone</v>
      </c>
      <c r="L944" s="21">
        <f>'Raw Data'!L944</f>
        <v>4</v>
      </c>
      <c r="M944" s="21" t="str">
        <f>'Raw Data'!M944</f>
        <v>Divorced</v>
      </c>
      <c r="N944" s="21">
        <f>'Raw Data'!N944</f>
        <v>4</v>
      </c>
      <c r="O944" s="21">
        <f>'Raw Data'!O944</f>
        <v>0</v>
      </c>
      <c r="P944" s="21">
        <f>IF('Raw Data'!P944="",ROUND(AVERAGE('Raw Data'!$P$2:$P$1501),1),'Raw Data'!P944)</f>
        <v>11</v>
      </c>
      <c r="Q944" s="21">
        <f>IF('Raw Data'!Q944="",ROUND(AVERAGE('Raw Data'!$Q$2:$Q$1501),0),'Raw Data'!Q944)</f>
        <v>2</v>
      </c>
      <c r="R944" s="21">
        <f>'Raw Data'!R944</f>
        <v>2</v>
      </c>
      <c r="S944" s="21">
        <f>IF('Raw Data'!S944="",ROUND(AVERAGE('Raw Data'!$S$2:$S$1501),0),'Raw Data'!S944)</f>
        <v>5</v>
      </c>
      <c r="T944" s="21">
        <f>'Raw Data'!T944</f>
        <v>158.63999999999999</v>
      </c>
      <c r="U944" s="21" t="str">
        <f>INDEX('Lookup Tables'!$C$7:$C$9,MATCH(E944,'Lookup Tables'!$B$7:$B$9,0))</f>
        <v>Tier 1 (Metro)</v>
      </c>
      <c r="V944" s="21" t="str">
        <f t="shared" si="42"/>
        <v>13-24 months</v>
      </c>
      <c r="W944" s="21" t="str">
        <f t="shared" si="43"/>
        <v>Low Risk</v>
      </c>
      <c r="X944" s="21" t="str">
        <f t="shared" si="44"/>
        <v>No</v>
      </c>
    </row>
    <row r="945" spans="1:24" x14ac:dyDescent="0.3">
      <c r="A945" s="21">
        <f>'Raw Data'!A945</f>
        <v>50944</v>
      </c>
      <c r="B945" s="21">
        <f>'Raw Data'!B945</f>
        <v>0</v>
      </c>
      <c r="C945" s="21">
        <f>'Raw Data'!C945</f>
        <v>13</v>
      </c>
      <c r="D945" s="21" t="str">
        <f>'Raw Data'!D945</f>
        <v>Computer</v>
      </c>
      <c r="E945" s="21">
        <f>'Raw Data'!E945</f>
        <v>1</v>
      </c>
      <c r="F945" s="21">
        <f>IF('Raw Data'!F945="",ROUND(AVERAGE('Raw Data'!$F$2:$F$1501),1),'Raw Data'!F945)</f>
        <v>8</v>
      </c>
      <c r="G945" s="21" t="str">
        <f>'Raw Data'!G945</f>
        <v>Cash on Delivery</v>
      </c>
      <c r="H945" s="21" t="str">
        <f>'Raw Data'!H945</f>
        <v>Male</v>
      </c>
      <c r="I945" s="21">
        <f>IF('Raw Data'!I945="",ROUND(AVERAGE('Raw Data'!$I$2:$I$1501),1),'Raw Data'!I945)</f>
        <v>2.5</v>
      </c>
      <c r="J945" s="21">
        <f>'Raw Data'!J945</f>
        <v>4</v>
      </c>
      <c r="K945" s="21" t="str">
        <f>'Raw Data'!K945</f>
        <v>Fashion</v>
      </c>
      <c r="L945" s="21">
        <f>'Raw Data'!L945</f>
        <v>3</v>
      </c>
      <c r="M945" s="21" t="str">
        <f>'Raw Data'!M945</f>
        <v>Married</v>
      </c>
      <c r="N945" s="21">
        <f>'Raw Data'!N945</f>
        <v>7</v>
      </c>
      <c r="O945" s="21">
        <f>'Raw Data'!O945</f>
        <v>0</v>
      </c>
      <c r="P945" s="21">
        <f>IF('Raw Data'!P945="",ROUND(AVERAGE('Raw Data'!$P$2:$P$1501),1),'Raw Data'!P945)</f>
        <v>15.3</v>
      </c>
      <c r="Q945" s="21">
        <f>IF('Raw Data'!Q945="",ROUND(AVERAGE('Raw Data'!$Q$2:$Q$1501),0),'Raw Data'!Q945)</f>
        <v>4</v>
      </c>
      <c r="R945" s="21">
        <f>'Raw Data'!R945</f>
        <v>3</v>
      </c>
      <c r="S945" s="21">
        <f>IF('Raw Data'!S945="",ROUND(AVERAGE('Raw Data'!$S$2:$S$1501),0),'Raw Data'!S945)</f>
        <v>4</v>
      </c>
      <c r="T945" s="21">
        <f>'Raw Data'!T945</f>
        <v>164.39</v>
      </c>
      <c r="U945" s="21" t="str">
        <f>INDEX('Lookup Tables'!$C$7:$C$9,MATCH(E945,'Lookup Tables'!$B$7:$B$9,0))</f>
        <v>Tier 1 (Metro)</v>
      </c>
      <c r="V945" s="21" t="str">
        <f t="shared" si="42"/>
        <v>13-24 months</v>
      </c>
      <c r="W945" s="21" t="str">
        <f t="shared" si="43"/>
        <v>Medium Risk</v>
      </c>
      <c r="X945" s="21" t="str">
        <f t="shared" si="44"/>
        <v>No</v>
      </c>
    </row>
    <row r="946" spans="1:24" x14ac:dyDescent="0.3">
      <c r="A946" s="21">
        <f>'Raw Data'!A946</f>
        <v>50945</v>
      </c>
      <c r="B946" s="21">
        <f>'Raw Data'!B946</f>
        <v>1</v>
      </c>
      <c r="C946" s="21">
        <f>'Raw Data'!C946</f>
        <v>14</v>
      </c>
      <c r="D946" s="21" t="str">
        <f>'Raw Data'!D946</f>
        <v>Mobile Phone</v>
      </c>
      <c r="E946" s="21">
        <f>'Raw Data'!E946</f>
        <v>2</v>
      </c>
      <c r="F946" s="21">
        <f>IF('Raw Data'!F946="",ROUND(AVERAGE('Raw Data'!$F$2:$F$1501),1),'Raw Data'!F946)</f>
        <v>18</v>
      </c>
      <c r="G946" s="21" t="str">
        <f>'Raw Data'!G946</f>
        <v>Credit Card</v>
      </c>
      <c r="H946" s="21" t="str">
        <f>'Raw Data'!H946</f>
        <v>Male</v>
      </c>
      <c r="I946" s="21">
        <f>IF('Raw Data'!I946="",ROUND(AVERAGE('Raw Data'!$I$2:$I$1501),1),'Raw Data'!I946)</f>
        <v>4</v>
      </c>
      <c r="J946" s="21">
        <f>'Raw Data'!J946</f>
        <v>2</v>
      </c>
      <c r="K946" s="21" t="str">
        <f>'Raw Data'!K946</f>
        <v>Mobile Phone</v>
      </c>
      <c r="L946" s="21">
        <f>'Raw Data'!L946</f>
        <v>3</v>
      </c>
      <c r="M946" s="21" t="str">
        <f>'Raw Data'!M946</f>
        <v>Married</v>
      </c>
      <c r="N946" s="21">
        <f>'Raw Data'!N946</f>
        <v>2</v>
      </c>
      <c r="O946" s="21">
        <f>'Raw Data'!O946</f>
        <v>1</v>
      </c>
      <c r="P946" s="21">
        <f>IF('Raw Data'!P946="",ROUND(AVERAGE('Raw Data'!$P$2:$P$1501),1),'Raw Data'!P946)</f>
        <v>11.6</v>
      </c>
      <c r="Q946" s="21">
        <f>IF('Raw Data'!Q946="",ROUND(AVERAGE('Raw Data'!$Q$2:$Q$1501),0),'Raw Data'!Q946)</f>
        <v>3</v>
      </c>
      <c r="R946" s="21">
        <f>'Raw Data'!R946</f>
        <v>2</v>
      </c>
      <c r="S946" s="21">
        <f>IF('Raw Data'!S946="",ROUND(AVERAGE('Raw Data'!$S$2:$S$1501),0),'Raw Data'!S946)</f>
        <v>1</v>
      </c>
      <c r="T946" s="21">
        <f>'Raw Data'!T946</f>
        <v>249.8</v>
      </c>
      <c r="U946" s="21" t="str">
        <f>INDEX('Lookup Tables'!$C$7:$C$9,MATCH(E946,'Lookup Tables'!$B$7:$B$9,0))</f>
        <v>Tier 2 (Urban)</v>
      </c>
      <c r="V946" s="21" t="str">
        <f t="shared" si="42"/>
        <v>13-24 months</v>
      </c>
      <c r="W946" s="21" t="str">
        <f t="shared" si="43"/>
        <v>Medium Risk</v>
      </c>
      <c r="X946" s="21" t="str">
        <f t="shared" si="44"/>
        <v>Yes</v>
      </c>
    </row>
    <row r="947" spans="1:24" x14ac:dyDescent="0.3">
      <c r="A947" s="21">
        <f>'Raw Data'!A947</f>
        <v>50946</v>
      </c>
      <c r="B947" s="21">
        <f>'Raw Data'!B947</f>
        <v>0</v>
      </c>
      <c r="C947" s="21">
        <f>'Raw Data'!C947</f>
        <v>0</v>
      </c>
      <c r="D947" s="21" t="str">
        <f>'Raw Data'!D947</f>
        <v>Mobile Phone</v>
      </c>
      <c r="E947" s="21">
        <f>'Raw Data'!E947</f>
        <v>2</v>
      </c>
      <c r="F947" s="21">
        <f>IF('Raw Data'!F947="",ROUND(AVERAGE('Raw Data'!$F$2:$F$1501),1),'Raw Data'!F947)</f>
        <v>24</v>
      </c>
      <c r="G947" s="21" t="str">
        <f>'Raw Data'!G947</f>
        <v>Debit Card</v>
      </c>
      <c r="H947" s="21" t="str">
        <f>'Raw Data'!H947</f>
        <v>Male</v>
      </c>
      <c r="I947" s="21">
        <f>IF('Raw Data'!I947="",ROUND(AVERAGE('Raw Data'!$I$2:$I$1501),1),'Raw Data'!I947)</f>
        <v>2.6</v>
      </c>
      <c r="J947" s="21">
        <f>'Raw Data'!J947</f>
        <v>2</v>
      </c>
      <c r="K947" s="21" t="str">
        <f>'Raw Data'!K947</f>
        <v>Laptop &amp; Accessory</v>
      </c>
      <c r="L947" s="21">
        <f>'Raw Data'!L947</f>
        <v>3</v>
      </c>
      <c r="M947" s="21" t="str">
        <f>'Raw Data'!M947</f>
        <v>Single</v>
      </c>
      <c r="N947" s="21">
        <f>'Raw Data'!N947</f>
        <v>3</v>
      </c>
      <c r="O947" s="21">
        <f>'Raw Data'!O947</f>
        <v>1</v>
      </c>
      <c r="P947" s="21">
        <f>IF('Raw Data'!P947="",ROUND(AVERAGE('Raw Data'!$P$2:$P$1501),1),'Raw Data'!P947)</f>
        <v>16.7</v>
      </c>
      <c r="Q947" s="21">
        <f>IF('Raw Data'!Q947="",ROUND(AVERAGE('Raw Data'!$Q$2:$Q$1501),0),'Raw Data'!Q947)</f>
        <v>3</v>
      </c>
      <c r="R947" s="21">
        <f>'Raw Data'!R947</f>
        <v>4</v>
      </c>
      <c r="S947" s="21">
        <f>IF('Raw Data'!S947="",ROUND(AVERAGE('Raw Data'!$S$2:$S$1501),0),'Raw Data'!S947)</f>
        <v>1</v>
      </c>
      <c r="T947" s="21">
        <f>'Raw Data'!T947</f>
        <v>222.37</v>
      </c>
      <c r="U947" s="21" t="str">
        <f>INDEX('Lookup Tables'!$C$7:$C$9,MATCH(E947,'Lookup Tables'!$B$7:$B$9,0))</f>
        <v>Tier 2 (Urban)</v>
      </c>
      <c r="V947" s="21" t="str">
        <f t="shared" si="42"/>
        <v>0-6 months</v>
      </c>
      <c r="W947" s="21" t="str">
        <f t="shared" si="43"/>
        <v>Medium Risk</v>
      </c>
      <c r="X947" s="21" t="str">
        <f t="shared" si="44"/>
        <v>No</v>
      </c>
    </row>
    <row r="948" spans="1:24" x14ac:dyDescent="0.3">
      <c r="A948" s="21">
        <f>'Raw Data'!A948</f>
        <v>50947</v>
      </c>
      <c r="B948" s="21">
        <f>'Raw Data'!B948</f>
        <v>0</v>
      </c>
      <c r="C948" s="21">
        <f>'Raw Data'!C948</f>
        <v>5</v>
      </c>
      <c r="D948" s="21" t="str">
        <f>'Raw Data'!D948</f>
        <v>Computer</v>
      </c>
      <c r="E948" s="21">
        <f>'Raw Data'!E948</f>
        <v>3</v>
      </c>
      <c r="F948" s="21">
        <f>IF('Raw Data'!F948="",ROUND(AVERAGE('Raw Data'!$F$2:$F$1501),1),'Raw Data'!F948)</f>
        <v>10</v>
      </c>
      <c r="G948" s="21" t="str">
        <f>'Raw Data'!G948</f>
        <v>Debit Card</v>
      </c>
      <c r="H948" s="21" t="str">
        <f>'Raw Data'!H948</f>
        <v>Male</v>
      </c>
      <c r="I948" s="21">
        <f>IF('Raw Data'!I948="",ROUND(AVERAGE('Raw Data'!$I$2:$I$1501),1),'Raw Data'!I948)</f>
        <v>4</v>
      </c>
      <c r="J948" s="21">
        <f>'Raw Data'!J948</f>
        <v>2</v>
      </c>
      <c r="K948" s="21" t="str">
        <f>'Raw Data'!K948</f>
        <v>Laptop &amp; Accessory</v>
      </c>
      <c r="L948" s="21">
        <f>'Raw Data'!L948</f>
        <v>2</v>
      </c>
      <c r="M948" s="21" t="str">
        <f>'Raw Data'!M948</f>
        <v>Married</v>
      </c>
      <c r="N948" s="21">
        <f>'Raw Data'!N948</f>
        <v>1</v>
      </c>
      <c r="O948" s="21">
        <f>'Raw Data'!O948</f>
        <v>1</v>
      </c>
      <c r="P948" s="21">
        <f>IF('Raw Data'!P948="",ROUND(AVERAGE('Raw Data'!$P$2:$P$1501),1),'Raw Data'!P948)</f>
        <v>13.6</v>
      </c>
      <c r="Q948" s="21">
        <f>IF('Raw Data'!Q948="",ROUND(AVERAGE('Raw Data'!$Q$2:$Q$1501),0),'Raw Data'!Q948)</f>
        <v>2</v>
      </c>
      <c r="R948" s="21">
        <f>'Raw Data'!R948</f>
        <v>7</v>
      </c>
      <c r="S948" s="21">
        <f>IF('Raw Data'!S948="",ROUND(AVERAGE('Raw Data'!$S$2:$S$1501),0),'Raw Data'!S948)</f>
        <v>12</v>
      </c>
      <c r="T948" s="21">
        <f>'Raw Data'!T948</f>
        <v>209.33</v>
      </c>
      <c r="U948" s="21" t="str">
        <f>INDEX('Lookup Tables'!$C$7:$C$9,MATCH(E948,'Lookup Tables'!$B$7:$B$9,0))</f>
        <v>Tier 3 (Semi-urban/Rural)</v>
      </c>
      <c r="V948" s="21" t="str">
        <f t="shared" si="42"/>
        <v>0-6 months</v>
      </c>
      <c r="W948" s="21" t="str">
        <f t="shared" si="43"/>
        <v>High Risk</v>
      </c>
      <c r="X948" s="21" t="str">
        <f t="shared" si="44"/>
        <v>No</v>
      </c>
    </row>
    <row r="949" spans="1:24" x14ac:dyDescent="0.3">
      <c r="A949" s="21">
        <f>'Raw Data'!A949</f>
        <v>50948</v>
      </c>
      <c r="B949" s="21">
        <f>'Raw Data'!B949</f>
        <v>0</v>
      </c>
      <c r="C949" s="21">
        <f>'Raw Data'!C949</f>
        <v>6</v>
      </c>
      <c r="D949" s="21" t="str">
        <f>'Raw Data'!D949</f>
        <v>Computer</v>
      </c>
      <c r="E949" s="21">
        <f>'Raw Data'!E949</f>
        <v>1</v>
      </c>
      <c r="F949" s="21">
        <f>IF('Raw Data'!F949="",ROUND(AVERAGE('Raw Data'!$F$2:$F$1501),1),'Raw Data'!F949)</f>
        <v>5</v>
      </c>
      <c r="G949" s="21" t="str">
        <f>'Raw Data'!G949</f>
        <v>E wallet</v>
      </c>
      <c r="H949" s="21" t="str">
        <f>'Raw Data'!H949</f>
        <v>Male</v>
      </c>
      <c r="I949" s="21">
        <f>IF('Raw Data'!I949="",ROUND(AVERAGE('Raw Data'!$I$2:$I$1501),1),'Raw Data'!I949)</f>
        <v>3.5</v>
      </c>
      <c r="J949" s="21">
        <f>'Raw Data'!J949</f>
        <v>3</v>
      </c>
      <c r="K949" s="21" t="str">
        <f>'Raw Data'!K949</f>
        <v>Mobile Phone</v>
      </c>
      <c r="L949" s="21">
        <f>'Raw Data'!L949</f>
        <v>4</v>
      </c>
      <c r="M949" s="21" t="str">
        <f>'Raw Data'!M949</f>
        <v>Married</v>
      </c>
      <c r="N949" s="21">
        <f>'Raw Data'!N949</f>
        <v>1</v>
      </c>
      <c r="O949" s="21">
        <f>'Raw Data'!O949</f>
        <v>0</v>
      </c>
      <c r="P949" s="21">
        <f>IF('Raw Data'!P949="",ROUND(AVERAGE('Raw Data'!$P$2:$P$1501),1),'Raw Data'!P949)</f>
        <v>17</v>
      </c>
      <c r="Q949" s="21">
        <f>IF('Raw Data'!Q949="",ROUND(AVERAGE('Raw Data'!$Q$2:$Q$1501),0),'Raw Data'!Q949)</f>
        <v>1</v>
      </c>
      <c r="R949" s="21">
        <f>'Raw Data'!R949</f>
        <v>5</v>
      </c>
      <c r="S949" s="21">
        <f>IF('Raw Data'!S949="",ROUND(AVERAGE('Raw Data'!$S$2:$S$1501),0),'Raw Data'!S949)</f>
        <v>1</v>
      </c>
      <c r="T949" s="21">
        <f>'Raw Data'!T949</f>
        <v>192.21</v>
      </c>
      <c r="U949" s="21" t="str">
        <f>INDEX('Lookup Tables'!$C$7:$C$9,MATCH(E949,'Lookup Tables'!$B$7:$B$9,0))</f>
        <v>Tier 1 (Metro)</v>
      </c>
      <c r="V949" s="21" t="str">
        <f t="shared" si="42"/>
        <v>0-6 months</v>
      </c>
      <c r="W949" s="21" t="str">
        <f t="shared" si="43"/>
        <v>Low Risk</v>
      </c>
      <c r="X949" s="21" t="str">
        <f t="shared" si="44"/>
        <v>No</v>
      </c>
    </row>
    <row r="950" spans="1:24" x14ac:dyDescent="0.3">
      <c r="A950" s="21">
        <f>'Raw Data'!A950</f>
        <v>50949</v>
      </c>
      <c r="B950" s="21">
        <f>'Raw Data'!B950</f>
        <v>0</v>
      </c>
      <c r="C950" s="21">
        <f>'Raw Data'!C950</f>
        <v>0</v>
      </c>
      <c r="D950" s="21" t="str">
        <f>'Raw Data'!D950</f>
        <v>Mobile Phone</v>
      </c>
      <c r="E950" s="21">
        <f>'Raw Data'!E950</f>
        <v>2</v>
      </c>
      <c r="F950" s="21">
        <f>IF('Raw Data'!F950="",ROUND(AVERAGE('Raw Data'!$F$2:$F$1501),1),'Raw Data'!F950)</f>
        <v>11</v>
      </c>
      <c r="G950" s="21" t="str">
        <f>'Raw Data'!G950</f>
        <v>E wallet</v>
      </c>
      <c r="H950" s="21" t="str">
        <f>'Raw Data'!H950</f>
        <v>Male</v>
      </c>
      <c r="I950" s="21">
        <f>IF('Raw Data'!I950="",ROUND(AVERAGE('Raw Data'!$I$2:$I$1501),1),'Raw Data'!I950)</f>
        <v>2.9</v>
      </c>
      <c r="J950" s="21">
        <f>'Raw Data'!J950</f>
        <v>2</v>
      </c>
      <c r="K950" s="21" t="str">
        <f>'Raw Data'!K950</f>
        <v>Laptop &amp; Accessory</v>
      </c>
      <c r="L950" s="21">
        <f>'Raw Data'!L950</f>
        <v>1</v>
      </c>
      <c r="M950" s="21" t="str">
        <f>'Raw Data'!M950</f>
        <v>Single</v>
      </c>
      <c r="N950" s="21">
        <f>'Raw Data'!N950</f>
        <v>1</v>
      </c>
      <c r="O950" s="21">
        <f>'Raw Data'!O950</f>
        <v>1</v>
      </c>
      <c r="P950" s="21">
        <f>IF('Raw Data'!P950="",ROUND(AVERAGE('Raw Data'!$P$2:$P$1501),1),'Raw Data'!P950)</f>
        <v>19.8</v>
      </c>
      <c r="Q950" s="21">
        <f>IF('Raw Data'!Q950="",ROUND(AVERAGE('Raw Data'!$Q$2:$Q$1501),0),'Raw Data'!Q950)</f>
        <v>3</v>
      </c>
      <c r="R950" s="21">
        <f>'Raw Data'!R950</f>
        <v>6</v>
      </c>
      <c r="S950" s="21">
        <f>IF('Raw Data'!S950="",ROUND(AVERAGE('Raw Data'!$S$2:$S$1501),0),'Raw Data'!S950)</f>
        <v>0</v>
      </c>
      <c r="T950" s="21">
        <f>'Raw Data'!T950</f>
        <v>156.12</v>
      </c>
      <c r="U950" s="21" t="str">
        <f>INDEX('Lookup Tables'!$C$7:$C$9,MATCH(E950,'Lookup Tables'!$B$7:$B$9,0))</f>
        <v>Tier 2 (Urban)</v>
      </c>
      <c r="V950" s="21" t="str">
        <f t="shared" si="42"/>
        <v>0-6 months</v>
      </c>
      <c r="W950" s="21" t="str">
        <f t="shared" si="43"/>
        <v>High Risk</v>
      </c>
      <c r="X950" s="21" t="str">
        <f t="shared" si="44"/>
        <v>No</v>
      </c>
    </row>
    <row r="951" spans="1:24" x14ac:dyDescent="0.3">
      <c r="A951" s="21">
        <f>'Raw Data'!A951</f>
        <v>50950</v>
      </c>
      <c r="B951" s="21">
        <f>'Raw Data'!B951</f>
        <v>0</v>
      </c>
      <c r="C951" s="21">
        <f>'Raw Data'!C951</f>
        <v>3</v>
      </c>
      <c r="D951" s="21" t="str">
        <f>'Raw Data'!D951</f>
        <v>Phone</v>
      </c>
      <c r="E951" s="21">
        <f>'Raw Data'!E951</f>
        <v>1</v>
      </c>
      <c r="F951" s="21">
        <f>IF('Raw Data'!F951="",ROUND(AVERAGE('Raw Data'!$F$2:$F$1501),1),'Raw Data'!F951)</f>
        <v>22</v>
      </c>
      <c r="G951" s="21" t="str">
        <f>'Raw Data'!G951</f>
        <v>Credit Card</v>
      </c>
      <c r="H951" s="21" t="str">
        <f>'Raw Data'!H951</f>
        <v>Male</v>
      </c>
      <c r="I951" s="21">
        <f>IF('Raw Data'!I951="",ROUND(AVERAGE('Raw Data'!$I$2:$I$1501),1),'Raw Data'!I951)</f>
        <v>1.6</v>
      </c>
      <c r="J951" s="21">
        <f>'Raw Data'!J951</f>
        <v>3</v>
      </c>
      <c r="K951" s="21" t="str">
        <f>'Raw Data'!K951</f>
        <v>Others</v>
      </c>
      <c r="L951" s="21">
        <f>'Raw Data'!L951</f>
        <v>5</v>
      </c>
      <c r="M951" s="21" t="str">
        <f>'Raw Data'!M951</f>
        <v>Single</v>
      </c>
      <c r="N951" s="21">
        <f>'Raw Data'!N951</f>
        <v>1</v>
      </c>
      <c r="O951" s="21">
        <f>'Raw Data'!O951</f>
        <v>0</v>
      </c>
      <c r="P951" s="21">
        <f>IF('Raw Data'!P951="",ROUND(AVERAGE('Raw Data'!$P$2:$P$1501),1),'Raw Data'!P951)</f>
        <v>21.6</v>
      </c>
      <c r="Q951" s="21">
        <f>IF('Raw Data'!Q951="",ROUND(AVERAGE('Raw Data'!$Q$2:$Q$1501),0),'Raw Data'!Q951)</f>
        <v>0</v>
      </c>
      <c r="R951" s="21">
        <f>'Raw Data'!R951</f>
        <v>4</v>
      </c>
      <c r="S951" s="21">
        <f>IF('Raw Data'!S951="",ROUND(AVERAGE('Raw Data'!$S$2:$S$1501),0),'Raw Data'!S951)</f>
        <v>3</v>
      </c>
      <c r="T951" s="21">
        <f>'Raw Data'!T951</f>
        <v>133.03</v>
      </c>
      <c r="U951" s="21" t="str">
        <f>INDEX('Lookup Tables'!$C$7:$C$9,MATCH(E951,'Lookup Tables'!$B$7:$B$9,0))</f>
        <v>Tier 1 (Metro)</v>
      </c>
      <c r="V951" s="21" t="str">
        <f t="shared" si="42"/>
        <v>0-6 months</v>
      </c>
      <c r="W951" s="21" t="str">
        <f t="shared" si="43"/>
        <v>Low Risk</v>
      </c>
      <c r="X951" s="21" t="str">
        <f t="shared" si="44"/>
        <v>No</v>
      </c>
    </row>
    <row r="952" spans="1:24" x14ac:dyDescent="0.3">
      <c r="A952" s="21">
        <f>'Raw Data'!A952</f>
        <v>50951</v>
      </c>
      <c r="B952" s="21">
        <f>'Raw Data'!B952</f>
        <v>1</v>
      </c>
      <c r="C952" s="21">
        <f>'Raw Data'!C952</f>
        <v>14</v>
      </c>
      <c r="D952" s="21" t="str">
        <f>'Raw Data'!D952</f>
        <v>Mobile Phone</v>
      </c>
      <c r="E952" s="21">
        <f>'Raw Data'!E952</f>
        <v>3</v>
      </c>
      <c r="F952" s="21">
        <f>IF('Raw Data'!F952="",ROUND(AVERAGE('Raw Data'!$F$2:$F$1501),1),'Raw Data'!F952)</f>
        <v>19</v>
      </c>
      <c r="G952" s="21" t="str">
        <f>'Raw Data'!G952</f>
        <v>Cash on Delivery</v>
      </c>
      <c r="H952" s="21" t="str">
        <f>'Raw Data'!H952</f>
        <v>Male</v>
      </c>
      <c r="I952" s="21">
        <f>IF('Raw Data'!I952="",ROUND(AVERAGE('Raw Data'!$I$2:$I$1501),1),'Raw Data'!I952)</f>
        <v>2.9</v>
      </c>
      <c r="J952" s="21">
        <f>'Raw Data'!J952</f>
        <v>2</v>
      </c>
      <c r="K952" s="21" t="str">
        <f>'Raw Data'!K952</f>
        <v>Laptop &amp; Accessory</v>
      </c>
      <c r="L952" s="21">
        <f>'Raw Data'!L952</f>
        <v>4</v>
      </c>
      <c r="M952" s="21" t="str">
        <f>'Raw Data'!M952</f>
        <v>Married</v>
      </c>
      <c r="N952" s="21">
        <f>'Raw Data'!N952</f>
        <v>9</v>
      </c>
      <c r="O952" s="21">
        <f>'Raw Data'!O952</f>
        <v>1</v>
      </c>
      <c r="P952" s="21">
        <f>IF('Raw Data'!P952="",ROUND(AVERAGE('Raw Data'!$P$2:$P$1501),1),'Raw Data'!P952)</f>
        <v>11</v>
      </c>
      <c r="Q952" s="21">
        <f>IF('Raw Data'!Q952="",ROUND(AVERAGE('Raw Data'!$Q$2:$Q$1501),0),'Raw Data'!Q952)</f>
        <v>2</v>
      </c>
      <c r="R952" s="21">
        <f>'Raw Data'!R952</f>
        <v>2</v>
      </c>
      <c r="S952" s="21">
        <f>IF('Raw Data'!S952="",ROUND(AVERAGE('Raw Data'!$S$2:$S$1501),0),'Raw Data'!S952)</f>
        <v>0</v>
      </c>
      <c r="T952" s="21">
        <f>'Raw Data'!T952</f>
        <v>114.16</v>
      </c>
      <c r="U952" s="21" t="str">
        <f>INDEX('Lookup Tables'!$C$7:$C$9,MATCH(E952,'Lookup Tables'!$B$7:$B$9,0))</f>
        <v>Tier 3 (Semi-urban/Rural)</v>
      </c>
      <c r="V952" s="21" t="str">
        <f t="shared" si="42"/>
        <v>13-24 months</v>
      </c>
      <c r="W952" s="21" t="str">
        <f t="shared" si="43"/>
        <v>Low Risk</v>
      </c>
      <c r="X952" s="21" t="str">
        <f t="shared" si="44"/>
        <v>Yes</v>
      </c>
    </row>
    <row r="953" spans="1:24" x14ac:dyDescent="0.3">
      <c r="A953" s="21">
        <f>'Raw Data'!A953</f>
        <v>50952</v>
      </c>
      <c r="B953" s="21">
        <f>'Raw Data'!B953</f>
        <v>0</v>
      </c>
      <c r="C953" s="21">
        <f>'Raw Data'!C953</f>
        <v>1</v>
      </c>
      <c r="D953" s="21" t="str">
        <f>'Raw Data'!D953</f>
        <v>Mobile Phone</v>
      </c>
      <c r="E953" s="21">
        <f>'Raw Data'!E953</f>
        <v>2</v>
      </c>
      <c r="F953" s="21">
        <f>IF('Raw Data'!F953="",ROUND(AVERAGE('Raw Data'!$F$2:$F$1501),1),'Raw Data'!F953)</f>
        <v>18</v>
      </c>
      <c r="G953" s="21" t="str">
        <f>'Raw Data'!G953</f>
        <v>Debit Card</v>
      </c>
      <c r="H953" s="21" t="str">
        <f>'Raw Data'!H953</f>
        <v>Female</v>
      </c>
      <c r="I953" s="21">
        <f>IF('Raw Data'!I953="",ROUND(AVERAGE('Raw Data'!$I$2:$I$1501),1),'Raw Data'!I953)</f>
        <v>3</v>
      </c>
      <c r="J953" s="21">
        <f>'Raw Data'!J953</f>
        <v>3</v>
      </c>
      <c r="K953" s="21" t="str">
        <f>'Raw Data'!K953</f>
        <v>Mobile Phone</v>
      </c>
      <c r="L953" s="21">
        <f>'Raw Data'!L953</f>
        <v>5</v>
      </c>
      <c r="M953" s="21" t="str">
        <f>'Raw Data'!M953</f>
        <v>Married</v>
      </c>
      <c r="N953" s="21">
        <f>'Raw Data'!N953</f>
        <v>2</v>
      </c>
      <c r="O953" s="21">
        <f>'Raw Data'!O953</f>
        <v>0</v>
      </c>
      <c r="P953" s="21">
        <f>IF('Raw Data'!P953="",ROUND(AVERAGE('Raw Data'!$P$2:$P$1501),1),'Raw Data'!P953)</f>
        <v>13.1</v>
      </c>
      <c r="Q953" s="21">
        <f>IF('Raw Data'!Q953="",ROUND(AVERAGE('Raw Data'!$Q$2:$Q$1501),0),'Raw Data'!Q953)</f>
        <v>0</v>
      </c>
      <c r="R953" s="21">
        <f>'Raw Data'!R953</f>
        <v>3</v>
      </c>
      <c r="S953" s="21">
        <f>IF('Raw Data'!S953="",ROUND(AVERAGE('Raw Data'!$S$2:$S$1501),0),'Raw Data'!S953)</f>
        <v>11</v>
      </c>
      <c r="T953" s="21">
        <f>'Raw Data'!T953</f>
        <v>141.80000000000001</v>
      </c>
      <c r="U953" s="21" t="str">
        <f>INDEX('Lookup Tables'!$C$7:$C$9,MATCH(E953,'Lookup Tables'!$B$7:$B$9,0))</f>
        <v>Tier 2 (Urban)</v>
      </c>
      <c r="V953" s="21" t="str">
        <f t="shared" si="42"/>
        <v>0-6 months</v>
      </c>
      <c r="W953" s="21" t="str">
        <f t="shared" si="43"/>
        <v>Low Risk</v>
      </c>
      <c r="X953" s="21" t="str">
        <f t="shared" si="44"/>
        <v>No</v>
      </c>
    </row>
    <row r="954" spans="1:24" x14ac:dyDescent="0.3">
      <c r="A954" s="21">
        <f>'Raw Data'!A954</f>
        <v>50953</v>
      </c>
      <c r="B954" s="21">
        <f>'Raw Data'!B954</f>
        <v>0</v>
      </c>
      <c r="C954" s="21">
        <f>'Raw Data'!C954</f>
        <v>7</v>
      </c>
      <c r="D954" s="21" t="str">
        <f>'Raw Data'!D954</f>
        <v>Phone</v>
      </c>
      <c r="E954" s="21">
        <f>'Raw Data'!E954</f>
        <v>2</v>
      </c>
      <c r="F954" s="21">
        <f>IF('Raw Data'!F954="",ROUND(AVERAGE('Raw Data'!$F$2:$F$1501),1),'Raw Data'!F954)</f>
        <v>12</v>
      </c>
      <c r="G954" s="21" t="str">
        <f>'Raw Data'!G954</f>
        <v>Debit Card</v>
      </c>
      <c r="H954" s="21" t="str">
        <f>'Raw Data'!H954</f>
        <v>Female</v>
      </c>
      <c r="I954" s="21">
        <f>IF('Raw Data'!I954="",ROUND(AVERAGE('Raw Data'!$I$2:$I$1501),1),'Raw Data'!I954)</f>
        <v>2.9</v>
      </c>
      <c r="J954" s="21">
        <f>'Raw Data'!J954</f>
        <v>2</v>
      </c>
      <c r="K954" s="21" t="str">
        <f>'Raw Data'!K954</f>
        <v>Mobile Phone</v>
      </c>
      <c r="L954" s="21">
        <f>'Raw Data'!L954</f>
        <v>5</v>
      </c>
      <c r="M954" s="21" t="str">
        <f>'Raw Data'!M954</f>
        <v>Married</v>
      </c>
      <c r="N954" s="21">
        <f>'Raw Data'!N954</f>
        <v>1</v>
      </c>
      <c r="O954" s="21">
        <f>'Raw Data'!O954</f>
        <v>0</v>
      </c>
      <c r="P954" s="21">
        <f>IF('Raw Data'!P954="",ROUND(AVERAGE('Raw Data'!$P$2:$P$1501),1),'Raw Data'!P954)</f>
        <v>14.9</v>
      </c>
      <c r="Q954" s="21">
        <f>IF('Raw Data'!Q954="",ROUND(AVERAGE('Raw Data'!$Q$2:$Q$1501),0),'Raw Data'!Q954)</f>
        <v>2</v>
      </c>
      <c r="R954" s="21">
        <f>'Raw Data'!R954</f>
        <v>6</v>
      </c>
      <c r="S954" s="21">
        <f>IF('Raw Data'!S954="",ROUND(AVERAGE('Raw Data'!$S$2:$S$1501),0),'Raw Data'!S954)</f>
        <v>4</v>
      </c>
      <c r="T954" s="21">
        <f>'Raw Data'!T954</f>
        <v>177.64</v>
      </c>
      <c r="U954" s="21" t="str">
        <f>INDEX('Lookup Tables'!$C$7:$C$9,MATCH(E954,'Lookup Tables'!$B$7:$B$9,0))</f>
        <v>Tier 2 (Urban)</v>
      </c>
      <c r="V954" s="21" t="str">
        <f t="shared" si="42"/>
        <v>7-12 months</v>
      </c>
      <c r="W954" s="21" t="str">
        <f t="shared" si="43"/>
        <v>Low Risk</v>
      </c>
      <c r="X954" s="21" t="str">
        <f t="shared" si="44"/>
        <v>No</v>
      </c>
    </row>
    <row r="955" spans="1:24" x14ac:dyDescent="0.3">
      <c r="A955" s="21">
        <f>'Raw Data'!A955</f>
        <v>50954</v>
      </c>
      <c r="B955" s="21">
        <f>'Raw Data'!B955</f>
        <v>1</v>
      </c>
      <c r="C955" s="21">
        <f>'Raw Data'!C955</f>
        <v>2</v>
      </c>
      <c r="D955" s="21" t="str">
        <f>'Raw Data'!D955</f>
        <v>Phone</v>
      </c>
      <c r="E955" s="21">
        <f>'Raw Data'!E955</f>
        <v>1</v>
      </c>
      <c r="F955" s="21">
        <f>IF('Raw Data'!F955="",ROUND(AVERAGE('Raw Data'!$F$2:$F$1501),1),'Raw Data'!F955)</f>
        <v>5</v>
      </c>
      <c r="G955" s="21" t="str">
        <f>'Raw Data'!G955</f>
        <v>Cash on Delivery</v>
      </c>
      <c r="H955" s="21" t="str">
        <f>'Raw Data'!H955</f>
        <v>Male</v>
      </c>
      <c r="I955" s="21">
        <f>IF('Raw Data'!I955="",ROUND(AVERAGE('Raw Data'!$I$2:$I$1501),1),'Raw Data'!I955)</f>
        <v>4</v>
      </c>
      <c r="J955" s="21">
        <f>'Raw Data'!J955</f>
        <v>3</v>
      </c>
      <c r="K955" s="21" t="str">
        <f>'Raw Data'!K955</f>
        <v>Laptop &amp; Accessory</v>
      </c>
      <c r="L955" s="21">
        <f>'Raw Data'!L955</f>
        <v>3</v>
      </c>
      <c r="M955" s="21" t="str">
        <f>'Raw Data'!M955</f>
        <v>Single</v>
      </c>
      <c r="N955" s="21">
        <f>'Raw Data'!N955</f>
        <v>1</v>
      </c>
      <c r="O955" s="21">
        <f>'Raw Data'!O955</f>
        <v>0</v>
      </c>
      <c r="P955" s="21">
        <f>IF('Raw Data'!P955="",ROUND(AVERAGE('Raw Data'!$P$2:$P$1501),1),'Raw Data'!P955)</f>
        <v>17.600000000000001</v>
      </c>
      <c r="Q955" s="21">
        <f>IF('Raw Data'!Q955="",ROUND(AVERAGE('Raw Data'!$Q$2:$Q$1501),0),'Raw Data'!Q955)</f>
        <v>2</v>
      </c>
      <c r="R955" s="21">
        <f>'Raw Data'!R955</f>
        <v>8</v>
      </c>
      <c r="S955" s="21">
        <f>IF('Raw Data'!S955="",ROUND(AVERAGE('Raw Data'!$S$2:$S$1501),0),'Raw Data'!S955)</f>
        <v>4</v>
      </c>
      <c r="T955" s="21">
        <f>'Raw Data'!T955</f>
        <v>116.48</v>
      </c>
      <c r="U955" s="21" t="str">
        <f>INDEX('Lookup Tables'!$C$7:$C$9,MATCH(E955,'Lookup Tables'!$B$7:$B$9,0))</f>
        <v>Tier 1 (Metro)</v>
      </c>
      <c r="V955" s="21" t="str">
        <f t="shared" si="42"/>
        <v>0-6 months</v>
      </c>
      <c r="W955" s="21" t="str">
        <f t="shared" si="43"/>
        <v>Medium Risk</v>
      </c>
      <c r="X955" s="21" t="str">
        <f t="shared" si="44"/>
        <v>Yes</v>
      </c>
    </row>
    <row r="956" spans="1:24" x14ac:dyDescent="0.3">
      <c r="A956" s="21">
        <f>'Raw Data'!A956</f>
        <v>50955</v>
      </c>
      <c r="B956" s="21">
        <f>'Raw Data'!B956</f>
        <v>0</v>
      </c>
      <c r="C956" s="21">
        <f>'Raw Data'!C956</f>
        <v>0</v>
      </c>
      <c r="D956" s="21" t="str">
        <f>'Raw Data'!D956</f>
        <v>Computer</v>
      </c>
      <c r="E956" s="21">
        <f>'Raw Data'!E956</f>
        <v>2</v>
      </c>
      <c r="F956" s="21">
        <f>IF('Raw Data'!F956="",ROUND(AVERAGE('Raw Data'!$F$2:$F$1501),1),'Raw Data'!F956)</f>
        <v>19</v>
      </c>
      <c r="G956" s="21" t="str">
        <f>'Raw Data'!G956</f>
        <v>Debit Card</v>
      </c>
      <c r="H956" s="21" t="str">
        <f>'Raw Data'!H956</f>
        <v>Male</v>
      </c>
      <c r="I956" s="21">
        <f>IF('Raw Data'!I956="",ROUND(AVERAGE('Raw Data'!$I$2:$I$1501),1),'Raw Data'!I956)</f>
        <v>2.4</v>
      </c>
      <c r="J956" s="21">
        <f>'Raw Data'!J956</f>
        <v>4</v>
      </c>
      <c r="K956" s="21" t="str">
        <f>'Raw Data'!K956</f>
        <v>Mobile Phone</v>
      </c>
      <c r="L956" s="21">
        <f>'Raw Data'!L956</f>
        <v>5</v>
      </c>
      <c r="M956" s="21" t="str">
        <f>'Raw Data'!M956</f>
        <v>Married</v>
      </c>
      <c r="N956" s="21">
        <f>'Raw Data'!N956</f>
        <v>1</v>
      </c>
      <c r="O956" s="21">
        <f>'Raw Data'!O956</f>
        <v>1</v>
      </c>
      <c r="P956" s="21">
        <f>IF('Raw Data'!P956="",ROUND(AVERAGE('Raw Data'!$P$2:$P$1501),1),'Raw Data'!P956)</f>
        <v>11</v>
      </c>
      <c r="Q956" s="21">
        <f>IF('Raw Data'!Q956="",ROUND(AVERAGE('Raw Data'!$Q$2:$Q$1501),0),'Raw Data'!Q956)</f>
        <v>3</v>
      </c>
      <c r="R956" s="21">
        <f>'Raw Data'!R956</f>
        <v>6</v>
      </c>
      <c r="S956" s="21">
        <f>IF('Raw Data'!S956="",ROUND(AVERAGE('Raw Data'!$S$2:$S$1501),0),'Raw Data'!S956)</f>
        <v>4</v>
      </c>
      <c r="T956" s="21">
        <f>'Raw Data'!T956</f>
        <v>189.32</v>
      </c>
      <c r="U956" s="21" t="str">
        <f>INDEX('Lookup Tables'!$C$7:$C$9,MATCH(E956,'Lookup Tables'!$B$7:$B$9,0))</f>
        <v>Tier 2 (Urban)</v>
      </c>
      <c r="V956" s="21" t="str">
        <f t="shared" si="42"/>
        <v>0-6 months</v>
      </c>
      <c r="W956" s="21" t="str">
        <f t="shared" si="43"/>
        <v>Low Risk</v>
      </c>
      <c r="X956" s="21" t="str">
        <f t="shared" si="44"/>
        <v>No</v>
      </c>
    </row>
    <row r="957" spans="1:24" x14ac:dyDescent="0.3">
      <c r="A957" s="21">
        <f>'Raw Data'!A957</f>
        <v>50956</v>
      </c>
      <c r="B957" s="21">
        <f>'Raw Data'!B957</f>
        <v>0</v>
      </c>
      <c r="C957" s="21">
        <f>'Raw Data'!C957</f>
        <v>2</v>
      </c>
      <c r="D957" s="21" t="str">
        <f>'Raw Data'!D957</f>
        <v>Phone</v>
      </c>
      <c r="E957" s="21">
        <f>'Raw Data'!E957</f>
        <v>1</v>
      </c>
      <c r="F957" s="21">
        <f>IF('Raw Data'!F957="",ROUND(AVERAGE('Raw Data'!$F$2:$F$1501),1),'Raw Data'!F957)</f>
        <v>8</v>
      </c>
      <c r="G957" s="21" t="str">
        <f>'Raw Data'!G957</f>
        <v>Debit Card</v>
      </c>
      <c r="H957" s="21" t="str">
        <f>'Raw Data'!H957</f>
        <v>Male</v>
      </c>
      <c r="I957" s="21">
        <f>IF('Raw Data'!I957="",ROUND(AVERAGE('Raw Data'!$I$2:$I$1501),1),'Raw Data'!I957)</f>
        <v>3.5</v>
      </c>
      <c r="J957" s="21">
        <f>'Raw Data'!J957</f>
        <v>3</v>
      </c>
      <c r="K957" s="21" t="str">
        <f>'Raw Data'!K957</f>
        <v>Laptop &amp; Accessory</v>
      </c>
      <c r="L957" s="21">
        <f>'Raw Data'!L957</f>
        <v>2</v>
      </c>
      <c r="M957" s="21" t="str">
        <f>'Raw Data'!M957</f>
        <v>Married</v>
      </c>
      <c r="N957" s="21">
        <f>'Raw Data'!N957</f>
        <v>3</v>
      </c>
      <c r="O957" s="21">
        <f>'Raw Data'!O957</f>
        <v>1</v>
      </c>
      <c r="P957" s="21">
        <f>IF('Raw Data'!P957="",ROUND(AVERAGE('Raw Data'!$P$2:$P$1501),1),'Raw Data'!P957)</f>
        <v>16.3</v>
      </c>
      <c r="Q957" s="21">
        <f>IF('Raw Data'!Q957="",ROUND(AVERAGE('Raw Data'!$Q$2:$Q$1501),0),'Raw Data'!Q957)</f>
        <v>2</v>
      </c>
      <c r="R957" s="21">
        <f>'Raw Data'!R957</f>
        <v>4</v>
      </c>
      <c r="S957" s="21">
        <f>IF('Raw Data'!S957="",ROUND(AVERAGE('Raw Data'!$S$2:$S$1501),0),'Raw Data'!S957)</f>
        <v>8</v>
      </c>
      <c r="T957" s="21">
        <f>'Raw Data'!T957</f>
        <v>169.31</v>
      </c>
      <c r="U957" s="21" t="str">
        <f>INDEX('Lookup Tables'!$C$7:$C$9,MATCH(E957,'Lookup Tables'!$B$7:$B$9,0))</f>
        <v>Tier 1 (Metro)</v>
      </c>
      <c r="V957" s="21" t="str">
        <f t="shared" si="42"/>
        <v>0-6 months</v>
      </c>
      <c r="W957" s="21" t="str">
        <f t="shared" si="43"/>
        <v>High Risk</v>
      </c>
      <c r="X957" s="21" t="str">
        <f t="shared" si="44"/>
        <v>No</v>
      </c>
    </row>
    <row r="958" spans="1:24" x14ac:dyDescent="0.3">
      <c r="A958" s="21">
        <f>'Raw Data'!A958</f>
        <v>50957</v>
      </c>
      <c r="B958" s="21">
        <f>'Raw Data'!B958</f>
        <v>0</v>
      </c>
      <c r="C958" s="21">
        <f>'Raw Data'!C958</f>
        <v>37</v>
      </c>
      <c r="D958" s="21" t="str">
        <f>'Raw Data'!D958</f>
        <v>Mobile Phone</v>
      </c>
      <c r="E958" s="21">
        <f>'Raw Data'!E958</f>
        <v>1</v>
      </c>
      <c r="F958" s="21">
        <f>IF('Raw Data'!F958="",ROUND(AVERAGE('Raw Data'!$F$2:$F$1501),1),'Raw Data'!F958)</f>
        <v>32</v>
      </c>
      <c r="G958" s="21" t="str">
        <f>'Raw Data'!G958</f>
        <v>Credit Card</v>
      </c>
      <c r="H958" s="21" t="str">
        <f>'Raw Data'!H958</f>
        <v>Male</v>
      </c>
      <c r="I958" s="21">
        <f>IF('Raw Data'!I958="",ROUND(AVERAGE('Raw Data'!$I$2:$I$1501),1),'Raw Data'!I958)</f>
        <v>3.4</v>
      </c>
      <c r="J958" s="21">
        <f>'Raw Data'!J958</f>
        <v>5</v>
      </c>
      <c r="K958" s="21" t="str">
        <f>'Raw Data'!K958</f>
        <v>Grocery</v>
      </c>
      <c r="L958" s="21">
        <f>'Raw Data'!L958</f>
        <v>1</v>
      </c>
      <c r="M958" s="21" t="str">
        <f>'Raw Data'!M958</f>
        <v>Single</v>
      </c>
      <c r="N958" s="21">
        <f>'Raw Data'!N958</f>
        <v>2</v>
      </c>
      <c r="O958" s="21">
        <f>'Raw Data'!O958</f>
        <v>1</v>
      </c>
      <c r="P958" s="21">
        <f>IF('Raw Data'!P958="",ROUND(AVERAGE('Raw Data'!$P$2:$P$1501),1),'Raw Data'!P958)</f>
        <v>16.5</v>
      </c>
      <c r="Q958" s="21">
        <f>IF('Raw Data'!Q958="",ROUND(AVERAGE('Raw Data'!$Q$2:$Q$1501),0),'Raw Data'!Q958)</f>
        <v>2</v>
      </c>
      <c r="R958" s="21">
        <f>'Raw Data'!R958</f>
        <v>5</v>
      </c>
      <c r="S958" s="21">
        <f>IF('Raw Data'!S958="",ROUND(AVERAGE('Raw Data'!$S$2:$S$1501),0),'Raw Data'!S958)</f>
        <v>4</v>
      </c>
      <c r="T958" s="21">
        <f>'Raw Data'!T958</f>
        <v>158.15</v>
      </c>
      <c r="U958" s="21" t="str">
        <f>INDEX('Lookup Tables'!$C$7:$C$9,MATCH(E958,'Lookup Tables'!$B$7:$B$9,0))</f>
        <v>Tier 1 (Metro)</v>
      </c>
      <c r="V958" s="21" t="str">
        <f t="shared" si="42"/>
        <v>25+ months</v>
      </c>
      <c r="W958" s="21" t="str">
        <f t="shared" si="43"/>
        <v>High Risk</v>
      </c>
      <c r="X958" s="21" t="str">
        <f t="shared" si="44"/>
        <v>No</v>
      </c>
    </row>
    <row r="959" spans="1:24" x14ac:dyDescent="0.3">
      <c r="A959" s="21">
        <f>'Raw Data'!A959</f>
        <v>50958</v>
      </c>
      <c r="B959" s="21">
        <f>'Raw Data'!B959</f>
        <v>0</v>
      </c>
      <c r="C959" s="21">
        <f>'Raw Data'!C959</f>
        <v>16</v>
      </c>
      <c r="D959" s="21" t="str">
        <f>'Raw Data'!D959</f>
        <v>Phone</v>
      </c>
      <c r="E959" s="21">
        <f>'Raw Data'!E959</f>
        <v>1</v>
      </c>
      <c r="F959" s="21">
        <f>IF('Raw Data'!F959="",ROUND(AVERAGE('Raw Data'!$F$2:$F$1501),1),'Raw Data'!F959)</f>
        <v>19</v>
      </c>
      <c r="G959" s="21" t="str">
        <f>'Raw Data'!G959</f>
        <v>UPI</v>
      </c>
      <c r="H959" s="21" t="str">
        <f>'Raw Data'!H959</f>
        <v>Male</v>
      </c>
      <c r="I959" s="21">
        <f>IF('Raw Data'!I959="",ROUND(AVERAGE('Raw Data'!$I$2:$I$1501),1),'Raw Data'!I959)</f>
        <v>3.7</v>
      </c>
      <c r="J959" s="21">
        <f>'Raw Data'!J959</f>
        <v>5</v>
      </c>
      <c r="K959" s="21" t="str">
        <f>'Raw Data'!K959</f>
        <v>Mobile Phone</v>
      </c>
      <c r="L959" s="21">
        <f>'Raw Data'!L959</f>
        <v>4</v>
      </c>
      <c r="M959" s="21" t="str">
        <f>'Raw Data'!M959</f>
        <v>Single</v>
      </c>
      <c r="N959" s="21">
        <f>'Raw Data'!N959</f>
        <v>1</v>
      </c>
      <c r="O959" s="21">
        <f>'Raw Data'!O959</f>
        <v>0</v>
      </c>
      <c r="P959" s="21">
        <f>IF('Raw Data'!P959="",ROUND(AVERAGE('Raw Data'!$P$2:$P$1501),1),'Raw Data'!P959)</f>
        <v>16.3</v>
      </c>
      <c r="Q959" s="21">
        <f>IF('Raw Data'!Q959="",ROUND(AVERAGE('Raw Data'!$Q$2:$Q$1501),0),'Raw Data'!Q959)</f>
        <v>2</v>
      </c>
      <c r="R959" s="21">
        <f>'Raw Data'!R959</f>
        <v>3</v>
      </c>
      <c r="S959" s="21">
        <f>IF('Raw Data'!S959="",ROUND(AVERAGE('Raw Data'!$S$2:$S$1501),0),'Raw Data'!S959)</f>
        <v>2</v>
      </c>
      <c r="T959" s="21">
        <f>'Raw Data'!T959</f>
        <v>243.88</v>
      </c>
      <c r="U959" s="21" t="str">
        <f>INDEX('Lookup Tables'!$C$7:$C$9,MATCH(E959,'Lookup Tables'!$B$7:$B$9,0))</f>
        <v>Tier 1 (Metro)</v>
      </c>
      <c r="V959" s="21" t="str">
        <f t="shared" si="42"/>
        <v>13-24 months</v>
      </c>
      <c r="W959" s="21" t="str">
        <f t="shared" si="43"/>
        <v>Low Risk</v>
      </c>
      <c r="X959" s="21" t="str">
        <f t="shared" si="44"/>
        <v>No</v>
      </c>
    </row>
    <row r="960" spans="1:24" x14ac:dyDescent="0.3">
      <c r="A960" s="21">
        <f>'Raw Data'!A960</f>
        <v>50959</v>
      </c>
      <c r="B960" s="21">
        <f>'Raw Data'!B960</f>
        <v>0</v>
      </c>
      <c r="C960" s="21">
        <f>'Raw Data'!C960</f>
        <v>32</v>
      </c>
      <c r="D960" s="21" t="str">
        <f>'Raw Data'!D960</f>
        <v>Mobile Phone</v>
      </c>
      <c r="E960" s="21">
        <f>'Raw Data'!E960</f>
        <v>2</v>
      </c>
      <c r="F960" s="21">
        <f>IF('Raw Data'!F960="",ROUND(AVERAGE('Raw Data'!$F$2:$F$1501),1),'Raw Data'!F960)</f>
        <v>10</v>
      </c>
      <c r="G960" s="21" t="str">
        <f>'Raw Data'!G960</f>
        <v>Debit Card</v>
      </c>
      <c r="H960" s="21" t="str">
        <f>'Raw Data'!H960</f>
        <v>Male</v>
      </c>
      <c r="I960" s="21">
        <f>IF('Raw Data'!I960="",ROUND(AVERAGE('Raw Data'!$I$2:$I$1501),1),'Raw Data'!I960)</f>
        <v>3.2</v>
      </c>
      <c r="J960" s="21">
        <f>'Raw Data'!J960</f>
        <v>4</v>
      </c>
      <c r="K960" s="21" t="str">
        <f>'Raw Data'!K960</f>
        <v>Mobile Phone</v>
      </c>
      <c r="L960" s="21">
        <f>'Raw Data'!L960</f>
        <v>1</v>
      </c>
      <c r="M960" s="21" t="str">
        <f>'Raw Data'!M960</f>
        <v>Divorced</v>
      </c>
      <c r="N960" s="21">
        <f>'Raw Data'!N960</f>
        <v>2</v>
      </c>
      <c r="O960" s="21">
        <f>'Raw Data'!O960</f>
        <v>0</v>
      </c>
      <c r="P960" s="21">
        <f>IF('Raw Data'!P960="",ROUND(AVERAGE('Raw Data'!$P$2:$P$1501),1),'Raw Data'!P960)</f>
        <v>17.3</v>
      </c>
      <c r="Q960" s="21">
        <f>IF('Raw Data'!Q960="",ROUND(AVERAGE('Raw Data'!$Q$2:$Q$1501),0),'Raw Data'!Q960)</f>
        <v>0</v>
      </c>
      <c r="R960" s="21">
        <f>'Raw Data'!R960</f>
        <v>4</v>
      </c>
      <c r="S960" s="21">
        <f>IF('Raw Data'!S960="",ROUND(AVERAGE('Raw Data'!$S$2:$S$1501),0),'Raw Data'!S960)</f>
        <v>20</v>
      </c>
      <c r="T960" s="21">
        <f>'Raw Data'!T960</f>
        <v>44.67</v>
      </c>
      <c r="U960" s="21" t="str">
        <f>INDEX('Lookup Tables'!$C$7:$C$9,MATCH(E960,'Lookup Tables'!$B$7:$B$9,0))</f>
        <v>Tier 2 (Urban)</v>
      </c>
      <c r="V960" s="21" t="str">
        <f t="shared" si="42"/>
        <v>25+ months</v>
      </c>
      <c r="W960" s="21" t="str">
        <f t="shared" si="43"/>
        <v>Medium Risk</v>
      </c>
      <c r="X960" s="21" t="str">
        <f t="shared" si="44"/>
        <v>No</v>
      </c>
    </row>
    <row r="961" spans="1:24" x14ac:dyDescent="0.3">
      <c r="A961" s="21">
        <f>'Raw Data'!A961</f>
        <v>50960</v>
      </c>
      <c r="B961" s="21">
        <f>'Raw Data'!B961</f>
        <v>0</v>
      </c>
      <c r="C961" s="21">
        <f>'Raw Data'!C961</f>
        <v>6</v>
      </c>
      <c r="D961" s="21" t="str">
        <f>'Raw Data'!D961</f>
        <v>Mobile Phone</v>
      </c>
      <c r="E961" s="21">
        <f>'Raw Data'!E961</f>
        <v>1</v>
      </c>
      <c r="F961" s="21">
        <f>IF('Raw Data'!F961="",ROUND(AVERAGE('Raw Data'!$F$2:$F$1501),1),'Raw Data'!F961)</f>
        <v>10</v>
      </c>
      <c r="G961" s="21" t="str">
        <f>'Raw Data'!G961</f>
        <v>Cash on Delivery</v>
      </c>
      <c r="H961" s="21" t="str">
        <f>'Raw Data'!H961</f>
        <v>Male</v>
      </c>
      <c r="I961" s="21">
        <f>IF('Raw Data'!I961="",ROUND(AVERAGE('Raw Data'!$I$2:$I$1501),1),'Raw Data'!I961)</f>
        <v>1.5</v>
      </c>
      <c r="J961" s="21">
        <f>'Raw Data'!J961</f>
        <v>3</v>
      </c>
      <c r="K961" s="21" t="str">
        <f>'Raw Data'!K961</f>
        <v>Fashion</v>
      </c>
      <c r="L961" s="21">
        <f>'Raw Data'!L961</f>
        <v>5</v>
      </c>
      <c r="M961" s="21" t="str">
        <f>'Raw Data'!M961</f>
        <v>Married</v>
      </c>
      <c r="N961" s="21">
        <f>'Raw Data'!N961</f>
        <v>1</v>
      </c>
      <c r="O961" s="21">
        <f>'Raw Data'!O961</f>
        <v>1</v>
      </c>
      <c r="P961" s="21">
        <f>IF('Raw Data'!P961="",ROUND(AVERAGE('Raw Data'!$P$2:$P$1501),1),'Raw Data'!P961)</f>
        <v>17.600000000000001</v>
      </c>
      <c r="Q961" s="21">
        <f>IF('Raw Data'!Q961="",ROUND(AVERAGE('Raw Data'!$Q$2:$Q$1501),0),'Raw Data'!Q961)</f>
        <v>2</v>
      </c>
      <c r="R961" s="21">
        <f>'Raw Data'!R961</f>
        <v>5</v>
      </c>
      <c r="S961" s="21">
        <f>IF('Raw Data'!S961="",ROUND(AVERAGE('Raw Data'!$S$2:$S$1501),0),'Raw Data'!S961)</f>
        <v>0</v>
      </c>
      <c r="T961" s="21">
        <f>'Raw Data'!T961</f>
        <v>158.88999999999999</v>
      </c>
      <c r="U961" s="21" t="str">
        <f>INDEX('Lookup Tables'!$C$7:$C$9,MATCH(E961,'Lookup Tables'!$B$7:$B$9,0))</f>
        <v>Tier 1 (Metro)</v>
      </c>
      <c r="V961" s="21" t="str">
        <f t="shared" si="42"/>
        <v>0-6 months</v>
      </c>
      <c r="W961" s="21" t="str">
        <f t="shared" si="43"/>
        <v>Low Risk</v>
      </c>
      <c r="X961" s="21" t="str">
        <f t="shared" si="44"/>
        <v>No</v>
      </c>
    </row>
    <row r="962" spans="1:24" x14ac:dyDescent="0.3">
      <c r="A962" s="21">
        <f>'Raw Data'!A962</f>
        <v>50961</v>
      </c>
      <c r="B962" s="21">
        <f>'Raw Data'!B962</f>
        <v>0</v>
      </c>
      <c r="C962" s="21">
        <f>'Raw Data'!C962</f>
        <v>1</v>
      </c>
      <c r="D962" s="21" t="str">
        <f>'Raw Data'!D962</f>
        <v>Mobile Phone</v>
      </c>
      <c r="E962" s="21">
        <f>'Raw Data'!E962</f>
        <v>1</v>
      </c>
      <c r="F962" s="21">
        <f>IF('Raw Data'!F962="",ROUND(AVERAGE('Raw Data'!$F$2:$F$1501),1),'Raw Data'!F962)</f>
        <v>14</v>
      </c>
      <c r="G962" s="21" t="str">
        <f>'Raw Data'!G962</f>
        <v>UPI</v>
      </c>
      <c r="H962" s="21" t="str">
        <f>'Raw Data'!H962</f>
        <v>Male</v>
      </c>
      <c r="I962" s="21">
        <f>IF('Raw Data'!I962="",ROUND(AVERAGE('Raw Data'!$I$2:$I$1501),1),'Raw Data'!I962)</f>
        <v>2.8</v>
      </c>
      <c r="J962" s="21">
        <f>'Raw Data'!J962</f>
        <v>3</v>
      </c>
      <c r="K962" s="21" t="str">
        <f>'Raw Data'!K962</f>
        <v>Grocery</v>
      </c>
      <c r="L962" s="21">
        <f>'Raw Data'!L962</f>
        <v>4</v>
      </c>
      <c r="M962" s="21" t="str">
        <f>'Raw Data'!M962</f>
        <v>Single</v>
      </c>
      <c r="N962" s="21">
        <f>'Raw Data'!N962</f>
        <v>1</v>
      </c>
      <c r="O962" s="21">
        <f>'Raw Data'!O962</f>
        <v>0</v>
      </c>
      <c r="P962" s="21">
        <f>IF('Raw Data'!P962="",ROUND(AVERAGE('Raw Data'!$P$2:$P$1501),1),'Raw Data'!P962)</f>
        <v>17.2</v>
      </c>
      <c r="Q962" s="21">
        <f>IF('Raw Data'!Q962="",ROUND(AVERAGE('Raw Data'!$Q$2:$Q$1501),0),'Raw Data'!Q962)</f>
        <v>4</v>
      </c>
      <c r="R962" s="21">
        <f>'Raw Data'!R962</f>
        <v>2</v>
      </c>
      <c r="S962" s="21">
        <f>IF('Raw Data'!S962="",ROUND(AVERAGE('Raw Data'!$S$2:$S$1501),0),'Raw Data'!S962)</f>
        <v>4</v>
      </c>
      <c r="T962" s="21">
        <f>'Raw Data'!T962</f>
        <v>50.62</v>
      </c>
      <c r="U962" s="21" t="str">
        <f>INDEX('Lookup Tables'!$C$7:$C$9,MATCH(E962,'Lookup Tables'!$B$7:$B$9,0))</f>
        <v>Tier 1 (Metro)</v>
      </c>
      <c r="V962" s="21" t="str">
        <f t="shared" ref="V962:V1025" si="45">IF(C962&lt;=6,"0-6 months",IF(C962&lt;=12,"7-12 months",IF(C962&lt;=24,"13-24 months","25+ months")))</f>
        <v>0-6 months</v>
      </c>
      <c r="W962" s="21" t="str">
        <f t="shared" ref="W962:W1025" si="46">IF(AND(O962=1,L962&lt;=2),"High Risk",IF(OR(L962=3,S962&gt;15),"Medium Risk","Low Risk"))</f>
        <v>Low Risk</v>
      </c>
      <c r="X962" s="21" t="str">
        <f t="shared" ref="X962:X1025" si="47">IF(B962=1,"Yes","No")</f>
        <v>No</v>
      </c>
    </row>
    <row r="963" spans="1:24" x14ac:dyDescent="0.3">
      <c r="A963" s="21">
        <f>'Raw Data'!A963</f>
        <v>50962</v>
      </c>
      <c r="B963" s="21">
        <f>'Raw Data'!B963</f>
        <v>0</v>
      </c>
      <c r="C963" s="21">
        <f>'Raw Data'!C963</f>
        <v>7</v>
      </c>
      <c r="D963" s="21" t="str">
        <f>'Raw Data'!D963</f>
        <v>Mobile Phone</v>
      </c>
      <c r="E963" s="21">
        <f>'Raw Data'!E963</f>
        <v>3</v>
      </c>
      <c r="F963" s="21">
        <f>IF('Raw Data'!F963="",ROUND(AVERAGE('Raw Data'!$F$2:$F$1501),1),'Raw Data'!F963)</f>
        <v>13</v>
      </c>
      <c r="G963" s="21" t="str">
        <f>'Raw Data'!G963</f>
        <v>Debit Card</v>
      </c>
      <c r="H963" s="21" t="str">
        <f>'Raw Data'!H963</f>
        <v>Male</v>
      </c>
      <c r="I963" s="21">
        <f>IF('Raw Data'!I963="",ROUND(AVERAGE('Raw Data'!$I$2:$I$1501),1),'Raw Data'!I963)</f>
        <v>2.1</v>
      </c>
      <c r="J963" s="21">
        <f>'Raw Data'!J963</f>
        <v>4</v>
      </c>
      <c r="K963" s="21" t="str">
        <f>'Raw Data'!K963</f>
        <v>Grocery</v>
      </c>
      <c r="L963" s="21">
        <f>'Raw Data'!L963</f>
        <v>4</v>
      </c>
      <c r="M963" s="21" t="str">
        <f>'Raw Data'!M963</f>
        <v>Divorced</v>
      </c>
      <c r="N963" s="21">
        <f>'Raw Data'!N963</f>
        <v>1</v>
      </c>
      <c r="O963" s="21">
        <f>'Raw Data'!O963</f>
        <v>1</v>
      </c>
      <c r="P963" s="21">
        <f>IF('Raw Data'!P963="",ROUND(AVERAGE('Raw Data'!$P$2:$P$1501),1),'Raw Data'!P963)</f>
        <v>16.7</v>
      </c>
      <c r="Q963" s="21">
        <f>IF('Raw Data'!Q963="",ROUND(AVERAGE('Raw Data'!$Q$2:$Q$1501),0),'Raw Data'!Q963)</f>
        <v>0</v>
      </c>
      <c r="R963" s="21">
        <f>'Raw Data'!R963</f>
        <v>5</v>
      </c>
      <c r="S963" s="21">
        <f>IF('Raw Data'!S963="",ROUND(AVERAGE('Raw Data'!$S$2:$S$1501),0),'Raw Data'!S963)</f>
        <v>22</v>
      </c>
      <c r="T963" s="21">
        <f>'Raw Data'!T963</f>
        <v>193.12</v>
      </c>
      <c r="U963" s="21" t="str">
        <f>INDEX('Lookup Tables'!$C$7:$C$9,MATCH(E963,'Lookup Tables'!$B$7:$B$9,0))</f>
        <v>Tier 3 (Semi-urban/Rural)</v>
      </c>
      <c r="V963" s="21" t="str">
        <f t="shared" si="45"/>
        <v>7-12 months</v>
      </c>
      <c r="W963" s="21" t="str">
        <f t="shared" si="46"/>
        <v>Medium Risk</v>
      </c>
      <c r="X963" s="21" t="str">
        <f t="shared" si="47"/>
        <v>No</v>
      </c>
    </row>
    <row r="964" spans="1:24" x14ac:dyDescent="0.3">
      <c r="A964" s="21">
        <f>'Raw Data'!A964</f>
        <v>50963</v>
      </c>
      <c r="B964" s="21">
        <f>'Raw Data'!B964</f>
        <v>0</v>
      </c>
      <c r="C964" s="21">
        <f>'Raw Data'!C964</f>
        <v>6</v>
      </c>
      <c r="D964" s="21" t="str">
        <f>'Raw Data'!D964</f>
        <v>Mobile Phone</v>
      </c>
      <c r="E964" s="21">
        <f>'Raw Data'!E964</f>
        <v>1</v>
      </c>
      <c r="F964" s="21">
        <f>IF('Raw Data'!F964="",ROUND(AVERAGE('Raw Data'!$F$2:$F$1501),1),'Raw Data'!F964)</f>
        <v>23</v>
      </c>
      <c r="G964" s="21" t="str">
        <f>'Raw Data'!G964</f>
        <v>E wallet</v>
      </c>
      <c r="H964" s="21" t="str">
        <f>'Raw Data'!H964</f>
        <v>Female</v>
      </c>
      <c r="I964" s="21">
        <f>IF('Raw Data'!I964="",ROUND(AVERAGE('Raw Data'!$I$2:$I$1501),1),'Raw Data'!I964)</f>
        <v>2.8</v>
      </c>
      <c r="J964" s="21">
        <f>'Raw Data'!J964</f>
        <v>3</v>
      </c>
      <c r="K964" s="21" t="str">
        <f>'Raw Data'!K964</f>
        <v>Fashion</v>
      </c>
      <c r="L964" s="21">
        <f>'Raw Data'!L964</f>
        <v>2</v>
      </c>
      <c r="M964" s="21" t="str">
        <f>'Raw Data'!M964</f>
        <v>Single</v>
      </c>
      <c r="N964" s="21">
        <f>'Raw Data'!N964</f>
        <v>1</v>
      </c>
      <c r="O964" s="21">
        <f>'Raw Data'!O964</f>
        <v>0</v>
      </c>
      <c r="P964" s="21">
        <f>IF('Raw Data'!P964="",ROUND(AVERAGE('Raw Data'!$P$2:$P$1501),1),'Raw Data'!P964)</f>
        <v>16.2</v>
      </c>
      <c r="Q964" s="21">
        <f>IF('Raw Data'!Q964="",ROUND(AVERAGE('Raw Data'!$Q$2:$Q$1501),0),'Raw Data'!Q964)</f>
        <v>0</v>
      </c>
      <c r="R964" s="21">
        <f>'Raw Data'!R964</f>
        <v>5</v>
      </c>
      <c r="S964" s="21">
        <f>IF('Raw Data'!S964="",ROUND(AVERAGE('Raw Data'!$S$2:$S$1501),0),'Raw Data'!S964)</f>
        <v>5</v>
      </c>
      <c r="T964" s="21">
        <f>'Raw Data'!T964</f>
        <v>221.92</v>
      </c>
      <c r="U964" s="21" t="str">
        <f>INDEX('Lookup Tables'!$C$7:$C$9,MATCH(E964,'Lookup Tables'!$B$7:$B$9,0))</f>
        <v>Tier 1 (Metro)</v>
      </c>
      <c r="V964" s="21" t="str">
        <f t="shared" si="45"/>
        <v>0-6 months</v>
      </c>
      <c r="W964" s="21" t="str">
        <f t="shared" si="46"/>
        <v>Low Risk</v>
      </c>
      <c r="X964" s="21" t="str">
        <f t="shared" si="47"/>
        <v>No</v>
      </c>
    </row>
    <row r="965" spans="1:24" x14ac:dyDescent="0.3">
      <c r="A965" s="21">
        <f>'Raw Data'!A965</f>
        <v>50964</v>
      </c>
      <c r="B965" s="21">
        <f>'Raw Data'!B965</f>
        <v>0</v>
      </c>
      <c r="C965" s="21">
        <f>'Raw Data'!C965</f>
        <v>18</v>
      </c>
      <c r="D965" s="21" t="str">
        <f>'Raw Data'!D965</f>
        <v>Mobile Phone</v>
      </c>
      <c r="E965" s="21">
        <f>'Raw Data'!E965</f>
        <v>2</v>
      </c>
      <c r="F965" s="21">
        <f>IF('Raw Data'!F965="",ROUND(AVERAGE('Raw Data'!$F$2:$F$1501),1),'Raw Data'!F965)</f>
        <v>16</v>
      </c>
      <c r="G965" s="21" t="str">
        <f>'Raw Data'!G965</f>
        <v>Credit Card</v>
      </c>
      <c r="H965" s="21" t="str">
        <f>'Raw Data'!H965</f>
        <v>Male</v>
      </c>
      <c r="I965" s="21">
        <f>IF('Raw Data'!I965="",ROUND(AVERAGE('Raw Data'!$I$2:$I$1501),1),'Raw Data'!I965)</f>
        <v>3.6</v>
      </c>
      <c r="J965" s="21">
        <f>'Raw Data'!J965</f>
        <v>1</v>
      </c>
      <c r="K965" s="21" t="str">
        <f>'Raw Data'!K965</f>
        <v>Mobile Phone</v>
      </c>
      <c r="L965" s="21">
        <f>'Raw Data'!L965</f>
        <v>4</v>
      </c>
      <c r="M965" s="21" t="str">
        <f>'Raw Data'!M965</f>
        <v>Divorced</v>
      </c>
      <c r="N965" s="21">
        <f>'Raw Data'!N965</f>
        <v>1</v>
      </c>
      <c r="O965" s="21">
        <f>'Raw Data'!O965</f>
        <v>0</v>
      </c>
      <c r="P965" s="21">
        <f>IF('Raw Data'!P965="",ROUND(AVERAGE('Raw Data'!$P$2:$P$1501),1),'Raw Data'!P965)</f>
        <v>18.3</v>
      </c>
      <c r="Q965" s="21">
        <f>IF('Raw Data'!Q965="",ROUND(AVERAGE('Raw Data'!$Q$2:$Q$1501),0),'Raw Data'!Q965)</f>
        <v>1</v>
      </c>
      <c r="R965" s="21">
        <f>'Raw Data'!R965</f>
        <v>2</v>
      </c>
      <c r="S965" s="21">
        <f>IF('Raw Data'!S965="",ROUND(AVERAGE('Raw Data'!$S$2:$S$1501),0),'Raw Data'!S965)</f>
        <v>6</v>
      </c>
      <c r="T965" s="21">
        <f>'Raw Data'!T965</f>
        <v>105.69</v>
      </c>
      <c r="U965" s="21" t="str">
        <f>INDEX('Lookup Tables'!$C$7:$C$9,MATCH(E965,'Lookup Tables'!$B$7:$B$9,0))</f>
        <v>Tier 2 (Urban)</v>
      </c>
      <c r="V965" s="21" t="str">
        <f t="shared" si="45"/>
        <v>13-24 months</v>
      </c>
      <c r="W965" s="21" t="str">
        <f t="shared" si="46"/>
        <v>Low Risk</v>
      </c>
      <c r="X965" s="21" t="str">
        <f t="shared" si="47"/>
        <v>No</v>
      </c>
    </row>
    <row r="966" spans="1:24" x14ac:dyDescent="0.3">
      <c r="A966" s="21">
        <f>'Raw Data'!A966</f>
        <v>50965</v>
      </c>
      <c r="B966" s="21">
        <f>'Raw Data'!B966</f>
        <v>1</v>
      </c>
      <c r="C966" s="21">
        <f>'Raw Data'!C966</f>
        <v>1</v>
      </c>
      <c r="D966" s="21" t="str">
        <f>'Raw Data'!D966</f>
        <v>Mobile Phone</v>
      </c>
      <c r="E966" s="21">
        <f>'Raw Data'!E966</f>
        <v>1</v>
      </c>
      <c r="F966" s="21">
        <f>IF('Raw Data'!F966="",ROUND(AVERAGE('Raw Data'!$F$2:$F$1501),1),'Raw Data'!F966)</f>
        <v>9</v>
      </c>
      <c r="G966" s="21" t="str">
        <f>'Raw Data'!G966</f>
        <v>Credit Card</v>
      </c>
      <c r="H966" s="21" t="str">
        <f>'Raw Data'!H966</f>
        <v>Female</v>
      </c>
      <c r="I966" s="21">
        <f>IF('Raw Data'!I966="",ROUND(AVERAGE('Raw Data'!$I$2:$I$1501),1),'Raw Data'!I966)</f>
        <v>3.1</v>
      </c>
      <c r="J966" s="21">
        <f>'Raw Data'!J966</f>
        <v>4</v>
      </c>
      <c r="K966" s="21" t="str">
        <f>'Raw Data'!K966</f>
        <v>Mobile Phone</v>
      </c>
      <c r="L966" s="21">
        <f>'Raw Data'!L966</f>
        <v>1</v>
      </c>
      <c r="M966" s="21" t="str">
        <f>'Raw Data'!M966</f>
        <v>Single</v>
      </c>
      <c r="N966" s="21">
        <f>'Raw Data'!N966</f>
        <v>1</v>
      </c>
      <c r="O966" s="21">
        <f>'Raw Data'!O966</f>
        <v>1</v>
      </c>
      <c r="P966" s="21">
        <f>IF('Raw Data'!P966="",ROUND(AVERAGE('Raw Data'!$P$2:$P$1501),1),'Raw Data'!P966)</f>
        <v>11</v>
      </c>
      <c r="Q966" s="21">
        <f>IF('Raw Data'!Q966="",ROUND(AVERAGE('Raw Data'!$Q$2:$Q$1501),0),'Raw Data'!Q966)</f>
        <v>2</v>
      </c>
      <c r="R966" s="21">
        <f>'Raw Data'!R966</f>
        <v>1</v>
      </c>
      <c r="S966" s="21">
        <f>IF('Raw Data'!S966="",ROUND(AVERAGE('Raw Data'!$S$2:$S$1501),0),'Raw Data'!S966)</f>
        <v>0</v>
      </c>
      <c r="T966" s="21">
        <f>'Raw Data'!T966</f>
        <v>112.73</v>
      </c>
      <c r="U966" s="21" t="str">
        <f>INDEX('Lookup Tables'!$C$7:$C$9,MATCH(E966,'Lookup Tables'!$B$7:$B$9,0))</f>
        <v>Tier 1 (Metro)</v>
      </c>
      <c r="V966" s="21" t="str">
        <f t="shared" si="45"/>
        <v>0-6 months</v>
      </c>
      <c r="W966" s="21" t="str">
        <f t="shared" si="46"/>
        <v>High Risk</v>
      </c>
      <c r="X966" s="21" t="str">
        <f t="shared" si="47"/>
        <v>Yes</v>
      </c>
    </row>
    <row r="967" spans="1:24" x14ac:dyDescent="0.3">
      <c r="A967" s="21">
        <f>'Raw Data'!A967</f>
        <v>50966</v>
      </c>
      <c r="B967" s="21">
        <f>'Raw Data'!B967</f>
        <v>0</v>
      </c>
      <c r="C967" s="21">
        <f>'Raw Data'!C967</f>
        <v>6</v>
      </c>
      <c r="D967" s="21" t="str">
        <f>'Raw Data'!D967</f>
        <v>Mobile Phone</v>
      </c>
      <c r="E967" s="21">
        <f>'Raw Data'!E967</f>
        <v>1</v>
      </c>
      <c r="F967" s="21">
        <f>IF('Raw Data'!F967="",ROUND(AVERAGE('Raw Data'!$F$2:$F$1501),1),'Raw Data'!F967)</f>
        <v>30</v>
      </c>
      <c r="G967" s="21" t="str">
        <f>'Raw Data'!G967</f>
        <v>UPI</v>
      </c>
      <c r="H967" s="21" t="str">
        <f>'Raw Data'!H967</f>
        <v>Female</v>
      </c>
      <c r="I967" s="21">
        <f>IF('Raw Data'!I967="",ROUND(AVERAGE('Raw Data'!$I$2:$I$1501),1),'Raw Data'!I967)</f>
        <v>3.7</v>
      </c>
      <c r="J967" s="21">
        <f>'Raw Data'!J967</f>
        <v>2</v>
      </c>
      <c r="K967" s="21" t="str">
        <f>'Raw Data'!K967</f>
        <v>Fashion</v>
      </c>
      <c r="L967" s="21">
        <f>'Raw Data'!L967</f>
        <v>5</v>
      </c>
      <c r="M967" s="21" t="str">
        <f>'Raw Data'!M967</f>
        <v>Single</v>
      </c>
      <c r="N967" s="21">
        <f>'Raw Data'!N967</f>
        <v>5</v>
      </c>
      <c r="O967" s="21">
        <f>'Raw Data'!O967</f>
        <v>0</v>
      </c>
      <c r="P967" s="21">
        <f>IF('Raw Data'!P967="",ROUND(AVERAGE('Raw Data'!$P$2:$P$1501),1),'Raw Data'!P967)</f>
        <v>21.4</v>
      </c>
      <c r="Q967" s="21">
        <f>IF('Raw Data'!Q967="",ROUND(AVERAGE('Raw Data'!$Q$2:$Q$1501),0),'Raw Data'!Q967)</f>
        <v>2</v>
      </c>
      <c r="R967" s="21">
        <f>'Raw Data'!R967</f>
        <v>3</v>
      </c>
      <c r="S967" s="21">
        <f>IF('Raw Data'!S967="",ROUND(AVERAGE('Raw Data'!$S$2:$S$1501),0),'Raw Data'!S967)</f>
        <v>0</v>
      </c>
      <c r="T967" s="21">
        <f>'Raw Data'!T967</f>
        <v>86.59</v>
      </c>
      <c r="U967" s="21" t="str">
        <f>INDEX('Lookup Tables'!$C$7:$C$9,MATCH(E967,'Lookup Tables'!$B$7:$B$9,0))</f>
        <v>Tier 1 (Metro)</v>
      </c>
      <c r="V967" s="21" t="str">
        <f t="shared" si="45"/>
        <v>0-6 months</v>
      </c>
      <c r="W967" s="21" t="str">
        <f t="shared" si="46"/>
        <v>Low Risk</v>
      </c>
      <c r="X967" s="21" t="str">
        <f t="shared" si="47"/>
        <v>No</v>
      </c>
    </row>
    <row r="968" spans="1:24" x14ac:dyDescent="0.3">
      <c r="A968" s="21">
        <f>'Raw Data'!A968</f>
        <v>50967</v>
      </c>
      <c r="B968" s="21">
        <f>'Raw Data'!B968</f>
        <v>0</v>
      </c>
      <c r="C968" s="21">
        <f>'Raw Data'!C968</f>
        <v>1</v>
      </c>
      <c r="D968" s="21" t="str">
        <f>'Raw Data'!D968</f>
        <v>Computer</v>
      </c>
      <c r="E968" s="21">
        <f>'Raw Data'!E968</f>
        <v>3</v>
      </c>
      <c r="F968" s="21">
        <f>IF('Raw Data'!F968="",ROUND(AVERAGE('Raw Data'!$F$2:$F$1501),1),'Raw Data'!F968)</f>
        <v>15</v>
      </c>
      <c r="G968" s="21" t="str">
        <f>'Raw Data'!G968</f>
        <v>Cash on Delivery</v>
      </c>
      <c r="H968" s="21" t="str">
        <f>'Raw Data'!H968</f>
        <v>Male</v>
      </c>
      <c r="I968" s="21">
        <f>IF('Raw Data'!I968="",ROUND(AVERAGE('Raw Data'!$I$2:$I$1501),1),'Raw Data'!I968)</f>
        <v>3.1</v>
      </c>
      <c r="J968" s="21">
        <f>'Raw Data'!J968</f>
        <v>2</v>
      </c>
      <c r="K968" s="21" t="str">
        <f>'Raw Data'!K968</f>
        <v>Grocery</v>
      </c>
      <c r="L968" s="21">
        <f>'Raw Data'!L968</f>
        <v>2</v>
      </c>
      <c r="M968" s="21" t="str">
        <f>'Raw Data'!M968</f>
        <v>Married</v>
      </c>
      <c r="N968" s="21">
        <f>'Raw Data'!N968</f>
        <v>4</v>
      </c>
      <c r="O968" s="21">
        <f>'Raw Data'!O968</f>
        <v>1</v>
      </c>
      <c r="P968" s="21">
        <f>IF('Raw Data'!P968="",ROUND(AVERAGE('Raw Data'!$P$2:$P$1501),1),'Raw Data'!P968)</f>
        <v>11</v>
      </c>
      <c r="Q968" s="21">
        <f>IF('Raw Data'!Q968="",ROUND(AVERAGE('Raw Data'!$Q$2:$Q$1501),0),'Raw Data'!Q968)</f>
        <v>0</v>
      </c>
      <c r="R968" s="21">
        <f>'Raw Data'!R968</f>
        <v>4</v>
      </c>
      <c r="S968" s="21">
        <f>IF('Raw Data'!S968="",ROUND(AVERAGE('Raw Data'!$S$2:$S$1501),0),'Raw Data'!S968)</f>
        <v>0</v>
      </c>
      <c r="T968" s="21">
        <f>'Raw Data'!T968</f>
        <v>183.5</v>
      </c>
      <c r="U968" s="21" t="str">
        <f>INDEX('Lookup Tables'!$C$7:$C$9,MATCH(E968,'Lookup Tables'!$B$7:$B$9,0))</f>
        <v>Tier 3 (Semi-urban/Rural)</v>
      </c>
      <c r="V968" s="21" t="str">
        <f t="shared" si="45"/>
        <v>0-6 months</v>
      </c>
      <c r="W968" s="21" t="str">
        <f t="shared" si="46"/>
        <v>High Risk</v>
      </c>
      <c r="X968" s="21" t="str">
        <f t="shared" si="47"/>
        <v>No</v>
      </c>
    </row>
    <row r="969" spans="1:24" x14ac:dyDescent="0.3">
      <c r="A969" s="21">
        <f>'Raw Data'!A969</f>
        <v>50968</v>
      </c>
      <c r="B969" s="21">
        <f>'Raw Data'!B969</f>
        <v>0</v>
      </c>
      <c r="C969" s="21">
        <f>'Raw Data'!C969</f>
        <v>3</v>
      </c>
      <c r="D969" s="21" t="str">
        <f>'Raw Data'!D969</f>
        <v>Mobile Phone</v>
      </c>
      <c r="E969" s="21">
        <f>'Raw Data'!E969</f>
        <v>1</v>
      </c>
      <c r="F969" s="21">
        <f>IF('Raw Data'!F969="",ROUND(AVERAGE('Raw Data'!$F$2:$F$1501),1),'Raw Data'!F969)</f>
        <v>21</v>
      </c>
      <c r="G969" s="21" t="str">
        <f>'Raw Data'!G969</f>
        <v>Debit Card</v>
      </c>
      <c r="H969" s="21" t="str">
        <f>'Raw Data'!H969</f>
        <v>Male</v>
      </c>
      <c r="I969" s="21">
        <f>IF('Raw Data'!I969="",ROUND(AVERAGE('Raw Data'!$I$2:$I$1501),1),'Raw Data'!I969)</f>
        <v>2</v>
      </c>
      <c r="J969" s="21">
        <f>'Raw Data'!J969</f>
        <v>3</v>
      </c>
      <c r="K969" s="21" t="str">
        <f>'Raw Data'!K969</f>
        <v>Laptop &amp; Accessory</v>
      </c>
      <c r="L969" s="21">
        <f>'Raw Data'!L969</f>
        <v>4</v>
      </c>
      <c r="M969" s="21" t="str">
        <f>'Raw Data'!M969</f>
        <v>Single</v>
      </c>
      <c r="N969" s="21">
        <f>'Raw Data'!N969</f>
        <v>3</v>
      </c>
      <c r="O969" s="21">
        <f>'Raw Data'!O969</f>
        <v>0</v>
      </c>
      <c r="P969" s="21">
        <f>IF('Raw Data'!P969="",ROUND(AVERAGE('Raw Data'!$P$2:$P$1501),1),'Raw Data'!P969)</f>
        <v>12.2</v>
      </c>
      <c r="Q969" s="21">
        <f>IF('Raw Data'!Q969="",ROUND(AVERAGE('Raw Data'!$Q$2:$Q$1501),0),'Raw Data'!Q969)</f>
        <v>2</v>
      </c>
      <c r="R969" s="21">
        <f>'Raw Data'!R969</f>
        <v>5</v>
      </c>
      <c r="S969" s="21">
        <f>IF('Raw Data'!S969="",ROUND(AVERAGE('Raw Data'!$S$2:$S$1501),0),'Raw Data'!S969)</f>
        <v>23</v>
      </c>
      <c r="T969" s="21">
        <f>'Raw Data'!T969</f>
        <v>161.26</v>
      </c>
      <c r="U969" s="21" t="str">
        <f>INDEX('Lookup Tables'!$C$7:$C$9,MATCH(E969,'Lookup Tables'!$B$7:$B$9,0))</f>
        <v>Tier 1 (Metro)</v>
      </c>
      <c r="V969" s="21" t="str">
        <f t="shared" si="45"/>
        <v>0-6 months</v>
      </c>
      <c r="W969" s="21" t="str">
        <f t="shared" si="46"/>
        <v>Medium Risk</v>
      </c>
      <c r="X969" s="21" t="str">
        <f t="shared" si="47"/>
        <v>No</v>
      </c>
    </row>
    <row r="970" spans="1:24" x14ac:dyDescent="0.3">
      <c r="A970" s="21">
        <f>'Raw Data'!A970</f>
        <v>50969</v>
      </c>
      <c r="B970" s="21">
        <f>'Raw Data'!B970</f>
        <v>0</v>
      </c>
      <c r="C970" s="21">
        <f>'Raw Data'!C970</f>
        <v>13</v>
      </c>
      <c r="D970" s="21" t="str">
        <f>'Raw Data'!D970</f>
        <v>Mobile Phone</v>
      </c>
      <c r="E970" s="21">
        <f>'Raw Data'!E970</f>
        <v>1</v>
      </c>
      <c r="F970" s="21">
        <f>IF('Raw Data'!F970="",ROUND(AVERAGE('Raw Data'!$F$2:$F$1501),1),'Raw Data'!F970)</f>
        <v>10</v>
      </c>
      <c r="G970" s="21" t="str">
        <f>'Raw Data'!G970</f>
        <v>Credit Card</v>
      </c>
      <c r="H970" s="21" t="str">
        <f>'Raw Data'!H970</f>
        <v>Male</v>
      </c>
      <c r="I970" s="21">
        <f>IF('Raw Data'!I970="",ROUND(AVERAGE('Raw Data'!$I$2:$I$1501),1),'Raw Data'!I970)</f>
        <v>1.1000000000000001</v>
      </c>
      <c r="J970" s="21">
        <f>'Raw Data'!J970</f>
        <v>3</v>
      </c>
      <c r="K970" s="21" t="str">
        <f>'Raw Data'!K970</f>
        <v>Mobile Phone</v>
      </c>
      <c r="L970" s="21">
        <f>'Raw Data'!L970</f>
        <v>2</v>
      </c>
      <c r="M970" s="21" t="str">
        <f>'Raw Data'!M970</f>
        <v>Married</v>
      </c>
      <c r="N970" s="21">
        <f>'Raw Data'!N970</f>
        <v>6</v>
      </c>
      <c r="O970" s="21">
        <f>'Raw Data'!O970</f>
        <v>1</v>
      </c>
      <c r="P970" s="21">
        <f>IF('Raw Data'!P970="",ROUND(AVERAGE('Raw Data'!$P$2:$P$1501),1),'Raw Data'!P970)</f>
        <v>15.2</v>
      </c>
      <c r="Q970" s="21">
        <f>IF('Raw Data'!Q970="",ROUND(AVERAGE('Raw Data'!$Q$2:$Q$1501),0),'Raw Data'!Q970)</f>
        <v>3</v>
      </c>
      <c r="R970" s="21">
        <f>'Raw Data'!R970</f>
        <v>4</v>
      </c>
      <c r="S970" s="21">
        <f>IF('Raw Data'!S970="",ROUND(AVERAGE('Raw Data'!$S$2:$S$1501),0),'Raw Data'!S970)</f>
        <v>19</v>
      </c>
      <c r="T970" s="21">
        <f>'Raw Data'!T970</f>
        <v>164.67</v>
      </c>
      <c r="U970" s="21" t="str">
        <f>INDEX('Lookup Tables'!$C$7:$C$9,MATCH(E970,'Lookup Tables'!$B$7:$B$9,0))</f>
        <v>Tier 1 (Metro)</v>
      </c>
      <c r="V970" s="21" t="str">
        <f t="shared" si="45"/>
        <v>13-24 months</v>
      </c>
      <c r="W970" s="21" t="str">
        <f t="shared" si="46"/>
        <v>High Risk</v>
      </c>
      <c r="X970" s="21" t="str">
        <f t="shared" si="47"/>
        <v>No</v>
      </c>
    </row>
    <row r="971" spans="1:24" x14ac:dyDescent="0.3">
      <c r="A971" s="21">
        <f>'Raw Data'!A971</f>
        <v>50970</v>
      </c>
      <c r="B971" s="21">
        <f>'Raw Data'!B971</f>
        <v>0</v>
      </c>
      <c r="C971" s="21">
        <f>'Raw Data'!C971</f>
        <v>6</v>
      </c>
      <c r="D971" s="21" t="str">
        <f>'Raw Data'!D971</f>
        <v>Computer</v>
      </c>
      <c r="E971" s="21">
        <f>'Raw Data'!E971</f>
        <v>2</v>
      </c>
      <c r="F971" s="21">
        <f>IF('Raw Data'!F971="",ROUND(AVERAGE('Raw Data'!$F$2:$F$1501),1),'Raw Data'!F971)</f>
        <v>17</v>
      </c>
      <c r="G971" s="21" t="str">
        <f>'Raw Data'!G971</f>
        <v>Credit Card</v>
      </c>
      <c r="H971" s="21" t="str">
        <f>'Raw Data'!H971</f>
        <v>Male</v>
      </c>
      <c r="I971" s="21">
        <f>IF('Raw Data'!I971="",ROUND(AVERAGE('Raw Data'!$I$2:$I$1501),1),'Raw Data'!I971)</f>
        <v>3</v>
      </c>
      <c r="J971" s="21">
        <f>'Raw Data'!J971</f>
        <v>2</v>
      </c>
      <c r="K971" s="21" t="str">
        <f>'Raw Data'!K971</f>
        <v>Fashion</v>
      </c>
      <c r="L971" s="21">
        <f>'Raw Data'!L971</f>
        <v>1</v>
      </c>
      <c r="M971" s="21" t="str">
        <f>'Raw Data'!M971</f>
        <v>Married</v>
      </c>
      <c r="N971" s="21">
        <f>'Raw Data'!N971</f>
        <v>1</v>
      </c>
      <c r="O971" s="21">
        <f>'Raw Data'!O971</f>
        <v>0</v>
      </c>
      <c r="P971" s="21">
        <f>IF('Raw Data'!P971="",ROUND(AVERAGE('Raw Data'!$P$2:$P$1501),1),'Raw Data'!P971)</f>
        <v>18.399999999999999</v>
      </c>
      <c r="Q971" s="21">
        <f>IF('Raw Data'!Q971="",ROUND(AVERAGE('Raw Data'!$Q$2:$Q$1501),0),'Raw Data'!Q971)</f>
        <v>2</v>
      </c>
      <c r="R971" s="21">
        <f>'Raw Data'!R971</f>
        <v>4</v>
      </c>
      <c r="S971" s="21">
        <f>IF('Raw Data'!S971="",ROUND(AVERAGE('Raw Data'!$S$2:$S$1501),0),'Raw Data'!S971)</f>
        <v>2</v>
      </c>
      <c r="T971" s="21">
        <f>'Raw Data'!T971</f>
        <v>159.76</v>
      </c>
      <c r="U971" s="21" t="str">
        <f>INDEX('Lookup Tables'!$C$7:$C$9,MATCH(E971,'Lookup Tables'!$B$7:$B$9,0))</f>
        <v>Tier 2 (Urban)</v>
      </c>
      <c r="V971" s="21" t="str">
        <f t="shared" si="45"/>
        <v>0-6 months</v>
      </c>
      <c r="W971" s="21" t="str">
        <f t="shared" si="46"/>
        <v>Low Risk</v>
      </c>
      <c r="X971" s="21" t="str">
        <f t="shared" si="47"/>
        <v>No</v>
      </c>
    </row>
    <row r="972" spans="1:24" x14ac:dyDescent="0.3">
      <c r="A972" s="21">
        <f>'Raw Data'!A972</f>
        <v>50971</v>
      </c>
      <c r="B972" s="21">
        <f>'Raw Data'!B972</f>
        <v>0</v>
      </c>
      <c r="C972" s="21">
        <f>'Raw Data'!C972</f>
        <v>4</v>
      </c>
      <c r="D972" s="21" t="str">
        <f>'Raw Data'!D972</f>
        <v>Phone</v>
      </c>
      <c r="E972" s="21">
        <f>'Raw Data'!E972</f>
        <v>2</v>
      </c>
      <c r="F972" s="21">
        <f>IF('Raw Data'!F972="",ROUND(AVERAGE('Raw Data'!$F$2:$F$1501),1),'Raw Data'!F972)</f>
        <v>17</v>
      </c>
      <c r="G972" s="21" t="str">
        <f>'Raw Data'!G972</f>
        <v>Credit Card</v>
      </c>
      <c r="H972" s="21" t="str">
        <f>'Raw Data'!H972</f>
        <v>Male</v>
      </c>
      <c r="I972" s="21">
        <f>IF('Raw Data'!I972="",ROUND(AVERAGE('Raw Data'!$I$2:$I$1501),1),'Raw Data'!I972)</f>
        <v>2.8</v>
      </c>
      <c r="J972" s="21">
        <f>'Raw Data'!J972</f>
        <v>3</v>
      </c>
      <c r="K972" s="21" t="str">
        <f>'Raw Data'!K972</f>
        <v>Mobile Phone</v>
      </c>
      <c r="L972" s="21">
        <f>'Raw Data'!L972</f>
        <v>3</v>
      </c>
      <c r="M972" s="21" t="str">
        <f>'Raw Data'!M972</f>
        <v>Married</v>
      </c>
      <c r="N972" s="21">
        <f>'Raw Data'!N972</f>
        <v>7</v>
      </c>
      <c r="O972" s="21">
        <f>'Raw Data'!O972</f>
        <v>0</v>
      </c>
      <c r="P972" s="21">
        <f>IF('Raw Data'!P972="",ROUND(AVERAGE('Raw Data'!$P$2:$P$1501),1),'Raw Data'!P972)</f>
        <v>16.3</v>
      </c>
      <c r="Q972" s="21">
        <f>IF('Raw Data'!Q972="",ROUND(AVERAGE('Raw Data'!$Q$2:$Q$1501),0),'Raw Data'!Q972)</f>
        <v>3</v>
      </c>
      <c r="R972" s="21">
        <f>'Raw Data'!R972</f>
        <v>3</v>
      </c>
      <c r="S972" s="21">
        <f>IF('Raw Data'!S972="",ROUND(AVERAGE('Raw Data'!$S$2:$S$1501),0),'Raw Data'!S972)</f>
        <v>1</v>
      </c>
      <c r="T972" s="21">
        <f>'Raw Data'!T972</f>
        <v>126.45</v>
      </c>
      <c r="U972" s="21" t="str">
        <f>INDEX('Lookup Tables'!$C$7:$C$9,MATCH(E972,'Lookup Tables'!$B$7:$B$9,0))</f>
        <v>Tier 2 (Urban)</v>
      </c>
      <c r="V972" s="21" t="str">
        <f t="shared" si="45"/>
        <v>0-6 months</v>
      </c>
      <c r="W972" s="21" t="str">
        <f t="shared" si="46"/>
        <v>Medium Risk</v>
      </c>
      <c r="X972" s="21" t="str">
        <f t="shared" si="47"/>
        <v>No</v>
      </c>
    </row>
    <row r="973" spans="1:24" x14ac:dyDescent="0.3">
      <c r="A973" s="21">
        <f>'Raw Data'!A973</f>
        <v>50972</v>
      </c>
      <c r="B973" s="21">
        <f>'Raw Data'!B973</f>
        <v>1</v>
      </c>
      <c r="C973" s="21">
        <f>'Raw Data'!C973</f>
        <v>5</v>
      </c>
      <c r="D973" s="21" t="str">
        <f>'Raw Data'!D973</f>
        <v>Computer</v>
      </c>
      <c r="E973" s="21">
        <f>'Raw Data'!E973</f>
        <v>2</v>
      </c>
      <c r="F973" s="21">
        <f>IF('Raw Data'!F973="",ROUND(AVERAGE('Raw Data'!$F$2:$F$1501),1),'Raw Data'!F973)</f>
        <v>5</v>
      </c>
      <c r="G973" s="21" t="str">
        <f>'Raw Data'!G973</f>
        <v>Credit Card</v>
      </c>
      <c r="H973" s="21" t="str">
        <f>'Raw Data'!H973</f>
        <v>Female</v>
      </c>
      <c r="I973" s="21">
        <f>IF('Raw Data'!I973="",ROUND(AVERAGE('Raw Data'!$I$2:$I$1501),1),'Raw Data'!I973)</f>
        <v>2.2000000000000002</v>
      </c>
      <c r="J973" s="21">
        <f>'Raw Data'!J973</f>
        <v>4</v>
      </c>
      <c r="K973" s="21" t="str">
        <f>'Raw Data'!K973</f>
        <v>Mobile Phone</v>
      </c>
      <c r="L973" s="21">
        <f>'Raw Data'!L973</f>
        <v>2</v>
      </c>
      <c r="M973" s="21" t="str">
        <f>'Raw Data'!M973</f>
        <v>Married</v>
      </c>
      <c r="N973" s="21">
        <f>'Raw Data'!N973</f>
        <v>1</v>
      </c>
      <c r="O973" s="21">
        <f>'Raw Data'!O973</f>
        <v>0</v>
      </c>
      <c r="P973" s="21">
        <f>IF('Raw Data'!P973="",ROUND(AVERAGE('Raw Data'!$P$2:$P$1501),1),'Raw Data'!P973)</f>
        <v>15.9</v>
      </c>
      <c r="Q973" s="21">
        <f>IF('Raw Data'!Q973="",ROUND(AVERAGE('Raw Data'!$Q$2:$Q$1501),0),'Raw Data'!Q973)</f>
        <v>2</v>
      </c>
      <c r="R973" s="21">
        <f>'Raw Data'!R973</f>
        <v>4</v>
      </c>
      <c r="S973" s="21">
        <f>IF('Raw Data'!S973="",ROUND(AVERAGE('Raw Data'!$S$2:$S$1501),0),'Raw Data'!S973)</f>
        <v>0</v>
      </c>
      <c r="T973" s="21">
        <f>'Raw Data'!T973</f>
        <v>242.25</v>
      </c>
      <c r="U973" s="21" t="str">
        <f>INDEX('Lookup Tables'!$C$7:$C$9,MATCH(E973,'Lookup Tables'!$B$7:$B$9,0))</f>
        <v>Tier 2 (Urban)</v>
      </c>
      <c r="V973" s="21" t="str">
        <f t="shared" si="45"/>
        <v>0-6 months</v>
      </c>
      <c r="W973" s="21" t="str">
        <f t="shared" si="46"/>
        <v>Low Risk</v>
      </c>
      <c r="X973" s="21" t="str">
        <f t="shared" si="47"/>
        <v>Yes</v>
      </c>
    </row>
    <row r="974" spans="1:24" x14ac:dyDescent="0.3">
      <c r="A974" s="21">
        <f>'Raw Data'!A974</f>
        <v>50973</v>
      </c>
      <c r="B974" s="21">
        <f>'Raw Data'!B974</f>
        <v>0</v>
      </c>
      <c r="C974" s="21">
        <f>'Raw Data'!C974</f>
        <v>6</v>
      </c>
      <c r="D974" s="21" t="str">
        <f>'Raw Data'!D974</f>
        <v>Mobile Phone</v>
      </c>
      <c r="E974" s="21">
        <f>'Raw Data'!E974</f>
        <v>1</v>
      </c>
      <c r="F974" s="21">
        <f>IF('Raw Data'!F974="",ROUND(AVERAGE('Raw Data'!$F$2:$F$1501),1),'Raw Data'!F974)</f>
        <v>31</v>
      </c>
      <c r="G974" s="21" t="str">
        <f>'Raw Data'!G974</f>
        <v>Debit Card</v>
      </c>
      <c r="H974" s="21" t="str">
        <f>'Raw Data'!H974</f>
        <v>Male</v>
      </c>
      <c r="I974" s="21">
        <f>IF('Raw Data'!I974="",ROUND(AVERAGE('Raw Data'!$I$2:$I$1501),1),'Raw Data'!I974)</f>
        <v>1.7</v>
      </c>
      <c r="J974" s="21">
        <f>'Raw Data'!J974</f>
        <v>2</v>
      </c>
      <c r="K974" s="21" t="str">
        <f>'Raw Data'!K974</f>
        <v>Mobile Phone</v>
      </c>
      <c r="L974" s="21">
        <f>'Raw Data'!L974</f>
        <v>4</v>
      </c>
      <c r="M974" s="21" t="str">
        <f>'Raw Data'!M974</f>
        <v>Married</v>
      </c>
      <c r="N974" s="21">
        <f>'Raw Data'!N974</f>
        <v>1</v>
      </c>
      <c r="O974" s="21">
        <f>'Raw Data'!O974</f>
        <v>0</v>
      </c>
      <c r="P974" s="21">
        <f>IF('Raw Data'!P974="",ROUND(AVERAGE('Raw Data'!$P$2:$P$1501),1),'Raw Data'!P974)</f>
        <v>18.8</v>
      </c>
      <c r="Q974" s="21">
        <f>IF('Raw Data'!Q974="",ROUND(AVERAGE('Raw Data'!$Q$2:$Q$1501),0),'Raw Data'!Q974)</f>
        <v>1</v>
      </c>
      <c r="R974" s="21">
        <f>'Raw Data'!R974</f>
        <v>5</v>
      </c>
      <c r="S974" s="21">
        <f>IF('Raw Data'!S974="",ROUND(AVERAGE('Raw Data'!$S$2:$S$1501),0),'Raw Data'!S974)</f>
        <v>1</v>
      </c>
      <c r="T974" s="21">
        <f>'Raw Data'!T974</f>
        <v>194.98</v>
      </c>
      <c r="U974" s="21" t="str">
        <f>INDEX('Lookup Tables'!$C$7:$C$9,MATCH(E974,'Lookup Tables'!$B$7:$B$9,0))</f>
        <v>Tier 1 (Metro)</v>
      </c>
      <c r="V974" s="21" t="str">
        <f t="shared" si="45"/>
        <v>0-6 months</v>
      </c>
      <c r="W974" s="21" t="str">
        <f t="shared" si="46"/>
        <v>Low Risk</v>
      </c>
      <c r="X974" s="21" t="str">
        <f t="shared" si="47"/>
        <v>No</v>
      </c>
    </row>
    <row r="975" spans="1:24" x14ac:dyDescent="0.3">
      <c r="A975" s="21">
        <f>'Raw Data'!A975</f>
        <v>50974</v>
      </c>
      <c r="B975" s="21">
        <f>'Raw Data'!B975</f>
        <v>0</v>
      </c>
      <c r="C975" s="21">
        <f>'Raw Data'!C975</f>
        <v>15</v>
      </c>
      <c r="D975" s="21" t="str">
        <f>'Raw Data'!D975</f>
        <v>Computer</v>
      </c>
      <c r="E975" s="21">
        <f>'Raw Data'!E975</f>
        <v>1</v>
      </c>
      <c r="F975" s="21">
        <f>IF('Raw Data'!F975="",ROUND(AVERAGE('Raw Data'!$F$2:$F$1501),1),'Raw Data'!F975)</f>
        <v>25</v>
      </c>
      <c r="G975" s="21" t="str">
        <f>'Raw Data'!G975</f>
        <v>E wallet</v>
      </c>
      <c r="H975" s="21" t="str">
        <f>'Raw Data'!H975</f>
        <v>Male</v>
      </c>
      <c r="I975" s="21">
        <f>IF('Raw Data'!I975="",ROUND(AVERAGE('Raw Data'!$I$2:$I$1501),1),'Raw Data'!I975)</f>
        <v>2.9</v>
      </c>
      <c r="J975" s="21">
        <f>'Raw Data'!J975</f>
        <v>4</v>
      </c>
      <c r="K975" s="21" t="str">
        <f>'Raw Data'!K975</f>
        <v>Fashion</v>
      </c>
      <c r="L975" s="21">
        <f>'Raw Data'!L975</f>
        <v>2</v>
      </c>
      <c r="M975" s="21" t="str">
        <f>'Raw Data'!M975</f>
        <v>Single</v>
      </c>
      <c r="N975" s="21">
        <f>'Raw Data'!N975</f>
        <v>1</v>
      </c>
      <c r="O975" s="21">
        <f>'Raw Data'!O975</f>
        <v>0</v>
      </c>
      <c r="P975" s="21">
        <f>IF('Raw Data'!P975="",ROUND(AVERAGE('Raw Data'!$P$2:$P$1501),1),'Raw Data'!P975)</f>
        <v>19.5</v>
      </c>
      <c r="Q975" s="21">
        <f>IF('Raw Data'!Q975="",ROUND(AVERAGE('Raw Data'!$Q$2:$Q$1501),0),'Raw Data'!Q975)</f>
        <v>3</v>
      </c>
      <c r="R975" s="21">
        <f>'Raw Data'!R975</f>
        <v>7</v>
      </c>
      <c r="S975" s="21">
        <f>IF('Raw Data'!S975="",ROUND(AVERAGE('Raw Data'!$S$2:$S$1501),0),'Raw Data'!S975)</f>
        <v>2</v>
      </c>
      <c r="T975" s="21">
        <f>'Raw Data'!T975</f>
        <v>114.84</v>
      </c>
      <c r="U975" s="21" t="str">
        <f>INDEX('Lookup Tables'!$C$7:$C$9,MATCH(E975,'Lookup Tables'!$B$7:$B$9,0))</f>
        <v>Tier 1 (Metro)</v>
      </c>
      <c r="V975" s="21" t="str">
        <f t="shared" si="45"/>
        <v>13-24 months</v>
      </c>
      <c r="W975" s="21" t="str">
        <f t="shared" si="46"/>
        <v>Low Risk</v>
      </c>
      <c r="X975" s="21" t="str">
        <f t="shared" si="47"/>
        <v>No</v>
      </c>
    </row>
    <row r="976" spans="1:24" x14ac:dyDescent="0.3">
      <c r="A976" s="21">
        <f>'Raw Data'!A976</f>
        <v>50975</v>
      </c>
      <c r="B976" s="21">
        <f>'Raw Data'!B976</f>
        <v>0</v>
      </c>
      <c r="C976" s="21">
        <f>'Raw Data'!C976</f>
        <v>22</v>
      </c>
      <c r="D976" s="21" t="str">
        <f>'Raw Data'!D976</f>
        <v>Mobile Phone</v>
      </c>
      <c r="E976" s="21">
        <f>'Raw Data'!E976</f>
        <v>3</v>
      </c>
      <c r="F976" s="21">
        <f>IF('Raw Data'!F976="",ROUND(AVERAGE('Raw Data'!$F$2:$F$1501),1),'Raw Data'!F976)</f>
        <v>11</v>
      </c>
      <c r="G976" s="21" t="str">
        <f>'Raw Data'!G976</f>
        <v>Credit Card</v>
      </c>
      <c r="H976" s="21" t="str">
        <f>'Raw Data'!H976</f>
        <v>Female</v>
      </c>
      <c r="I976" s="21">
        <f>IF('Raw Data'!I976="",ROUND(AVERAGE('Raw Data'!$I$2:$I$1501),1),'Raw Data'!I976)</f>
        <v>2.8</v>
      </c>
      <c r="J976" s="21">
        <f>'Raw Data'!J976</f>
        <v>2</v>
      </c>
      <c r="K976" s="21" t="str">
        <f>'Raw Data'!K976</f>
        <v>Others</v>
      </c>
      <c r="L976" s="21">
        <f>'Raw Data'!L976</f>
        <v>3</v>
      </c>
      <c r="M976" s="21" t="str">
        <f>'Raw Data'!M976</f>
        <v>Single</v>
      </c>
      <c r="N976" s="21">
        <f>'Raw Data'!N976</f>
        <v>1</v>
      </c>
      <c r="O976" s="21">
        <f>'Raw Data'!O976</f>
        <v>1</v>
      </c>
      <c r="P976" s="21">
        <f>IF('Raw Data'!P976="",ROUND(AVERAGE('Raw Data'!$P$2:$P$1501),1),'Raw Data'!P976)</f>
        <v>13.6</v>
      </c>
      <c r="Q976" s="21">
        <f>IF('Raw Data'!Q976="",ROUND(AVERAGE('Raw Data'!$Q$2:$Q$1501),0),'Raw Data'!Q976)</f>
        <v>1</v>
      </c>
      <c r="R976" s="21">
        <f>'Raw Data'!R976</f>
        <v>4</v>
      </c>
      <c r="S976" s="21">
        <f>IF('Raw Data'!S976="",ROUND(AVERAGE('Raw Data'!$S$2:$S$1501),0),'Raw Data'!S976)</f>
        <v>6</v>
      </c>
      <c r="T976" s="21">
        <f>'Raw Data'!T976</f>
        <v>141.47</v>
      </c>
      <c r="U976" s="21" t="str">
        <f>INDEX('Lookup Tables'!$C$7:$C$9,MATCH(E976,'Lookup Tables'!$B$7:$B$9,0))</f>
        <v>Tier 3 (Semi-urban/Rural)</v>
      </c>
      <c r="V976" s="21" t="str">
        <f t="shared" si="45"/>
        <v>13-24 months</v>
      </c>
      <c r="W976" s="21" t="str">
        <f t="shared" si="46"/>
        <v>Medium Risk</v>
      </c>
      <c r="X976" s="21" t="str">
        <f t="shared" si="47"/>
        <v>No</v>
      </c>
    </row>
    <row r="977" spans="1:24" x14ac:dyDescent="0.3">
      <c r="A977" s="21">
        <f>'Raw Data'!A977</f>
        <v>50976</v>
      </c>
      <c r="B977" s="21">
        <f>'Raw Data'!B977</f>
        <v>0</v>
      </c>
      <c r="C977" s="21">
        <f>'Raw Data'!C977</f>
        <v>31</v>
      </c>
      <c r="D977" s="21" t="str">
        <f>'Raw Data'!D977</f>
        <v>Mobile Phone</v>
      </c>
      <c r="E977" s="21">
        <f>'Raw Data'!E977</f>
        <v>2</v>
      </c>
      <c r="F977" s="21">
        <f>IF('Raw Data'!F977="",ROUND(AVERAGE('Raw Data'!$F$2:$F$1501),1),'Raw Data'!F977)</f>
        <v>6</v>
      </c>
      <c r="G977" s="21" t="str">
        <f>'Raw Data'!G977</f>
        <v>Debit Card</v>
      </c>
      <c r="H977" s="21" t="str">
        <f>'Raw Data'!H977</f>
        <v>Female</v>
      </c>
      <c r="I977" s="21">
        <f>IF('Raw Data'!I977="",ROUND(AVERAGE('Raw Data'!$I$2:$I$1501),1),'Raw Data'!I977)</f>
        <v>3.4</v>
      </c>
      <c r="J977" s="21">
        <f>'Raw Data'!J977</f>
        <v>5</v>
      </c>
      <c r="K977" s="21" t="str">
        <f>'Raw Data'!K977</f>
        <v>Mobile Phone</v>
      </c>
      <c r="L977" s="21">
        <f>'Raw Data'!L977</f>
        <v>4</v>
      </c>
      <c r="M977" s="21" t="str">
        <f>'Raw Data'!M977</f>
        <v>Married</v>
      </c>
      <c r="N977" s="21">
        <f>'Raw Data'!N977</f>
        <v>12</v>
      </c>
      <c r="O977" s="21">
        <f>'Raw Data'!O977</f>
        <v>0</v>
      </c>
      <c r="P977" s="21">
        <f>IF('Raw Data'!P977="",ROUND(AVERAGE('Raw Data'!$P$2:$P$1501),1),'Raw Data'!P977)</f>
        <v>14.9</v>
      </c>
      <c r="Q977" s="21">
        <f>IF('Raw Data'!Q977="",ROUND(AVERAGE('Raw Data'!$Q$2:$Q$1501),0),'Raw Data'!Q977)</f>
        <v>3</v>
      </c>
      <c r="R977" s="21">
        <f>'Raw Data'!R977</f>
        <v>6</v>
      </c>
      <c r="S977" s="21">
        <f>IF('Raw Data'!S977="",ROUND(AVERAGE('Raw Data'!$S$2:$S$1501),0),'Raw Data'!S977)</f>
        <v>10</v>
      </c>
      <c r="T977" s="21">
        <f>'Raw Data'!T977</f>
        <v>132.04</v>
      </c>
      <c r="U977" s="21" t="str">
        <f>INDEX('Lookup Tables'!$C$7:$C$9,MATCH(E977,'Lookup Tables'!$B$7:$B$9,0))</f>
        <v>Tier 2 (Urban)</v>
      </c>
      <c r="V977" s="21" t="str">
        <f t="shared" si="45"/>
        <v>25+ months</v>
      </c>
      <c r="W977" s="21" t="str">
        <f t="shared" si="46"/>
        <v>Low Risk</v>
      </c>
      <c r="X977" s="21" t="str">
        <f t="shared" si="47"/>
        <v>No</v>
      </c>
    </row>
    <row r="978" spans="1:24" x14ac:dyDescent="0.3">
      <c r="A978" s="21">
        <f>'Raw Data'!A978</f>
        <v>50977</v>
      </c>
      <c r="B978" s="21">
        <f>'Raw Data'!B978</f>
        <v>0</v>
      </c>
      <c r="C978" s="21">
        <f>'Raw Data'!C978</f>
        <v>15</v>
      </c>
      <c r="D978" s="21" t="str">
        <f>'Raw Data'!D978</f>
        <v>Mobile Phone</v>
      </c>
      <c r="E978" s="21">
        <f>'Raw Data'!E978</f>
        <v>3</v>
      </c>
      <c r="F978" s="21">
        <f>IF('Raw Data'!F978="",ROUND(AVERAGE('Raw Data'!$F$2:$F$1501),1),'Raw Data'!F978)</f>
        <v>17</v>
      </c>
      <c r="G978" s="21" t="str">
        <f>'Raw Data'!G978</f>
        <v>UPI</v>
      </c>
      <c r="H978" s="21" t="str">
        <f>'Raw Data'!H978</f>
        <v>Male</v>
      </c>
      <c r="I978" s="21">
        <f>IF('Raw Data'!I978="",ROUND(AVERAGE('Raw Data'!$I$2:$I$1501),1),'Raw Data'!I978)</f>
        <v>3</v>
      </c>
      <c r="J978" s="21">
        <f>'Raw Data'!J978</f>
        <v>3</v>
      </c>
      <c r="K978" s="21" t="str">
        <f>'Raw Data'!K978</f>
        <v>Laptop &amp; Accessory</v>
      </c>
      <c r="L978" s="21">
        <f>'Raw Data'!L978</f>
        <v>3</v>
      </c>
      <c r="M978" s="21" t="str">
        <f>'Raw Data'!M978</f>
        <v>Single</v>
      </c>
      <c r="N978" s="21">
        <f>'Raw Data'!N978</f>
        <v>1</v>
      </c>
      <c r="O978" s="21">
        <f>'Raw Data'!O978</f>
        <v>0</v>
      </c>
      <c r="P978" s="21">
        <f>IF('Raw Data'!P978="",ROUND(AVERAGE('Raw Data'!$P$2:$P$1501),1),'Raw Data'!P978)</f>
        <v>13.8</v>
      </c>
      <c r="Q978" s="21">
        <f>IF('Raw Data'!Q978="",ROUND(AVERAGE('Raw Data'!$Q$2:$Q$1501),0),'Raw Data'!Q978)</f>
        <v>1</v>
      </c>
      <c r="R978" s="21">
        <f>'Raw Data'!R978</f>
        <v>4</v>
      </c>
      <c r="S978" s="21">
        <f>IF('Raw Data'!S978="",ROUND(AVERAGE('Raw Data'!$S$2:$S$1501),0),'Raw Data'!S978)</f>
        <v>6</v>
      </c>
      <c r="T978" s="21">
        <f>'Raw Data'!T978</f>
        <v>257.33</v>
      </c>
      <c r="U978" s="21" t="str">
        <f>INDEX('Lookup Tables'!$C$7:$C$9,MATCH(E978,'Lookup Tables'!$B$7:$B$9,0))</f>
        <v>Tier 3 (Semi-urban/Rural)</v>
      </c>
      <c r="V978" s="21" t="str">
        <f t="shared" si="45"/>
        <v>13-24 months</v>
      </c>
      <c r="W978" s="21" t="str">
        <f t="shared" si="46"/>
        <v>Medium Risk</v>
      </c>
      <c r="X978" s="21" t="str">
        <f t="shared" si="47"/>
        <v>No</v>
      </c>
    </row>
    <row r="979" spans="1:24" x14ac:dyDescent="0.3">
      <c r="A979" s="21">
        <f>'Raw Data'!A979</f>
        <v>50978</v>
      </c>
      <c r="B979" s="21">
        <f>'Raw Data'!B979</f>
        <v>1</v>
      </c>
      <c r="C979" s="21">
        <f>'Raw Data'!C979</f>
        <v>3</v>
      </c>
      <c r="D979" s="21" t="str">
        <f>'Raw Data'!D979</f>
        <v>Phone</v>
      </c>
      <c r="E979" s="21">
        <f>'Raw Data'!E979</f>
        <v>3</v>
      </c>
      <c r="F979" s="21">
        <f>IF('Raw Data'!F979="",ROUND(AVERAGE('Raw Data'!$F$2:$F$1501),1),'Raw Data'!F979)</f>
        <v>15</v>
      </c>
      <c r="G979" s="21" t="str">
        <f>'Raw Data'!G979</f>
        <v>UPI</v>
      </c>
      <c r="H979" s="21" t="str">
        <f>'Raw Data'!H979</f>
        <v>Female</v>
      </c>
      <c r="I979" s="21">
        <f>IF('Raw Data'!I979="",ROUND(AVERAGE('Raw Data'!$I$2:$I$1501),1),'Raw Data'!I979)</f>
        <v>4</v>
      </c>
      <c r="J979" s="21">
        <f>'Raw Data'!J979</f>
        <v>3</v>
      </c>
      <c r="K979" s="21" t="str">
        <f>'Raw Data'!K979</f>
        <v>Laptop &amp; Accessory</v>
      </c>
      <c r="L979" s="21">
        <f>'Raw Data'!L979</f>
        <v>3</v>
      </c>
      <c r="M979" s="21" t="str">
        <f>'Raw Data'!M979</f>
        <v>Married</v>
      </c>
      <c r="N979" s="21">
        <f>'Raw Data'!N979</f>
        <v>1</v>
      </c>
      <c r="O979" s="21">
        <f>'Raw Data'!O979</f>
        <v>1</v>
      </c>
      <c r="P979" s="21">
        <f>IF('Raw Data'!P979="",ROUND(AVERAGE('Raw Data'!$P$2:$P$1501),1),'Raw Data'!P979)</f>
        <v>14.6</v>
      </c>
      <c r="Q979" s="21">
        <f>IF('Raw Data'!Q979="",ROUND(AVERAGE('Raw Data'!$Q$2:$Q$1501),0),'Raw Data'!Q979)</f>
        <v>1</v>
      </c>
      <c r="R979" s="21">
        <f>'Raw Data'!R979</f>
        <v>4</v>
      </c>
      <c r="S979" s="21">
        <f>IF('Raw Data'!S979="",ROUND(AVERAGE('Raw Data'!$S$2:$S$1501),0),'Raw Data'!S979)</f>
        <v>5</v>
      </c>
      <c r="T979" s="21">
        <f>'Raw Data'!T979</f>
        <v>219.12</v>
      </c>
      <c r="U979" s="21" t="str">
        <f>INDEX('Lookup Tables'!$C$7:$C$9,MATCH(E979,'Lookup Tables'!$B$7:$B$9,0))</f>
        <v>Tier 3 (Semi-urban/Rural)</v>
      </c>
      <c r="V979" s="21" t="str">
        <f t="shared" si="45"/>
        <v>0-6 months</v>
      </c>
      <c r="W979" s="21" t="str">
        <f t="shared" si="46"/>
        <v>Medium Risk</v>
      </c>
      <c r="X979" s="21" t="str">
        <f t="shared" si="47"/>
        <v>Yes</v>
      </c>
    </row>
    <row r="980" spans="1:24" x14ac:dyDescent="0.3">
      <c r="A980" s="21">
        <f>'Raw Data'!A980</f>
        <v>50979</v>
      </c>
      <c r="B980" s="21">
        <f>'Raw Data'!B980</f>
        <v>0</v>
      </c>
      <c r="C980" s="21">
        <f>'Raw Data'!C980</f>
        <v>11</v>
      </c>
      <c r="D980" s="21" t="str">
        <f>'Raw Data'!D980</f>
        <v>Mobile Phone</v>
      </c>
      <c r="E980" s="21">
        <f>'Raw Data'!E980</f>
        <v>3</v>
      </c>
      <c r="F980" s="21">
        <f>IF('Raw Data'!F980="",ROUND(AVERAGE('Raw Data'!$F$2:$F$1501),1),'Raw Data'!F980)</f>
        <v>17</v>
      </c>
      <c r="G980" s="21" t="str">
        <f>'Raw Data'!G980</f>
        <v>Credit Card</v>
      </c>
      <c r="H980" s="21" t="str">
        <f>'Raw Data'!H980</f>
        <v>Male</v>
      </c>
      <c r="I980" s="21">
        <f>IF('Raw Data'!I980="",ROUND(AVERAGE('Raw Data'!$I$2:$I$1501),1),'Raw Data'!I980)</f>
        <v>2.2000000000000002</v>
      </c>
      <c r="J980" s="21">
        <f>'Raw Data'!J980</f>
        <v>1</v>
      </c>
      <c r="K980" s="21" t="str">
        <f>'Raw Data'!K980</f>
        <v>Laptop &amp; Accessory</v>
      </c>
      <c r="L980" s="21">
        <f>'Raw Data'!L980</f>
        <v>4</v>
      </c>
      <c r="M980" s="21" t="str">
        <f>'Raw Data'!M980</f>
        <v>Married</v>
      </c>
      <c r="N980" s="21">
        <f>'Raw Data'!N980</f>
        <v>1</v>
      </c>
      <c r="O980" s="21">
        <f>'Raw Data'!O980</f>
        <v>0</v>
      </c>
      <c r="P980" s="21">
        <f>IF('Raw Data'!P980="",ROUND(AVERAGE('Raw Data'!$P$2:$P$1501),1),'Raw Data'!P980)</f>
        <v>12.4</v>
      </c>
      <c r="Q980" s="21">
        <f>IF('Raw Data'!Q980="",ROUND(AVERAGE('Raw Data'!$Q$2:$Q$1501),0),'Raw Data'!Q980)</f>
        <v>1</v>
      </c>
      <c r="R980" s="21">
        <f>'Raw Data'!R980</f>
        <v>3</v>
      </c>
      <c r="S980" s="21">
        <f>IF('Raw Data'!S980="",ROUND(AVERAGE('Raw Data'!$S$2:$S$1501),0),'Raw Data'!S980)</f>
        <v>7</v>
      </c>
      <c r="T980" s="21">
        <f>'Raw Data'!T980</f>
        <v>173.04</v>
      </c>
      <c r="U980" s="21" t="str">
        <f>INDEX('Lookup Tables'!$C$7:$C$9,MATCH(E980,'Lookup Tables'!$B$7:$B$9,0))</f>
        <v>Tier 3 (Semi-urban/Rural)</v>
      </c>
      <c r="V980" s="21" t="str">
        <f t="shared" si="45"/>
        <v>7-12 months</v>
      </c>
      <c r="W980" s="21" t="str">
        <f t="shared" si="46"/>
        <v>Low Risk</v>
      </c>
      <c r="X980" s="21" t="str">
        <f t="shared" si="47"/>
        <v>No</v>
      </c>
    </row>
    <row r="981" spans="1:24" x14ac:dyDescent="0.3">
      <c r="A981" s="21">
        <f>'Raw Data'!A981</f>
        <v>50980</v>
      </c>
      <c r="B981" s="21">
        <f>'Raw Data'!B981</f>
        <v>0</v>
      </c>
      <c r="C981" s="21">
        <f>'Raw Data'!C981</f>
        <v>5</v>
      </c>
      <c r="D981" s="21" t="str">
        <f>'Raw Data'!D981</f>
        <v>Mobile Phone</v>
      </c>
      <c r="E981" s="21">
        <f>'Raw Data'!E981</f>
        <v>1</v>
      </c>
      <c r="F981" s="21">
        <f>IF('Raw Data'!F981="",ROUND(AVERAGE('Raw Data'!$F$2:$F$1501),1),'Raw Data'!F981)</f>
        <v>16</v>
      </c>
      <c r="G981" s="21" t="str">
        <f>'Raw Data'!G981</f>
        <v>Debit Card</v>
      </c>
      <c r="H981" s="21" t="str">
        <f>'Raw Data'!H981</f>
        <v>Male</v>
      </c>
      <c r="I981" s="21">
        <f>IF('Raw Data'!I981="",ROUND(AVERAGE('Raw Data'!$I$2:$I$1501),1),'Raw Data'!I981)</f>
        <v>3.5</v>
      </c>
      <c r="J981" s="21">
        <f>'Raw Data'!J981</f>
        <v>3</v>
      </c>
      <c r="K981" s="21" t="str">
        <f>'Raw Data'!K981</f>
        <v>Mobile Phone</v>
      </c>
      <c r="L981" s="21">
        <f>'Raw Data'!L981</f>
        <v>2</v>
      </c>
      <c r="M981" s="21" t="str">
        <f>'Raw Data'!M981</f>
        <v>Single</v>
      </c>
      <c r="N981" s="21">
        <f>'Raw Data'!N981</f>
        <v>1</v>
      </c>
      <c r="O981" s="21">
        <f>'Raw Data'!O981</f>
        <v>0</v>
      </c>
      <c r="P981" s="21">
        <f>IF('Raw Data'!P981="",ROUND(AVERAGE('Raw Data'!$P$2:$P$1501),1),'Raw Data'!P981)</f>
        <v>12.9</v>
      </c>
      <c r="Q981" s="21">
        <f>IF('Raw Data'!Q981="",ROUND(AVERAGE('Raw Data'!$Q$2:$Q$1501),0),'Raw Data'!Q981)</f>
        <v>3</v>
      </c>
      <c r="R981" s="21">
        <f>'Raw Data'!R981</f>
        <v>4</v>
      </c>
      <c r="S981" s="21">
        <f>IF('Raw Data'!S981="",ROUND(AVERAGE('Raw Data'!$S$2:$S$1501),0),'Raw Data'!S981)</f>
        <v>6</v>
      </c>
      <c r="T981" s="21">
        <f>'Raw Data'!T981</f>
        <v>273.89999999999998</v>
      </c>
      <c r="U981" s="21" t="str">
        <f>INDEX('Lookup Tables'!$C$7:$C$9,MATCH(E981,'Lookup Tables'!$B$7:$B$9,0))</f>
        <v>Tier 1 (Metro)</v>
      </c>
      <c r="V981" s="21" t="str">
        <f t="shared" si="45"/>
        <v>0-6 months</v>
      </c>
      <c r="W981" s="21" t="str">
        <f t="shared" si="46"/>
        <v>Low Risk</v>
      </c>
      <c r="X981" s="21" t="str">
        <f t="shared" si="47"/>
        <v>No</v>
      </c>
    </row>
    <row r="982" spans="1:24" x14ac:dyDescent="0.3">
      <c r="A982" s="21">
        <f>'Raw Data'!A982</f>
        <v>50981</v>
      </c>
      <c r="B982" s="21">
        <f>'Raw Data'!B982</f>
        <v>0</v>
      </c>
      <c r="C982" s="21">
        <f>'Raw Data'!C982</f>
        <v>2</v>
      </c>
      <c r="D982" s="21" t="str">
        <f>'Raw Data'!D982</f>
        <v>Mobile Phone</v>
      </c>
      <c r="E982" s="21">
        <f>'Raw Data'!E982</f>
        <v>1</v>
      </c>
      <c r="F982" s="21">
        <f>IF('Raw Data'!F982="",ROUND(AVERAGE('Raw Data'!$F$2:$F$1501),1),'Raw Data'!F982)</f>
        <v>19</v>
      </c>
      <c r="G982" s="21" t="str">
        <f>'Raw Data'!G982</f>
        <v>E wallet</v>
      </c>
      <c r="H982" s="21" t="str">
        <f>'Raw Data'!H982</f>
        <v>Male</v>
      </c>
      <c r="I982" s="21">
        <f>IF('Raw Data'!I982="",ROUND(AVERAGE('Raw Data'!$I$2:$I$1501),1),'Raw Data'!I982)</f>
        <v>2.9</v>
      </c>
      <c r="J982" s="21">
        <f>'Raw Data'!J982</f>
        <v>3</v>
      </c>
      <c r="K982" s="21" t="str">
        <f>'Raw Data'!K982</f>
        <v>Mobile Phone</v>
      </c>
      <c r="L982" s="21">
        <f>'Raw Data'!L982</f>
        <v>1</v>
      </c>
      <c r="M982" s="21" t="str">
        <f>'Raw Data'!M982</f>
        <v>Married</v>
      </c>
      <c r="N982" s="21">
        <f>'Raw Data'!N982</f>
        <v>1</v>
      </c>
      <c r="O982" s="21">
        <f>'Raw Data'!O982</f>
        <v>0</v>
      </c>
      <c r="P982" s="21">
        <f>IF('Raw Data'!P982="",ROUND(AVERAGE('Raw Data'!$P$2:$P$1501),1),'Raw Data'!P982)</f>
        <v>17.5</v>
      </c>
      <c r="Q982" s="21">
        <f>IF('Raw Data'!Q982="",ROUND(AVERAGE('Raw Data'!$Q$2:$Q$1501),0),'Raw Data'!Q982)</f>
        <v>2</v>
      </c>
      <c r="R982" s="21">
        <f>'Raw Data'!R982</f>
        <v>3</v>
      </c>
      <c r="S982" s="21">
        <f>IF('Raw Data'!S982="",ROUND(AVERAGE('Raw Data'!$S$2:$S$1501),0),'Raw Data'!S982)</f>
        <v>3</v>
      </c>
      <c r="T982" s="21">
        <f>'Raw Data'!T982</f>
        <v>259.86</v>
      </c>
      <c r="U982" s="21" t="str">
        <f>INDEX('Lookup Tables'!$C$7:$C$9,MATCH(E982,'Lookup Tables'!$B$7:$B$9,0))</f>
        <v>Tier 1 (Metro)</v>
      </c>
      <c r="V982" s="21" t="str">
        <f t="shared" si="45"/>
        <v>0-6 months</v>
      </c>
      <c r="W982" s="21" t="str">
        <f t="shared" si="46"/>
        <v>Low Risk</v>
      </c>
      <c r="X982" s="21" t="str">
        <f t="shared" si="47"/>
        <v>No</v>
      </c>
    </row>
    <row r="983" spans="1:24" x14ac:dyDescent="0.3">
      <c r="A983" s="21">
        <f>'Raw Data'!A983</f>
        <v>50982</v>
      </c>
      <c r="B983" s="21">
        <f>'Raw Data'!B983</f>
        <v>0</v>
      </c>
      <c r="C983" s="21">
        <f>'Raw Data'!C983</f>
        <v>18</v>
      </c>
      <c r="D983" s="21" t="str">
        <f>'Raw Data'!D983</f>
        <v>Phone</v>
      </c>
      <c r="E983" s="21">
        <f>'Raw Data'!E983</f>
        <v>3</v>
      </c>
      <c r="F983" s="21">
        <f>IF('Raw Data'!F983="",ROUND(AVERAGE('Raw Data'!$F$2:$F$1501),1),'Raw Data'!F983)</f>
        <v>26</v>
      </c>
      <c r="G983" s="21" t="str">
        <f>'Raw Data'!G983</f>
        <v>Debit Card</v>
      </c>
      <c r="H983" s="21" t="str">
        <f>'Raw Data'!H983</f>
        <v>Male</v>
      </c>
      <c r="I983" s="21">
        <f>IF('Raw Data'!I983="",ROUND(AVERAGE('Raw Data'!$I$2:$I$1501),1),'Raw Data'!I983)</f>
        <v>3.4</v>
      </c>
      <c r="J983" s="21">
        <f>'Raw Data'!J983</f>
        <v>3</v>
      </c>
      <c r="K983" s="21" t="str">
        <f>'Raw Data'!K983</f>
        <v>Laptop &amp; Accessory</v>
      </c>
      <c r="L983" s="21">
        <f>'Raw Data'!L983</f>
        <v>3</v>
      </c>
      <c r="M983" s="21" t="str">
        <f>'Raw Data'!M983</f>
        <v>Single</v>
      </c>
      <c r="N983" s="21">
        <f>'Raw Data'!N983</f>
        <v>1</v>
      </c>
      <c r="O983" s="21">
        <f>'Raw Data'!O983</f>
        <v>1</v>
      </c>
      <c r="P983" s="21">
        <f>IF('Raw Data'!P983="",ROUND(AVERAGE('Raw Data'!$P$2:$P$1501),1),'Raw Data'!P983)</f>
        <v>16.5</v>
      </c>
      <c r="Q983" s="21">
        <f>IF('Raw Data'!Q983="",ROUND(AVERAGE('Raw Data'!$Q$2:$Q$1501),0),'Raw Data'!Q983)</f>
        <v>2</v>
      </c>
      <c r="R983" s="21">
        <f>'Raw Data'!R983</f>
        <v>3</v>
      </c>
      <c r="S983" s="21">
        <f>IF('Raw Data'!S983="",ROUND(AVERAGE('Raw Data'!$S$2:$S$1501),0),'Raw Data'!S983)</f>
        <v>2</v>
      </c>
      <c r="T983" s="21">
        <f>'Raw Data'!T983</f>
        <v>167.31</v>
      </c>
      <c r="U983" s="21" t="str">
        <f>INDEX('Lookup Tables'!$C$7:$C$9,MATCH(E983,'Lookup Tables'!$B$7:$B$9,0))</f>
        <v>Tier 3 (Semi-urban/Rural)</v>
      </c>
      <c r="V983" s="21" t="str">
        <f t="shared" si="45"/>
        <v>13-24 months</v>
      </c>
      <c r="W983" s="21" t="str">
        <f t="shared" si="46"/>
        <v>Medium Risk</v>
      </c>
      <c r="X983" s="21" t="str">
        <f t="shared" si="47"/>
        <v>No</v>
      </c>
    </row>
    <row r="984" spans="1:24" x14ac:dyDescent="0.3">
      <c r="A984" s="21">
        <f>'Raw Data'!A984</f>
        <v>50983</v>
      </c>
      <c r="B984" s="21">
        <f>'Raw Data'!B984</f>
        <v>0</v>
      </c>
      <c r="C984" s="21">
        <f>'Raw Data'!C984</f>
        <v>0</v>
      </c>
      <c r="D984" s="21" t="str">
        <f>'Raw Data'!D984</f>
        <v>Computer</v>
      </c>
      <c r="E984" s="21">
        <f>'Raw Data'!E984</f>
        <v>1</v>
      </c>
      <c r="F984" s="21">
        <f>IF('Raw Data'!F984="",ROUND(AVERAGE('Raw Data'!$F$2:$F$1501),1),'Raw Data'!F984)</f>
        <v>19</v>
      </c>
      <c r="G984" s="21" t="str">
        <f>'Raw Data'!G984</f>
        <v>Debit Card</v>
      </c>
      <c r="H984" s="21" t="str">
        <f>'Raw Data'!H984</f>
        <v>Female</v>
      </c>
      <c r="I984" s="21">
        <f>IF('Raw Data'!I984="",ROUND(AVERAGE('Raw Data'!$I$2:$I$1501),1),'Raw Data'!I984)</f>
        <v>2.6</v>
      </c>
      <c r="J984" s="21">
        <f>'Raw Data'!J984</f>
        <v>3</v>
      </c>
      <c r="K984" s="21" t="str">
        <f>'Raw Data'!K984</f>
        <v>Fashion</v>
      </c>
      <c r="L984" s="21">
        <f>'Raw Data'!L984</f>
        <v>3</v>
      </c>
      <c r="M984" s="21" t="str">
        <f>'Raw Data'!M984</f>
        <v>Married</v>
      </c>
      <c r="N984" s="21">
        <f>'Raw Data'!N984</f>
        <v>1</v>
      </c>
      <c r="O984" s="21">
        <f>'Raw Data'!O984</f>
        <v>0</v>
      </c>
      <c r="P984" s="21">
        <f>IF('Raw Data'!P984="",ROUND(AVERAGE('Raw Data'!$P$2:$P$1501),1),'Raw Data'!P984)</f>
        <v>17.7</v>
      </c>
      <c r="Q984" s="21">
        <f>IF('Raw Data'!Q984="",ROUND(AVERAGE('Raw Data'!$Q$2:$Q$1501),0),'Raw Data'!Q984)</f>
        <v>1</v>
      </c>
      <c r="R984" s="21">
        <f>'Raw Data'!R984</f>
        <v>6</v>
      </c>
      <c r="S984" s="21">
        <f>IF('Raw Data'!S984="",ROUND(AVERAGE('Raw Data'!$S$2:$S$1501),0),'Raw Data'!S984)</f>
        <v>1</v>
      </c>
      <c r="T984" s="21">
        <f>'Raw Data'!T984</f>
        <v>157.41999999999999</v>
      </c>
      <c r="U984" s="21" t="str">
        <f>INDEX('Lookup Tables'!$C$7:$C$9,MATCH(E984,'Lookup Tables'!$B$7:$B$9,0))</f>
        <v>Tier 1 (Metro)</v>
      </c>
      <c r="V984" s="21" t="str">
        <f t="shared" si="45"/>
        <v>0-6 months</v>
      </c>
      <c r="W984" s="21" t="str">
        <f t="shared" si="46"/>
        <v>Medium Risk</v>
      </c>
      <c r="X984" s="21" t="str">
        <f t="shared" si="47"/>
        <v>No</v>
      </c>
    </row>
    <row r="985" spans="1:24" x14ac:dyDescent="0.3">
      <c r="A985" s="21">
        <f>'Raw Data'!A985</f>
        <v>50984</v>
      </c>
      <c r="B985" s="21">
        <f>'Raw Data'!B985</f>
        <v>0</v>
      </c>
      <c r="C985" s="21">
        <f>'Raw Data'!C985</f>
        <v>23</v>
      </c>
      <c r="D985" s="21" t="str">
        <f>'Raw Data'!D985</f>
        <v>Mobile Phone</v>
      </c>
      <c r="E985" s="21">
        <f>'Raw Data'!E985</f>
        <v>1</v>
      </c>
      <c r="F985" s="21">
        <f>IF('Raw Data'!F985="",ROUND(AVERAGE('Raw Data'!$F$2:$F$1501),1),'Raw Data'!F985)</f>
        <v>6</v>
      </c>
      <c r="G985" s="21" t="str">
        <f>'Raw Data'!G985</f>
        <v>E wallet</v>
      </c>
      <c r="H985" s="21" t="str">
        <f>'Raw Data'!H985</f>
        <v>Male</v>
      </c>
      <c r="I985" s="21">
        <f>IF('Raw Data'!I985="",ROUND(AVERAGE('Raw Data'!$I$2:$I$1501),1),'Raw Data'!I985)</f>
        <v>3.7</v>
      </c>
      <c r="J985" s="21">
        <f>'Raw Data'!J985</f>
        <v>2</v>
      </c>
      <c r="K985" s="21" t="str">
        <f>'Raw Data'!K985</f>
        <v>Fashion</v>
      </c>
      <c r="L985" s="21">
        <f>'Raw Data'!L985</f>
        <v>3</v>
      </c>
      <c r="M985" s="21" t="str">
        <f>'Raw Data'!M985</f>
        <v>Married</v>
      </c>
      <c r="N985" s="21">
        <f>'Raw Data'!N985</f>
        <v>7</v>
      </c>
      <c r="O985" s="21">
        <f>'Raw Data'!O985</f>
        <v>0</v>
      </c>
      <c r="P985" s="21">
        <f>IF('Raw Data'!P985="",ROUND(AVERAGE('Raw Data'!$P$2:$P$1501),1),'Raw Data'!P985)</f>
        <v>16.7</v>
      </c>
      <c r="Q985" s="21">
        <f>IF('Raw Data'!Q985="",ROUND(AVERAGE('Raw Data'!$Q$2:$Q$1501),0),'Raw Data'!Q985)</f>
        <v>0</v>
      </c>
      <c r="R985" s="21">
        <f>'Raw Data'!R985</f>
        <v>5</v>
      </c>
      <c r="S985" s="21">
        <f>IF('Raw Data'!S985="",ROUND(AVERAGE('Raw Data'!$S$2:$S$1501),0),'Raw Data'!S985)</f>
        <v>5</v>
      </c>
      <c r="T985" s="21">
        <f>'Raw Data'!T985</f>
        <v>160.07</v>
      </c>
      <c r="U985" s="21" t="str">
        <f>INDEX('Lookup Tables'!$C$7:$C$9,MATCH(E985,'Lookup Tables'!$B$7:$B$9,0))</f>
        <v>Tier 1 (Metro)</v>
      </c>
      <c r="V985" s="21" t="str">
        <f t="shared" si="45"/>
        <v>13-24 months</v>
      </c>
      <c r="W985" s="21" t="str">
        <f t="shared" si="46"/>
        <v>Medium Risk</v>
      </c>
      <c r="X985" s="21" t="str">
        <f t="shared" si="47"/>
        <v>No</v>
      </c>
    </row>
    <row r="986" spans="1:24" x14ac:dyDescent="0.3">
      <c r="A986" s="21">
        <f>'Raw Data'!A986</f>
        <v>50985</v>
      </c>
      <c r="B986" s="21">
        <f>'Raw Data'!B986</f>
        <v>1</v>
      </c>
      <c r="C986" s="21">
        <f>'Raw Data'!C986</f>
        <v>6</v>
      </c>
      <c r="D986" s="21" t="str">
        <f>'Raw Data'!D986</f>
        <v>Computer</v>
      </c>
      <c r="E986" s="21">
        <f>'Raw Data'!E986</f>
        <v>3</v>
      </c>
      <c r="F986" s="21">
        <f>IF('Raw Data'!F986="",ROUND(AVERAGE('Raw Data'!$F$2:$F$1501),1),'Raw Data'!F986)</f>
        <v>25</v>
      </c>
      <c r="G986" s="21" t="str">
        <f>'Raw Data'!G986</f>
        <v>Debit Card</v>
      </c>
      <c r="H986" s="21" t="str">
        <f>'Raw Data'!H986</f>
        <v>Male</v>
      </c>
      <c r="I986" s="21">
        <f>IF('Raw Data'!I986="",ROUND(AVERAGE('Raw Data'!$I$2:$I$1501),1),'Raw Data'!I986)</f>
        <v>3.1</v>
      </c>
      <c r="J986" s="21">
        <f>'Raw Data'!J986</f>
        <v>4</v>
      </c>
      <c r="K986" s="21" t="str">
        <f>'Raw Data'!K986</f>
        <v>Laptop &amp; Accessory</v>
      </c>
      <c r="L986" s="21">
        <f>'Raw Data'!L986</f>
        <v>3</v>
      </c>
      <c r="M986" s="21" t="str">
        <f>'Raw Data'!M986</f>
        <v>Married</v>
      </c>
      <c r="N986" s="21">
        <f>'Raw Data'!N986</f>
        <v>1</v>
      </c>
      <c r="O986" s="21">
        <f>'Raw Data'!O986</f>
        <v>1</v>
      </c>
      <c r="P986" s="21">
        <f>IF('Raw Data'!P986="",ROUND(AVERAGE('Raw Data'!$P$2:$P$1501),1),'Raw Data'!P986)</f>
        <v>18.5</v>
      </c>
      <c r="Q986" s="21">
        <f>IF('Raw Data'!Q986="",ROUND(AVERAGE('Raw Data'!$Q$2:$Q$1501),0),'Raw Data'!Q986)</f>
        <v>1</v>
      </c>
      <c r="R986" s="21">
        <f>'Raw Data'!R986</f>
        <v>1</v>
      </c>
      <c r="S986" s="21">
        <f>IF('Raw Data'!S986="",ROUND(AVERAGE('Raw Data'!$S$2:$S$1501),0),'Raw Data'!S986)</f>
        <v>16</v>
      </c>
      <c r="T986" s="21">
        <f>'Raw Data'!T986</f>
        <v>127.6</v>
      </c>
      <c r="U986" s="21" t="str">
        <f>INDEX('Lookup Tables'!$C$7:$C$9,MATCH(E986,'Lookup Tables'!$B$7:$B$9,0))</f>
        <v>Tier 3 (Semi-urban/Rural)</v>
      </c>
      <c r="V986" s="21" t="str">
        <f t="shared" si="45"/>
        <v>0-6 months</v>
      </c>
      <c r="W986" s="21" t="str">
        <f t="shared" si="46"/>
        <v>Medium Risk</v>
      </c>
      <c r="X986" s="21" t="str">
        <f t="shared" si="47"/>
        <v>Yes</v>
      </c>
    </row>
    <row r="987" spans="1:24" x14ac:dyDescent="0.3">
      <c r="A987" s="21">
        <f>'Raw Data'!A987</f>
        <v>50986</v>
      </c>
      <c r="B987" s="21">
        <f>'Raw Data'!B987</f>
        <v>1</v>
      </c>
      <c r="C987" s="21">
        <f>'Raw Data'!C987</f>
        <v>10</v>
      </c>
      <c r="D987" s="21" t="str">
        <f>'Raw Data'!D987</f>
        <v>Mobile Phone</v>
      </c>
      <c r="E987" s="21">
        <f>'Raw Data'!E987</f>
        <v>3</v>
      </c>
      <c r="F987" s="21">
        <f>IF('Raw Data'!F987="",ROUND(AVERAGE('Raw Data'!$F$2:$F$1501),1),'Raw Data'!F987)</f>
        <v>28</v>
      </c>
      <c r="G987" s="21" t="str">
        <f>'Raw Data'!G987</f>
        <v>Debit Card</v>
      </c>
      <c r="H987" s="21" t="str">
        <f>'Raw Data'!H987</f>
        <v>Male</v>
      </c>
      <c r="I987" s="21">
        <f>IF('Raw Data'!I987="",ROUND(AVERAGE('Raw Data'!$I$2:$I$1501),1),'Raw Data'!I987)</f>
        <v>2.4</v>
      </c>
      <c r="J987" s="21">
        <f>'Raw Data'!J987</f>
        <v>3</v>
      </c>
      <c r="K987" s="21" t="str">
        <f>'Raw Data'!K987</f>
        <v>Mobile Phone</v>
      </c>
      <c r="L987" s="21">
        <f>'Raw Data'!L987</f>
        <v>4</v>
      </c>
      <c r="M987" s="21" t="str">
        <f>'Raw Data'!M987</f>
        <v>Single</v>
      </c>
      <c r="N987" s="21">
        <f>'Raw Data'!N987</f>
        <v>1</v>
      </c>
      <c r="O987" s="21">
        <f>'Raw Data'!O987</f>
        <v>1</v>
      </c>
      <c r="P987" s="21">
        <f>IF('Raw Data'!P987="",ROUND(AVERAGE('Raw Data'!$P$2:$P$1501),1),'Raw Data'!P987)</f>
        <v>16.3</v>
      </c>
      <c r="Q987" s="21">
        <f>IF('Raw Data'!Q987="",ROUND(AVERAGE('Raw Data'!$Q$2:$Q$1501),0),'Raw Data'!Q987)</f>
        <v>3</v>
      </c>
      <c r="R987" s="21">
        <f>'Raw Data'!R987</f>
        <v>3</v>
      </c>
      <c r="S987" s="21">
        <f>IF('Raw Data'!S987="",ROUND(AVERAGE('Raw Data'!$S$2:$S$1501),0),'Raw Data'!S987)</f>
        <v>4</v>
      </c>
      <c r="T987" s="21">
        <f>'Raw Data'!T987</f>
        <v>275.37</v>
      </c>
      <c r="U987" s="21" t="str">
        <f>INDEX('Lookup Tables'!$C$7:$C$9,MATCH(E987,'Lookup Tables'!$B$7:$B$9,0))</f>
        <v>Tier 3 (Semi-urban/Rural)</v>
      </c>
      <c r="V987" s="21" t="str">
        <f t="shared" si="45"/>
        <v>7-12 months</v>
      </c>
      <c r="W987" s="21" t="str">
        <f t="shared" si="46"/>
        <v>Low Risk</v>
      </c>
      <c r="X987" s="21" t="str">
        <f t="shared" si="47"/>
        <v>Yes</v>
      </c>
    </row>
    <row r="988" spans="1:24" x14ac:dyDescent="0.3">
      <c r="A988" s="21">
        <f>'Raw Data'!A988</f>
        <v>50987</v>
      </c>
      <c r="B988" s="21">
        <f>'Raw Data'!B988</f>
        <v>1</v>
      </c>
      <c r="C988" s="21">
        <f>'Raw Data'!C988</f>
        <v>10</v>
      </c>
      <c r="D988" s="21" t="str">
        <f>'Raw Data'!D988</f>
        <v>Computer</v>
      </c>
      <c r="E988" s="21">
        <f>'Raw Data'!E988</f>
        <v>1</v>
      </c>
      <c r="F988" s="21">
        <f>IF('Raw Data'!F988="",ROUND(AVERAGE('Raw Data'!$F$2:$F$1501),1),'Raw Data'!F988)</f>
        <v>40</v>
      </c>
      <c r="G988" s="21" t="str">
        <f>'Raw Data'!G988</f>
        <v>Debit Card</v>
      </c>
      <c r="H988" s="21" t="str">
        <f>'Raw Data'!H988</f>
        <v>Male</v>
      </c>
      <c r="I988" s="21">
        <f>IF('Raw Data'!I988="",ROUND(AVERAGE('Raw Data'!$I$2:$I$1501),1),'Raw Data'!I988)</f>
        <v>2.9</v>
      </c>
      <c r="J988" s="21">
        <f>'Raw Data'!J988</f>
        <v>5</v>
      </c>
      <c r="K988" s="21" t="str">
        <f>'Raw Data'!K988</f>
        <v>Others</v>
      </c>
      <c r="L988" s="21">
        <f>'Raw Data'!L988</f>
        <v>1</v>
      </c>
      <c r="M988" s="21" t="str">
        <f>'Raw Data'!M988</f>
        <v>Married</v>
      </c>
      <c r="N988" s="21">
        <f>'Raw Data'!N988</f>
        <v>3</v>
      </c>
      <c r="O988" s="21">
        <f>'Raw Data'!O988</f>
        <v>0</v>
      </c>
      <c r="P988" s="21">
        <f>IF('Raw Data'!P988="",ROUND(AVERAGE('Raw Data'!$P$2:$P$1501),1),'Raw Data'!P988)</f>
        <v>11</v>
      </c>
      <c r="Q988" s="21">
        <f>IF('Raw Data'!Q988="",ROUND(AVERAGE('Raw Data'!$Q$2:$Q$1501),0),'Raw Data'!Q988)</f>
        <v>1</v>
      </c>
      <c r="R988" s="21">
        <f>'Raw Data'!R988</f>
        <v>5</v>
      </c>
      <c r="S988" s="21">
        <f>IF('Raw Data'!S988="",ROUND(AVERAGE('Raw Data'!$S$2:$S$1501),0),'Raw Data'!S988)</f>
        <v>12</v>
      </c>
      <c r="T988" s="21">
        <f>'Raw Data'!T988</f>
        <v>124.65</v>
      </c>
      <c r="U988" s="21" t="str">
        <f>INDEX('Lookup Tables'!$C$7:$C$9,MATCH(E988,'Lookup Tables'!$B$7:$B$9,0))</f>
        <v>Tier 1 (Metro)</v>
      </c>
      <c r="V988" s="21" t="str">
        <f t="shared" si="45"/>
        <v>7-12 months</v>
      </c>
      <c r="W988" s="21" t="str">
        <f t="shared" si="46"/>
        <v>Low Risk</v>
      </c>
      <c r="X988" s="21" t="str">
        <f t="shared" si="47"/>
        <v>Yes</v>
      </c>
    </row>
    <row r="989" spans="1:24" x14ac:dyDescent="0.3">
      <c r="A989" s="21">
        <f>'Raw Data'!A989</f>
        <v>50988</v>
      </c>
      <c r="B989" s="21">
        <f>'Raw Data'!B989</f>
        <v>1</v>
      </c>
      <c r="C989" s="21">
        <f>'Raw Data'!C989</f>
        <v>22</v>
      </c>
      <c r="D989" s="21" t="str">
        <f>'Raw Data'!D989</f>
        <v>Mobile Phone</v>
      </c>
      <c r="E989" s="21">
        <f>'Raw Data'!E989</f>
        <v>1</v>
      </c>
      <c r="F989" s="21">
        <f>IF('Raw Data'!F989="",ROUND(AVERAGE('Raw Data'!$F$2:$F$1501),1),'Raw Data'!F989)</f>
        <v>6</v>
      </c>
      <c r="G989" s="21" t="str">
        <f>'Raw Data'!G989</f>
        <v>Debit Card</v>
      </c>
      <c r="H989" s="21" t="str">
        <f>'Raw Data'!H989</f>
        <v>Male</v>
      </c>
      <c r="I989" s="21">
        <f>IF('Raw Data'!I989="",ROUND(AVERAGE('Raw Data'!$I$2:$I$1501),1),'Raw Data'!I989)</f>
        <v>2.7</v>
      </c>
      <c r="J989" s="21">
        <f>'Raw Data'!J989</f>
        <v>3</v>
      </c>
      <c r="K989" s="21" t="str">
        <f>'Raw Data'!K989</f>
        <v>Mobile Phone</v>
      </c>
      <c r="L989" s="21">
        <f>'Raw Data'!L989</f>
        <v>3</v>
      </c>
      <c r="M989" s="21" t="str">
        <f>'Raw Data'!M989</f>
        <v>Single</v>
      </c>
      <c r="N989" s="21">
        <f>'Raw Data'!N989</f>
        <v>19</v>
      </c>
      <c r="O989" s="21">
        <f>'Raw Data'!O989</f>
        <v>1</v>
      </c>
      <c r="P989" s="21">
        <f>IF('Raw Data'!P989="",ROUND(AVERAGE('Raw Data'!$P$2:$P$1501),1),'Raw Data'!P989)</f>
        <v>13</v>
      </c>
      <c r="Q989" s="21">
        <f>IF('Raw Data'!Q989="",ROUND(AVERAGE('Raw Data'!$Q$2:$Q$1501),0),'Raw Data'!Q989)</f>
        <v>4</v>
      </c>
      <c r="R989" s="21">
        <f>'Raw Data'!R989</f>
        <v>6</v>
      </c>
      <c r="S989" s="21">
        <f>IF('Raw Data'!S989="",ROUND(AVERAGE('Raw Data'!$S$2:$S$1501),0),'Raw Data'!S989)</f>
        <v>0</v>
      </c>
      <c r="T989" s="21">
        <f>'Raw Data'!T989</f>
        <v>227.76</v>
      </c>
      <c r="U989" s="21" t="str">
        <f>INDEX('Lookup Tables'!$C$7:$C$9,MATCH(E989,'Lookup Tables'!$B$7:$B$9,0))</f>
        <v>Tier 1 (Metro)</v>
      </c>
      <c r="V989" s="21" t="str">
        <f t="shared" si="45"/>
        <v>13-24 months</v>
      </c>
      <c r="W989" s="21" t="str">
        <f t="shared" si="46"/>
        <v>Medium Risk</v>
      </c>
      <c r="X989" s="21" t="str">
        <f t="shared" si="47"/>
        <v>Yes</v>
      </c>
    </row>
    <row r="990" spans="1:24" x14ac:dyDescent="0.3">
      <c r="A990" s="21">
        <f>'Raw Data'!A990</f>
        <v>50989</v>
      </c>
      <c r="B990" s="21">
        <f>'Raw Data'!B990</f>
        <v>0</v>
      </c>
      <c r="C990" s="21">
        <f>'Raw Data'!C990</f>
        <v>10</v>
      </c>
      <c r="D990" s="21" t="str">
        <f>'Raw Data'!D990</f>
        <v>Phone</v>
      </c>
      <c r="E990" s="21">
        <f>'Raw Data'!E990</f>
        <v>1</v>
      </c>
      <c r="F990" s="21">
        <f>IF('Raw Data'!F990="",ROUND(AVERAGE('Raw Data'!$F$2:$F$1501),1),'Raw Data'!F990)</f>
        <v>16</v>
      </c>
      <c r="G990" s="21" t="str">
        <f>'Raw Data'!G990</f>
        <v>Debit Card</v>
      </c>
      <c r="H990" s="21" t="str">
        <f>'Raw Data'!H990</f>
        <v>Male</v>
      </c>
      <c r="I990" s="21">
        <f>IF('Raw Data'!I990="",ROUND(AVERAGE('Raw Data'!$I$2:$I$1501),1),'Raw Data'!I990)</f>
        <v>3.2</v>
      </c>
      <c r="J990" s="21">
        <f>'Raw Data'!J990</f>
        <v>3</v>
      </c>
      <c r="K990" s="21" t="str">
        <f>'Raw Data'!K990</f>
        <v>Fashion</v>
      </c>
      <c r="L990" s="21">
        <f>'Raw Data'!L990</f>
        <v>3</v>
      </c>
      <c r="M990" s="21" t="str">
        <f>'Raw Data'!M990</f>
        <v>Married</v>
      </c>
      <c r="N990" s="21">
        <f>'Raw Data'!N990</f>
        <v>1</v>
      </c>
      <c r="O990" s="21">
        <f>'Raw Data'!O990</f>
        <v>1</v>
      </c>
      <c r="P990" s="21">
        <f>IF('Raw Data'!P990="",ROUND(AVERAGE('Raw Data'!$P$2:$P$1501),1),'Raw Data'!P990)</f>
        <v>15.2</v>
      </c>
      <c r="Q990" s="21">
        <f>IF('Raw Data'!Q990="",ROUND(AVERAGE('Raw Data'!$Q$2:$Q$1501),0),'Raw Data'!Q990)</f>
        <v>2</v>
      </c>
      <c r="R990" s="21">
        <f>'Raw Data'!R990</f>
        <v>3</v>
      </c>
      <c r="S990" s="21">
        <f>IF('Raw Data'!S990="",ROUND(AVERAGE('Raw Data'!$S$2:$S$1501),0),'Raw Data'!S990)</f>
        <v>7</v>
      </c>
      <c r="T990" s="21">
        <f>'Raw Data'!T990</f>
        <v>217.98</v>
      </c>
      <c r="U990" s="21" t="str">
        <f>INDEX('Lookup Tables'!$C$7:$C$9,MATCH(E990,'Lookup Tables'!$B$7:$B$9,0))</f>
        <v>Tier 1 (Metro)</v>
      </c>
      <c r="V990" s="21" t="str">
        <f t="shared" si="45"/>
        <v>7-12 months</v>
      </c>
      <c r="W990" s="21" t="str">
        <f t="shared" si="46"/>
        <v>Medium Risk</v>
      </c>
      <c r="X990" s="21" t="str">
        <f t="shared" si="47"/>
        <v>No</v>
      </c>
    </row>
    <row r="991" spans="1:24" x14ac:dyDescent="0.3">
      <c r="A991" s="21">
        <f>'Raw Data'!A991</f>
        <v>50990</v>
      </c>
      <c r="B991" s="21">
        <f>'Raw Data'!B991</f>
        <v>0</v>
      </c>
      <c r="C991" s="21">
        <f>'Raw Data'!C991</f>
        <v>9</v>
      </c>
      <c r="D991" s="21" t="str">
        <f>'Raw Data'!D991</f>
        <v>Mobile Phone</v>
      </c>
      <c r="E991" s="21">
        <f>'Raw Data'!E991</f>
        <v>3</v>
      </c>
      <c r="F991" s="21">
        <f>IF('Raw Data'!F991="",ROUND(AVERAGE('Raw Data'!$F$2:$F$1501),1),'Raw Data'!F991)</f>
        <v>5</v>
      </c>
      <c r="G991" s="21" t="str">
        <f>'Raw Data'!G991</f>
        <v>Cash on Delivery</v>
      </c>
      <c r="H991" s="21" t="str">
        <f>'Raw Data'!H991</f>
        <v>Female</v>
      </c>
      <c r="I991" s="21">
        <f>IF('Raw Data'!I991="",ROUND(AVERAGE('Raw Data'!$I$2:$I$1501),1),'Raw Data'!I991)</f>
        <v>2.1</v>
      </c>
      <c r="J991" s="21">
        <f>'Raw Data'!J991</f>
        <v>4</v>
      </c>
      <c r="K991" s="21" t="str">
        <f>'Raw Data'!K991</f>
        <v>Mobile Phone</v>
      </c>
      <c r="L991" s="21">
        <f>'Raw Data'!L991</f>
        <v>4</v>
      </c>
      <c r="M991" s="21" t="str">
        <f>'Raw Data'!M991</f>
        <v>Married</v>
      </c>
      <c r="N991" s="21">
        <f>'Raw Data'!N991</f>
        <v>1</v>
      </c>
      <c r="O991" s="21">
        <f>'Raw Data'!O991</f>
        <v>0</v>
      </c>
      <c r="P991" s="21">
        <f>IF('Raw Data'!P991="",ROUND(AVERAGE('Raw Data'!$P$2:$P$1501),1),'Raw Data'!P991)</f>
        <v>15.9</v>
      </c>
      <c r="Q991" s="21">
        <f>IF('Raw Data'!Q991="",ROUND(AVERAGE('Raw Data'!$Q$2:$Q$1501),0),'Raw Data'!Q991)</f>
        <v>2</v>
      </c>
      <c r="R991" s="21">
        <f>'Raw Data'!R991</f>
        <v>3</v>
      </c>
      <c r="S991" s="21">
        <f>IF('Raw Data'!S991="",ROUND(AVERAGE('Raw Data'!$S$2:$S$1501),0),'Raw Data'!S991)</f>
        <v>9</v>
      </c>
      <c r="T991" s="21">
        <f>'Raw Data'!T991</f>
        <v>163.22999999999999</v>
      </c>
      <c r="U991" s="21" t="str">
        <f>INDEX('Lookup Tables'!$C$7:$C$9,MATCH(E991,'Lookup Tables'!$B$7:$B$9,0))</f>
        <v>Tier 3 (Semi-urban/Rural)</v>
      </c>
      <c r="V991" s="21" t="str">
        <f t="shared" si="45"/>
        <v>7-12 months</v>
      </c>
      <c r="W991" s="21" t="str">
        <f t="shared" si="46"/>
        <v>Low Risk</v>
      </c>
      <c r="X991" s="21" t="str">
        <f t="shared" si="47"/>
        <v>No</v>
      </c>
    </row>
    <row r="992" spans="1:24" x14ac:dyDescent="0.3">
      <c r="A992" s="21">
        <f>'Raw Data'!A992</f>
        <v>50991</v>
      </c>
      <c r="B992" s="21">
        <f>'Raw Data'!B992</f>
        <v>0</v>
      </c>
      <c r="C992" s="21">
        <f>'Raw Data'!C992</f>
        <v>0</v>
      </c>
      <c r="D992" s="21" t="str">
        <f>'Raw Data'!D992</f>
        <v>Computer</v>
      </c>
      <c r="E992" s="21">
        <f>'Raw Data'!E992</f>
        <v>3</v>
      </c>
      <c r="F992" s="21">
        <f>IF('Raw Data'!F992="",ROUND(AVERAGE('Raw Data'!$F$2:$F$1501),1),'Raw Data'!F992)</f>
        <v>19</v>
      </c>
      <c r="G992" s="21" t="str">
        <f>'Raw Data'!G992</f>
        <v>Debit Card</v>
      </c>
      <c r="H992" s="21" t="str">
        <f>'Raw Data'!H992</f>
        <v>Male</v>
      </c>
      <c r="I992" s="21">
        <f>IF('Raw Data'!I992="",ROUND(AVERAGE('Raw Data'!$I$2:$I$1501),1),'Raw Data'!I992)</f>
        <v>2.9</v>
      </c>
      <c r="J992" s="21">
        <f>'Raw Data'!J992</f>
        <v>2</v>
      </c>
      <c r="K992" s="21" t="str">
        <f>'Raw Data'!K992</f>
        <v>Grocery</v>
      </c>
      <c r="L992" s="21">
        <f>'Raw Data'!L992</f>
        <v>5</v>
      </c>
      <c r="M992" s="21" t="str">
        <f>'Raw Data'!M992</f>
        <v>Married</v>
      </c>
      <c r="N992" s="21">
        <f>'Raw Data'!N992</f>
        <v>12</v>
      </c>
      <c r="O992" s="21">
        <f>'Raw Data'!O992</f>
        <v>1</v>
      </c>
      <c r="P992" s="21">
        <f>IF('Raw Data'!P992="",ROUND(AVERAGE('Raw Data'!$P$2:$P$1501),1),'Raw Data'!P992)</f>
        <v>13.7</v>
      </c>
      <c r="Q992" s="21">
        <f>IF('Raw Data'!Q992="",ROUND(AVERAGE('Raw Data'!$Q$2:$Q$1501),0),'Raw Data'!Q992)</f>
        <v>4</v>
      </c>
      <c r="R992" s="21">
        <f>'Raw Data'!R992</f>
        <v>5</v>
      </c>
      <c r="S992" s="21">
        <f>IF('Raw Data'!S992="",ROUND(AVERAGE('Raw Data'!$S$2:$S$1501),0),'Raw Data'!S992)</f>
        <v>4</v>
      </c>
      <c r="T992" s="21">
        <f>'Raw Data'!T992</f>
        <v>279.55</v>
      </c>
      <c r="U992" s="21" t="str">
        <f>INDEX('Lookup Tables'!$C$7:$C$9,MATCH(E992,'Lookup Tables'!$B$7:$B$9,0))</f>
        <v>Tier 3 (Semi-urban/Rural)</v>
      </c>
      <c r="V992" s="21" t="str">
        <f t="shared" si="45"/>
        <v>0-6 months</v>
      </c>
      <c r="W992" s="21" t="str">
        <f t="shared" si="46"/>
        <v>Low Risk</v>
      </c>
      <c r="X992" s="21" t="str">
        <f t="shared" si="47"/>
        <v>No</v>
      </c>
    </row>
    <row r="993" spans="1:24" x14ac:dyDescent="0.3">
      <c r="A993" s="21">
        <f>'Raw Data'!A993</f>
        <v>50992</v>
      </c>
      <c r="B993" s="21">
        <f>'Raw Data'!B993</f>
        <v>0</v>
      </c>
      <c r="C993" s="21">
        <f>'Raw Data'!C993</f>
        <v>7</v>
      </c>
      <c r="D993" s="21" t="str">
        <f>'Raw Data'!D993</f>
        <v>Mobile Phone</v>
      </c>
      <c r="E993" s="21">
        <f>'Raw Data'!E993</f>
        <v>1</v>
      </c>
      <c r="F993" s="21">
        <f>IF('Raw Data'!F993="",ROUND(AVERAGE('Raw Data'!$F$2:$F$1501),1),'Raw Data'!F993)</f>
        <v>10</v>
      </c>
      <c r="G993" s="21" t="str">
        <f>'Raw Data'!G993</f>
        <v>Debit Card</v>
      </c>
      <c r="H993" s="21" t="str">
        <f>'Raw Data'!H993</f>
        <v>Male</v>
      </c>
      <c r="I993" s="21">
        <f>IF('Raw Data'!I993="",ROUND(AVERAGE('Raw Data'!$I$2:$I$1501),1),'Raw Data'!I993)</f>
        <v>3.2</v>
      </c>
      <c r="J993" s="21">
        <f>'Raw Data'!J993</f>
        <v>2</v>
      </c>
      <c r="K993" s="21" t="str">
        <f>'Raw Data'!K993</f>
        <v>Fashion</v>
      </c>
      <c r="L993" s="21">
        <f>'Raw Data'!L993</f>
        <v>3</v>
      </c>
      <c r="M993" s="21" t="str">
        <f>'Raw Data'!M993</f>
        <v>Married</v>
      </c>
      <c r="N993" s="21">
        <f>'Raw Data'!N993</f>
        <v>1</v>
      </c>
      <c r="O993" s="21">
        <f>'Raw Data'!O993</f>
        <v>0</v>
      </c>
      <c r="P993" s="21">
        <f>IF('Raw Data'!P993="",ROUND(AVERAGE('Raw Data'!$P$2:$P$1501),1),'Raw Data'!P993)</f>
        <v>19.2</v>
      </c>
      <c r="Q993" s="21">
        <f>IF('Raw Data'!Q993="",ROUND(AVERAGE('Raw Data'!$Q$2:$Q$1501),0),'Raw Data'!Q993)</f>
        <v>4</v>
      </c>
      <c r="R993" s="21">
        <f>'Raw Data'!R993</f>
        <v>4</v>
      </c>
      <c r="S993" s="21">
        <f>IF('Raw Data'!S993="",ROUND(AVERAGE('Raw Data'!$S$2:$S$1501),0),'Raw Data'!S993)</f>
        <v>13</v>
      </c>
      <c r="T993" s="21">
        <f>'Raw Data'!T993</f>
        <v>94.25</v>
      </c>
      <c r="U993" s="21" t="str">
        <f>INDEX('Lookup Tables'!$C$7:$C$9,MATCH(E993,'Lookup Tables'!$B$7:$B$9,0))</f>
        <v>Tier 1 (Metro)</v>
      </c>
      <c r="V993" s="21" t="str">
        <f t="shared" si="45"/>
        <v>7-12 months</v>
      </c>
      <c r="W993" s="21" t="str">
        <f t="shared" si="46"/>
        <v>Medium Risk</v>
      </c>
      <c r="X993" s="21" t="str">
        <f t="shared" si="47"/>
        <v>No</v>
      </c>
    </row>
    <row r="994" spans="1:24" x14ac:dyDescent="0.3">
      <c r="A994" s="21">
        <f>'Raw Data'!A994</f>
        <v>50993</v>
      </c>
      <c r="B994" s="21">
        <f>'Raw Data'!B994</f>
        <v>0</v>
      </c>
      <c r="C994" s="21">
        <f>'Raw Data'!C994</f>
        <v>1</v>
      </c>
      <c r="D994" s="21" t="str">
        <f>'Raw Data'!D994</f>
        <v>Mobile Phone</v>
      </c>
      <c r="E994" s="21">
        <f>'Raw Data'!E994</f>
        <v>1</v>
      </c>
      <c r="F994" s="21">
        <f>IF('Raw Data'!F994="",ROUND(AVERAGE('Raw Data'!$F$2:$F$1501),1),'Raw Data'!F994)</f>
        <v>30</v>
      </c>
      <c r="G994" s="21" t="str">
        <f>'Raw Data'!G994</f>
        <v>Debit Card</v>
      </c>
      <c r="H994" s="21" t="str">
        <f>'Raw Data'!H994</f>
        <v>Male</v>
      </c>
      <c r="I994" s="21">
        <f>IF('Raw Data'!I994="",ROUND(AVERAGE('Raw Data'!$I$2:$I$1501),1),'Raw Data'!I994)</f>
        <v>2.9</v>
      </c>
      <c r="J994" s="21">
        <f>'Raw Data'!J994</f>
        <v>4</v>
      </c>
      <c r="K994" s="21" t="str">
        <f>'Raw Data'!K994</f>
        <v>Fashion</v>
      </c>
      <c r="L994" s="21">
        <f>'Raw Data'!L994</f>
        <v>5</v>
      </c>
      <c r="M994" s="21" t="str">
        <f>'Raw Data'!M994</f>
        <v>Married</v>
      </c>
      <c r="N994" s="21">
        <f>'Raw Data'!N994</f>
        <v>2</v>
      </c>
      <c r="O994" s="21">
        <f>'Raw Data'!O994</f>
        <v>0</v>
      </c>
      <c r="P994" s="21">
        <f>IF('Raw Data'!P994="",ROUND(AVERAGE('Raw Data'!$P$2:$P$1501),1),'Raw Data'!P994)</f>
        <v>22.9</v>
      </c>
      <c r="Q994" s="21">
        <f>IF('Raw Data'!Q994="",ROUND(AVERAGE('Raw Data'!$Q$2:$Q$1501),0),'Raw Data'!Q994)</f>
        <v>1</v>
      </c>
      <c r="R994" s="21">
        <f>'Raw Data'!R994</f>
        <v>5</v>
      </c>
      <c r="S994" s="21">
        <f>IF('Raw Data'!S994="",ROUND(AVERAGE('Raw Data'!$S$2:$S$1501),0),'Raw Data'!S994)</f>
        <v>4</v>
      </c>
      <c r="T994" s="21">
        <f>'Raw Data'!T994</f>
        <v>175.62</v>
      </c>
      <c r="U994" s="21" t="str">
        <f>INDEX('Lookup Tables'!$C$7:$C$9,MATCH(E994,'Lookup Tables'!$B$7:$B$9,0))</f>
        <v>Tier 1 (Metro)</v>
      </c>
      <c r="V994" s="21" t="str">
        <f t="shared" si="45"/>
        <v>0-6 months</v>
      </c>
      <c r="W994" s="21" t="str">
        <f t="shared" si="46"/>
        <v>Low Risk</v>
      </c>
      <c r="X994" s="21" t="str">
        <f t="shared" si="47"/>
        <v>No</v>
      </c>
    </row>
    <row r="995" spans="1:24" x14ac:dyDescent="0.3">
      <c r="A995" s="21">
        <f>'Raw Data'!A995</f>
        <v>50994</v>
      </c>
      <c r="B995" s="21">
        <f>'Raw Data'!B995</f>
        <v>0</v>
      </c>
      <c r="C995" s="21">
        <f>'Raw Data'!C995</f>
        <v>13</v>
      </c>
      <c r="D995" s="21" t="str">
        <f>'Raw Data'!D995</f>
        <v>Mobile Phone</v>
      </c>
      <c r="E995" s="21">
        <f>'Raw Data'!E995</f>
        <v>3</v>
      </c>
      <c r="F995" s="21">
        <f>IF('Raw Data'!F995="",ROUND(AVERAGE('Raw Data'!$F$2:$F$1501),1),'Raw Data'!F995)</f>
        <v>8</v>
      </c>
      <c r="G995" s="21" t="str">
        <f>'Raw Data'!G995</f>
        <v>Cash on Delivery</v>
      </c>
      <c r="H995" s="21" t="str">
        <f>'Raw Data'!H995</f>
        <v>Male</v>
      </c>
      <c r="I995" s="21">
        <f>IF('Raw Data'!I995="",ROUND(AVERAGE('Raw Data'!$I$2:$I$1501),1),'Raw Data'!I995)</f>
        <v>3.8</v>
      </c>
      <c r="J995" s="21">
        <f>'Raw Data'!J995</f>
        <v>2</v>
      </c>
      <c r="K995" s="21" t="str">
        <f>'Raw Data'!K995</f>
        <v>Grocery</v>
      </c>
      <c r="L995" s="21">
        <f>'Raw Data'!L995</f>
        <v>3</v>
      </c>
      <c r="M995" s="21" t="str">
        <f>'Raw Data'!M995</f>
        <v>Single</v>
      </c>
      <c r="N995" s="21">
        <f>'Raw Data'!N995</f>
        <v>1</v>
      </c>
      <c r="O995" s="21">
        <f>'Raw Data'!O995</f>
        <v>0</v>
      </c>
      <c r="P995" s="21">
        <f>IF('Raw Data'!P995="",ROUND(AVERAGE('Raw Data'!$P$2:$P$1501),1),'Raw Data'!P995)</f>
        <v>16.7</v>
      </c>
      <c r="Q995" s="21">
        <f>IF('Raw Data'!Q995="",ROUND(AVERAGE('Raw Data'!$Q$2:$Q$1501),0),'Raw Data'!Q995)</f>
        <v>3</v>
      </c>
      <c r="R995" s="21">
        <f>'Raw Data'!R995</f>
        <v>3</v>
      </c>
      <c r="S995" s="21">
        <f>IF('Raw Data'!S995="",ROUND(AVERAGE('Raw Data'!$S$2:$S$1501),0),'Raw Data'!S995)</f>
        <v>1</v>
      </c>
      <c r="T995" s="21">
        <f>'Raw Data'!T995</f>
        <v>153.1</v>
      </c>
      <c r="U995" s="21" t="str">
        <f>INDEX('Lookup Tables'!$C$7:$C$9,MATCH(E995,'Lookup Tables'!$B$7:$B$9,0))</f>
        <v>Tier 3 (Semi-urban/Rural)</v>
      </c>
      <c r="V995" s="21" t="str">
        <f t="shared" si="45"/>
        <v>13-24 months</v>
      </c>
      <c r="W995" s="21" t="str">
        <f t="shared" si="46"/>
        <v>Medium Risk</v>
      </c>
      <c r="X995" s="21" t="str">
        <f t="shared" si="47"/>
        <v>No</v>
      </c>
    </row>
    <row r="996" spans="1:24" x14ac:dyDescent="0.3">
      <c r="A996" s="21">
        <f>'Raw Data'!A996</f>
        <v>50995</v>
      </c>
      <c r="B996" s="21">
        <f>'Raw Data'!B996</f>
        <v>0</v>
      </c>
      <c r="C996" s="21">
        <f>'Raw Data'!C996</f>
        <v>7</v>
      </c>
      <c r="D996" s="21" t="str">
        <f>'Raw Data'!D996</f>
        <v>Mobile Phone</v>
      </c>
      <c r="E996" s="21">
        <f>'Raw Data'!E996</f>
        <v>1</v>
      </c>
      <c r="F996" s="21">
        <f>IF('Raw Data'!F996="",ROUND(AVERAGE('Raw Data'!$F$2:$F$1501),1),'Raw Data'!F996)</f>
        <v>5</v>
      </c>
      <c r="G996" s="21" t="str">
        <f>'Raw Data'!G996</f>
        <v>Credit Card</v>
      </c>
      <c r="H996" s="21" t="str">
        <f>'Raw Data'!H996</f>
        <v>Male</v>
      </c>
      <c r="I996" s="21">
        <f>IF('Raw Data'!I996="",ROUND(AVERAGE('Raw Data'!$I$2:$I$1501),1),'Raw Data'!I996)</f>
        <v>3.4</v>
      </c>
      <c r="J996" s="21">
        <f>'Raw Data'!J996</f>
        <v>1</v>
      </c>
      <c r="K996" s="21" t="str">
        <f>'Raw Data'!K996</f>
        <v>Others</v>
      </c>
      <c r="L996" s="21">
        <f>'Raw Data'!L996</f>
        <v>1</v>
      </c>
      <c r="M996" s="21" t="str">
        <f>'Raw Data'!M996</f>
        <v>Single</v>
      </c>
      <c r="N996" s="21">
        <f>'Raw Data'!N996</f>
        <v>9</v>
      </c>
      <c r="O996" s="21">
        <f>'Raw Data'!O996</f>
        <v>0</v>
      </c>
      <c r="P996" s="21">
        <f>IF('Raw Data'!P996="",ROUND(AVERAGE('Raw Data'!$P$2:$P$1501),1),'Raw Data'!P996)</f>
        <v>16.3</v>
      </c>
      <c r="Q996" s="21">
        <f>IF('Raw Data'!Q996="",ROUND(AVERAGE('Raw Data'!$Q$2:$Q$1501),0),'Raw Data'!Q996)</f>
        <v>2</v>
      </c>
      <c r="R996" s="21">
        <f>'Raw Data'!R996</f>
        <v>5</v>
      </c>
      <c r="S996" s="21">
        <f>IF('Raw Data'!S996="",ROUND(AVERAGE('Raw Data'!$S$2:$S$1501),0),'Raw Data'!S996)</f>
        <v>1</v>
      </c>
      <c r="T996" s="21">
        <f>'Raw Data'!T996</f>
        <v>232.83</v>
      </c>
      <c r="U996" s="21" t="str">
        <f>INDEX('Lookup Tables'!$C$7:$C$9,MATCH(E996,'Lookup Tables'!$B$7:$B$9,0))</f>
        <v>Tier 1 (Metro)</v>
      </c>
      <c r="V996" s="21" t="str">
        <f t="shared" si="45"/>
        <v>7-12 months</v>
      </c>
      <c r="W996" s="21" t="str">
        <f t="shared" si="46"/>
        <v>Low Risk</v>
      </c>
      <c r="X996" s="21" t="str">
        <f t="shared" si="47"/>
        <v>No</v>
      </c>
    </row>
    <row r="997" spans="1:24" x14ac:dyDescent="0.3">
      <c r="A997" s="21">
        <f>'Raw Data'!A997</f>
        <v>50996</v>
      </c>
      <c r="B997" s="21">
        <f>'Raw Data'!B997</f>
        <v>1</v>
      </c>
      <c r="C997" s="21">
        <f>'Raw Data'!C997</f>
        <v>11</v>
      </c>
      <c r="D997" s="21" t="str">
        <f>'Raw Data'!D997</f>
        <v>Mobile Phone</v>
      </c>
      <c r="E997" s="21">
        <f>'Raw Data'!E997</f>
        <v>2</v>
      </c>
      <c r="F997" s="21">
        <f>IF('Raw Data'!F997="",ROUND(AVERAGE('Raw Data'!$F$2:$F$1501),1),'Raw Data'!F997)</f>
        <v>14.8</v>
      </c>
      <c r="G997" s="21" t="str">
        <f>'Raw Data'!G997</f>
        <v>Credit Card</v>
      </c>
      <c r="H997" s="21" t="str">
        <f>'Raw Data'!H997</f>
        <v>Female</v>
      </c>
      <c r="I997" s="21">
        <f>IF('Raw Data'!I997="",ROUND(AVERAGE('Raw Data'!$I$2:$I$1501),1),'Raw Data'!I997)</f>
        <v>2.9</v>
      </c>
      <c r="J997" s="21">
        <f>'Raw Data'!J997</f>
        <v>5</v>
      </c>
      <c r="K997" s="21" t="str">
        <f>'Raw Data'!K997</f>
        <v>Mobile Phone</v>
      </c>
      <c r="L997" s="21">
        <f>'Raw Data'!L997</f>
        <v>2</v>
      </c>
      <c r="M997" s="21" t="str">
        <f>'Raw Data'!M997</f>
        <v>Married</v>
      </c>
      <c r="N997" s="21">
        <f>'Raw Data'!N997</f>
        <v>13</v>
      </c>
      <c r="O997" s="21">
        <f>'Raw Data'!O997</f>
        <v>0</v>
      </c>
      <c r="P997" s="21">
        <f>IF('Raw Data'!P997="",ROUND(AVERAGE('Raw Data'!$P$2:$P$1501),1),'Raw Data'!P997)</f>
        <v>19</v>
      </c>
      <c r="Q997" s="21">
        <f>IF('Raw Data'!Q997="",ROUND(AVERAGE('Raw Data'!$Q$2:$Q$1501),0),'Raw Data'!Q997)</f>
        <v>3</v>
      </c>
      <c r="R997" s="21">
        <f>'Raw Data'!R997</f>
        <v>3</v>
      </c>
      <c r="S997" s="21">
        <f>IF('Raw Data'!S997="",ROUND(AVERAGE('Raw Data'!$S$2:$S$1501),0),'Raw Data'!S997)</f>
        <v>4</v>
      </c>
      <c r="T997" s="21">
        <f>'Raw Data'!T997</f>
        <v>199.45</v>
      </c>
      <c r="U997" s="21" t="str">
        <f>INDEX('Lookup Tables'!$C$7:$C$9,MATCH(E997,'Lookup Tables'!$B$7:$B$9,0))</f>
        <v>Tier 2 (Urban)</v>
      </c>
      <c r="V997" s="21" t="str">
        <f t="shared" si="45"/>
        <v>7-12 months</v>
      </c>
      <c r="W997" s="21" t="str">
        <f t="shared" si="46"/>
        <v>Low Risk</v>
      </c>
      <c r="X997" s="21" t="str">
        <f t="shared" si="47"/>
        <v>Yes</v>
      </c>
    </row>
    <row r="998" spans="1:24" x14ac:dyDescent="0.3">
      <c r="A998" s="21">
        <f>'Raw Data'!A998</f>
        <v>50997</v>
      </c>
      <c r="B998" s="21">
        <f>'Raw Data'!B998</f>
        <v>0</v>
      </c>
      <c r="C998" s="21">
        <f>'Raw Data'!C998</f>
        <v>0</v>
      </c>
      <c r="D998" s="21" t="str">
        <f>'Raw Data'!D998</f>
        <v>Computer</v>
      </c>
      <c r="E998" s="21">
        <f>'Raw Data'!E998</f>
        <v>3</v>
      </c>
      <c r="F998" s="21">
        <f>IF('Raw Data'!F998="",ROUND(AVERAGE('Raw Data'!$F$2:$F$1501),1),'Raw Data'!F998)</f>
        <v>5</v>
      </c>
      <c r="G998" s="21" t="str">
        <f>'Raw Data'!G998</f>
        <v>UPI</v>
      </c>
      <c r="H998" s="21" t="str">
        <f>'Raw Data'!H998</f>
        <v>Female</v>
      </c>
      <c r="I998" s="21">
        <f>IF('Raw Data'!I998="",ROUND(AVERAGE('Raw Data'!$I$2:$I$1501),1),'Raw Data'!I998)</f>
        <v>3.1</v>
      </c>
      <c r="J998" s="21">
        <f>'Raw Data'!J998</f>
        <v>2</v>
      </c>
      <c r="K998" s="21" t="str">
        <f>'Raw Data'!K998</f>
        <v>Laptop &amp; Accessory</v>
      </c>
      <c r="L998" s="21">
        <f>'Raw Data'!L998</f>
        <v>3</v>
      </c>
      <c r="M998" s="21" t="str">
        <f>'Raw Data'!M998</f>
        <v>Single</v>
      </c>
      <c r="N998" s="21">
        <f>'Raw Data'!N998</f>
        <v>5</v>
      </c>
      <c r="O998" s="21">
        <f>'Raw Data'!O998</f>
        <v>1</v>
      </c>
      <c r="P998" s="21">
        <f>IF('Raw Data'!P998="",ROUND(AVERAGE('Raw Data'!$P$2:$P$1501),1),'Raw Data'!P998)</f>
        <v>11</v>
      </c>
      <c r="Q998" s="21">
        <f>IF('Raw Data'!Q998="",ROUND(AVERAGE('Raw Data'!$Q$2:$Q$1501),0),'Raw Data'!Q998)</f>
        <v>0</v>
      </c>
      <c r="R998" s="21">
        <f>'Raw Data'!R998</f>
        <v>1</v>
      </c>
      <c r="S998" s="21">
        <f>IF('Raw Data'!S998="",ROUND(AVERAGE('Raw Data'!$S$2:$S$1501),0),'Raw Data'!S998)</f>
        <v>11</v>
      </c>
      <c r="T998" s="21">
        <f>'Raw Data'!T998</f>
        <v>85</v>
      </c>
      <c r="U998" s="21" t="str">
        <f>INDEX('Lookup Tables'!$C$7:$C$9,MATCH(E998,'Lookup Tables'!$B$7:$B$9,0))</f>
        <v>Tier 3 (Semi-urban/Rural)</v>
      </c>
      <c r="V998" s="21" t="str">
        <f t="shared" si="45"/>
        <v>0-6 months</v>
      </c>
      <c r="W998" s="21" t="str">
        <f t="shared" si="46"/>
        <v>Medium Risk</v>
      </c>
      <c r="X998" s="21" t="str">
        <f t="shared" si="47"/>
        <v>No</v>
      </c>
    </row>
    <row r="999" spans="1:24" x14ac:dyDescent="0.3">
      <c r="A999" s="21">
        <f>'Raw Data'!A999</f>
        <v>50998</v>
      </c>
      <c r="B999" s="21">
        <f>'Raw Data'!B999</f>
        <v>0</v>
      </c>
      <c r="C999" s="21">
        <f>'Raw Data'!C999</f>
        <v>0</v>
      </c>
      <c r="D999" s="21" t="str">
        <f>'Raw Data'!D999</f>
        <v>Mobile Phone</v>
      </c>
      <c r="E999" s="21">
        <f>'Raw Data'!E999</f>
        <v>1</v>
      </c>
      <c r="F999" s="21">
        <f>IF('Raw Data'!F999="",ROUND(AVERAGE('Raw Data'!$F$2:$F$1501),1),'Raw Data'!F999)</f>
        <v>21</v>
      </c>
      <c r="G999" s="21" t="str">
        <f>'Raw Data'!G999</f>
        <v>Credit Card</v>
      </c>
      <c r="H999" s="21" t="str">
        <f>'Raw Data'!H999</f>
        <v>Male</v>
      </c>
      <c r="I999" s="21">
        <f>IF('Raw Data'!I999="",ROUND(AVERAGE('Raw Data'!$I$2:$I$1501),1),'Raw Data'!I999)</f>
        <v>3.1</v>
      </c>
      <c r="J999" s="21">
        <f>'Raw Data'!J999</f>
        <v>3</v>
      </c>
      <c r="K999" s="21" t="str">
        <f>'Raw Data'!K999</f>
        <v>Mobile Phone</v>
      </c>
      <c r="L999" s="21">
        <f>'Raw Data'!L999</f>
        <v>3</v>
      </c>
      <c r="M999" s="21" t="str">
        <f>'Raw Data'!M999</f>
        <v>Married</v>
      </c>
      <c r="N999" s="21">
        <f>'Raw Data'!N999</f>
        <v>1</v>
      </c>
      <c r="O999" s="21">
        <f>'Raw Data'!O999</f>
        <v>0</v>
      </c>
      <c r="P999" s="21">
        <f>IF('Raw Data'!P999="",ROUND(AVERAGE('Raw Data'!$P$2:$P$1501),1),'Raw Data'!P999)</f>
        <v>16.100000000000001</v>
      </c>
      <c r="Q999" s="21">
        <f>IF('Raw Data'!Q999="",ROUND(AVERAGE('Raw Data'!$Q$2:$Q$1501),0),'Raw Data'!Q999)</f>
        <v>2</v>
      </c>
      <c r="R999" s="21">
        <f>'Raw Data'!R999</f>
        <v>4</v>
      </c>
      <c r="S999" s="21">
        <f>IF('Raw Data'!S999="",ROUND(AVERAGE('Raw Data'!$S$2:$S$1501),0),'Raw Data'!S999)</f>
        <v>0</v>
      </c>
      <c r="T999" s="21">
        <f>'Raw Data'!T999</f>
        <v>248.17</v>
      </c>
      <c r="U999" s="21" t="str">
        <f>INDEX('Lookup Tables'!$C$7:$C$9,MATCH(E999,'Lookup Tables'!$B$7:$B$9,0))</f>
        <v>Tier 1 (Metro)</v>
      </c>
      <c r="V999" s="21" t="str">
        <f t="shared" si="45"/>
        <v>0-6 months</v>
      </c>
      <c r="W999" s="21" t="str">
        <f t="shared" si="46"/>
        <v>Medium Risk</v>
      </c>
      <c r="X999" s="21" t="str">
        <f t="shared" si="47"/>
        <v>No</v>
      </c>
    </row>
    <row r="1000" spans="1:24" x14ac:dyDescent="0.3">
      <c r="A1000" s="21">
        <f>'Raw Data'!A1000</f>
        <v>50999</v>
      </c>
      <c r="B1000" s="21">
        <f>'Raw Data'!B1000</f>
        <v>0</v>
      </c>
      <c r="C1000" s="21">
        <f>'Raw Data'!C1000</f>
        <v>12</v>
      </c>
      <c r="D1000" s="21" t="str">
        <f>'Raw Data'!D1000</f>
        <v>Computer</v>
      </c>
      <c r="E1000" s="21">
        <f>'Raw Data'!E1000</f>
        <v>2</v>
      </c>
      <c r="F1000" s="21">
        <f>IF('Raw Data'!F1000="",ROUND(AVERAGE('Raw Data'!$F$2:$F$1501),1),'Raw Data'!F1000)</f>
        <v>5</v>
      </c>
      <c r="G1000" s="21" t="str">
        <f>'Raw Data'!G1000</f>
        <v>Debit Card</v>
      </c>
      <c r="H1000" s="21" t="str">
        <f>'Raw Data'!H1000</f>
        <v>Male</v>
      </c>
      <c r="I1000" s="21">
        <f>IF('Raw Data'!I1000="",ROUND(AVERAGE('Raw Data'!$I$2:$I$1501),1),'Raw Data'!I1000)</f>
        <v>2.9</v>
      </c>
      <c r="J1000" s="21">
        <f>'Raw Data'!J1000</f>
        <v>3</v>
      </c>
      <c r="K1000" s="21" t="str">
        <f>'Raw Data'!K1000</f>
        <v>Fashion</v>
      </c>
      <c r="L1000" s="21">
        <f>'Raw Data'!L1000</f>
        <v>1</v>
      </c>
      <c r="M1000" s="21" t="str">
        <f>'Raw Data'!M1000</f>
        <v>Married</v>
      </c>
      <c r="N1000" s="21">
        <f>'Raw Data'!N1000</f>
        <v>1</v>
      </c>
      <c r="O1000" s="21">
        <f>'Raw Data'!O1000</f>
        <v>0</v>
      </c>
      <c r="P1000" s="21">
        <f>IF('Raw Data'!P1000="",ROUND(AVERAGE('Raw Data'!$P$2:$P$1501),1),'Raw Data'!P1000)</f>
        <v>19.399999999999999</v>
      </c>
      <c r="Q1000" s="21">
        <f>IF('Raw Data'!Q1000="",ROUND(AVERAGE('Raw Data'!$Q$2:$Q$1501),0),'Raw Data'!Q1000)</f>
        <v>2</v>
      </c>
      <c r="R1000" s="21">
        <f>'Raw Data'!R1000</f>
        <v>4</v>
      </c>
      <c r="S1000" s="21">
        <f>IF('Raw Data'!S1000="",ROUND(AVERAGE('Raw Data'!$S$2:$S$1501),0),'Raw Data'!S1000)</f>
        <v>4</v>
      </c>
      <c r="T1000" s="21">
        <f>'Raw Data'!T1000</f>
        <v>206.7</v>
      </c>
      <c r="U1000" s="21" t="str">
        <f>INDEX('Lookup Tables'!$C$7:$C$9,MATCH(E1000,'Lookup Tables'!$B$7:$B$9,0))</f>
        <v>Tier 2 (Urban)</v>
      </c>
      <c r="V1000" s="21" t="str">
        <f t="shared" si="45"/>
        <v>7-12 months</v>
      </c>
      <c r="W1000" s="21" t="str">
        <f t="shared" si="46"/>
        <v>Low Risk</v>
      </c>
      <c r="X1000" s="21" t="str">
        <f t="shared" si="47"/>
        <v>No</v>
      </c>
    </row>
    <row r="1001" spans="1:24" x14ac:dyDescent="0.3">
      <c r="A1001" s="21">
        <f>'Raw Data'!A1001</f>
        <v>51000</v>
      </c>
      <c r="B1001" s="21">
        <f>'Raw Data'!B1001</f>
        <v>1</v>
      </c>
      <c r="C1001" s="21">
        <f>'Raw Data'!C1001</f>
        <v>0</v>
      </c>
      <c r="D1001" s="21" t="str">
        <f>'Raw Data'!D1001</f>
        <v>Phone</v>
      </c>
      <c r="E1001" s="21">
        <f>'Raw Data'!E1001</f>
        <v>1</v>
      </c>
      <c r="F1001" s="21">
        <f>IF('Raw Data'!F1001="",ROUND(AVERAGE('Raw Data'!$F$2:$F$1501),1),'Raw Data'!F1001)</f>
        <v>15</v>
      </c>
      <c r="G1001" s="21" t="str">
        <f>'Raw Data'!G1001</f>
        <v>Debit Card</v>
      </c>
      <c r="H1001" s="21" t="str">
        <f>'Raw Data'!H1001</f>
        <v>Female</v>
      </c>
      <c r="I1001" s="21">
        <f>IF('Raw Data'!I1001="",ROUND(AVERAGE('Raw Data'!$I$2:$I$1501),1),'Raw Data'!I1001)</f>
        <v>1.6</v>
      </c>
      <c r="J1001" s="21">
        <f>'Raw Data'!J1001</f>
        <v>1</v>
      </c>
      <c r="K1001" s="21" t="str">
        <f>'Raw Data'!K1001</f>
        <v>Fashion</v>
      </c>
      <c r="L1001" s="21">
        <f>'Raw Data'!L1001</f>
        <v>3</v>
      </c>
      <c r="M1001" s="21" t="str">
        <f>'Raw Data'!M1001</f>
        <v>Married</v>
      </c>
      <c r="N1001" s="21">
        <f>'Raw Data'!N1001</f>
        <v>1</v>
      </c>
      <c r="O1001" s="21">
        <f>'Raw Data'!O1001</f>
        <v>0</v>
      </c>
      <c r="P1001" s="21">
        <f>IF('Raw Data'!P1001="",ROUND(AVERAGE('Raw Data'!$P$2:$P$1501),1),'Raw Data'!P1001)</f>
        <v>13.7</v>
      </c>
      <c r="Q1001" s="21">
        <f>IF('Raw Data'!Q1001="",ROUND(AVERAGE('Raw Data'!$Q$2:$Q$1501),0),'Raw Data'!Q1001)</f>
        <v>3</v>
      </c>
      <c r="R1001" s="21">
        <f>'Raw Data'!R1001</f>
        <v>6</v>
      </c>
      <c r="S1001" s="21">
        <f>IF('Raw Data'!S1001="",ROUND(AVERAGE('Raw Data'!$S$2:$S$1501),0),'Raw Data'!S1001)</f>
        <v>7</v>
      </c>
      <c r="T1001" s="21">
        <f>'Raw Data'!T1001</f>
        <v>123.05</v>
      </c>
      <c r="U1001" s="21" t="str">
        <f>INDEX('Lookup Tables'!$C$7:$C$9,MATCH(E1001,'Lookup Tables'!$B$7:$B$9,0))</f>
        <v>Tier 1 (Metro)</v>
      </c>
      <c r="V1001" s="21" t="str">
        <f t="shared" si="45"/>
        <v>0-6 months</v>
      </c>
      <c r="W1001" s="21" t="str">
        <f t="shared" si="46"/>
        <v>Medium Risk</v>
      </c>
      <c r="X1001" s="21" t="str">
        <f t="shared" si="47"/>
        <v>Yes</v>
      </c>
    </row>
    <row r="1002" spans="1:24" x14ac:dyDescent="0.3">
      <c r="A1002" s="21">
        <f>'Raw Data'!A1002</f>
        <v>51001</v>
      </c>
      <c r="B1002" s="21">
        <f>'Raw Data'!B1002</f>
        <v>1</v>
      </c>
      <c r="C1002" s="21">
        <f>'Raw Data'!C1002</f>
        <v>0</v>
      </c>
      <c r="D1002" s="21" t="str">
        <f>'Raw Data'!D1002</f>
        <v>Computer</v>
      </c>
      <c r="E1002" s="21">
        <f>'Raw Data'!E1002</f>
        <v>1</v>
      </c>
      <c r="F1002" s="21">
        <f>IF('Raw Data'!F1002="",ROUND(AVERAGE('Raw Data'!$F$2:$F$1501),1),'Raw Data'!F1002)</f>
        <v>5</v>
      </c>
      <c r="G1002" s="21" t="str">
        <f>'Raw Data'!G1002</f>
        <v>Credit Card</v>
      </c>
      <c r="H1002" s="21" t="str">
        <f>'Raw Data'!H1002</f>
        <v>Male</v>
      </c>
      <c r="I1002" s="21">
        <f>IF('Raw Data'!I1002="",ROUND(AVERAGE('Raw Data'!$I$2:$I$1501),1),'Raw Data'!I1002)</f>
        <v>2.7</v>
      </c>
      <c r="J1002" s="21">
        <f>'Raw Data'!J1002</f>
        <v>3</v>
      </c>
      <c r="K1002" s="21" t="str">
        <f>'Raw Data'!K1002</f>
        <v>Laptop &amp; Accessory</v>
      </c>
      <c r="L1002" s="21">
        <f>'Raw Data'!L1002</f>
        <v>3</v>
      </c>
      <c r="M1002" s="21" t="str">
        <f>'Raw Data'!M1002</f>
        <v>Married</v>
      </c>
      <c r="N1002" s="21">
        <f>'Raw Data'!N1002</f>
        <v>7</v>
      </c>
      <c r="O1002" s="21">
        <f>'Raw Data'!O1002</f>
        <v>1</v>
      </c>
      <c r="P1002" s="21">
        <f>IF('Raw Data'!P1002="",ROUND(AVERAGE('Raw Data'!$P$2:$P$1501),1),'Raw Data'!P1002)</f>
        <v>11.7</v>
      </c>
      <c r="Q1002" s="21">
        <f>IF('Raw Data'!Q1002="",ROUND(AVERAGE('Raw Data'!$Q$2:$Q$1501),0),'Raw Data'!Q1002)</f>
        <v>1</v>
      </c>
      <c r="R1002" s="21">
        <f>'Raw Data'!R1002</f>
        <v>7</v>
      </c>
      <c r="S1002" s="21">
        <f>IF('Raw Data'!S1002="",ROUND(AVERAGE('Raw Data'!$S$2:$S$1501),0),'Raw Data'!S1002)</f>
        <v>0</v>
      </c>
      <c r="T1002" s="21">
        <f>'Raw Data'!T1002</f>
        <v>160.77000000000001</v>
      </c>
      <c r="U1002" s="21" t="str">
        <f>INDEX('Lookup Tables'!$C$7:$C$9,MATCH(E1002,'Lookup Tables'!$B$7:$B$9,0))</f>
        <v>Tier 1 (Metro)</v>
      </c>
      <c r="V1002" s="21" t="str">
        <f t="shared" si="45"/>
        <v>0-6 months</v>
      </c>
      <c r="W1002" s="21" t="str">
        <f t="shared" si="46"/>
        <v>Medium Risk</v>
      </c>
      <c r="X1002" s="21" t="str">
        <f t="shared" si="47"/>
        <v>Yes</v>
      </c>
    </row>
    <row r="1003" spans="1:24" x14ac:dyDescent="0.3">
      <c r="A1003" s="21">
        <f>'Raw Data'!A1003</f>
        <v>51002</v>
      </c>
      <c r="B1003" s="21">
        <f>'Raw Data'!B1003</f>
        <v>0</v>
      </c>
      <c r="C1003" s="21">
        <f>'Raw Data'!C1003</f>
        <v>0</v>
      </c>
      <c r="D1003" s="21" t="str">
        <f>'Raw Data'!D1003</f>
        <v>Computer</v>
      </c>
      <c r="E1003" s="21">
        <f>'Raw Data'!E1003</f>
        <v>3</v>
      </c>
      <c r="F1003" s="21">
        <f>IF('Raw Data'!F1003="",ROUND(AVERAGE('Raw Data'!$F$2:$F$1501),1),'Raw Data'!F1003)</f>
        <v>12</v>
      </c>
      <c r="G1003" s="21" t="str">
        <f>'Raw Data'!G1003</f>
        <v>Debit Card</v>
      </c>
      <c r="H1003" s="21" t="str">
        <f>'Raw Data'!H1003</f>
        <v>Male</v>
      </c>
      <c r="I1003" s="21">
        <f>IF('Raw Data'!I1003="",ROUND(AVERAGE('Raw Data'!$I$2:$I$1501),1),'Raw Data'!I1003)</f>
        <v>1.9</v>
      </c>
      <c r="J1003" s="21">
        <f>'Raw Data'!J1003</f>
        <v>4</v>
      </c>
      <c r="K1003" s="21" t="str">
        <f>'Raw Data'!K1003</f>
        <v>Laptop &amp; Accessory</v>
      </c>
      <c r="L1003" s="21">
        <f>'Raw Data'!L1003</f>
        <v>2</v>
      </c>
      <c r="M1003" s="21" t="str">
        <f>'Raw Data'!M1003</f>
        <v>Married</v>
      </c>
      <c r="N1003" s="21">
        <f>'Raw Data'!N1003</f>
        <v>8</v>
      </c>
      <c r="O1003" s="21">
        <f>'Raw Data'!O1003</f>
        <v>0</v>
      </c>
      <c r="P1003" s="21">
        <f>IF('Raw Data'!P1003="",ROUND(AVERAGE('Raw Data'!$P$2:$P$1501),1),'Raw Data'!P1003)</f>
        <v>16.3</v>
      </c>
      <c r="Q1003" s="21">
        <f>IF('Raw Data'!Q1003="",ROUND(AVERAGE('Raw Data'!$Q$2:$Q$1501),0),'Raw Data'!Q1003)</f>
        <v>3</v>
      </c>
      <c r="R1003" s="21">
        <f>'Raw Data'!R1003</f>
        <v>3</v>
      </c>
      <c r="S1003" s="21">
        <f>IF('Raw Data'!S1003="",ROUND(AVERAGE('Raw Data'!$S$2:$S$1501),0),'Raw Data'!S1003)</f>
        <v>0</v>
      </c>
      <c r="T1003" s="21">
        <f>'Raw Data'!T1003</f>
        <v>108.51</v>
      </c>
      <c r="U1003" s="21" t="str">
        <f>INDEX('Lookup Tables'!$C$7:$C$9,MATCH(E1003,'Lookup Tables'!$B$7:$B$9,0))</f>
        <v>Tier 3 (Semi-urban/Rural)</v>
      </c>
      <c r="V1003" s="21" t="str">
        <f t="shared" si="45"/>
        <v>0-6 months</v>
      </c>
      <c r="W1003" s="21" t="str">
        <f t="shared" si="46"/>
        <v>Low Risk</v>
      </c>
      <c r="X1003" s="21" t="str">
        <f t="shared" si="47"/>
        <v>No</v>
      </c>
    </row>
    <row r="1004" spans="1:24" x14ac:dyDescent="0.3">
      <c r="A1004" s="21">
        <f>'Raw Data'!A1004</f>
        <v>51003</v>
      </c>
      <c r="B1004" s="21">
        <f>'Raw Data'!B1004</f>
        <v>0</v>
      </c>
      <c r="C1004" s="21">
        <f>'Raw Data'!C1004</f>
        <v>31</v>
      </c>
      <c r="D1004" s="21" t="str">
        <f>'Raw Data'!D1004</f>
        <v>Computer</v>
      </c>
      <c r="E1004" s="21">
        <f>'Raw Data'!E1004</f>
        <v>1</v>
      </c>
      <c r="F1004" s="21">
        <f>IF('Raw Data'!F1004="",ROUND(AVERAGE('Raw Data'!$F$2:$F$1501),1),'Raw Data'!F1004)</f>
        <v>14.8</v>
      </c>
      <c r="G1004" s="21" t="str">
        <f>'Raw Data'!G1004</f>
        <v>E wallet</v>
      </c>
      <c r="H1004" s="21" t="str">
        <f>'Raw Data'!H1004</f>
        <v>Male</v>
      </c>
      <c r="I1004" s="21">
        <f>IF('Raw Data'!I1004="",ROUND(AVERAGE('Raw Data'!$I$2:$I$1501),1),'Raw Data'!I1004)</f>
        <v>3.8</v>
      </c>
      <c r="J1004" s="21">
        <f>'Raw Data'!J1004</f>
        <v>4</v>
      </c>
      <c r="K1004" s="21" t="str">
        <f>'Raw Data'!K1004</f>
        <v>Fashion</v>
      </c>
      <c r="L1004" s="21">
        <f>'Raw Data'!L1004</f>
        <v>3</v>
      </c>
      <c r="M1004" s="21" t="str">
        <f>'Raw Data'!M1004</f>
        <v>Married</v>
      </c>
      <c r="N1004" s="21">
        <f>'Raw Data'!N1004</f>
        <v>1</v>
      </c>
      <c r="O1004" s="21">
        <f>'Raw Data'!O1004</f>
        <v>0</v>
      </c>
      <c r="P1004" s="21">
        <f>IF('Raw Data'!P1004="",ROUND(AVERAGE('Raw Data'!$P$2:$P$1501),1),'Raw Data'!P1004)</f>
        <v>15.8</v>
      </c>
      <c r="Q1004" s="21">
        <f>IF('Raw Data'!Q1004="",ROUND(AVERAGE('Raw Data'!$Q$2:$Q$1501),0),'Raw Data'!Q1004)</f>
        <v>6</v>
      </c>
      <c r="R1004" s="21">
        <f>'Raw Data'!R1004</f>
        <v>11</v>
      </c>
      <c r="S1004" s="21">
        <f>IF('Raw Data'!S1004="",ROUND(AVERAGE('Raw Data'!$S$2:$S$1501),0),'Raw Data'!S1004)</f>
        <v>2</v>
      </c>
      <c r="T1004" s="21">
        <f>'Raw Data'!T1004</f>
        <v>170.6</v>
      </c>
      <c r="U1004" s="21" t="str">
        <f>INDEX('Lookup Tables'!$C$7:$C$9,MATCH(E1004,'Lookup Tables'!$B$7:$B$9,0))</f>
        <v>Tier 1 (Metro)</v>
      </c>
      <c r="V1004" s="21" t="str">
        <f t="shared" si="45"/>
        <v>25+ months</v>
      </c>
      <c r="W1004" s="21" t="str">
        <f t="shared" si="46"/>
        <v>Medium Risk</v>
      </c>
      <c r="X1004" s="21" t="str">
        <f t="shared" si="47"/>
        <v>No</v>
      </c>
    </row>
    <row r="1005" spans="1:24" x14ac:dyDescent="0.3">
      <c r="A1005" s="21">
        <f>'Raw Data'!A1005</f>
        <v>51004</v>
      </c>
      <c r="B1005" s="21">
        <f>'Raw Data'!B1005</f>
        <v>0</v>
      </c>
      <c r="C1005" s="21">
        <f>'Raw Data'!C1005</f>
        <v>13</v>
      </c>
      <c r="D1005" s="21" t="str">
        <f>'Raw Data'!D1005</f>
        <v>Mobile Phone</v>
      </c>
      <c r="E1005" s="21">
        <f>'Raw Data'!E1005</f>
        <v>3</v>
      </c>
      <c r="F1005" s="21">
        <f>IF('Raw Data'!F1005="",ROUND(AVERAGE('Raw Data'!$F$2:$F$1501),1),'Raw Data'!F1005)</f>
        <v>17</v>
      </c>
      <c r="G1005" s="21" t="str">
        <f>'Raw Data'!G1005</f>
        <v>Debit Card</v>
      </c>
      <c r="H1005" s="21" t="str">
        <f>'Raw Data'!H1005</f>
        <v>Female</v>
      </c>
      <c r="I1005" s="21">
        <f>IF('Raw Data'!I1005="",ROUND(AVERAGE('Raw Data'!$I$2:$I$1501),1),'Raw Data'!I1005)</f>
        <v>2.9</v>
      </c>
      <c r="J1005" s="21">
        <f>'Raw Data'!J1005</f>
        <v>4</v>
      </c>
      <c r="K1005" s="21" t="str">
        <f>'Raw Data'!K1005</f>
        <v>Laptop &amp; Accessory</v>
      </c>
      <c r="L1005" s="21">
        <f>'Raw Data'!L1005</f>
        <v>5</v>
      </c>
      <c r="M1005" s="21" t="str">
        <f>'Raw Data'!M1005</f>
        <v>Married</v>
      </c>
      <c r="N1005" s="21">
        <f>'Raw Data'!N1005</f>
        <v>3</v>
      </c>
      <c r="O1005" s="21">
        <f>'Raw Data'!O1005</f>
        <v>0</v>
      </c>
      <c r="P1005" s="21">
        <f>IF('Raw Data'!P1005="",ROUND(AVERAGE('Raw Data'!$P$2:$P$1501),1),'Raw Data'!P1005)</f>
        <v>12.8</v>
      </c>
      <c r="Q1005" s="21">
        <f>IF('Raw Data'!Q1005="",ROUND(AVERAGE('Raw Data'!$Q$2:$Q$1501),0),'Raw Data'!Q1005)</f>
        <v>1</v>
      </c>
      <c r="R1005" s="21">
        <f>'Raw Data'!R1005</f>
        <v>4</v>
      </c>
      <c r="S1005" s="21">
        <f>IF('Raw Data'!S1005="",ROUND(AVERAGE('Raw Data'!$S$2:$S$1501),0),'Raw Data'!S1005)</f>
        <v>1</v>
      </c>
      <c r="T1005" s="21">
        <f>'Raw Data'!T1005</f>
        <v>188.26</v>
      </c>
      <c r="U1005" s="21" t="str">
        <f>INDEX('Lookup Tables'!$C$7:$C$9,MATCH(E1005,'Lookup Tables'!$B$7:$B$9,0))</f>
        <v>Tier 3 (Semi-urban/Rural)</v>
      </c>
      <c r="V1005" s="21" t="str">
        <f t="shared" si="45"/>
        <v>13-24 months</v>
      </c>
      <c r="W1005" s="21" t="str">
        <f t="shared" si="46"/>
        <v>Low Risk</v>
      </c>
      <c r="X1005" s="21" t="str">
        <f t="shared" si="47"/>
        <v>No</v>
      </c>
    </row>
    <row r="1006" spans="1:24" x14ac:dyDescent="0.3">
      <c r="A1006" s="21">
        <f>'Raw Data'!A1006</f>
        <v>51005</v>
      </c>
      <c r="B1006" s="21">
        <f>'Raw Data'!B1006</f>
        <v>0</v>
      </c>
      <c r="C1006" s="21">
        <f>'Raw Data'!C1006</f>
        <v>4</v>
      </c>
      <c r="D1006" s="21" t="str">
        <f>'Raw Data'!D1006</f>
        <v>Phone</v>
      </c>
      <c r="E1006" s="21">
        <f>'Raw Data'!E1006</f>
        <v>2</v>
      </c>
      <c r="F1006" s="21">
        <f>IF('Raw Data'!F1006="",ROUND(AVERAGE('Raw Data'!$F$2:$F$1501),1),'Raw Data'!F1006)</f>
        <v>8</v>
      </c>
      <c r="G1006" s="21" t="str">
        <f>'Raw Data'!G1006</f>
        <v>Credit Card</v>
      </c>
      <c r="H1006" s="21" t="str">
        <f>'Raw Data'!H1006</f>
        <v>Male</v>
      </c>
      <c r="I1006" s="21">
        <f>IF('Raw Data'!I1006="",ROUND(AVERAGE('Raw Data'!$I$2:$I$1501),1),'Raw Data'!I1006)</f>
        <v>2.8</v>
      </c>
      <c r="J1006" s="21">
        <f>'Raw Data'!J1006</f>
        <v>3</v>
      </c>
      <c r="K1006" s="21" t="str">
        <f>'Raw Data'!K1006</f>
        <v>Mobile Phone</v>
      </c>
      <c r="L1006" s="21">
        <f>'Raw Data'!L1006</f>
        <v>3</v>
      </c>
      <c r="M1006" s="21" t="str">
        <f>'Raw Data'!M1006</f>
        <v>Married</v>
      </c>
      <c r="N1006" s="21">
        <f>'Raw Data'!N1006</f>
        <v>1</v>
      </c>
      <c r="O1006" s="21">
        <f>'Raw Data'!O1006</f>
        <v>1</v>
      </c>
      <c r="P1006" s="21">
        <f>IF('Raw Data'!P1006="",ROUND(AVERAGE('Raw Data'!$P$2:$P$1501),1),'Raw Data'!P1006)</f>
        <v>23.3</v>
      </c>
      <c r="Q1006" s="21">
        <f>IF('Raw Data'!Q1006="",ROUND(AVERAGE('Raw Data'!$Q$2:$Q$1501),0),'Raw Data'!Q1006)</f>
        <v>2</v>
      </c>
      <c r="R1006" s="21">
        <f>'Raw Data'!R1006</f>
        <v>2</v>
      </c>
      <c r="S1006" s="21">
        <f>IF('Raw Data'!S1006="",ROUND(AVERAGE('Raw Data'!$S$2:$S$1501),0),'Raw Data'!S1006)</f>
        <v>1</v>
      </c>
      <c r="T1006" s="21">
        <f>'Raw Data'!T1006</f>
        <v>161.59</v>
      </c>
      <c r="U1006" s="21" t="str">
        <f>INDEX('Lookup Tables'!$C$7:$C$9,MATCH(E1006,'Lookup Tables'!$B$7:$B$9,0))</f>
        <v>Tier 2 (Urban)</v>
      </c>
      <c r="V1006" s="21" t="str">
        <f t="shared" si="45"/>
        <v>0-6 months</v>
      </c>
      <c r="W1006" s="21" t="str">
        <f t="shared" si="46"/>
        <v>Medium Risk</v>
      </c>
      <c r="X1006" s="21" t="str">
        <f t="shared" si="47"/>
        <v>No</v>
      </c>
    </row>
    <row r="1007" spans="1:24" x14ac:dyDescent="0.3">
      <c r="A1007" s="21">
        <f>'Raw Data'!A1007</f>
        <v>51006</v>
      </c>
      <c r="B1007" s="21">
        <f>'Raw Data'!B1007</f>
        <v>0</v>
      </c>
      <c r="C1007" s="21">
        <f>'Raw Data'!C1007</f>
        <v>3</v>
      </c>
      <c r="D1007" s="21" t="str">
        <f>'Raw Data'!D1007</f>
        <v>Mobile Phone</v>
      </c>
      <c r="E1007" s="21">
        <f>'Raw Data'!E1007</f>
        <v>1</v>
      </c>
      <c r="F1007" s="21">
        <f>IF('Raw Data'!F1007="",ROUND(AVERAGE('Raw Data'!$F$2:$F$1501),1),'Raw Data'!F1007)</f>
        <v>14</v>
      </c>
      <c r="G1007" s="21" t="str">
        <f>'Raw Data'!G1007</f>
        <v>Debit Card</v>
      </c>
      <c r="H1007" s="21" t="str">
        <f>'Raw Data'!H1007</f>
        <v>Female</v>
      </c>
      <c r="I1007" s="21">
        <f>IF('Raw Data'!I1007="",ROUND(AVERAGE('Raw Data'!$I$2:$I$1501),1),'Raw Data'!I1007)</f>
        <v>3.5</v>
      </c>
      <c r="J1007" s="21">
        <f>'Raw Data'!J1007</f>
        <v>4</v>
      </c>
      <c r="K1007" s="21" t="str">
        <f>'Raw Data'!K1007</f>
        <v>Fashion</v>
      </c>
      <c r="L1007" s="21">
        <f>'Raw Data'!L1007</f>
        <v>4</v>
      </c>
      <c r="M1007" s="21" t="str">
        <f>'Raw Data'!M1007</f>
        <v>Married</v>
      </c>
      <c r="N1007" s="21">
        <f>'Raw Data'!N1007</f>
        <v>1</v>
      </c>
      <c r="O1007" s="21">
        <f>'Raw Data'!O1007</f>
        <v>0</v>
      </c>
      <c r="P1007" s="21">
        <f>IF('Raw Data'!P1007="",ROUND(AVERAGE('Raw Data'!$P$2:$P$1501),1),'Raw Data'!P1007)</f>
        <v>14.3</v>
      </c>
      <c r="Q1007" s="21">
        <f>IF('Raw Data'!Q1007="",ROUND(AVERAGE('Raw Data'!$Q$2:$Q$1501),0),'Raw Data'!Q1007)</f>
        <v>0</v>
      </c>
      <c r="R1007" s="21">
        <f>'Raw Data'!R1007</f>
        <v>6</v>
      </c>
      <c r="S1007" s="21">
        <f>IF('Raw Data'!S1007="",ROUND(AVERAGE('Raw Data'!$S$2:$S$1501),0),'Raw Data'!S1007)</f>
        <v>1</v>
      </c>
      <c r="T1007" s="21">
        <f>'Raw Data'!T1007</f>
        <v>155.22</v>
      </c>
      <c r="U1007" s="21" t="str">
        <f>INDEX('Lookup Tables'!$C$7:$C$9,MATCH(E1007,'Lookup Tables'!$B$7:$B$9,0))</f>
        <v>Tier 1 (Metro)</v>
      </c>
      <c r="V1007" s="21" t="str">
        <f t="shared" si="45"/>
        <v>0-6 months</v>
      </c>
      <c r="W1007" s="21" t="str">
        <f t="shared" si="46"/>
        <v>Low Risk</v>
      </c>
      <c r="X1007" s="21" t="str">
        <f t="shared" si="47"/>
        <v>No</v>
      </c>
    </row>
    <row r="1008" spans="1:24" x14ac:dyDescent="0.3">
      <c r="A1008" s="21">
        <f>'Raw Data'!A1008</f>
        <v>51007</v>
      </c>
      <c r="B1008" s="21">
        <f>'Raw Data'!B1008</f>
        <v>1</v>
      </c>
      <c r="C1008" s="21">
        <f>'Raw Data'!C1008</f>
        <v>4</v>
      </c>
      <c r="D1008" s="21" t="str">
        <f>'Raw Data'!D1008</f>
        <v>Computer</v>
      </c>
      <c r="E1008" s="21">
        <f>'Raw Data'!E1008</f>
        <v>1</v>
      </c>
      <c r="F1008" s="21">
        <f>IF('Raw Data'!F1008="",ROUND(AVERAGE('Raw Data'!$F$2:$F$1501),1),'Raw Data'!F1008)</f>
        <v>15</v>
      </c>
      <c r="G1008" s="21" t="str">
        <f>'Raw Data'!G1008</f>
        <v>Debit Card</v>
      </c>
      <c r="H1008" s="21" t="str">
        <f>'Raw Data'!H1008</f>
        <v>Female</v>
      </c>
      <c r="I1008" s="21">
        <f>IF('Raw Data'!I1008="",ROUND(AVERAGE('Raw Data'!$I$2:$I$1501),1),'Raw Data'!I1008)</f>
        <v>3.2</v>
      </c>
      <c r="J1008" s="21">
        <f>'Raw Data'!J1008</f>
        <v>3</v>
      </c>
      <c r="K1008" s="21" t="str">
        <f>'Raw Data'!K1008</f>
        <v>Mobile Phone</v>
      </c>
      <c r="L1008" s="21">
        <f>'Raw Data'!L1008</f>
        <v>4</v>
      </c>
      <c r="M1008" s="21" t="str">
        <f>'Raw Data'!M1008</f>
        <v>Married</v>
      </c>
      <c r="N1008" s="21">
        <f>'Raw Data'!N1008</f>
        <v>3</v>
      </c>
      <c r="O1008" s="21">
        <f>'Raw Data'!O1008</f>
        <v>1</v>
      </c>
      <c r="P1008" s="21">
        <f>IF('Raw Data'!P1008="",ROUND(AVERAGE('Raw Data'!$P$2:$P$1501),1),'Raw Data'!P1008)</f>
        <v>12</v>
      </c>
      <c r="Q1008" s="21">
        <f>IF('Raw Data'!Q1008="",ROUND(AVERAGE('Raw Data'!$Q$2:$Q$1501),0),'Raw Data'!Q1008)</f>
        <v>1</v>
      </c>
      <c r="R1008" s="21">
        <f>'Raw Data'!R1008</f>
        <v>4</v>
      </c>
      <c r="S1008" s="21">
        <f>IF('Raw Data'!S1008="",ROUND(AVERAGE('Raw Data'!$S$2:$S$1501),0),'Raw Data'!S1008)</f>
        <v>0</v>
      </c>
      <c r="T1008" s="21">
        <f>'Raw Data'!T1008</f>
        <v>91.3</v>
      </c>
      <c r="U1008" s="21" t="str">
        <f>INDEX('Lookup Tables'!$C$7:$C$9,MATCH(E1008,'Lookup Tables'!$B$7:$B$9,0))</f>
        <v>Tier 1 (Metro)</v>
      </c>
      <c r="V1008" s="21" t="str">
        <f t="shared" si="45"/>
        <v>0-6 months</v>
      </c>
      <c r="W1008" s="21" t="str">
        <f t="shared" si="46"/>
        <v>Low Risk</v>
      </c>
      <c r="X1008" s="21" t="str">
        <f t="shared" si="47"/>
        <v>Yes</v>
      </c>
    </row>
    <row r="1009" spans="1:24" x14ac:dyDescent="0.3">
      <c r="A1009" s="21">
        <f>'Raw Data'!A1009</f>
        <v>51008</v>
      </c>
      <c r="B1009" s="21">
        <f>'Raw Data'!B1009</f>
        <v>0</v>
      </c>
      <c r="C1009" s="21">
        <f>'Raw Data'!C1009</f>
        <v>14</v>
      </c>
      <c r="D1009" s="21" t="str">
        <f>'Raw Data'!D1009</f>
        <v>Computer</v>
      </c>
      <c r="E1009" s="21">
        <f>'Raw Data'!E1009</f>
        <v>1</v>
      </c>
      <c r="F1009" s="21">
        <f>IF('Raw Data'!F1009="",ROUND(AVERAGE('Raw Data'!$F$2:$F$1501),1),'Raw Data'!F1009)</f>
        <v>18</v>
      </c>
      <c r="G1009" s="21" t="str">
        <f>'Raw Data'!G1009</f>
        <v>Credit Card</v>
      </c>
      <c r="H1009" s="21" t="str">
        <f>'Raw Data'!H1009</f>
        <v>Male</v>
      </c>
      <c r="I1009" s="21">
        <f>IF('Raw Data'!I1009="",ROUND(AVERAGE('Raw Data'!$I$2:$I$1501),1),'Raw Data'!I1009)</f>
        <v>2.1</v>
      </c>
      <c r="J1009" s="21">
        <f>'Raw Data'!J1009</f>
        <v>2</v>
      </c>
      <c r="K1009" s="21" t="str">
        <f>'Raw Data'!K1009</f>
        <v>Laptop &amp; Accessory</v>
      </c>
      <c r="L1009" s="21">
        <f>'Raw Data'!L1009</f>
        <v>3</v>
      </c>
      <c r="M1009" s="21" t="str">
        <f>'Raw Data'!M1009</f>
        <v>Married</v>
      </c>
      <c r="N1009" s="21">
        <f>'Raw Data'!N1009</f>
        <v>1</v>
      </c>
      <c r="O1009" s="21">
        <f>'Raw Data'!O1009</f>
        <v>0</v>
      </c>
      <c r="P1009" s="21">
        <f>IF('Raw Data'!P1009="",ROUND(AVERAGE('Raw Data'!$P$2:$P$1501),1),'Raw Data'!P1009)</f>
        <v>15.7</v>
      </c>
      <c r="Q1009" s="21">
        <f>IF('Raw Data'!Q1009="",ROUND(AVERAGE('Raw Data'!$Q$2:$Q$1501),0),'Raw Data'!Q1009)</f>
        <v>3</v>
      </c>
      <c r="R1009" s="21">
        <f>'Raw Data'!R1009</f>
        <v>3</v>
      </c>
      <c r="S1009" s="21">
        <f>IF('Raw Data'!S1009="",ROUND(AVERAGE('Raw Data'!$S$2:$S$1501),0),'Raw Data'!S1009)</f>
        <v>4</v>
      </c>
      <c r="T1009" s="21">
        <f>'Raw Data'!T1009</f>
        <v>198.55</v>
      </c>
      <c r="U1009" s="21" t="str">
        <f>INDEX('Lookup Tables'!$C$7:$C$9,MATCH(E1009,'Lookup Tables'!$B$7:$B$9,0))</f>
        <v>Tier 1 (Metro)</v>
      </c>
      <c r="V1009" s="21" t="str">
        <f t="shared" si="45"/>
        <v>13-24 months</v>
      </c>
      <c r="W1009" s="21" t="str">
        <f t="shared" si="46"/>
        <v>Medium Risk</v>
      </c>
      <c r="X1009" s="21" t="str">
        <f t="shared" si="47"/>
        <v>No</v>
      </c>
    </row>
    <row r="1010" spans="1:24" x14ac:dyDescent="0.3">
      <c r="A1010" s="21">
        <f>'Raw Data'!A1010</f>
        <v>51009</v>
      </c>
      <c r="B1010" s="21">
        <f>'Raw Data'!B1010</f>
        <v>1</v>
      </c>
      <c r="C1010" s="21">
        <f>'Raw Data'!C1010</f>
        <v>10</v>
      </c>
      <c r="D1010" s="21" t="str">
        <f>'Raw Data'!D1010</f>
        <v>Mobile Phone</v>
      </c>
      <c r="E1010" s="21">
        <f>'Raw Data'!E1010</f>
        <v>1</v>
      </c>
      <c r="F1010" s="21">
        <f>IF('Raw Data'!F1010="",ROUND(AVERAGE('Raw Data'!$F$2:$F$1501),1),'Raw Data'!F1010)</f>
        <v>5</v>
      </c>
      <c r="G1010" s="21" t="str">
        <f>'Raw Data'!G1010</f>
        <v>Cash on Delivery</v>
      </c>
      <c r="H1010" s="21" t="str">
        <f>'Raw Data'!H1010</f>
        <v>Female</v>
      </c>
      <c r="I1010" s="21">
        <f>IF('Raw Data'!I1010="",ROUND(AVERAGE('Raw Data'!$I$2:$I$1501),1),'Raw Data'!I1010)</f>
        <v>2.9</v>
      </c>
      <c r="J1010" s="21">
        <f>'Raw Data'!J1010</f>
        <v>2</v>
      </c>
      <c r="K1010" s="21" t="str">
        <f>'Raw Data'!K1010</f>
        <v>Laptop &amp; Accessory</v>
      </c>
      <c r="L1010" s="21">
        <f>'Raw Data'!L1010</f>
        <v>2</v>
      </c>
      <c r="M1010" s="21" t="str">
        <f>'Raw Data'!M1010</f>
        <v>Married</v>
      </c>
      <c r="N1010" s="21">
        <f>'Raw Data'!N1010</f>
        <v>1</v>
      </c>
      <c r="O1010" s="21">
        <f>'Raw Data'!O1010</f>
        <v>0</v>
      </c>
      <c r="P1010" s="21">
        <f>IF('Raw Data'!P1010="",ROUND(AVERAGE('Raw Data'!$P$2:$P$1501),1),'Raw Data'!P1010)</f>
        <v>19.2</v>
      </c>
      <c r="Q1010" s="21">
        <f>IF('Raw Data'!Q1010="",ROUND(AVERAGE('Raw Data'!$Q$2:$Q$1501),0),'Raw Data'!Q1010)</f>
        <v>1</v>
      </c>
      <c r="R1010" s="21">
        <f>'Raw Data'!R1010</f>
        <v>3</v>
      </c>
      <c r="S1010" s="21">
        <f>IF('Raw Data'!S1010="",ROUND(AVERAGE('Raw Data'!$S$2:$S$1501),0),'Raw Data'!S1010)</f>
        <v>5</v>
      </c>
      <c r="T1010" s="21">
        <f>'Raw Data'!T1010</f>
        <v>74.150000000000006</v>
      </c>
      <c r="U1010" s="21" t="str">
        <f>INDEX('Lookup Tables'!$C$7:$C$9,MATCH(E1010,'Lookup Tables'!$B$7:$B$9,0))</f>
        <v>Tier 1 (Metro)</v>
      </c>
      <c r="V1010" s="21" t="str">
        <f t="shared" si="45"/>
        <v>7-12 months</v>
      </c>
      <c r="W1010" s="21" t="str">
        <f t="shared" si="46"/>
        <v>Low Risk</v>
      </c>
      <c r="X1010" s="21" t="str">
        <f t="shared" si="47"/>
        <v>Yes</v>
      </c>
    </row>
    <row r="1011" spans="1:24" x14ac:dyDescent="0.3">
      <c r="A1011" s="21">
        <f>'Raw Data'!A1011</f>
        <v>51010</v>
      </c>
      <c r="B1011" s="21">
        <f>'Raw Data'!B1011</f>
        <v>0</v>
      </c>
      <c r="C1011" s="21">
        <f>'Raw Data'!C1011</f>
        <v>2</v>
      </c>
      <c r="D1011" s="21" t="str">
        <f>'Raw Data'!D1011</f>
        <v>Mobile Phone</v>
      </c>
      <c r="E1011" s="21">
        <f>'Raw Data'!E1011</f>
        <v>1</v>
      </c>
      <c r="F1011" s="21">
        <f>IF('Raw Data'!F1011="",ROUND(AVERAGE('Raw Data'!$F$2:$F$1501),1),'Raw Data'!F1011)</f>
        <v>19</v>
      </c>
      <c r="G1011" s="21" t="str">
        <f>'Raw Data'!G1011</f>
        <v>Credit Card</v>
      </c>
      <c r="H1011" s="21" t="str">
        <f>'Raw Data'!H1011</f>
        <v>Female</v>
      </c>
      <c r="I1011" s="21">
        <f>IF('Raw Data'!I1011="",ROUND(AVERAGE('Raw Data'!$I$2:$I$1501),1),'Raw Data'!I1011)</f>
        <v>2.9</v>
      </c>
      <c r="J1011" s="21">
        <f>'Raw Data'!J1011</f>
        <v>2</v>
      </c>
      <c r="K1011" s="21" t="str">
        <f>'Raw Data'!K1011</f>
        <v>Laptop &amp; Accessory</v>
      </c>
      <c r="L1011" s="21">
        <f>'Raw Data'!L1011</f>
        <v>3</v>
      </c>
      <c r="M1011" s="21" t="str">
        <f>'Raw Data'!M1011</f>
        <v>Single</v>
      </c>
      <c r="N1011" s="21">
        <f>'Raw Data'!N1011</f>
        <v>1</v>
      </c>
      <c r="O1011" s="21">
        <f>'Raw Data'!O1011</f>
        <v>0</v>
      </c>
      <c r="P1011" s="21">
        <f>IF('Raw Data'!P1011="",ROUND(AVERAGE('Raw Data'!$P$2:$P$1501),1),'Raw Data'!P1011)</f>
        <v>16.100000000000001</v>
      </c>
      <c r="Q1011" s="21">
        <f>IF('Raw Data'!Q1011="",ROUND(AVERAGE('Raw Data'!$Q$2:$Q$1501),0),'Raw Data'!Q1011)</f>
        <v>2</v>
      </c>
      <c r="R1011" s="21">
        <f>'Raw Data'!R1011</f>
        <v>7</v>
      </c>
      <c r="S1011" s="21">
        <f>IF('Raw Data'!S1011="",ROUND(AVERAGE('Raw Data'!$S$2:$S$1501),0),'Raw Data'!S1011)</f>
        <v>6</v>
      </c>
      <c r="T1011" s="21">
        <f>'Raw Data'!T1011</f>
        <v>181.71</v>
      </c>
      <c r="U1011" s="21" t="str">
        <f>INDEX('Lookup Tables'!$C$7:$C$9,MATCH(E1011,'Lookup Tables'!$B$7:$B$9,0))</f>
        <v>Tier 1 (Metro)</v>
      </c>
      <c r="V1011" s="21" t="str">
        <f t="shared" si="45"/>
        <v>0-6 months</v>
      </c>
      <c r="W1011" s="21" t="str">
        <f t="shared" si="46"/>
        <v>Medium Risk</v>
      </c>
      <c r="X1011" s="21" t="str">
        <f t="shared" si="47"/>
        <v>No</v>
      </c>
    </row>
    <row r="1012" spans="1:24" x14ac:dyDescent="0.3">
      <c r="A1012" s="21">
        <f>'Raw Data'!A1012</f>
        <v>51011</v>
      </c>
      <c r="B1012" s="21">
        <f>'Raw Data'!B1012</f>
        <v>0</v>
      </c>
      <c r="C1012" s="21">
        <f>'Raw Data'!C1012</f>
        <v>1</v>
      </c>
      <c r="D1012" s="21" t="str">
        <f>'Raw Data'!D1012</f>
        <v>Mobile Phone</v>
      </c>
      <c r="E1012" s="21">
        <f>'Raw Data'!E1012</f>
        <v>1</v>
      </c>
      <c r="F1012" s="21">
        <f>IF('Raw Data'!F1012="",ROUND(AVERAGE('Raw Data'!$F$2:$F$1501),1),'Raw Data'!F1012)</f>
        <v>5</v>
      </c>
      <c r="G1012" s="21" t="str">
        <f>'Raw Data'!G1012</f>
        <v>E wallet</v>
      </c>
      <c r="H1012" s="21" t="str">
        <f>'Raw Data'!H1012</f>
        <v>Male</v>
      </c>
      <c r="I1012" s="21">
        <f>IF('Raw Data'!I1012="",ROUND(AVERAGE('Raw Data'!$I$2:$I$1501),1),'Raw Data'!I1012)</f>
        <v>1.7</v>
      </c>
      <c r="J1012" s="21">
        <f>'Raw Data'!J1012</f>
        <v>4</v>
      </c>
      <c r="K1012" s="21" t="str">
        <f>'Raw Data'!K1012</f>
        <v>Laptop &amp; Accessory</v>
      </c>
      <c r="L1012" s="21">
        <f>'Raw Data'!L1012</f>
        <v>4</v>
      </c>
      <c r="M1012" s="21" t="str">
        <f>'Raw Data'!M1012</f>
        <v>Single</v>
      </c>
      <c r="N1012" s="21">
        <f>'Raw Data'!N1012</f>
        <v>5</v>
      </c>
      <c r="O1012" s="21">
        <f>'Raw Data'!O1012</f>
        <v>1</v>
      </c>
      <c r="P1012" s="21">
        <f>IF('Raw Data'!P1012="",ROUND(AVERAGE('Raw Data'!$P$2:$P$1501),1),'Raw Data'!P1012)</f>
        <v>17.7</v>
      </c>
      <c r="Q1012" s="21">
        <f>IF('Raw Data'!Q1012="",ROUND(AVERAGE('Raw Data'!$Q$2:$Q$1501),0),'Raw Data'!Q1012)</f>
        <v>2</v>
      </c>
      <c r="R1012" s="21">
        <f>'Raw Data'!R1012</f>
        <v>2</v>
      </c>
      <c r="S1012" s="21">
        <f>IF('Raw Data'!S1012="",ROUND(AVERAGE('Raw Data'!$S$2:$S$1501),0),'Raw Data'!S1012)</f>
        <v>3</v>
      </c>
      <c r="T1012" s="21">
        <f>'Raw Data'!T1012</f>
        <v>81.05</v>
      </c>
      <c r="U1012" s="21" t="str">
        <f>INDEX('Lookup Tables'!$C$7:$C$9,MATCH(E1012,'Lookup Tables'!$B$7:$B$9,0))</f>
        <v>Tier 1 (Metro)</v>
      </c>
      <c r="V1012" s="21" t="str">
        <f t="shared" si="45"/>
        <v>0-6 months</v>
      </c>
      <c r="W1012" s="21" t="str">
        <f t="shared" si="46"/>
        <v>Low Risk</v>
      </c>
      <c r="X1012" s="21" t="str">
        <f t="shared" si="47"/>
        <v>No</v>
      </c>
    </row>
    <row r="1013" spans="1:24" x14ac:dyDescent="0.3">
      <c r="A1013" s="21">
        <f>'Raw Data'!A1013</f>
        <v>51012</v>
      </c>
      <c r="B1013" s="21">
        <f>'Raw Data'!B1013</f>
        <v>0</v>
      </c>
      <c r="C1013" s="21">
        <f>'Raw Data'!C1013</f>
        <v>1</v>
      </c>
      <c r="D1013" s="21" t="str">
        <f>'Raw Data'!D1013</f>
        <v>Phone</v>
      </c>
      <c r="E1013" s="21">
        <f>'Raw Data'!E1013</f>
        <v>1</v>
      </c>
      <c r="F1013" s="21">
        <f>IF('Raw Data'!F1013="",ROUND(AVERAGE('Raw Data'!$F$2:$F$1501),1),'Raw Data'!F1013)</f>
        <v>9</v>
      </c>
      <c r="G1013" s="21" t="str">
        <f>'Raw Data'!G1013</f>
        <v>Debit Card</v>
      </c>
      <c r="H1013" s="21" t="str">
        <f>'Raw Data'!H1013</f>
        <v>Male</v>
      </c>
      <c r="I1013" s="21">
        <f>IF('Raw Data'!I1013="",ROUND(AVERAGE('Raw Data'!$I$2:$I$1501),1),'Raw Data'!I1013)</f>
        <v>2.4</v>
      </c>
      <c r="J1013" s="21">
        <f>'Raw Data'!J1013</f>
        <v>2</v>
      </c>
      <c r="K1013" s="21" t="str">
        <f>'Raw Data'!K1013</f>
        <v>Mobile Phone</v>
      </c>
      <c r="L1013" s="21">
        <f>'Raw Data'!L1013</f>
        <v>3</v>
      </c>
      <c r="M1013" s="21" t="str">
        <f>'Raw Data'!M1013</f>
        <v>Divorced</v>
      </c>
      <c r="N1013" s="21">
        <f>'Raw Data'!N1013</f>
        <v>7</v>
      </c>
      <c r="O1013" s="21">
        <f>'Raw Data'!O1013</f>
        <v>0</v>
      </c>
      <c r="P1013" s="21">
        <f>IF('Raw Data'!P1013="",ROUND(AVERAGE('Raw Data'!$P$2:$P$1501),1),'Raw Data'!P1013)</f>
        <v>12.9</v>
      </c>
      <c r="Q1013" s="21">
        <f>IF('Raw Data'!Q1013="",ROUND(AVERAGE('Raw Data'!$Q$2:$Q$1501),0),'Raw Data'!Q1013)</f>
        <v>3</v>
      </c>
      <c r="R1013" s="21">
        <f>'Raw Data'!R1013</f>
        <v>3</v>
      </c>
      <c r="S1013" s="21">
        <f>IF('Raw Data'!S1013="",ROUND(AVERAGE('Raw Data'!$S$2:$S$1501),0),'Raw Data'!S1013)</f>
        <v>15</v>
      </c>
      <c r="T1013" s="21">
        <f>'Raw Data'!T1013</f>
        <v>182.78</v>
      </c>
      <c r="U1013" s="21" t="str">
        <f>INDEX('Lookup Tables'!$C$7:$C$9,MATCH(E1013,'Lookup Tables'!$B$7:$B$9,0))</f>
        <v>Tier 1 (Metro)</v>
      </c>
      <c r="V1013" s="21" t="str">
        <f t="shared" si="45"/>
        <v>0-6 months</v>
      </c>
      <c r="W1013" s="21" t="str">
        <f t="shared" si="46"/>
        <v>Medium Risk</v>
      </c>
      <c r="X1013" s="21" t="str">
        <f t="shared" si="47"/>
        <v>No</v>
      </c>
    </row>
    <row r="1014" spans="1:24" x14ac:dyDescent="0.3">
      <c r="A1014" s="21">
        <f>'Raw Data'!A1014</f>
        <v>51013</v>
      </c>
      <c r="B1014" s="21">
        <f>'Raw Data'!B1014</f>
        <v>0</v>
      </c>
      <c r="C1014" s="21">
        <f>'Raw Data'!C1014</f>
        <v>10</v>
      </c>
      <c r="D1014" s="21" t="str">
        <f>'Raw Data'!D1014</f>
        <v>Phone</v>
      </c>
      <c r="E1014" s="21">
        <f>'Raw Data'!E1014</f>
        <v>3</v>
      </c>
      <c r="F1014" s="21">
        <f>IF('Raw Data'!F1014="",ROUND(AVERAGE('Raw Data'!$F$2:$F$1501),1),'Raw Data'!F1014)</f>
        <v>11</v>
      </c>
      <c r="G1014" s="21" t="str">
        <f>'Raw Data'!G1014</f>
        <v>Debit Card</v>
      </c>
      <c r="H1014" s="21" t="str">
        <f>'Raw Data'!H1014</f>
        <v>Male</v>
      </c>
      <c r="I1014" s="21">
        <f>IF('Raw Data'!I1014="",ROUND(AVERAGE('Raw Data'!$I$2:$I$1501),1),'Raw Data'!I1014)</f>
        <v>2.8</v>
      </c>
      <c r="J1014" s="21">
        <f>'Raw Data'!J1014</f>
        <v>3</v>
      </c>
      <c r="K1014" s="21" t="str">
        <f>'Raw Data'!K1014</f>
        <v>Mobile Phone</v>
      </c>
      <c r="L1014" s="21">
        <f>'Raw Data'!L1014</f>
        <v>2</v>
      </c>
      <c r="M1014" s="21" t="str">
        <f>'Raw Data'!M1014</f>
        <v>Married</v>
      </c>
      <c r="N1014" s="21">
        <f>'Raw Data'!N1014</f>
        <v>12</v>
      </c>
      <c r="O1014" s="21">
        <f>'Raw Data'!O1014</f>
        <v>0</v>
      </c>
      <c r="P1014" s="21">
        <f>IF('Raw Data'!P1014="",ROUND(AVERAGE('Raw Data'!$P$2:$P$1501),1),'Raw Data'!P1014)</f>
        <v>21.2</v>
      </c>
      <c r="Q1014" s="21">
        <f>IF('Raw Data'!Q1014="",ROUND(AVERAGE('Raw Data'!$Q$2:$Q$1501),0),'Raw Data'!Q1014)</f>
        <v>2</v>
      </c>
      <c r="R1014" s="21">
        <f>'Raw Data'!R1014</f>
        <v>6</v>
      </c>
      <c r="S1014" s="21">
        <f>IF('Raw Data'!S1014="",ROUND(AVERAGE('Raw Data'!$S$2:$S$1501),0),'Raw Data'!S1014)</f>
        <v>10</v>
      </c>
      <c r="T1014" s="21">
        <f>'Raw Data'!T1014</f>
        <v>179.66</v>
      </c>
      <c r="U1014" s="21" t="str">
        <f>INDEX('Lookup Tables'!$C$7:$C$9,MATCH(E1014,'Lookup Tables'!$B$7:$B$9,0))</f>
        <v>Tier 3 (Semi-urban/Rural)</v>
      </c>
      <c r="V1014" s="21" t="str">
        <f t="shared" si="45"/>
        <v>7-12 months</v>
      </c>
      <c r="W1014" s="21" t="str">
        <f t="shared" si="46"/>
        <v>Low Risk</v>
      </c>
      <c r="X1014" s="21" t="str">
        <f t="shared" si="47"/>
        <v>No</v>
      </c>
    </row>
    <row r="1015" spans="1:24" x14ac:dyDescent="0.3">
      <c r="A1015" s="21">
        <f>'Raw Data'!A1015</f>
        <v>51014</v>
      </c>
      <c r="B1015" s="21">
        <f>'Raw Data'!B1015</f>
        <v>0</v>
      </c>
      <c r="C1015" s="21">
        <f>'Raw Data'!C1015</f>
        <v>14</v>
      </c>
      <c r="D1015" s="21" t="str">
        <f>'Raw Data'!D1015</f>
        <v>Mobile Phone</v>
      </c>
      <c r="E1015" s="21">
        <f>'Raw Data'!E1015</f>
        <v>2</v>
      </c>
      <c r="F1015" s="21">
        <f>IF('Raw Data'!F1015="",ROUND(AVERAGE('Raw Data'!$F$2:$F$1501),1),'Raw Data'!F1015)</f>
        <v>20</v>
      </c>
      <c r="G1015" s="21" t="str">
        <f>'Raw Data'!G1015</f>
        <v>Debit Card</v>
      </c>
      <c r="H1015" s="21" t="str">
        <f>'Raw Data'!H1015</f>
        <v>Male</v>
      </c>
      <c r="I1015" s="21">
        <f>IF('Raw Data'!I1015="",ROUND(AVERAGE('Raw Data'!$I$2:$I$1501),1),'Raw Data'!I1015)</f>
        <v>2.8</v>
      </c>
      <c r="J1015" s="21">
        <f>'Raw Data'!J1015</f>
        <v>3</v>
      </c>
      <c r="K1015" s="21" t="str">
        <f>'Raw Data'!K1015</f>
        <v>Laptop &amp; Accessory</v>
      </c>
      <c r="L1015" s="21">
        <f>'Raw Data'!L1015</f>
        <v>2</v>
      </c>
      <c r="M1015" s="21" t="str">
        <f>'Raw Data'!M1015</f>
        <v>Single</v>
      </c>
      <c r="N1015" s="21">
        <f>'Raw Data'!N1015</f>
        <v>4</v>
      </c>
      <c r="O1015" s="21">
        <f>'Raw Data'!O1015</f>
        <v>0</v>
      </c>
      <c r="P1015" s="21">
        <f>IF('Raw Data'!P1015="",ROUND(AVERAGE('Raw Data'!$P$2:$P$1501),1),'Raw Data'!P1015)</f>
        <v>18</v>
      </c>
      <c r="Q1015" s="21">
        <f>IF('Raw Data'!Q1015="",ROUND(AVERAGE('Raw Data'!$Q$2:$Q$1501),0),'Raw Data'!Q1015)</f>
        <v>1</v>
      </c>
      <c r="R1015" s="21">
        <f>'Raw Data'!R1015</f>
        <v>3</v>
      </c>
      <c r="S1015" s="21">
        <f>IF('Raw Data'!S1015="",ROUND(AVERAGE('Raw Data'!$S$2:$S$1501),0),'Raw Data'!S1015)</f>
        <v>15</v>
      </c>
      <c r="T1015" s="21">
        <f>'Raw Data'!T1015</f>
        <v>202.18</v>
      </c>
      <c r="U1015" s="21" t="str">
        <f>INDEX('Lookup Tables'!$C$7:$C$9,MATCH(E1015,'Lookup Tables'!$B$7:$B$9,0))</f>
        <v>Tier 2 (Urban)</v>
      </c>
      <c r="V1015" s="21" t="str">
        <f t="shared" si="45"/>
        <v>13-24 months</v>
      </c>
      <c r="W1015" s="21" t="str">
        <f t="shared" si="46"/>
        <v>Low Risk</v>
      </c>
      <c r="X1015" s="21" t="str">
        <f t="shared" si="47"/>
        <v>No</v>
      </c>
    </row>
    <row r="1016" spans="1:24" x14ac:dyDescent="0.3">
      <c r="A1016" s="21">
        <f>'Raw Data'!A1016</f>
        <v>51015</v>
      </c>
      <c r="B1016" s="21">
        <f>'Raw Data'!B1016</f>
        <v>0</v>
      </c>
      <c r="C1016" s="21">
        <f>'Raw Data'!C1016</f>
        <v>3</v>
      </c>
      <c r="D1016" s="21" t="str">
        <f>'Raw Data'!D1016</f>
        <v>Computer</v>
      </c>
      <c r="E1016" s="21">
        <f>'Raw Data'!E1016</f>
        <v>3</v>
      </c>
      <c r="F1016" s="21">
        <f>IF('Raw Data'!F1016="",ROUND(AVERAGE('Raw Data'!$F$2:$F$1501),1),'Raw Data'!F1016)</f>
        <v>15</v>
      </c>
      <c r="G1016" s="21" t="str">
        <f>'Raw Data'!G1016</f>
        <v>Debit Card</v>
      </c>
      <c r="H1016" s="21" t="str">
        <f>'Raw Data'!H1016</f>
        <v>Male</v>
      </c>
      <c r="I1016" s="21">
        <f>IF('Raw Data'!I1016="",ROUND(AVERAGE('Raw Data'!$I$2:$I$1501),1),'Raw Data'!I1016)</f>
        <v>1.9</v>
      </c>
      <c r="J1016" s="21">
        <f>'Raw Data'!J1016</f>
        <v>3</v>
      </c>
      <c r="K1016" s="21" t="str">
        <f>'Raw Data'!K1016</f>
        <v>Laptop &amp; Accessory</v>
      </c>
      <c r="L1016" s="21">
        <f>'Raw Data'!L1016</f>
        <v>5</v>
      </c>
      <c r="M1016" s="21" t="str">
        <f>'Raw Data'!M1016</f>
        <v>Married</v>
      </c>
      <c r="N1016" s="21">
        <f>'Raw Data'!N1016</f>
        <v>2</v>
      </c>
      <c r="O1016" s="21">
        <f>'Raw Data'!O1016</f>
        <v>0</v>
      </c>
      <c r="P1016" s="21">
        <f>IF('Raw Data'!P1016="",ROUND(AVERAGE('Raw Data'!$P$2:$P$1501),1),'Raw Data'!P1016)</f>
        <v>19.7</v>
      </c>
      <c r="Q1016" s="21">
        <f>IF('Raw Data'!Q1016="",ROUND(AVERAGE('Raw Data'!$Q$2:$Q$1501),0),'Raw Data'!Q1016)</f>
        <v>1</v>
      </c>
      <c r="R1016" s="21">
        <f>'Raw Data'!R1016</f>
        <v>5</v>
      </c>
      <c r="S1016" s="21">
        <f>IF('Raw Data'!S1016="",ROUND(AVERAGE('Raw Data'!$S$2:$S$1501),0),'Raw Data'!S1016)</f>
        <v>2</v>
      </c>
      <c r="T1016" s="21">
        <f>'Raw Data'!T1016</f>
        <v>227.43</v>
      </c>
      <c r="U1016" s="21" t="str">
        <f>INDEX('Lookup Tables'!$C$7:$C$9,MATCH(E1016,'Lookup Tables'!$B$7:$B$9,0))</f>
        <v>Tier 3 (Semi-urban/Rural)</v>
      </c>
      <c r="V1016" s="21" t="str">
        <f t="shared" si="45"/>
        <v>0-6 months</v>
      </c>
      <c r="W1016" s="21" t="str">
        <f t="shared" si="46"/>
        <v>Low Risk</v>
      </c>
      <c r="X1016" s="21" t="str">
        <f t="shared" si="47"/>
        <v>No</v>
      </c>
    </row>
    <row r="1017" spans="1:24" x14ac:dyDescent="0.3">
      <c r="A1017" s="21">
        <f>'Raw Data'!A1017</f>
        <v>51016</v>
      </c>
      <c r="B1017" s="21">
        <f>'Raw Data'!B1017</f>
        <v>0</v>
      </c>
      <c r="C1017" s="21">
        <f>'Raw Data'!C1017</f>
        <v>0</v>
      </c>
      <c r="D1017" s="21" t="str">
        <f>'Raw Data'!D1017</f>
        <v>Phone</v>
      </c>
      <c r="E1017" s="21">
        <f>'Raw Data'!E1017</f>
        <v>1</v>
      </c>
      <c r="F1017" s="21">
        <f>IF('Raw Data'!F1017="",ROUND(AVERAGE('Raw Data'!$F$2:$F$1501),1),'Raw Data'!F1017)</f>
        <v>5</v>
      </c>
      <c r="G1017" s="21" t="str">
        <f>'Raw Data'!G1017</f>
        <v>Debit Card</v>
      </c>
      <c r="H1017" s="21" t="str">
        <f>'Raw Data'!H1017</f>
        <v>Male</v>
      </c>
      <c r="I1017" s="21">
        <f>IF('Raw Data'!I1017="",ROUND(AVERAGE('Raw Data'!$I$2:$I$1501),1),'Raw Data'!I1017)</f>
        <v>3.7</v>
      </c>
      <c r="J1017" s="21">
        <f>'Raw Data'!J1017</f>
        <v>5</v>
      </c>
      <c r="K1017" s="21" t="str">
        <f>'Raw Data'!K1017</f>
        <v>Laptop &amp; Accessory</v>
      </c>
      <c r="L1017" s="21">
        <f>'Raw Data'!L1017</f>
        <v>3</v>
      </c>
      <c r="M1017" s="21" t="str">
        <f>'Raw Data'!M1017</f>
        <v>Divorced</v>
      </c>
      <c r="N1017" s="21">
        <f>'Raw Data'!N1017</f>
        <v>1</v>
      </c>
      <c r="O1017" s="21">
        <f>'Raw Data'!O1017</f>
        <v>0</v>
      </c>
      <c r="P1017" s="21">
        <f>IF('Raw Data'!P1017="",ROUND(AVERAGE('Raw Data'!$P$2:$P$1501),1),'Raw Data'!P1017)</f>
        <v>17.3</v>
      </c>
      <c r="Q1017" s="21">
        <f>IF('Raw Data'!Q1017="",ROUND(AVERAGE('Raw Data'!$Q$2:$Q$1501),0),'Raw Data'!Q1017)</f>
        <v>1</v>
      </c>
      <c r="R1017" s="21">
        <f>'Raw Data'!R1017</f>
        <v>4</v>
      </c>
      <c r="S1017" s="21">
        <f>IF('Raw Data'!S1017="",ROUND(AVERAGE('Raw Data'!$S$2:$S$1501),0),'Raw Data'!S1017)</f>
        <v>10</v>
      </c>
      <c r="T1017" s="21">
        <f>'Raw Data'!T1017</f>
        <v>237.62</v>
      </c>
      <c r="U1017" s="21" t="str">
        <f>INDEX('Lookup Tables'!$C$7:$C$9,MATCH(E1017,'Lookup Tables'!$B$7:$B$9,0))</f>
        <v>Tier 1 (Metro)</v>
      </c>
      <c r="V1017" s="21" t="str">
        <f t="shared" si="45"/>
        <v>0-6 months</v>
      </c>
      <c r="W1017" s="21" t="str">
        <f t="shared" si="46"/>
        <v>Medium Risk</v>
      </c>
      <c r="X1017" s="21" t="str">
        <f t="shared" si="47"/>
        <v>No</v>
      </c>
    </row>
    <row r="1018" spans="1:24" x14ac:dyDescent="0.3">
      <c r="A1018" s="21">
        <f>'Raw Data'!A1018</f>
        <v>51017</v>
      </c>
      <c r="B1018" s="21">
        <f>'Raw Data'!B1018</f>
        <v>0</v>
      </c>
      <c r="C1018" s="21">
        <f>'Raw Data'!C1018</f>
        <v>0</v>
      </c>
      <c r="D1018" s="21" t="str">
        <f>'Raw Data'!D1018</f>
        <v>Mobile Phone</v>
      </c>
      <c r="E1018" s="21">
        <f>'Raw Data'!E1018</f>
        <v>1</v>
      </c>
      <c r="F1018" s="21">
        <f>IF('Raw Data'!F1018="",ROUND(AVERAGE('Raw Data'!$F$2:$F$1501),1),'Raw Data'!F1018)</f>
        <v>7</v>
      </c>
      <c r="G1018" s="21" t="str">
        <f>'Raw Data'!G1018</f>
        <v>Debit Card</v>
      </c>
      <c r="H1018" s="21" t="str">
        <f>'Raw Data'!H1018</f>
        <v>Male</v>
      </c>
      <c r="I1018" s="21">
        <f>IF('Raw Data'!I1018="",ROUND(AVERAGE('Raw Data'!$I$2:$I$1501),1),'Raw Data'!I1018)</f>
        <v>2.8</v>
      </c>
      <c r="J1018" s="21">
        <f>'Raw Data'!J1018</f>
        <v>3</v>
      </c>
      <c r="K1018" s="21" t="str">
        <f>'Raw Data'!K1018</f>
        <v>Others</v>
      </c>
      <c r="L1018" s="21">
        <f>'Raw Data'!L1018</f>
        <v>4</v>
      </c>
      <c r="M1018" s="21" t="str">
        <f>'Raw Data'!M1018</f>
        <v>Married</v>
      </c>
      <c r="N1018" s="21">
        <f>'Raw Data'!N1018</f>
        <v>22</v>
      </c>
      <c r="O1018" s="21">
        <f>'Raw Data'!O1018</f>
        <v>1</v>
      </c>
      <c r="P1018" s="21">
        <f>IF('Raw Data'!P1018="",ROUND(AVERAGE('Raw Data'!$P$2:$P$1501),1),'Raw Data'!P1018)</f>
        <v>16.3</v>
      </c>
      <c r="Q1018" s="21">
        <f>IF('Raw Data'!Q1018="",ROUND(AVERAGE('Raw Data'!$Q$2:$Q$1501),0),'Raw Data'!Q1018)</f>
        <v>0</v>
      </c>
      <c r="R1018" s="21">
        <f>'Raw Data'!R1018</f>
        <v>4</v>
      </c>
      <c r="S1018" s="21">
        <f>IF('Raw Data'!S1018="",ROUND(AVERAGE('Raw Data'!$S$2:$S$1501),0),'Raw Data'!S1018)</f>
        <v>7</v>
      </c>
      <c r="T1018" s="21">
        <f>'Raw Data'!T1018</f>
        <v>91.45</v>
      </c>
      <c r="U1018" s="21" t="str">
        <f>INDEX('Lookup Tables'!$C$7:$C$9,MATCH(E1018,'Lookup Tables'!$B$7:$B$9,0))</f>
        <v>Tier 1 (Metro)</v>
      </c>
      <c r="V1018" s="21" t="str">
        <f t="shared" si="45"/>
        <v>0-6 months</v>
      </c>
      <c r="W1018" s="21" t="str">
        <f t="shared" si="46"/>
        <v>Low Risk</v>
      </c>
      <c r="X1018" s="21" t="str">
        <f t="shared" si="47"/>
        <v>No</v>
      </c>
    </row>
    <row r="1019" spans="1:24" x14ac:dyDescent="0.3">
      <c r="A1019" s="21">
        <f>'Raw Data'!A1019</f>
        <v>51018</v>
      </c>
      <c r="B1019" s="21">
        <f>'Raw Data'!B1019</f>
        <v>0</v>
      </c>
      <c r="C1019" s="21">
        <f>'Raw Data'!C1019</f>
        <v>34</v>
      </c>
      <c r="D1019" s="21" t="str">
        <f>'Raw Data'!D1019</f>
        <v>Mobile Phone</v>
      </c>
      <c r="E1019" s="21">
        <f>'Raw Data'!E1019</f>
        <v>2</v>
      </c>
      <c r="F1019" s="21">
        <f>IF('Raw Data'!F1019="",ROUND(AVERAGE('Raw Data'!$F$2:$F$1501),1),'Raw Data'!F1019)</f>
        <v>16</v>
      </c>
      <c r="G1019" s="21" t="str">
        <f>'Raw Data'!G1019</f>
        <v>UPI</v>
      </c>
      <c r="H1019" s="21" t="str">
        <f>'Raw Data'!H1019</f>
        <v>Female</v>
      </c>
      <c r="I1019" s="21">
        <f>IF('Raw Data'!I1019="",ROUND(AVERAGE('Raw Data'!$I$2:$I$1501),1),'Raw Data'!I1019)</f>
        <v>2.9</v>
      </c>
      <c r="J1019" s="21">
        <f>'Raw Data'!J1019</f>
        <v>4</v>
      </c>
      <c r="K1019" s="21" t="str">
        <f>'Raw Data'!K1019</f>
        <v>Mobile Phone</v>
      </c>
      <c r="L1019" s="21">
        <f>'Raw Data'!L1019</f>
        <v>3</v>
      </c>
      <c r="M1019" s="21" t="str">
        <f>'Raw Data'!M1019</f>
        <v>Married</v>
      </c>
      <c r="N1019" s="21">
        <f>'Raw Data'!N1019</f>
        <v>3</v>
      </c>
      <c r="O1019" s="21">
        <f>'Raw Data'!O1019</f>
        <v>0</v>
      </c>
      <c r="P1019" s="21">
        <f>IF('Raw Data'!P1019="",ROUND(AVERAGE('Raw Data'!$P$2:$P$1501),1),'Raw Data'!P1019)</f>
        <v>12.9</v>
      </c>
      <c r="Q1019" s="21">
        <f>IF('Raw Data'!Q1019="",ROUND(AVERAGE('Raw Data'!$Q$2:$Q$1501),0),'Raw Data'!Q1019)</f>
        <v>1</v>
      </c>
      <c r="R1019" s="21">
        <f>'Raw Data'!R1019</f>
        <v>4</v>
      </c>
      <c r="S1019" s="21">
        <f>IF('Raw Data'!S1019="",ROUND(AVERAGE('Raw Data'!$S$2:$S$1501),0),'Raw Data'!S1019)</f>
        <v>2</v>
      </c>
      <c r="T1019" s="21">
        <f>'Raw Data'!T1019</f>
        <v>176.8</v>
      </c>
      <c r="U1019" s="21" t="str">
        <f>INDEX('Lookup Tables'!$C$7:$C$9,MATCH(E1019,'Lookup Tables'!$B$7:$B$9,0))</f>
        <v>Tier 2 (Urban)</v>
      </c>
      <c r="V1019" s="21" t="str">
        <f t="shared" si="45"/>
        <v>25+ months</v>
      </c>
      <c r="W1019" s="21" t="str">
        <f t="shared" si="46"/>
        <v>Medium Risk</v>
      </c>
      <c r="X1019" s="21" t="str">
        <f t="shared" si="47"/>
        <v>No</v>
      </c>
    </row>
    <row r="1020" spans="1:24" x14ac:dyDescent="0.3">
      <c r="A1020" s="21">
        <f>'Raw Data'!A1020</f>
        <v>51019</v>
      </c>
      <c r="B1020" s="21">
        <f>'Raw Data'!B1020</f>
        <v>0</v>
      </c>
      <c r="C1020" s="21">
        <f>'Raw Data'!C1020</f>
        <v>3</v>
      </c>
      <c r="D1020" s="21" t="str">
        <f>'Raw Data'!D1020</f>
        <v>Computer</v>
      </c>
      <c r="E1020" s="21">
        <f>'Raw Data'!E1020</f>
        <v>1</v>
      </c>
      <c r="F1020" s="21">
        <f>IF('Raw Data'!F1020="",ROUND(AVERAGE('Raw Data'!$F$2:$F$1501),1),'Raw Data'!F1020)</f>
        <v>14</v>
      </c>
      <c r="G1020" s="21" t="str">
        <f>'Raw Data'!G1020</f>
        <v>Debit Card</v>
      </c>
      <c r="H1020" s="21" t="str">
        <f>'Raw Data'!H1020</f>
        <v>Male</v>
      </c>
      <c r="I1020" s="21">
        <f>IF('Raw Data'!I1020="",ROUND(AVERAGE('Raw Data'!$I$2:$I$1501),1),'Raw Data'!I1020)</f>
        <v>3.2</v>
      </c>
      <c r="J1020" s="21">
        <f>'Raw Data'!J1020</f>
        <v>3</v>
      </c>
      <c r="K1020" s="21" t="str">
        <f>'Raw Data'!K1020</f>
        <v>Grocery</v>
      </c>
      <c r="L1020" s="21">
        <f>'Raw Data'!L1020</f>
        <v>5</v>
      </c>
      <c r="M1020" s="21" t="str">
        <f>'Raw Data'!M1020</f>
        <v>Single</v>
      </c>
      <c r="N1020" s="21">
        <f>'Raw Data'!N1020</f>
        <v>4</v>
      </c>
      <c r="O1020" s="21">
        <f>'Raw Data'!O1020</f>
        <v>0</v>
      </c>
      <c r="P1020" s="21">
        <f>IF('Raw Data'!P1020="",ROUND(AVERAGE('Raw Data'!$P$2:$P$1501),1),'Raw Data'!P1020)</f>
        <v>14.3</v>
      </c>
      <c r="Q1020" s="21">
        <f>IF('Raw Data'!Q1020="",ROUND(AVERAGE('Raw Data'!$Q$2:$Q$1501),0),'Raw Data'!Q1020)</f>
        <v>2</v>
      </c>
      <c r="R1020" s="21">
        <f>'Raw Data'!R1020</f>
        <v>2</v>
      </c>
      <c r="S1020" s="21">
        <f>IF('Raw Data'!S1020="",ROUND(AVERAGE('Raw Data'!$S$2:$S$1501),0),'Raw Data'!S1020)</f>
        <v>0</v>
      </c>
      <c r="T1020" s="21">
        <f>'Raw Data'!T1020</f>
        <v>290.60000000000002</v>
      </c>
      <c r="U1020" s="21" t="str">
        <f>INDEX('Lookup Tables'!$C$7:$C$9,MATCH(E1020,'Lookup Tables'!$B$7:$B$9,0))</f>
        <v>Tier 1 (Metro)</v>
      </c>
      <c r="V1020" s="21" t="str">
        <f t="shared" si="45"/>
        <v>0-6 months</v>
      </c>
      <c r="W1020" s="21" t="str">
        <f t="shared" si="46"/>
        <v>Low Risk</v>
      </c>
      <c r="X1020" s="21" t="str">
        <f t="shared" si="47"/>
        <v>No</v>
      </c>
    </row>
    <row r="1021" spans="1:24" x14ac:dyDescent="0.3">
      <c r="A1021" s="21">
        <f>'Raw Data'!A1021</f>
        <v>51020</v>
      </c>
      <c r="B1021" s="21">
        <f>'Raw Data'!B1021</f>
        <v>0</v>
      </c>
      <c r="C1021" s="21">
        <f>'Raw Data'!C1021</f>
        <v>14</v>
      </c>
      <c r="D1021" s="21" t="str">
        <f>'Raw Data'!D1021</f>
        <v>Phone</v>
      </c>
      <c r="E1021" s="21">
        <f>'Raw Data'!E1021</f>
        <v>1</v>
      </c>
      <c r="F1021" s="21">
        <f>IF('Raw Data'!F1021="",ROUND(AVERAGE('Raw Data'!$F$2:$F$1501),1),'Raw Data'!F1021)</f>
        <v>10</v>
      </c>
      <c r="G1021" s="21" t="str">
        <f>'Raw Data'!G1021</f>
        <v>Credit Card</v>
      </c>
      <c r="H1021" s="21" t="str">
        <f>'Raw Data'!H1021</f>
        <v>Male</v>
      </c>
      <c r="I1021" s="21">
        <f>IF('Raw Data'!I1021="",ROUND(AVERAGE('Raw Data'!$I$2:$I$1501),1),'Raw Data'!I1021)</f>
        <v>2.2999999999999998</v>
      </c>
      <c r="J1021" s="21">
        <f>'Raw Data'!J1021</f>
        <v>3</v>
      </c>
      <c r="K1021" s="21" t="str">
        <f>'Raw Data'!K1021</f>
        <v>Grocery</v>
      </c>
      <c r="L1021" s="21">
        <f>'Raw Data'!L1021</f>
        <v>3</v>
      </c>
      <c r="M1021" s="21" t="str">
        <f>'Raw Data'!M1021</f>
        <v>Married</v>
      </c>
      <c r="N1021" s="21">
        <f>'Raw Data'!N1021</f>
        <v>4</v>
      </c>
      <c r="O1021" s="21">
        <f>'Raw Data'!O1021</f>
        <v>0</v>
      </c>
      <c r="P1021" s="21">
        <f>IF('Raw Data'!P1021="",ROUND(AVERAGE('Raw Data'!$P$2:$P$1501),1),'Raw Data'!P1021)</f>
        <v>20.7</v>
      </c>
      <c r="Q1021" s="21">
        <f>IF('Raw Data'!Q1021="",ROUND(AVERAGE('Raw Data'!$Q$2:$Q$1501),0),'Raw Data'!Q1021)</f>
        <v>2</v>
      </c>
      <c r="R1021" s="21">
        <f>'Raw Data'!R1021</f>
        <v>2</v>
      </c>
      <c r="S1021" s="21">
        <f>IF('Raw Data'!S1021="",ROUND(AVERAGE('Raw Data'!$S$2:$S$1501),0),'Raw Data'!S1021)</f>
        <v>5</v>
      </c>
      <c r="T1021" s="21">
        <f>'Raw Data'!T1021</f>
        <v>186.55</v>
      </c>
      <c r="U1021" s="21" t="str">
        <f>INDEX('Lookup Tables'!$C$7:$C$9,MATCH(E1021,'Lookup Tables'!$B$7:$B$9,0))</f>
        <v>Tier 1 (Metro)</v>
      </c>
      <c r="V1021" s="21" t="str">
        <f t="shared" si="45"/>
        <v>13-24 months</v>
      </c>
      <c r="W1021" s="21" t="str">
        <f t="shared" si="46"/>
        <v>Medium Risk</v>
      </c>
      <c r="X1021" s="21" t="str">
        <f t="shared" si="47"/>
        <v>No</v>
      </c>
    </row>
    <row r="1022" spans="1:24" x14ac:dyDescent="0.3">
      <c r="A1022" s="21">
        <f>'Raw Data'!A1022</f>
        <v>51021</v>
      </c>
      <c r="B1022" s="21">
        <f>'Raw Data'!B1022</f>
        <v>0</v>
      </c>
      <c r="C1022" s="21">
        <f>'Raw Data'!C1022</f>
        <v>9</v>
      </c>
      <c r="D1022" s="21" t="str">
        <f>'Raw Data'!D1022</f>
        <v>Phone</v>
      </c>
      <c r="E1022" s="21">
        <f>'Raw Data'!E1022</f>
        <v>3</v>
      </c>
      <c r="F1022" s="21">
        <f>IF('Raw Data'!F1022="",ROUND(AVERAGE('Raw Data'!$F$2:$F$1501),1),'Raw Data'!F1022)</f>
        <v>11</v>
      </c>
      <c r="G1022" s="21" t="str">
        <f>'Raw Data'!G1022</f>
        <v>Credit Card</v>
      </c>
      <c r="H1022" s="21" t="str">
        <f>'Raw Data'!H1022</f>
        <v>Male</v>
      </c>
      <c r="I1022" s="21">
        <f>IF('Raw Data'!I1022="",ROUND(AVERAGE('Raw Data'!$I$2:$I$1501),1),'Raw Data'!I1022)</f>
        <v>3.2</v>
      </c>
      <c r="J1022" s="21">
        <f>'Raw Data'!J1022</f>
        <v>5</v>
      </c>
      <c r="K1022" s="21" t="str">
        <f>'Raw Data'!K1022</f>
        <v>Mobile Phone</v>
      </c>
      <c r="L1022" s="21">
        <f>'Raw Data'!L1022</f>
        <v>3</v>
      </c>
      <c r="M1022" s="21" t="str">
        <f>'Raw Data'!M1022</f>
        <v>Married</v>
      </c>
      <c r="N1022" s="21">
        <f>'Raw Data'!N1022</f>
        <v>6</v>
      </c>
      <c r="O1022" s="21">
        <f>'Raw Data'!O1022</f>
        <v>0</v>
      </c>
      <c r="P1022" s="21">
        <f>IF('Raw Data'!P1022="",ROUND(AVERAGE('Raw Data'!$P$2:$P$1501),1),'Raw Data'!P1022)</f>
        <v>21.5</v>
      </c>
      <c r="Q1022" s="21">
        <f>IF('Raw Data'!Q1022="",ROUND(AVERAGE('Raw Data'!$Q$2:$Q$1501),0),'Raw Data'!Q1022)</f>
        <v>3</v>
      </c>
      <c r="R1022" s="21">
        <f>'Raw Data'!R1022</f>
        <v>5</v>
      </c>
      <c r="S1022" s="21">
        <f>IF('Raw Data'!S1022="",ROUND(AVERAGE('Raw Data'!$S$2:$S$1501),0),'Raw Data'!S1022)</f>
        <v>0</v>
      </c>
      <c r="T1022" s="21">
        <f>'Raw Data'!T1022</f>
        <v>134.28</v>
      </c>
      <c r="U1022" s="21" t="str">
        <f>INDEX('Lookup Tables'!$C$7:$C$9,MATCH(E1022,'Lookup Tables'!$B$7:$B$9,0))</f>
        <v>Tier 3 (Semi-urban/Rural)</v>
      </c>
      <c r="V1022" s="21" t="str">
        <f t="shared" si="45"/>
        <v>7-12 months</v>
      </c>
      <c r="W1022" s="21" t="str">
        <f t="shared" si="46"/>
        <v>Medium Risk</v>
      </c>
      <c r="X1022" s="21" t="str">
        <f t="shared" si="47"/>
        <v>No</v>
      </c>
    </row>
    <row r="1023" spans="1:24" x14ac:dyDescent="0.3">
      <c r="A1023" s="21">
        <f>'Raw Data'!A1023</f>
        <v>51022</v>
      </c>
      <c r="B1023" s="21">
        <f>'Raw Data'!B1023</f>
        <v>0</v>
      </c>
      <c r="C1023" s="21">
        <f>'Raw Data'!C1023</f>
        <v>4</v>
      </c>
      <c r="D1023" s="21" t="str">
        <f>'Raw Data'!D1023</f>
        <v>Mobile Phone</v>
      </c>
      <c r="E1023" s="21">
        <f>'Raw Data'!E1023</f>
        <v>3</v>
      </c>
      <c r="F1023" s="21">
        <f>IF('Raw Data'!F1023="",ROUND(AVERAGE('Raw Data'!$F$2:$F$1501),1),'Raw Data'!F1023)</f>
        <v>20</v>
      </c>
      <c r="G1023" s="21" t="str">
        <f>'Raw Data'!G1023</f>
        <v>Credit Card</v>
      </c>
      <c r="H1023" s="21" t="str">
        <f>'Raw Data'!H1023</f>
        <v>Male</v>
      </c>
      <c r="I1023" s="21">
        <f>IF('Raw Data'!I1023="",ROUND(AVERAGE('Raw Data'!$I$2:$I$1501),1),'Raw Data'!I1023)</f>
        <v>2.6</v>
      </c>
      <c r="J1023" s="21">
        <f>'Raw Data'!J1023</f>
        <v>2</v>
      </c>
      <c r="K1023" s="21" t="str">
        <f>'Raw Data'!K1023</f>
        <v>Fashion</v>
      </c>
      <c r="L1023" s="21">
        <f>'Raw Data'!L1023</f>
        <v>5</v>
      </c>
      <c r="M1023" s="21" t="str">
        <f>'Raw Data'!M1023</f>
        <v>Divorced</v>
      </c>
      <c r="N1023" s="21">
        <f>'Raw Data'!N1023</f>
        <v>1</v>
      </c>
      <c r="O1023" s="21">
        <f>'Raw Data'!O1023</f>
        <v>0</v>
      </c>
      <c r="P1023" s="21">
        <f>IF('Raw Data'!P1023="",ROUND(AVERAGE('Raw Data'!$P$2:$P$1501),1),'Raw Data'!P1023)</f>
        <v>12</v>
      </c>
      <c r="Q1023" s="21">
        <f>IF('Raw Data'!Q1023="",ROUND(AVERAGE('Raw Data'!$Q$2:$Q$1501),0),'Raw Data'!Q1023)</f>
        <v>2</v>
      </c>
      <c r="R1023" s="21">
        <f>'Raw Data'!R1023</f>
        <v>5</v>
      </c>
      <c r="S1023" s="21">
        <f>IF('Raw Data'!S1023="",ROUND(AVERAGE('Raw Data'!$S$2:$S$1501),0),'Raw Data'!S1023)</f>
        <v>1</v>
      </c>
      <c r="T1023" s="21">
        <f>'Raw Data'!T1023</f>
        <v>175.62</v>
      </c>
      <c r="U1023" s="21" t="str">
        <f>INDEX('Lookup Tables'!$C$7:$C$9,MATCH(E1023,'Lookup Tables'!$B$7:$B$9,0))</f>
        <v>Tier 3 (Semi-urban/Rural)</v>
      </c>
      <c r="V1023" s="21" t="str">
        <f t="shared" si="45"/>
        <v>0-6 months</v>
      </c>
      <c r="W1023" s="21" t="str">
        <f t="shared" si="46"/>
        <v>Low Risk</v>
      </c>
      <c r="X1023" s="21" t="str">
        <f t="shared" si="47"/>
        <v>No</v>
      </c>
    </row>
    <row r="1024" spans="1:24" x14ac:dyDescent="0.3">
      <c r="A1024" s="21">
        <f>'Raw Data'!A1024</f>
        <v>51023</v>
      </c>
      <c r="B1024" s="21">
        <f>'Raw Data'!B1024</f>
        <v>0</v>
      </c>
      <c r="C1024" s="21">
        <f>'Raw Data'!C1024</f>
        <v>2</v>
      </c>
      <c r="D1024" s="21" t="str">
        <f>'Raw Data'!D1024</f>
        <v>Mobile Phone</v>
      </c>
      <c r="E1024" s="21">
        <f>'Raw Data'!E1024</f>
        <v>2</v>
      </c>
      <c r="F1024" s="21">
        <f>IF('Raw Data'!F1024="",ROUND(AVERAGE('Raw Data'!$F$2:$F$1501),1),'Raw Data'!F1024)</f>
        <v>10</v>
      </c>
      <c r="G1024" s="21" t="str">
        <f>'Raw Data'!G1024</f>
        <v>Credit Card</v>
      </c>
      <c r="H1024" s="21" t="str">
        <f>'Raw Data'!H1024</f>
        <v>Male</v>
      </c>
      <c r="I1024" s="21">
        <f>IF('Raw Data'!I1024="",ROUND(AVERAGE('Raw Data'!$I$2:$I$1501),1),'Raw Data'!I1024)</f>
        <v>2.2999999999999998</v>
      </c>
      <c r="J1024" s="21">
        <f>'Raw Data'!J1024</f>
        <v>4</v>
      </c>
      <c r="K1024" s="21" t="str">
        <f>'Raw Data'!K1024</f>
        <v>Laptop &amp; Accessory</v>
      </c>
      <c r="L1024" s="21">
        <f>'Raw Data'!L1024</f>
        <v>4</v>
      </c>
      <c r="M1024" s="21" t="str">
        <f>'Raw Data'!M1024</f>
        <v>Single</v>
      </c>
      <c r="N1024" s="21">
        <f>'Raw Data'!N1024</f>
        <v>1</v>
      </c>
      <c r="O1024" s="21">
        <f>'Raw Data'!O1024</f>
        <v>0</v>
      </c>
      <c r="P1024" s="21">
        <f>IF('Raw Data'!P1024="",ROUND(AVERAGE('Raw Data'!$P$2:$P$1501),1),'Raw Data'!P1024)</f>
        <v>16.899999999999999</v>
      </c>
      <c r="Q1024" s="21">
        <f>IF('Raw Data'!Q1024="",ROUND(AVERAGE('Raw Data'!$Q$2:$Q$1501),0),'Raw Data'!Q1024)</f>
        <v>1</v>
      </c>
      <c r="R1024" s="21">
        <f>'Raw Data'!R1024</f>
        <v>3</v>
      </c>
      <c r="S1024" s="21">
        <f>IF('Raw Data'!S1024="",ROUND(AVERAGE('Raw Data'!$S$2:$S$1501),0),'Raw Data'!S1024)</f>
        <v>3</v>
      </c>
      <c r="T1024" s="21">
        <f>'Raw Data'!T1024</f>
        <v>158.9</v>
      </c>
      <c r="U1024" s="21" t="str">
        <f>INDEX('Lookup Tables'!$C$7:$C$9,MATCH(E1024,'Lookup Tables'!$B$7:$B$9,0))</f>
        <v>Tier 2 (Urban)</v>
      </c>
      <c r="V1024" s="21" t="str">
        <f t="shared" si="45"/>
        <v>0-6 months</v>
      </c>
      <c r="W1024" s="21" t="str">
        <f t="shared" si="46"/>
        <v>Low Risk</v>
      </c>
      <c r="X1024" s="21" t="str">
        <f t="shared" si="47"/>
        <v>No</v>
      </c>
    </row>
    <row r="1025" spans="1:24" x14ac:dyDescent="0.3">
      <c r="A1025" s="21">
        <f>'Raw Data'!A1025</f>
        <v>51024</v>
      </c>
      <c r="B1025" s="21">
        <f>'Raw Data'!B1025</f>
        <v>1</v>
      </c>
      <c r="C1025" s="21">
        <f>'Raw Data'!C1025</f>
        <v>1</v>
      </c>
      <c r="D1025" s="21" t="str">
        <f>'Raw Data'!D1025</f>
        <v>Mobile Phone</v>
      </c>
      <c r="E1025" s="21">
        <f>'Raw Data'!E1025</f>
        <v>1</v>
      </c>
      <c r="F1025" s="21">
        <f>IF('Raw Data'!F1025="",ROUND(AVERAGE('Raw Data'!$F$2:$F$1501),1),'Raw Data'!F1025)</f>
        <v>14</v>
      </c>
      <c r="G1025" s="21" t="str">
        <f>'Raw Data'!G1025</f>
        <v>Debit Card</v>
      </c>
      <c r="H1025" s="21" t="str">
        <f>'Raw Data'!H1025</f>
        <v>Male</v>
      </c>
      <c r="I1025" s="21">
        <f>IF('Raw Data'!I1025="",ROUND(AVERAGE('Raw Data'!$I$2:$I$1501),1),'Raw Data'!I1025)</f>
        <v>3.3</v>
      </c>
      <c r="J1025" s="21">
        <f>'Raw Data'!J1025</f>
        <v>4</v>
      </c>
      <c r="K1025" s="21" t="str">
        <f>'Raw Data'!K1025</f>
        <v>Fashion</v>
      </c>
      <c r="L1025" s="21">
        <f>'Raw Data'!L1025</f>
        <v>2</v>
      </c>
      <c r="M1025" s="21" t="str">
        <f>'Raw Data'!M1025</f>
        <v>Single</v>
      </c>
      <c r="N1025" s="21">
        <f>'Raw Data'!N1025</f>
        <v>3</v>
      </c>
      <c r="O1025" s="21">
        <f>'Raw Data'!O1025</f>
        <v>1</v>
      </c>
      <c r="P1025" s="21">
        <f>IF('Raw Data'!P1025="",ROUND(AVERAGE('Raw Data'!$P$2:$P$1501),1),'Raw Data'!P1025)</f>
        <v>16.3</v>
      </c>
      <c r="Q1025" s="21">
        <f>IF('Raw Data'!Q1025="",ROUND(AVERAGE('Raw Data'!$Q$2:$Q$1501),0),'Raw Data'!Q1025)</f>
        <v>3</v>
      </c>
      <c r="R1025" s="21">
        <f>'Raw Data'!R1025</f>
        <v>5</v>
      </c>
      <c r="S1025" s="21">
        <f>IF('Raw Data'!S1025="",ROUND(AVERAGE('Raw Data'!$S$2:$S$1501),0),'Raw Data'!S1025)</f>
        <v>4</v>
      </c>
      <c r="T1025" s="21">
        <f>'Raw Data'!T1025</f>
        <v>115.29</v>
      </c>
      <c r="U1025" s="21" t="str">
        <f>INDEX('Lookup Tables'!$C$7:$C$9,MATCH(E1025,'Lookup Tables'!$B$7:$B$9,0))</f>
        <v>Tier 1 (Metro)</v>
      </c>
      <c r="V1025" s="21" t="str">
        <f t="shared" si="45"/>
        <v>0-6 months</v>
      </c>
      <c r="W1025" s="21" t="str">
        <f t="shared" si="46"/>
        <v>High Risk</v>
      </c>
      <c r="X1025" s="21" t="str">
        <f t="shared" si="47"/>
        <v>Yes</v>
      </c>
    </row>
    <row r="1026" spans="1:24" x14ac:dyDescent="0.3">
      <c r="A1026" s="21">
        <f>'Raw Data'!A1026</f>
        <v>51025</v>
      </c>
      <c r="B1026" s="21">
        <f>'Raw Data'!B1026</f>
        <v>0</v>
      </c>
      <c r="C1026" s="21">
        <f>'Raw Data'!C1026</f>
        <v>9</v>
      </c>
      <c r="D1026" s="21" t="str">
        <f>'Raw Data'!D1026</f>
        <v>Mobile Phone</v>
      </c>
      <c r="E1026" s="21">
        <f>'Raw Data'!E1026</f>
        <v>3</v>
      </c>
      <c r="F1026" s="21">
        <f>IF('Raw Data'!F1026="",ROUND(AVERAGE('Raw Data'!$F$2:$F$1501),1),'Raw Data'!F1026)</f>
        <v>32</v>
      </c>
      <c r="G1026" s="21" t="str">
        <f>'Raw Data'!G1026</f>
        <v>Debit Card</v>
      </c>
      <c r="H1026" s="21" t="str">
        <f>'Raw Data'!H1026</f>
        <v>Male</v>
      </c>
      <c r="I1026" s="21">
        <f>IF('Raw Data'!I1026="",ROUND(AVERAGE('Raw Data'!$I$2:$I$1501),1),'Raw Data'!I1026)</f>
        <v>3.9</v>
      </c>
      <c r="J1026" s="21">
        <f>'Raw Data'!J1026</f>
        <v>3</v>
      </c>
      <c r="K1026" s="21" t="str">
        <f>'Raw Data'!K1026</f>
        <v>Laptop &amp; Accessory</v>
      </c>
      <c r="L1026" s="21">
        <f>'Raw Data'!L1026</f>
        <v>2</v>
      </c>
      <c r="M1026" s="21" t="str">
        <f>'Raw Data'!M1026</f>
        <v>Married</v>
      </c>
      <c r="N1026" s="21">
        <f>'Raw Data'!N1026</f>
        <v>7</v>
      </c>
      <c r="O1026" s="21">
        <f>'Raw Data'!O1026</f>
        <v>0</v>
      </c>
      <c r="P1026" s="21">
        <f>IF('Raw Data'!P1026="",ROUND(AVERAGE('Raw Data'!$P$2:$P$1501),1),'Raw Data'!P1026)</f>
        <v>13.6</v>
      </c>
      <c r="Q1026" s="21">
        <f>IF('Raw Data'!Q1026="",ROUND(AVERAGE('Raw Data'!$Q$2:$Q$1501),0),'Raw Data'!Q1026)</f>
        <v>3</v>
      </c>
      <c r="R1026" s="21">
        <f>'Raw Data'!R1026</f>
        <v>3</v>
      </c>
      <c r="S1026" s="21">
        <f>IF('Raw Data'!S1026="",ROUND(AVERAGE('Raw Data'!$S$2:$S$1501),0),'Raw Data'!S1026)</f>
        <v>13</v>
      </c>
      <c r="T1026" s="21">
        <f>'Raw Data'!T1026</f>
        <v>227.8</v>
      </c>
      <c r="U1026" s="21" t="str">
        <f>INDEX('Lookup Tables'!$C$7:$C$9,MATCH(E1026,'Lookup Tables'!$B$7:$B$9,0))</f>
        <v>Tier 3 (Semi-urban/Rural)</v>
      </c>
      <c r="V1026" s="21" t="str">
        <f t="shared" ref="V1026:V1089" si="48">IF(C1026&lt;=6,"0-6 months",IF(C1026&lt;=12,"7-12 months",IF(C1026&lt;=24,"13-24 months","25+ months")))</f>
        <v>7-12 months</v>
      </c>
      <c r="W1026" s="21" t="str">
        <f t="shared" ref="W1026:W1089" si="49">IF(AND(O1026=1,L1026&lt;=2),"High Risk",IF(OR(L1026=3,S1026&gt;15),"Medium Risk","Low Risk"))</f>
        <v>Low Risk</v>
      </c>
      <c r="X1026" s="21" t="str">
        <f t="shared" ref="X1026:X1089" si="50">IF(B1026=1,"Yes","No")</f>
        <v>No</v>
      </c>
    </row>
    <row r="1027" spans="1:24" x14ac:dyDescent="0.3">
      <c r="A1027" s="21">
        <f>'Raw Data'!A1027</f>
        <v>51026</v>
      </c>
      <c r="B1027" s="21">
        <f>'Raw Data'!B1027</f>
        <v>0</v>
      </c>
      <c r="C1027" s="21">
        <f>'Raw Data'!C1027</f>
        <v>14</v>
      </c>
      <c r="D1027" s="21" t="str">
        <f>'Raw Data'!D1027</f>
        <v>Mobile Phone</v>
      </c>
      <c r="E1027" s="21">
        <f>'Raw Data'!E1027</f>
        <v>2</v>
      </c>
      <c r="F1027" s="21">
        <f>IF('Raw Data'!F1027="",ROUND(AVERAGE('Raw Data'!$F$2:$F$1501),1),'Raw Data'!F1027)</f>
        <v>5</v>
      </c>
      <c r="G1027" s="21" t="str">
        <f>'Raw Data'!G1027</f>
        <v>E wallet</v>
      </c>
      <c r="H1027" s="21" t="str">
        <f>'Raw Data'!H1027</f>
        <v>Female</v>
      </c>
      <c r="I1027" s="21">
        <f>IF('Raw Data'!I1027="",ROUND(AVERAGE('Raw Data'!$I$2:$I$1501),1),'Raw Data'!I1027)</f>
        <v>3.4</v>
      </c>
      <c r="J1027" s="21">
        <f>'Raw Data'!J1027</f>
        <v>5</v>
      </c>
      <c r="K1027" s="21" t="str">
        <f>'Raw Data'!K1027</f>
        <v>Grocery</v>
      </c>
      <c r="L1027" s="21">
        <f>'Raw Data'!L1027</f>
        <v>4</v>
      </c>
      <c r="M1027" s="21" t="str">
        <f>'Raw Data'!M1027</f>
        <v>Single</v>
      </c>
      <c r="N1027" s="21">
        <f>'Raw Data'!N1027</f>
        <v>4</v>
      </c>
      <c r="O1027" s="21">
        <f>'Raw Data'!O1027</f>
        <v>0</v>
      </c>
      <c r="P1027" s="21">
        <f>IF('Raw Data'!P1027="",ROUND(AVERAGE('Raw Data'!$P$2:$P$1501),1),'Raw Data'!P1027)</f>
        <v>17</v>
      </c>
      <c r="Q1027" s="21">
        <f>IF('Raw Data'!Q1027="",ROUND(AVERAGE('Raw Data'!$Q$2:$Q$1501),0),'Raw Data'!Q1027)</f>
        <v>0</v>
      </c>
      <c r="R1027" s="21">
        <f>'Raw Data'!R1027</f>
        <v>3</v>
      </c>
      <c r="S1027" s="21">
        <f>IF('Raw Data'!S1027="",ROUND(AVERAGE('Raw Data'!$S$2:$S$1501),0),'Raw Data'!S1027)</f>
        <v>4</v>
      </c>
      <c r="T1027" s="21">
        <f>'Raw Data'!T1027</f>
        <v>212.14</v>
      </c>
      <c r="U1027" s="21" t="str">
        <f>INDEX('Lookup Tables'!$C$7:$C$9,MATCH(E1027,'Lookup Tables'!$B$7:$B$9,0))</f>
        <v>Tier 2 (Urban)</v>
      </c>
      <c r="V1027" s="21" t="str">
        <f t="shared" si="48"/>
        <v>13-24 months</v>
      </c>
      <c r="W1027" s="21" t="str">
        <f t="shared" si="49"/>
        <v>Low Risk</v>
      </c>
      <c r="X1027" s="21" t="str">
        <f t="shared" si="50"/>
        <v>No</v>
      </c>
    </row>
    <row r="1028" spans="1:24" x14ac:dyDescent="0.3">
      <c r="A1028" s="21">
        <f>'Raw Data'!A1028</f>
        <v>51027</v>
      </c>
      <c r="B1028" s="21">
        <f>'Raw Data'!B1028</f>
        <v>0</v>
      </c>
      <c r="C1028" s="21">
        <f>'Raw Data'!C1028</f>
        <v>10</v>
      </c>
      <c r="D1028" s="21" t="str">
        <f>'Raw Data'!D1028</f>
        <v>Computer</v>
      </c>
      <c r="E1028" s="21">
        <f>'Raw Data'!E1028</f>
        <v>3</v>
      </c>
      <c r="F1028" s="21">
        <f>IF('Raw Data'!F1028="",ROUND(AVERAGE('Raw Data'!$F$2:$F$1501),1),'Raw Data'!F1028)</f>
        <v>5</v>
      </c>
      <c r="G1028" s="21" t="str">
        <f>'Raw Data'!G1028</f>
        <v>UPI</v>
      </c>
      <c r="H1028" s="21" t="str">
        <f>'Raw Data'!H1028</f>
        <v>Female</v>
      </c>
      <c r="I1028" s="21">
        <f>IF('Raw Data'!I1028="",ROUND(AVERAGE('Raw Data'!$I$2:$I$1501),1),'Raw Data'!I1028)</f>
        <v>3.5</v>
      </c>
      <c r="J1028" s="21">
        <f>'Raw Data'!J1028</f>
        <v>1</v>
      </c>
      <c r="K1028" s="21" t="str">
        <f>'Raw Data'!K1028</f>
        <v>Laptop &amp; Accessory</v>
      </c>
      <c r="L1028" s="21">
        <f>'Raw Data'!L1028</f>
        <v>5</v>
      </c>
      <c r="M1028" s="21" t="str">
        <f>'Raw Data'!M1028</f>
        <v>Married</v>
      </c>
      <c r="N1028" s="21">
        <f>'Raw Data'!N1028</f>
        <v>1</v>
      </c>
      <c r="O1028" s="21">
        <f>'Raw Data'!O1028</f>
        <v>0</v>
      </c>
      <c r="P1028" s="21">
        <f>IF('Raw Data'!P1028="",ROUND(AVERAGE('Raw Data'!$P$2:$P$1501),1),'Raw Data'!P1028)</f>
        <v>20</v>
      </c>
      <c r="Q1028" s="21">
        <f>IF('Raw Data'!Q1028="",ROUND(AVERAGE('Raw Data'!$Q$2:$Q$1501),0),'Raw Data'!Q1028)</f>
        <v>2</v>
      </c>
      <c r="R1028" s="21">
        <f>'Raw Data'!R1028</f>
        <v>4</v>
      </c>
      <c r="S1028" s="21">
        <f>IF('Raw Data'!S1028="",ROUND(AVERAGE('Raw Data'!$S$2:$S$1501),0),'Raw Data'!S1028)</f>
        <v>5</v>
      </c>
      <c r="T1028" s="21">
        <f>'Raw Data'!T1028</f>
        <v>106.6</v>
      </c>
      <c r="U1028" s="21" t="str">
        <f>INDEX('Lookup Tables'!$C$7:$C$9,MATCH(E1028,'Lookup Tables'!$B$7:$B$9,0))</f>
        <v>Tier 3 (Semi-urban/Rural)</v>
      </c>
      <c r="V1028" s="21" t="str">
        <f t="shared" si="48"/>
        <v>7-12 months</v>
      </c>
      <c r="W1028" s="21" t="str">
        <f t="shared" si="49"/>
        <v>Low Risk</v>
      </c>
      <c r="X1028" s="21" t="str">
        <f t="shared" si="50"/>
        <v>No</v>
      </c>
    </row>
    <row r="1029" spans="1:24" x14ac:dyDescent="0.3">
      <c r="A1029" s="21">
        <f>'Raw Data'!A1029</f>
        <v>51028</v>
      </c>
      <c r="B1029" s="21">
        <f>'Raw Data'!B1029</f>
        <v>0</v>
      </c>
      <c r="C1029" s="21">
        <f>'Raw Data'!C1029</f>
        <v>7</v>
      </c>
      <c r="D1029" s="21" t="str">
        <f>'Raw Data'!D1029</f>
        <v>Mobile Phone</v>
      </c>
      <c r="E1029" s="21">
        <f>'Raw Data'!E1029</f>
        <v>3</v>
      </c>
      <c r="F1029" s="21">
        <f>IF('Raw Data'!F1029="",ROUND(AVERAGE('Raw Data'!$F$2:$F$1501),1),'Raw Data'!F1029)</f>
        <v>21</v>
      </c>
      <c r="G1029" s="21" t="str">
        <f>'Raw Data'!G1029</f>
        <v>Debit Card</v>
      </c>
      <c r="H1029" s="21" t="str">
        <f>'Raw Data'!H1029</f>
        <v>Male</v>
      </c>
      <c r="I1029" s="21">
        <f>IF('Raw Data'!I1029="",ROUND(AVERAGE('Raw Data'!$I$2:$I$1501),1),'Raw Data'!I1029)</f>
        <v>2.5</v>
      </c>
      <c r="J1029" s="21">
        <f>'Raw Data'!J1029</f>
        <v>3</v>
      </c>
      <c r="K1029" s="21" t="str">
        <f>'Raw Data'!K1029</f>
        <v>Fashion</v>
      </c>
      <c r="L1029" s="21">
        <f>'Raw Data'!L1029</f>
        <v>3</v>
      </c>
      <c r="M1029" s="21" t="str">
        <f>'Raw Data'!M1029</f>
        <v>Divorced</v>
      </c>
      <c r="N1029" s="21">
        <f>'Raw Data'!N1029</f>
        <v>1</v>
      </c>
      <c r="O1029" s="21">
        <f>'Raw Data'!O1029</f>
        <v>0</v>
      </c>
      <c r="P1029" s="21">
        <f>IF('Raw Data'!P1029="",ROUND(AVERAGE('Raw Data'!$P$2:$P$1501),1),'Raw Data'!P1029)</f>
        <v>17.600000000000001</v>
      </c>
      <c r="Q1029" s="21">
        <f>IF('Raw Data'!Q1029="",ROUND(AVERAGE('Raw Data'!$Q$2:$Q$1501),0),'Raw Data'!Q1029)</f>
        <v>1</v>
      </c>
      <c r="R1029" s="21">
        <f>'Raw Data'!R1029</f>
        <v>4</v>
      </c>
      <c r="S1029" s="21">
        <f>IF('Raw Data'!S1029="",ROUND(AVERAGE('Raw Data'!$S$2:$S$1501),0),'Raw Data'!S1029)</f>
        <v>1</v>
      </c>
      <c r="T1029" s="21">
        <f>'Raw Data'!T1029</f>
        <v>174.87</v>
      </c>
      <c r="U1029" s="21" t="str">
        <f>INDEX('Lookup Tables'!$C$7:$C$9,MATCH(E1029,'Lookup Tables'!$B$7:$B$9,0))</f>
        <v>Tier 3 (Semi-urban/Rural)</v>
      </c>
      <c r="V1029" s="21" t="str">
        <f t="shared" si="48"/>
        <v>7-12 months</v>
      </c>
      <c r="W1029" s="21" t="str">
        <f t="shared" si="49"/>
        <v>Medium Risk</v>
      </c>
      <c r="X1029" s="21" t="str">
        <f t="shared" si="50"/>
        <v>No</v>
      </c>
    </row>
    <row r="1030" spans="1:24" x14ac:dyDescent="0.3">
      <c r="A1030" s="21">
        <f>'Raw Data'!A1030</f>
        <v>51029</v>
      </c>
      <c r="B1030" s="21">
        <f>'Raw Data'!B1030</f>
        <v>0</v>
      </c>
      <c r="C1030" s="21">
        <f>'Raw Data'!C1030</f>
        <v>0</v>
      </c>
      <c r="D1030" s="21" t="str">
        <f>'Raw Data'!D1030</f>
        <v>Phone</v>
      </c>
      <c r="E1030" s="21">
        <f>'Raw Data'!E1030</f>
        <v>3</v>
      </c>
      <c r="F1030" s="21">
        <f>IF('Raw Data'!F1030="",ROUND(AVERAGE('Raw Data'!$F$2:$F$1501),1),'Raw Data'!F1030)</f>
        <v>9</v>
      </c>
      <c r="G1030" s="21" t="str">
        <f>'Raw Data'!G1030</f>
        <v>Debit Card</v>
      </c>
      <c r="H1030" s="21" t="str">
        <f>'Raw Data'!H1030</f>
        <v>Female</v>
      </c>
      <c r="I1030" s="21">
        <f>IF('Raw Data'!I1030="",ROUND(AVERAGE('Raw Data'!$I$2:$I$1501),1),'Raw Data'!I1030)</f>
        <v>1.8</v>
      </c>
      <c r="J1030" s="21">
        <f>'Raw Data'!J1030</f>
        <v>2</v>
      </c>
      <c r="K1030" s="21" t="str">
        <f>'Raw Data'!K1030</f>
        <v>Laptop &amp; Accessory</v>
      </c>
      <c r="L1030" s="21">
        <f>'Raw Data'!L1030</f>
        <v>4</v>
      </c>
      <c r="M1030" s="21" t="str">
        <f>'Raw Data'!M1030</f>
        <v>Married</v>
      </c>
      <c r="N1030" s="21">
        <f>'Raw Data'!N1030</f>
        <v>4</v>
      </c>
      <c r="O1030" s="21">
        <f>'Raw Data'!O1030</f>
        <v>1</v>
      </c>
      <c r="P1030" s="21">
        <f>IF('Raw Data'!P1030="",ROUND(AVERAGE('Raw Data'!$P$2:$P$1501),1),'Raw Data'!P1030)</f>
        <v>14.9</v>
      </c>
      <c r="Q1030" s="21">
        <f>IF('Raw Data'!Q1030="",ROUND(AVERAGE('Raw Data'!$Q$2:$Q$1501),0),'Raw Data'!Q1030)</f>
        <v>1</v>
      </c>
      <c r="R1030" s="21">
        <f>'Raw Data'!R1030</f>
        <v>3</v>
      </c>
      <c r="S1030" s="21">
        <f>IF('Raw Data'!S1030="",ROUND(AVERAGE('Raw Data'!$S$2:$S$1501),0),'Raw Data'!S1030)</f>
        <v>5</v>
      </c>
      <c r="T1030" s="21">
        <f>'Raw Data'!T1030</f>
        <v>148.84</v>
      </c>
      <c r="U1030" s="21" t="str">
        <f>INDEX('Lookup Tables'!$C$7:$C$9,MATCH(E1030,'Lookup Tables'!$B$7:$B$9,0))</f>
        <v>Tier 3 (Semi-urban/Rural)</v>
      </c>
      <c r="V1030" s="21" t="str">
        <f t="shared" si="48"/>
        <v>0-6 months</v>
      </c>
      <c r="W1030" s="21" t="str">
        <f t="shared" si="49"/>
        <v>Low Risk</v>
      </c>
      <c r="X1030" s="21" t="str">
        <f t="shared" si="50"/>
        <v>No</v>
      </c>
    </row>
    <row r="1031" spans="1:24" x14ac:dyDescent="0.3">
      <c r="A1031" s="21">
        <f>'Raw Data'!A1031</f>
        <v>51030</v>
      </c>
      <c r="B1031" s="21">
        <f>'Raw Data'!B1031</f>
        <v>0</v>
      </c>
      <c r="C1031" s="21">
        <f>'Raw Data'!C1031</f>
        <v>34</v>
      </c>
      <c r="D1031" s="21" t="str">
        <f>'Raw Data'!D1031</f>
        <v>Mobile Phone</v>
      </c>
      <c r="E1031" s="21">
        <f>'Raw Data'!E1031</f>
        <v>2</v>
      </c>
      <c r="F1031" s="21">
        <f>IF('Raw Data'!F1031="",ROUND(AVERAGE('Raw Data'!$F$2:$F$1501),1),'Raw Data'!F1031)</f>
        <v>12</v>
      </c>
      <c r="G1031" s="21" t="str">
        <f>'Raw Data'!G1031</f>
        <v>UPI</v>
      </c>
      <c r="H1031" s="21" t="str">
        <f>'Raw Data'!H1031</f>
        <v>Female</v>
      </c>
      <c r="I1031" s="21">
        <f>IF('Raw Data'!I1031="",ROUND(AVERAGE('Raw Data'!$I$2:$I$1501),1),'Raw Data'!I1031)</f>
        <v>3.9</v>
      </c>
      <c r="J1031" s="21">
        <f>'Raw Data'!J1031</f>
        <v>4</v>
      </c>
      <c r="K1031" s="21" t="str">
        <f>'Raw Data'!K1031</f>
        <v>Grocery</v>
      </c>
      <c r="L1031" s="21">
        <f>'Raw Data'!L1031</f>
        <v>4</v>
      </c>
      <c r="M1031" s="21" t="str">
        <f>'Raw Data'!M1031</f>
        <v>Divorced</v>
      </c>
      <c r="N1031" s="21">
        <f>'Raw Data'!N1031</f>
        <v>4</v>
      </c>
      <c r="O1031" s="21">
        <f>'Raw Data'!O1031</f>
        <v>1</v>
      </c>
      <c r="P1031" s="21">
        <f>IF('Raw Data'!P1031="",ROUND(AVERAGE('Raw Data'!$P$2:$P$1501),1),'Raw Data'!P1031)</f>
        <v>17.8</v>
      </c>
      <c r="Q1031" s="21">
        <f>IF('Raw Data'!Q1031="",ROUND(AVERAGE('Raw Data'!$Q$2:$Q$1501),0),'Raw Data'!Q1031)</f>
        <v>0</v>
      </c>
      <c r="R1031" s="21">
        <f>'Raw Data'!R1031</f>
        <v>3</v>
      </c>
      <c r="S1031" s="21">
        <f>IF('Raw Data'!S1031="",ROUND(AVERAGE('Raw Data'!$S$2:$S$1501),0),'Raw Data'!S1031)</f>
        <v>2</v>
      </c>
      <c r="T1031" s="21">
        <f>'Raw Data'!T1031</f>
        <v>91.91</v>
      </c>
      <c r="U1031" s="21" t="str">
        <f>INDEX('Lookup Tables'!$C$7:$C$9,MATCH(E1031,'Lookup Tables'!$B$7:$B$9,0))</f>
        <v>Tier 2 (Urban)</v>
      </c>
      <c r="V1031" s="21" t="str">
        <f t="shared" si="48"/>
        <v>25+ months</v>
      </c>
      <c r="W1031" s="21" t="str">
        <f t="shared" si="49"/>
        <v>Low Risk</v>
      </c>
      <c r="X1031" s="21" t="str">
        <f t="shared" si="50"/>
        <v>No</v>
      </c>
    </row>
    <row r="1032" spans="1:24" x14ac:dyDescent="0.3">
      <c r="A1032" s="21">
        <f>'Raw Data'!A1032</f>
        <v>51031</v>
      </c>
      <c r="B1032" s="21">
        <f>'Raw Data'!B1032</f>
        <v>0</v>
      </c>
      <c r="C1032" s="21">
        <f>'Raw Data'!C1032</f>
        <v>16</v>
      </c>
      <c r="D1032" s="21" t="str">
        <f>'Raw Data'!D1032</f>
        <v>Computer</v>
      </c>
      <c r="E1032" s="21">
        <f>'Raw Data'!E1032</f>
        <v>1</v>
      </c>
      <c r="F1032" s="21">
        <f>IF('Raw Data'!F1032="",ROUND(AVERAGE('Raw Data'!$F$2:$F$1501),1),'Raw Data'!F1032)</f>
        <v>8</v>
      </c>
      <c r="G1032" s="21" t="str">
        <f>'Raw Data'!G1032</f>
        <v>Debit Card</v>
      </c>
      <c r="H1032" s="21" t="str">
        <f>'Raw Data'!H1032</f>
        <v>Male</v>
      </c>
      <c r="I1032" s="21">
        <f>IF('Raw Data'!I1032="",ROUND(AVERAGE('Raw Data'!$I$2:$I$1501),1),'Raw Data'!I1032)</f>
        <v>4.3</v>
      </c>
      <c r="J1032" s="21">
        <f>'Raw Data'!J1032</f>
        <v>2</v>
      </c>
      <c r="K1032" s="21" t="str">
        <f>'Raw Data'!K1032</f>
        <v>Laptop &amp; Accessory</v>
      </c>
      <c r="L1032" s="21">
        <f>'Raw Data'!L1032</f>
        <v>3</v>
      </c>
      <c r="M1032" s="21" t="str">
        <f>'Raw Data'!M1032</f>
        <v>Married</v>
      </c>
      <c r="N1032" s="21">
        <f>'Raw Data'!N1032</f>
        <v>3</v>
      </c>
      <c r="O1032" s="21">
        <f>'Raw Data'!O1032</f>
        <v>0</v>
      </c>
      <c r="P1032" s="21">
        <f>IF('Raw Data'!P1032="",ROUND(AVERAGE('Raw Data'!$P$2:$P$1501),1),'Raw Data'!P1032)</f>
        <v>14.7</v>
      </c>
      <c r="Q1032" s="21">
        <f>IF('Raw Data'!Q1032="",ROUND(AVERAGE('Raw Data'!$Q$2:$Q$1501),0),'Raw Data'!Q1032)</f>
        <v>2</v>
      </c>
      <c r="R1032" s="21">
        <f>'Raw Data'!R1032</f>
        <v>3</v>
      </c>
      <c r="S1032" s="21">
        <f>IF('Raw Data'!S1032="",ROUND(AVERAGE('Raw Data'!$S$2:$S$1501),0),'Raw Data'!S1032)</f>
        <v>9</v>
      </c>
      <c r="T1032" s="21">
        <f>'Raw Data'!T1032</f>
        <v>102.18</v>
      </c>
      <c r="U1032" s="21" t="str">
        <f>INDEX('Lookup Tables'!$C$7:$C$9,MATCH(E1032,'Lookup Tables'!$B$7:$B$9,0))</f>
        <v>Tier 1 (Metro)</v>
      </c>
      <c r="V1032" s="21" t="str">
        <f t="shared" si="48"/>
        <v>13-24 months</v>
      </c>
      <c r="W1032" s="21" t="str">
        <f t="shared" si="49"/>
        <v>Medium Risk</v>
      </c>
      <c r="X1032" s="21" t="str">
        <f t="shared" si="50"/>
        <v>No</v>
      </c>
    </row>
    <row r="1033" spans="1:24" x14ac:dyDescent="0.3">
      <c r="A1033" s="21">
        <f>'Raw Data'!A1033</f>
        <v>51032</v>
      </c>
      <c r="B1033" s="21">
        <f>'Raw Data'!B1033</f>
        <v>0</v>
      </c>
      <c r="C1033" s="21">
        <f>'Raw Data'!C1033</f>
        <v>3</v>
      </c>
      <c r="D1033" s="21" t="str">
        <f>'Raw Data'!D1033</f>
        <v>Mobile Phone</v>
      </c>
      <c r="E1033" s="21">
        <f>'Raw Data'!E1033</f>
        <v>2</v>
      </c>
      <c r="F1033" s="21">
        <f>IF('Raw Data'!F1033="",ROUND(AVERAGE('Raw Data'!$F$2:$F$1501),1),'Raw Data'!F1033)</f>
        <v>12</v>
      </c>
      <c r="G1033" s="21" t="str">
        <f>'Raw Data'!G1033</f>
        <v>Credit Card</v>
      </c>
      <c r="H1033" s="21" t="str">
        <f>'Raw Data'!H1033</f>
        <v>Female</v>
      </c>
      <c r="I1033" s="21">
        <f>IF('Raw Data'!I1033="",ROUND(AVERAGE('Raw Data'!$I$2:$I$1501),1),'Raw Data'!I1033)</f>
        <v>4</v>
      </c>
      <c r="J1033" s="21">
        <f>'Raw Data'!J1033</f>
        <v>4</v>
      </c>
      <c r="K1033" s="21" t="str">
        <f>'Raw Data'!K1033</f>
        <v>Fashion</v>
      </c>
      <c r="L1033" s="21">
        <f>'Raw Data'!L1033</f>
        <v>4</v>
      </c>
      <c r="M1033" s="21" t="str">
        <f>'Raw Data'!M1033</f>
        <v>Married</v>
      </c>
      <c r="N1033" s="21">
        <f>'Raw Data'!N1033</f>
        <v>1</v>
      </c>
      <c r="O1033" s="21">
        <f>'Raw Data'!O1033</f>
        <v>0</v>
      </c>
      <c r="P1033" s="21">
        <f>IF('Raw Data'!P1033="",ROUND(AVERAGE('Raw Data'!$P$2:$P$1501),1),'Raw Data'!P1033)</f>
        <v>17.399999999999999</v>
      </c>
      <c r="Q1033" s="21">
        <f>IF('Raw Data'!Q1033="",ROUND(AVERAGE('Raw Data'!$Q$2:$Q$1501),0),'Raw Data'!Q1033)</f>
        <v>1</v>
      </c>
      <c r="R1033" s="21">
        <f>'Raw Data'!R1033</f>
        <v>2</v>
      </c>
      <c r="S1033" s="21">
        <f>IF('Raw Data'!S1033="",ROUND(AVERAGE('Raw Data'!$S$2:$S$1501),0),'Raw Data'!S1033)</f>
        <v>2</v>
      </c>
      <c r="T1033" s="21">
        <f>'Raw Data'!T1033</f>
        <v>110.37</v>
      </c>
      <c r="U1033" s="21" t="str">
        <f>INDEX('Lookup Tables'!$C$7:$C$9,MATCH(E1033,'Lookup Tables'!$B$7:$B$9,0))</f>
        <v>Tier 2 (Urban)</v>
      </c>
      <c r="V1033" s="21" t="str">
        <f t="shared" si="48"/>
        <v>0-6 months</v>
      </c>
      <c r="W1033" s="21" t="str">
        <f t="shared" si="49"/>
        <v>Low Risk</v>
      </c>
      <c r="X1033" s="21" t="str">
        <f t="shared" si="50"/>
        <v>No</v>
      </c>
    </row>
    <row r="1034" spans="1:24" x14ac:dyDescent="0.3">
      <c r="A1034" s="21">
        <f>'Raw Data'!A1034</f>
        <v>51033</v>
      </c>
      <c r="B1034" s="21">
        <f>'Raw Data'!B1034</f>
        <v>0</v>
      </c>
      <c r="C1034" s="21">
        <f>'Raw Data'!C1034</f>
        <v>39</v>
      </c>
      <c r="D1034" s="21" t="str">
        <f>'Raw Data'!D1034</f>
        <v>Mobile Phone</v>
      </c>
      <c r="E1034" s="21">
        <f>'Raw Data'!E1034</f>
        <v>2</v>
      </c>
      <c r="F1034" s="21">
        <f>IF('Raw Data'!F1034="",ROUND(AVERAGE('Raw Data'!$F$2:$F$1501),1),'Raw Data'!F1034)</f>
        <v>27</v>
      </c>
      <c r="G1034" s="21" t="str">
        <f>'Raw Data'!G1034</f>
        <v>Credit Card</v>
      </c>
      <c r="H1034" s="21" t="str">
        <f>'Raw Data'!H1034</f>
        <v>Female</v>
      </c>
      <c r="I1034" s="21">
        <f>IF('Raw Data'!I1034="",ROUND(AVERAGE('Raw Data'!$I$2:$I$1501),1),'Raw Data'!I1034)</f>
        <v>2.7</v>
      </c>
      <c r="J1034" s="21">
        <f>'Raw Data'!J1034</f>
        <v>3</v>
      </c>
      <c r="K1034" s="21" t="str">
        <f>'Raw Data'!K1034</f>
        <v>Mobile Phone</v>
      </c>
      <c r="L1034" s="21">
        <f>'Raw Data'!L1034</f>
        <v>2</v>
      </c>
      <c r="M1034" s="21" t="str">
        <f>'Raw Data'!M1034</f>
        <v>Married</v>
      </c>
      <c r="N1034" s="21">
        <f>'Raw Data'!N1034</f>
        <v>9</v>
      </c>
      <c r="O1034" s="21">
        <f>'Raw Data'!O1034</f>
        <v>0</v>
      </c>
      <c r="P1034" s="21">
        <f>IF('Raw Data'!P1034="",ROUND(AVERAGE('Raw Data'!$P$2:$P$1501),1),'Raw Data'!P1034)</f>
        <v>20.9</v>
      </c>
      <c r="Q1034" s="21">
        <f>IF('Raw Data'!Q1034="",ROUND(AVERAGE('Raw Data'!$Q$2:$Q$1501),0),'Raw Data'!Q1034)</f>
        <v>3</v>
      </c>
      <c r="R1034" s="21">
        <f>'Raw Data'!R1034</f>
        <v>3</v>
      </c>
      <c r="S1034" s="21">
        <f>IF('Raw Data'!S1034="",ROUND(AVERAGE('Raw Data'!$S$2:$S$1501),0),'Raw Data'!S1034)</f>
        <v>3</v>
      </c>
      <c r="T1034" s="21">
        <f>'Raw Data'!T1034</f>
        <v>176.79</v>
      </c>
      <c r="U1034" s="21" t="str">
        <f>INDEX('Lookup Tables'!$C$7:$C$9,MATCH(E1034,'Lookup Tables'!$B$7:$B$9,0))</f>
        <v>Tier 2 (Urban)</v>
      </c>
      <c r="V1034" s="21" t="str">
        <f t="shared" si="48"/>
        <v>25+ months</v>
      </c>
      <c r="W1034" s="21" t="str">
        <f t="shared" si="49"/>
        <v>Low Risk</v>
      </c>
      <c r="X1034" s="21" t="str">
        <f t="shared" si="50"/>
        <v>No</v>
      </c>
    </row>
    <row r="1035" spans="1:24" x14ac:dyDescent="0.3">
      <c r="A1035" s="21">
        <f>'Raw Data'!A1035</f>
        <v>51034</v>
      </c>
      <c r="B1035" s="21">
        <f>'Raw Data'!B1035</f>
        <v>0</v>
      </c>
      <c r="C1035" s="21">
        <f>'Raw Data'!C1035</f>
        <v>9</v>
      </c>
      <c r="D1035" s="21" t="str">
        <f>'Raw Data'!D1035</f>
        <v>Mobile Phone</v>
      </c>
      <c r="E1035" s="21">
        <f>'Raw Data'!E1035</f>
        <v>3</v>
      </c>
      <c r="F1035" s="21">
        <f>IF('Raw Data'!F1035="",ROUND(AVERAGE('Raw Data'!$F$2:$F$1501),1),'Raw Data'!F1035)</f>
        <v>21</v>
      </c>
      <c r="G1035" s="21" t="str">
        <f>'Raw Data'!G1035</f>
        <v>Debit Card</v>
      </c>
      <c r="H1035" s="21" t="str">
        <f>'Raw Data'!H1035</f>
        <v>Male</v>
      </c>
      <c r="I1035" s="21">
        <f>IF('Raw Data'!I1035="",ROUND(AVERAGE('Raw Data'!$I$2:$I$1501),1),'Raw Data'!I1035)</f>
        <v>2.1</v>
      </c>
      <c r="J1035" s="21">
        <f>'Raw Data'!J1035</f>
        <v>3</v>
      </c>
      <c r="K1035" s="21" t="str">
        <f>'Raw Data'!K1035</f>
        <v>Mobile Phone</v>
      </c>
      <c r="L1035" s="21">
        <f>'Raw Data'!L1035</f>
        <v>5</v>
      </c>
      <c r="M1035" s="21" t="str">
        <f>'Raw Data'!M1035</f>
        <v>Married</v>
      </c>
      <c r="N1035" s="21">
        <f>'Raw Data'!N1035</f>
        <v>2</v>
      </c>
      <c r="O1035" s="21">
        <f>'Raw Data'!O1035</f>
        <v>0</v>
      </c>
      <c r="P1035" s="21">
        <f>IF('Raw Data'!P1035="",ROUND(AVERAGE('Raw Data'!$P$2:$P$1501),1),'Raw Data'!P1035)</f>
        <v>11</v>
      </c>
      <c r="Q1035" s="21">
        <f>IF('Raw Data'!Q1035="",ROUND(AVERAGE('Raw Data'!$Q$2:$Q$1501),0),'Raw Data'!Q1035)</f>
        <v>3</v>
      </c>
      <c r="R1035" s="21">
        <f>'Raw Data'!R1035</f>
        <v>4</v>
      </c>
      <c r="S1035" s="21">
        <f>IF('Raw Data'!S1035="",ROUND(AVERAGE('Raw Data'!$S$2:$S$1501),0),'Raw Data'!S1035)</f>
        <v>2</v>
      </c>
      <c r="T1035" s="21">
        <f>'Raw Data'!T1035</f>
        <v>154.81</v>
      </c>
      <c r="U1035" s="21" t="str">
        <f>INDEX('Lookup Tables'!$C$7:$C$9,MATCH(E1035,'Lookup Tables'!$B$7:$B$9,0))</f>
        <v>Tier 3 (Semi-urban/Rural)</v>
      </c>
      <c r="V1035" s="21" t="str">
        <f t="shared" si="48"/>
        <v>7-12 months</v>
      </c>
      <c r="W1035" s="21" t="str">
        <f t="shared" si="49"/>
        <v>Low Risk</v>
      </c>
      <c r="X1035" s="21" t="str">
        <f t="shared" si="50"/>
        <v>No</v>
      </c>
    </row>
    <row r="1036" spans="1:24" x14ac:dyDescent="0.3">
      <c r="A1036" s="21">
        <f>'Raw Data'!A1036</f>
        <v>51035</v>
      </c>
      <c r="B1036" s="21">
        <f>'Raw Data'!B1036</f>
        <v>0</v>
      </c>
      <c r="C1036" s="21">
        <f>'Raw Data'!C1036</f>
        <v>8</v>
      </c>
      <c r="D1036" s="21" t="str">
        <f>'Raw Data'!D1036</f>
        <v>Phone</v>
      </c>
      <c r="E1036" s="21">
        <f>'Raw Data'!E1036</f>
        <v>1</v>
      </c>
      <c r="F1036" s="21">
        <f>IF('Raw Data'!F1036="",ROUND(AVERAGE('Raw Data'!$F$2:$F$1501),1),'Raw Data'!F1036)</f>
        <v>21</v>
      </c>
      <c r="G1036" s="21" t="str">
        <f>'Raw Data'!G1036</f>
        <v>Credit Card</v>
      </c>
      <c r="H1036" s="21" t="str">
        <f>'Raw Data'!H1036</f>
        <v>Male</v>
      </c>
      <c r="I1036" s="21">
        <f>IF('Raw Data'!I1036="",ROUND(AVERAGE('Raw Data'!$I$2:$I$1501),1),'Raw Data'!I1036)</f>
        <v>2.2000000000000002</v>
      </c>
      <c r="J1036" s="21">
        <f>'Raw Data'!J1036</f>
        <v>4</v>
      </c>
      <c r="K1036" s="21" t="str">
        <f>'Raw Data'!K1036</f>
        <v>Fashion</v>
      </c>
      <c r="L1036" s="21">
        <f>'Raw Data'!L1036</f>
        <v>4</v>
      </c>
      <c r="M1036" s="21" t="str">
        <f>'Raw Data'!M1036</f>
        <v>Married</v>
      </c>
      <c r="N1036" s="21">
        <f>'Raw Data'!N1036</f>
        <v>5</v>
      </c>
      <c r="O1036" s="21">
        <f>'Raw Data'!O1036</f>
        <v>0</v>
      </c>
      <c r="P1036" s="21">
        <f>IF('Raw Data'!P1036="",ROUND(AVERAGE('Raw Data'!$P$2:$P$1501),1),'Raw Data'!P1036)</f>
        <v>18.8</v>
      </c>
      <c r="Q1036" s="21">
        <f>IF('Raw Data'!Q1036="",ROUND(AVERAGE('Raw Data'!$Q$2:$Q$1501),0),'Raw Data'!Q1036)</f>
        <v>1</v>
      </c>
      <c r="R1036" s="21">
        <f>'Raw Data'!R1036</f>
        <v>2</v>
      </c>
      <c r="S1036" s="21">
        <f>IF('Raw Data'!S1036="",ROUND(AVERAGE('Raw Data'!$S$2:$S$1501),0),'Raw Data'!S1036)</f>
        <v>4</v>
      </c>
      <c r="T1036" s="21">
        <f>'Raw Data'!T1036</f>
        <v>127.24</v>
      </c>
      <c r="U1036" s="21" t="str">
        <f>INDEX('Lookup Tables'!$C$7:$C$9,MATCH(E1036,'Lookup Tables'!$B$7:$B$9,0))</f>
        <v>Tier 1 (Metro)</v>
      </c>
      <c r="V1036" s="21" t="str">
        <f t="shared" si="48"/>
        <v>7-12 months</v>
      </c>
      <c r="W1036" s="21" t="str">
        <f t="shared" si="49"/>
        <v>Low Risk</v>
      </c>
      <c r="X1036" s="21" t="str">
        <f t="shared" si="50"/>
        <v>No</v>
      </c>
    </row>
    <row r="1037" spans="1:24" x14ac:dyDescent="0.3">
      <c r="A1037" s="21">
        <f>'Raw Data'!A1037</f>
        <v>51036</v>
      </c>
      <c r="B1037" s="21">
        <f>'Raw Data'!B1037</f>
        <v>0</v>
      </c>
      <c r="C1037" s="21">
        <f>'Raw Data'!C1037</f>
        <v>13</v>
      </c>
      <c r="D1037" s="21" t="str">
        <f>'Raw Data'!D1037</f>
        <v>Phone</v>
      </c>
      <c r="E1037" s="21">
        <f>'Raw Data'!E1037</f>
        <v>1</v>
      </c>
      <c r="F1037" s="21">
        <f>IF('Raw Data'!F1037="",ROUND(AVERAGE('Raw Data'!$F$2:$F$1501),1),'Raw Data'!F1037)</f>
        <v>5</v>
      </c>
      <c r="G1037" s="21" t="str">
        <f>'Raw Data'!G1037</f>
        <v>Credit Card</v>
      </c>
      <c r="H1037" s="21" t="str">
        <f>'Raw Data'!H1037</f>
        <v>Male</v>
      </c>
      <c r="I1037" s="21">
        <f>IF('Raw Data'!I1037="",ROUND(AVERAGE('Raw Data'!$I$2:$I$1501),1),'Raw Data'!I1037)</f>
        <v>1.7</v>
      </c>
      <c r="J1037" s="21">
        <f>'Raw Data'!J1037</f>
        <v>3</v>
      </c>
      <c r="K1037" s="21" t="str">
        <f>'Raw Data'!K1037</f>
        <v>Others</v>
      </c>
      <c r="L1037" s="21">
        <f>'Raw Data'!L1037</f>
        <v>4</v>
      </c>
      <c r="M1037" s="21" t="str">
        <f>'Raw Data'!M1037</f>
        <v>Married</v>
      </c>
      <c r="N1037" s="21">
        <f>'Raw Data'!N1037</f>
        <v>1</v>
      </c>
      <c r="O1037" s="21">
        <f>'Raw Data'!O1037</f>
        <v>1</v>
      </c>
      <c r="P1037" s="21">
        <f>IF('Raw Data'!P1037="",ROUND(AVERAGE('Raw Data'!$P$2:$P$1501),1),'Raw Data'!P1037)</f>
        <v>11</v>
      </c>
      <c r="Q1037" s="21">
        <f>IF('Raw Data'!Q1037="",ROUND(AVERAGE('Raw Data'!$Q$2:$Q$1501),0),'Raw Data'!Q1037)</f>
        <v>1</v>
      </c>
      <c r="R1037" s="21">
        <f>'Raw Data'!R1037</f>
        <v>4</v>
      </c>
      <c r="S1037" s="21">
        <f>IF('Raw Data'!S1037="",ROUND(AVERAGE('Raw Data'!$S$2:$S$1501),0),'Raw Data'!S1037)</f>
        <v>15</v>
      </c>
      <c r="T1037" s="21">
        <f>'Raw Data'!T1037</f>
        <v>158.44999999999999</v>
      </c>
      <c r="U1037" s="21" t="str">
        <f>INDEX('Lookup Tables'!$C$7:$C$9,MATCH(E1037,'Lookup Tables'!$B$7:$B$9,0))</f>
        <v>Tier 1 (Metro)</v>
      </c>
      <c r="V1037" s="21" t="str">
        <f t="shared" si="48"/>
        <v>13-24 months</v>
      </c>
      <c r="W1037" s="21" t="str">
        <f t="shared" si="49"/>
        <v>Low Risk</v>
      </c>
      <c r="X1037" s="21" t="str">
        <f t="shared" si="50"/>
        <v>No</v>
      </c>
    </row>
    <row r="1038" spans="1:24" x14ac:dyDescent="0.3">
      <c r="A1038" s="21">
        <f>'Raw Data'!A1038</f>
        <v>51037</v>
      </c>
      <c r="B1038" s="21">
        <f>'Raw Data'!B1038</f>
        <v>0</v>
      </c>
      <c r="C1038" s="21">
        <f>'Raw Data'!C1038</f>
        <v>16</v>
      </c>
      <c r="D1038" s="21" t="str">
        <f>'Raw Data'!D1038</f>
        <v>Mobile Phone</v>
      </c>
      <c r="E1038" s="21">
        <f>'Raw Data'!E1038</f>
        <v>3</v>
      </c>
      <c r="F1038" s="21">
        <f>IF('Raw Data'!F1038="",ROUND(AVERAGE('Raw Data'!$F$2:$F$1501),1),'Raw Data'!F1038)</f>
        <v>5</v>
      </c>
      <c r="G1038" s="21" t="str">
        <f>'Raw Data'!G1038</f>
        <v>Debit Card</v>
      </c>
      <c r="H1038" s="21" t="str">
        <f>'Raw Data'!H1038</f>
        <v>Male</v>
      </c>
      <c r="I1038" s="21">
        <f>IF('Raw Data'!I1038="",ROUND(AVERAGE('Raw Data'!$I$2:$I$1501),1),'Raw Data'!I1038)</f>
        <v>2.8</v>
      </c>
      <c r="J1038" s="21">
        <f>'Raw Data'!J1038</f>
        <v>2</v>
      </c>
      <c r="K1038" s="21" t="str">
        <f>'Raw Data'!K1038</f>
        <v>Laptop &amp; Accessory</v>
      </c>
      <c r="L1038" s="21">
        <f>'Raw Data'!L1038</f>
        <v>3</v>
      </c>
      <c r="M1038" s="21" t="str">
        <f>'Raw Data'!M1038</f>
        <v>Married</v>
      </c>
      <c r="N1038" s="21">
        <f>'Raw Data'!N1038</f>
        <v>1</v>
      </c>
      <c r="O1038" s="21">
        <f>'Raw Data'!O1038</f>
        <v>0</v>
      </c>
      <c r="P1038" s="21">
        <f>IF('Raw Data'!P1038="",ROUND(AVERAGE('Raw Data'!$P$2:$P$1501),1),'Raw Data'!P1038)</f>
        <v>20.3</v>
      </c>
      <c r="Q1038" s="21">
        <f>IF('Raw Data'!Q1038="",ROUND(AVERAGE('Raw Data'!$Q$2:$Q$1501),0),'Raw Data'!Q1038)</f>
        <v>2</v>
      </c>
      <c r="R1038" s="21">
        <f>'Raw Data'!R1038</f>
        <v>2</v>
      </c>
      <c r="S1038" s="21">
        <f>IF('Raw Data'!S1038="",ROUND(AVERAGE('Raw Data'!$S$2:$S$1501),0),'Raw Data'!S1038)</f>
        <v>1</v>
      </c>
      <c r="T1038" s="21">
        <f>'Raw Data'!T1038</f>
        <v>221.11</v>
      </c>
      <c r="U1038" s="21" t="str">
        <f>INDEX('Lookup Tables'!$C$7:$C$9,MATCH(E1038,'Lookup Tables'!$B$7:$B$9,0))</f>
        <v>Tier 3 (Semi-urban/Rural)</v>
      </c>
      <c r="V1038" s="21" t="str">
        <f t="shared" si="48"/>
        <v>13-24 months</v>
      </c>
      <c r="W1038" s="21" t="str">
        <f t="shared" si="49"/>
        <v>Medium Risk</v>
      </c>
      <c r="X1038" s="21" t="str">
        <f t="shared" si="50"/>
        <v>No</v>
      </c>
    </row>
    <row r="1039" spans="1:24" x14ac:dyDescent="0.3">
      <c r="A1039" s="21">
        <f>'Raw Data'!A1039</f>
        <v>51038</v>
      </c>
      <c r="B1039" s="21">
        <f>'Raw Data'!B1039</f>
        <v>0</v>
      </c>
      <c r="C1039" s="21">
        <f>'Raw Data'!C1039</f>
        <v>10</v>
      </c>
      <c r="D1039" s="21" t="str">
        <f>'Raw Data'!D1039</f>
        <v>Mobile Phone</v>
      </c>
      <c r="E1039" s="21">
        <f>'Raw Data'!E1039</f>
        <v>3</v>
      </c>
      <c r="F1039" s="21">
        <f>IF('Raw Data'!F1039="",ROUND(AVERAGE('Raw Data'!$F$2:$F$1501),1),'Raw Data'!F1039)</f>
        <v>5</v>
      </c>
      <c r="G1039" s="21" t="str">
        <f>'Raw Data'!G1039</f>
        <v>Credit Card</v>
      </c>
      <c r="H1039" s="21" t="str">
        <f>'Raw Data'!H1039</f>
        <v>Female</v>
      </c>
      <c r="I1039" s="21">
        <f>IF('Raw Data'!I1039="",ROUND(AVERAGE('Raw Data'!$I$2:$I$1501),1),'Raw Data'!I1039)</f>
        <v>4</v>
      </c>
      <c r="J1039" s="21">
        <f>'Raw Data'!J1039</f>
        <v>6</v>
      </c>
      <c r="K1039" s="21" t="str">
        <f>'Raw Data'!K1039</f>
        <v>Others</v>
      </c>
      <c r="L1039" s="21">
        <f>'Raw Data'!L1039</f>
        <v>2</v>
      </c>
      <c r="M1039" s="21" t="str">
        <f>'Raw Data'!M1039</f>
        <v>Single</v>
      </c>
      <c r="N1039" s="21">
        <f>'Raw Data'!N1039</f>
        <v>7</v>
      </c>
      <c r="O1039" s="21">
        <f>'Raw Data'!O1039</f>
        <v>0</v>
      </c>
      <c r="P1039" s="21">
        <f>IF('Raw Data'!P1039="",ROUND(AVERAGE('Raw Data'!$P$2:$P$1501),1),'Raw Data'!P1039)</f>
        <v>13.8</v>
      </c>
      <c r="Q1039" s="21">
        <f>IF('Raw Data'!Q1039="",ROUND(AVERAGE('Raw Data'!$Q$2:$Q$1501),0),'Raw Data'!Q1039)</f>
        <v>2</v>
      </c>
      <c r="R1039" s="21">
        <f>'Raw Data'!R1039</f>
        <v>2</v>
      </c>
      <c r="S1039" s="21">
        <f>IF('Raw Data'!S1039="",ROUND(AVERAGE('Raw Data'!$S$2:$S$1501),0),'Raw Data'!S1039)</f>
        <v>3</v>
      </c>
      <c r="T1039" s="21">
        <f>'Raw Data'!T1039</f>
        <v>199.62</v>
      </c>
      <c r="U1039" s="21" t="str">
        <f>INDEX('Lookup Tables'!$C$7:$C$9,MATCH(E1039,'Lookup Tables'!$B$7:$B$9,0))</f>
        <v>Tier 3 (Semi-urban/Rural)</v>
      </c>
      <c r="V1039" s="21" t="str">
        <f t="shared" si="48"/>
        <v>7-12 months</v>
      </c>
      <c r="W1039" s="21" t="str">
        <f t="shared" si="49"/>
        <v>Low Risk</v>
      </c>
      <c r="X1039" s="21" t="str">
        <f t="shared" si="50"/>
        <v>No</v>
      </c>
    </row>
    <row r="1040" spans="1:24" x14ac:dyDescent="0.3">
      <c r="A1040" s="21">
        <f>'Raw Data'!A1040</f>
        <v>51039</v>
      </c>
      <c r="B1040" s="21">
        <f>'Raw Data'!B1040</f>
        <v>0</v>
      </c>
      <c r="C1040" s="21">
        <f>'Raw Data'!C1040</f>
        <v>1</v>
      </c>
      <c r="D1040" s="21" t="str">
        <f>'Raw Data'!D1040</f>
        <v>Phone</v>
      </c>
      <c r="E1040" s="21">
        <f>'Raw Data'!E1040</f>
        <v>3</v>
      </c>
      <c r="F1040" s="21">
        <f>IF('Raw Data'!F1040="",ROUND(AVERAGE('Raw Data'!$F$2:$F$1501),1),'Raw Data'!F1040)</f>
        <v>8</v>
      </c>
      <c r="G1040" s="21" t="str">
        <f>'Raw Data'!G1040</f>
        <v>UPI</v>
      </c>
      <c r="H1040" s="21" t="str">
        <f>'Raw Data'!H1040</f>
        <v>Male</v>
      </c>
      <c r="I1040" s="21">
        <f>IF('Raw Data'!I1040="",ROUND(AVERAGE('Raw Data'!$I$2:$I$1501),1),'Raw Data'!I1040)</f>
        <v>2.8</v>
      </c>
      <c r="J1040" s="21">
        <f>'Raw Data'!J1040</f>
        <v>3</v>
      </c>
      <c r="K1040" s="21" t="str">
        <f>'Raw Data'!K1040</f>
        <v>Fashion</v>
      </c>
      <c r="L1040" s="21">
        <f>'Raw Data'!L1040</f>
        <v>3</v>
      </c>
      <c r="M1040" s="21" t="str">
        <f>'Raw Data'!M1040</f>
        <v>Married</v>
      </c>
      <c r="N1040" s="21">
        <f>'Raw Data'!N1040</f>
        <v>1</v>
      </c>
      <c r="O1040" s="21">
        <f>'Raw Data'!O1040</f>
        <v>0</v>
      </c>
      <c r="P1040" s="21">
        <f>IF('Raw Data'!P1040="",ROUND(AVERAGE('Raw Data'!$P$2:$P$1501),1),'Raw Data'!P1040)</f>
        <v>11.7</v>
      </c>
      <c r="Q1040" s="21">
        <f>IF('Raw Data'!Q1040="",ROUND(AVERAGE('Raw Data'!$Q$2:$Q$1501),0),'Raw Data'!Q1040)</f>
        <v>1</v>
      </c>
      <c r="R1040" s="21">
        <f>'Raw Data'!R1040</f>
        <v>4</v>
      </c>
      <c r="S1040" s="21">
        <f>IF('Raw Data'!S1040="",ROUND(AVERAGE('Raw Data'!$S$2:$S$1501),0),'Raw Data'!S1040)</f>
        <v>6</v>
      </c>
      <c r="T1040" s="21">
        <f>'Raw Data'!T1040</f>
        <v>235.1</v>
      </c>
      <c r="U1040" s="21" t="str">
        <f>INDEX('Lookup Tables'!$C$7:$C$9,MATCH(E1040,'Lookup Tables'!$B$7:$B$9,0))</f>
        <v>Tier 3 (Semi-urban/Rural)</v>
      </c>
      <c r="V1040" s="21" t="str">
        <f t="shared" si="48"/>
        <v>0-6 months</v>
      </c>
      <c r="W1040" s="21" t="str">
        <f t="shared" si="49"/>
        <v>Medium Risk</v>
      </c>
      <c r="X1040" s="21" t="str">
        <f t="shared" si="50"/>
        <v>No</v>
      </c>
    </row>
    <row r="1041" spans="1:24" x14ac:dyDescent="0.3">
      <c r="A1041" s="21">
        <f>'Raw Data'!A1041</f>
        <v>51040</v>
      </c>
      <c r="B1041" s="21">
        <f>'Raw Data'!B1041</f>
        <v>0</v>
      </c>
      <c r="C1041" s="21">
        <f>'Raw Data'!C1041</f>
        <v>4</v>
      </c>
      <c r="D1041" s="21" t="str">
        <f>'Raw Data'!D1041</f>
        <v>Mobile Phone</v>
      </c>
      <c r="E1041" s="21">
        <f>'Raw Data'!E1041</f>
        <v>3</v>
      </c>
      <c r="F1041" s="21">
        <f>IF('Raw Data'!F1041="",ROUND(AVERAGE('Raw Data'!$F$2:$F$1501),1),'Raw Data'!F1041)</f>
        <v>22</v>
      </c>
      <c r="G1041" s="21" t="str">
        <f>'Raw Data'!G1041</f>
        <v>Credit Card</v>
      </c>
      <c r="H1041" s="21" t="str">
        <f>'Raw Data'!H1041</f>
        <v>Female</v>
      </c>
      <c r="I1041" s="21">
        <f>IF('Raw Data'!I1041="",ROUND(AVERAGE('Raw Data'!$I$2:$I$1501),1),'Raw Data'!I1041)</f>
        <v>3.1</v>
      </c>
      <c r="J1041" s="21">
        <f>'Raw Data'!J1041</f>
        <v>1</v>
      </c>
      <c r="K1041" s="21" t="str">
        <f>'Raw Data'!K1041</f>
        <v>Grocery</v>
      </c>
      <c r="L1041" s="21">
        <f>'Raw Data'!L1041</f>
        <v>4</v>
      </c>
      <c r="M1041" s="21" t="str">
        <f>'Raw Data'!M1041</f>
        <v>Divorced</v>
      </c>
      <c r="N1041" s="21">
        <f>'Raw Data'!N1041</f>
        <v>2</v>
      </c>
      <c r="O1041" s="21">
        <f>'Raw Data'!O1041</f>
        <v>0</v>
      </c>
      <c r="P1041" s="21">
        <f>IF('Raw Data'!P1041="",ROUND(AVERAGE('Raw Data'!$P$2:$P$1501),1),'Raw Data'!P1041)</f>
        <v>18.399999999999999</v>
      </c>
      <c r="Q1041" s="21">
        <f>IF('Raw Data'!Q1041="",ROUND(AVERAGE('Raw Data'!$Q$2:$Q$1501),0),'Raw Data'!Q1041)</f>
        <v>1</v>
      </c>
      <c r="R1041" s="21">
        <f>'Raw Data'!R1041</f>
        <v>5</v>
      </c>
      <c r="S1041" s="21">
        <f>IF('Raw Data'!S1041="",ROUND(AVERAGE('Raw Data'!$S$2:$S$1501),0),'Raw Data'!S1041)</f>
        <v>11</v>
      </c>
      <c r="T1041" s="21">
        <f>'Raw Data'!T1041</f>
        <v>167.44</v>
      </c>
      <c r="U1041" s="21" t="str">
        <f>INDEX('Lookup Tables'!$C$7:$C$9,MATCH(E1041,'Lookup Tables'!$B$7:$B$9,0))</f>
        <v>Tier 3 (Semi-urban/Rural)</v>
      </c>
      <c r="V1041" s="21" t="str">
        <f t="shared" si="48"/>
        <v>0-6 months</v>
      </c>
      <c r="W1041" s="21" t="str">
        <f t="shared" si="49"/>
        <v>Low Risk</v>
      </c>
      <c r="X1041" s="21" t="str">
        <f t="shared" si="50"/>
        <v>No</v>
      </c>
    </row>
    <row r="1042" spans="1:24" x14ac:dyDescent="0.3">
      <c r="A1042" s="21">
        <f>'Raw Data'!A1042</f>
        <v>51041</v>
      </c>
      <c r="B1042" s="21">
        <f>'Raw Data'!B1042</f>
        <v>0</v>
      </c>
      <c r="C1042" s="21">
        <f>'Raw Data'!C1042</f>
        <v>26</v>
      </c>
      <c r="D1042" s="21" t="str">
        <f>'Raw Data'!D1042</f>
        <v>Mobile Phone</v>
      </c>
      <c r="E1042" s="21">
        <f>'Raw Data'!E1042</f>
        <v>2</v>
      </c>
      <c r="F1042" s="21">
        <f>IF('Raw Data'!F1042="",ROUND(AVERAGE('Raw Data'!$F$2:$F$1501),1),'Raw Data'!F1042)</f>
        <v>19</v>
      </c>
      <c r="G1042" s="21" t="str">
        <f>'Raw Data'!G1042</f>
        <v>Debit Card</v>
      </c>
      <c r="H1042" s="21" t="str">
        <f>'Raw Data'!H1042</f>
        <v>Female</v>
      </c>
      <c r="I1042" s="21">
        <f>IF('Raw Data'!I1042="",ROUND(AVERAGE('Raw Data'!$I$2:$I$1501),1),'Raw Data'!I1042)</f>
        <v>3.9</v>
      </c>
      <c r="J1042" s="21">
        <f>'Raw Data'!J1042</f>
        <v>2</v>
      </c>
      <c r="K1042" s="21" t="str">
        <f>'Raw Data'!K1042</f>
        <v>Mobile Phone</v>
      </c>
      <c r="L1042" s="21">
        <f>'Raw Data'!L1042</f>
        <v>4</v>
      </c>
      <c r="M1042" s="21" t="str">
        <f>'Raw Data'!M1042</f>
        <v>Married</v>
      </c>
      <c r="N1042" s="21">
        <f>'Raw Data'!N1042</f>
        <v>2</v>
      </c>
      <c r="O1042" s="21">
        <f>'Raw Data'!O1042</f>
        <v>0</v>
      </c>
      <c r="P1042" s="21">
        <f>IF('Raw Data'!P1042="",ROUND(AVERAGE('Raw Data'!$P$2:$P$1501),1),'Raw Data'!P1042)</f>
        <v>17.3</v>
      </c>
      <c r="Q1042" s="21">
        <f>IF('Raw Data'!Q1042="",ROUND(AVERAGE('Raw Data'!$Q$2:$Q$1501),0),'Raw Data'!Q1042)</f>
        <v>0</v>
      </c>
      <c r="R1042" s="21">
        <f>'Raw Data'!R1042</f>
        <v>8</v>
      </c>
      <c r="S1042" s="21">
        <f>IF('Raw Data'!S1042="",ROUND(AVERAGE('Raw Data'!$S$2:$S$1501),0),'Raw Data'!S1042)</f>
        <v>3</v>
      </c>
      <c r="T1042" s="21">
        <f>'Raw Data'!T1042</f>
        <v>268.14</v>
      </c>
      <c r="U1042" s="21" t="str">
        <f>INDEX('Lookup Tables'!$C$7:$C$9,MATCH(E1042,'Lookup Tables'!$B$7:$B$9,0))</f>
        <v>Tier 2 (Urban)</v>
      </c>
      <c r="V1042" s="21" t="str">
        <f t="shared" si="48"/>
        <v>25+ months</v>
      </c>
      <c r="W1042" s="21" t="str">
        <f t="shared" si="49"/>
        <v>Low Risk</v>
      </c>
      <c r="X1042" s="21" t="str">
        <f t="shared" si="50"/>
        <v>No</v>
      </c>
    </row>
    <row r="1043" spans="1:24" x14ac:dyDescent="0.3">
      <c r="A1043" s="21">
        <f>'Raw Data'!A1043</f>
        <v>51042</v>
      </c>
      <c r="B1043" s="21">
        <f>'Raw Data'!B1043</f>
        <v>1</v>
      </c>
      <c r="C1043" s="21">
        <f>'Raw Data'!C1043</f>
        <v>2</v>
      </c>
      <c r="D1043" s="21" t="str">
        <f>'Raw Data'!D1043</f>
        <v>Computer</v>
      </c>
      <c r="E1043" s="21">
        <f>'Raw Data'!E1043</f>
        <v>2</v>
      </c>
      <c r="F1043" s="21">
        <f>IF('Raw Data'!F1043="",ROUND(AVERAGE('Raw Data'!$F$2:$F$1501),1),'Raw Data'!F1043)</f>
        <v>13</v>
      </c>
      <c r="G1043" s="21" t="str">
        <f>'Raw Data'!G1043</f>
        <v>Credit Card</v>
      </c>
      <c r="H1043" s="21" t="str">
        <f>'Raw Data'!H1043</f>
        <v>Female</v>
      </c>
      <c r="I1043" s="21">
        <f>IF('Raw Data'!I1043="",ROUND(AVERAGE('Raw Data'!$I$2:$I$1501),1),'Raw Data'!I1043)</f>
        <v>2.6</v>
      </c>
      <c r="J1043" s="21">
        <f>'Raw Data'!J1043</f>
        <v>2</v>
      </c>
      <c r="K1043" s="21" t="str">
        <f>'Raw Data'!K1043</f>
        <v>Mobile Phone</v>
      </c>
      <c r="L1043" s="21">
        <f>'Raw Data'!L1043</f>
        <v>3</v>
      </c>
      <c r="M1043" s="21" t="str">
        <f>'Raw Data'!M1043</f>
        <v>Married</v>
      </c>
      <c r="N1043" s="21">
        <f>'Raw Data'!N1043</f>
        <v>4</v>
      </c>
      <c r="O1043" s="21">
        <f>'Raw Data'!O1043</f>
        <v>0</v>
      </c>
      <c r="P1043" s="21">
        <f>IF('Raw Data'!P1043="",ROUND(AVERAGE('Raw Data'!$P$2:$P$1501),1),'Raw Data'!P1043)</f>
        <v>12.5</v>
      </c>
      <c r="Q1043" s="21">
        <f>IF('Raw Data'!Q1043="",ROUND(AVERAGE('Raw Data'!$Q$2:$Q$1501),0),'Raw Data'!Q1043)</f>
        <v>3</v>
      </c>
      <c r="R1043" s="21">
        <f>'Raw Data'!R1043</f>
        <v>3</v>
      </c>
      <c r="S1043" s="21">
        <f>IF('Raw Data'!S1043="",ROUND(AVERAGE('Raw Data'!$S$2:$S$1501),0),'Raw Data'!S1043)</f>
        <v>0</v>
      </c>
      <c r="T1043" s="21">
        <f>'Raw Data'!T1043</f>
        <v>199.14</v>
      </c>
      <c r="U1043" s="21" t="str">
        <f>INDEX('Lookup Tables'!$C$7:$C$9,MATCH(E1043,'Lookup Tables'!$B$7:$B$9,0))</f>
        <v>Tier 2 (Urban)</v>
      </c>
      <c r="V1043" s="21" t="str">
        <f t="shared" si="48"/>
        <v>0-6 months</v>
      </c>
      <c r="W1043" s="21" t="str">
        <f t="shared" si="49"/>
        <v>Medium Risk</v>
      </c>
      <c r="X1043" s="21" t="str">
        <f t="shared" si="50"/>
        <v>Yes</v>
      </c>
    </row>
    <row r="1044" spans="1:24" x14ac:dyDescent="0.3">
      <c r="A1044" s="21">
        <f>'Raw Data'!A1044</f>
        <v>51043</v>
      </c>
      <c r="B1044" s="21">
        <f>'Raw Data'!B1044</f>
        <v>0</v>
      </c>
      <c r="C1044" s="21">
        <f>'Raw Data'!C1044</f>
        <v>4</v>
      </c>
      <c r="D1044" s="21" t="str">
        <f>'Raw Data'!D1044</f>
        <v>Phone</v>
      </c>
      <c r="E1044" s="21">
        <f>'Raw Data'!E1044</f>
        <v>3</v>
      </c>
      <c r="F1044" s="21">
        <f>IF('Raw Data'!F1044="",ROUND(AVERAGE('Raw Data'!$F$2:$F$1501),1),'Raw Data'!F1044)</f>
        <v>14</v>
      </c>
      <c r="G1044" s="21" t="str">
        <f>'Raw Data'!G1044</f>
        <v>E wallet</v>
      </c>
      <c r="H1044" s="21" t="str">
        <f>'Raw Data'!H1044</f>
        <v>Female</v>
      </c>
      <c r="I1044" s="21">
        <f>IF('Raw Data'!I1044="",ROUND(AVERAGE('Raw Data'!$I$2:$I$1501),1),'Raw Data'!I1044)</f>
        <v>4.3</v>
      </c>
      <c r="J1044" s="21">
        <f>'Raw Data'!J1044</f>
        <v>4</v>
      </c>
      <c r="K1044" s="21" t="str">
        <f>'Raw Data'!K1044</f>
        <v>Grocery</v>
      </c>
      <c r="L1044" s="21">
        <f>'Raw Data'!L1044</f>
        <v>4</v>
      </c>
      <c r="M1044" s="21" t="str">
        <f>'Raw Data'!M1044</f>
        <v>Married</v>
      </c>
      <c r="N1044" s="21">
        <f>'Raw Data'!N1044</f>
        <v>1</v>
      </c>
      <c r="O1044" s="21">
        <f>'Raw Data'!O1044</f>
        <v>1</v>
      </c>
      <c r="P1044" s="21">
        <f>IF('Raw Data'!P1044="",ROUND(AVERAGE('Raw Data'!$P$2:$P$1501),1),'Raw Data'!P1044)</f>
        <v>11.6</v>
      </c>
      <c r="Q1044" s="21">
        <f>IF('Raw Data'!Q1044="",ROUND(AVERAGE('Raw Data'!$Q$2:$Q$1501),0),'Raw Data'!Q1044)</f>
        <v>5</v>
      </c>
      <c r="R1044" s="21">
        <f>'Raw Data'!R1044</f>
        <v>4</v>
      </c>
      <c r="S1044" s="21">
        <f>IF('Raw Data'!S1044="",ROUND(AVERAGE('Raw Data'!$S$2:$S$1501),0),'Raw Data'!S1044)</f>
        <v>2</v>
      </c>
      <c r="T1044" s="21">
        <f>'Raw Data'!T1044</f>
        <v>153.11000000000001</v>
      </c>
      <c r="U1044" s="21" t="str">
        <f>INDEX('Lookup Tables'!$C$7:$C$9,MATCH(E1044,'Lookup Tables'!$B$7:$B$9,0))</f>
        <v>Tier 3 (Semi-urban/Rural)</v>
      </c>
      <c r="V1044" s="21" t="str">
        <f t="shared" si="48"/>
        <v>0-6 months</v>
      </c>
      <c r="W1044" s="21" t="str">
        <f t="shared" si="49"/>
        <v>Low Risk</v>
      </c>
      <c r="X1044" s="21" t="str">
        <f t="shared" si="50"/>
        <v>No</v>
      </c>
    </row>
    <row r="1045" spans="1:24" x14ac:dyDescent="0.3">
      <c r="A1045" s="21">
        <f>'Raw Data'!A1045</f>
        <v>51044</v>
      </c>
      <c r="B1045" s="21">
        <f>'Raw Data'!B1045</f>
        <v>0</v>
      </c>
      <c r="C1045" s="21">
        <f>'Raw Data'!C1045</f>
        <v>5</v>
      </c>
      <c r="D1045" s="21" t="str">
        <f>'Raw Data'!D1045</f>
        <v>Mobile Phone</v>
      </c>
      <c r="E1045" s="21">
        <f>'Raw Data'!E1045</f>
        <v>2</v>
      </c>
      <c r="F1045" s="21">
        <f>IF('Raw Data'!F1045="",ROUND(AVERAGE('Raw Data'!$F$2:$F$1501),1),'Raw Data'!F1045)</f>
        <v>9</v>
      </c>
      <c r="G1045" s="21" t="str">
        <f>'Raw Data'!G1045</f>
        <v>UPI</v>
      </c>
      <c r="H1045" s="21" t="str">
        <f>'Raw Data'!H1045</f>
        <v>Male</v>
      </c>
      <c r="I1045" s="21">
        <f>IF('Raw Data'!I1045="",ROUND(AVERAGE('Raw Data'!$I$2:$I$1501),1),'Raw Data'!I1045)</f>
        <v>4.3</v>
      </c>
      <c r="J1045" s="21">
        <f>'Raw Data'!J1045</f>
        <v>4</v>
      </c>
      <c r="K1045" s="21" t="str">
        <f>'Raw Data'!K1045</f>
        <v>Mobile Phone</v>
      </c>
      <c r="L1045" s="21">
        <f>'Raw Data'!L1045</f>
        <v>4</v>
      </c>
      <c r="M1045" s="21" t="str">
        <f>'Raw Data'!M1045</f>
        <v>Married</v>
      </c>
      <c r="N1045" s="21">
        <f>'Raw Data'!N1045</f>
        <v>1</v>
      </c>
      <c r="O1045" s="21">
        <f>'Raw Data'!O1045</f>
        <v>0</v>
      </c>
      <c r="P1045" s="21">
        <f>IF('Raw Data'!P1045="",ROUND(AVERAGE('Raw Data'!$P$2:$P$1501),1),'Raw Data'!P1045)</f>
        <v>15.3</v>
      </c>
      <c r="Q1045" s="21">
        <f>IF('Raw Data'!Q1045="",ROUND(AVERAGE('Raw Data'!$Q$2:$Q$1501),0),'Raw Data'!Q1045)</f>
        <v>1</v>
      </c>
      <c r="R1045" s="21">
        <f>'Raw Data'!R1045</f>
        <v>3</v>
      </c>
      <c r="S1045" s="21">
        <f>IF('Raw Data'!S1045="",ROUND(AVERAGE('Raw Data'!$S$2:$S$1501),0),'Raw Data'!S1045)</f>
        <v>3</v>
      </c>
      <c r="T1045" s="21">
        <f>'Raw Data'!T1045</f>
        <v>185.11</v>
      </c>
      <c r="U1045" s="21" t="str">
        <f>INDEX('Lookup Tables'!$C$7:$C$9,MATCH(E1045,'Lookup Tables'!$B$7:$B$9,0))</f>
        <v>Tier 2 (Urban)</v>
      </c>
      <c r="V1045" s="21" t="str">
        <f t="shared" si="48"/>
        <v>0-6 months</v>
      </c>
      <c r="W1045" s="21" t="str">
        <f t="shared" si="49"/>
        <v>Low Risk</v>
      </c>
      <c r="X1045" s="21" t="str">
        <f t="shared" si="50"/>
        <v>No</v>
      </c>
    </row>
    <row r="1046" spans="1:24" x14ac:dyDescent="0.3">
      <c r="A1046" s="21">
        <f>'Raw Data'!A1046</f>
        <v>51045</v>
      </c>
      <c r="B1046" s="21">
        <f>'Raw Data'!B1046</f>
        <v>0</v>
      </c>
      <c r="C1046" s="21">
        <f>'Raw Data'!C1046</f>
        <v>5</v>
      </c>
      <c r="D1046" s="21" t="str">
        <f>'Raw Data'!D1046</f>
        <v>Mobile Phone</v>
      </c>
      <c r="E1046" s="21">
        <f>'Raw Data'!E1046</f>
        <v>2</v>
      </c>
      <c r="F1046" s="21">
        <f>IF('Raw Data'!F1046="",ROUND(AVERAGE('Raw Data'!$F$2:$F$1501),1),'Raw Data'!F1046)</f>
        <v>16</v>
      </c>
      <c r="G1046" s="21" t="str">
        <f>'Raw Data'!G1046</f>
        <v>E wallet</v>
      </c>
      <c r="H1046" s="21" t="str">
        <f>'Raw Data'!H1046</f>
        <v>Male</v>
      </c>
      <c r="I1046" s="21">
        <f>IF('Raw Data'!I1046="",ROUND(AVERAGE('Raw Data'!$I$2:$I$1501),1),'Raw Data'!I1046)</f>
        <v>2.8</v>
      </c>
      <c r="J1046" s="21">
        <f>'Raw Data'!J1046</f>
        <v>4</v>
      </c>
      <c r="K1046" s="21" t="str">
        <f>'Raw Data'!K1046</f>
        <v>Mobile Phone</v>
      </c>
      <c r="L1046" s="21">
        <f>'Raw Data'!L1046</f>
        <v>1</v>
      </c>
      <c r="M1046" s="21" t="str">
        <f>'Raw Data'!M1046</f>
        <v>Married</v>
      </c>
      <c r="N1046" s="21">
        <f>'Raw Data'!N1046</f>
        <v>9</v>
      </c>
      <c r="O1046" s="21">
        <f>'Raw Data'!O1046</f>
        <v>0</v>
      </c>
      <c r="P1046" s="21">
        <f>IF('Raw Data'!P1046="",ROUND(AVERAGE('Raw Data'!$P$2:$P$1501),1),'Raw Data'!P1046)</f>
        <v>11.8</v>
      </c>
      <c r="Q1046" s="21">
        <f>IF('Raw Data'!Q1046="",ROUND(AVERAGE('Raw Data'!$Q$2:$Q$1501),0),'Raw Data'!Q1046)</f>
        <v>3</v>
      </c>
      <c r="R1046" s="21">
        <f>'Raw Data'!R1046</f>
        <v>5</v>
      </c>
      <c r="S1046" s="21">
        <f>IF('Raw Data'!S1046="",ROUND(AVERAGE('Raw Data'!$S$2:$S$1501),0),'Raw Data'!S1046)</f>
        <v>2</v>
      </c>
      <c r="T1046" s="21">
        <f>'Raw Data'!T1046</f>
        <v>111.36</v>
      </c>
      <c r="U1046" s="21" t="str">
        <f>INDEX('Lookup Tables'!$C$7:$C$9,MATCH(E1046,'Lookup Tables'!$B$7:$B$9,0))</f>
        <v>Tier 2 (Urban)</v>
      </c>
      <c r="V1046" s="21" t="str">
        <f t="shared" si="48"/>
        <v>0-6 months</v>
      </c>
      <c r="W1046" s="21" t="str">
        <f t="shared" si="49"/>
        <v>Low Risk</v>
      </c>
      <c r="X1046" s="21" t="str">
        <f t="shared" si="50"/>
        <v>No</v>
      </c>
    </row>
    <row r="1047" spans="1:24" x14ac:dyDescent="0.3">
      <c r="A1047" s="21">
        <f>'Raw Data'!A1047</f>
        <v>51046</v>
      </c>
      <c r="B1047" s="21">
        <f>'Raw Data'!B1047</f>
        <v>1</v>
      </c>
      <c r="C1047" s="21">
        <f>'Raw Data'!C1047</f>
        <v>9</v>
      </c>
      <c r="D1047" s="21" t="str">
        <f>'Raw Data'!D1047</f>
        <v>Phone</v>
      </c>
      <c r="E1047" s="21">
        <f>'Raw Data'!E1047</f>
        <v>1</v>
      </c>
      <c r="F1047" s="21">
        <f>IF('Raw Data'!F1047="",ROUND(AVERAGE('Raw Data'!$F$2:$F$1501),1),'Raw Data'!F1047)</f>
        <v>21</v>
      </c>
      <c r="G1047" s="21" t="str">
        <f>'Raw Data'!G1047</f>
        <v>Debit Card</v>
      </c>
      <c r="H1047" s="21" t="str">
        <f>'Raw Data'!H1047</f>
        <v>Female</v>
      </c>
      <c r="I1047" s="21">
        <f>IF('Raw Data'!I1047="",ROUND(AVERAGE('Raw Data'!$I$2:$I$1501),1),'Raw Data'!I1047)</f>
        <v>2.5</v>
      </c>
      <c r="J1047" s="21">
        <f>'Raw Data'!J1047</f>
        <v>3</v>
      </c>
      <c r="K1047" s="21" t="str">
        <f>'Raw Data'!K1047</f>
        <v>Laptop &amp; Accessory</v>
      </c>
      <c r="L1047" s="21">
        <f>'Raw Data'!L1047</f>
        <v>3</v>
      </c>
      <c r="M1047" s="21" t="str">
        <f>'Raw Data'!M1047</f>
        <v>Divorced</v>
      </c>
      <c r="N1047" s="21">
        <f>'Raw Data'!N1047</f>
        <v>2</v>
      </c>
      <c r="O1047" s="21">
        <f>'Raw Data'!O1047</f>
        <v>0</v>
      </c>
      <c r="P1047" s="21">
        <f>IF('Raw Data'!P1047="",ROUND(AVERAGE('Raw Data'!$P$2:$P$1501),1),'Raw Data'!P1047)</f>
        <v>12.3</v>
      </c>
      <c r="Q1047" s="21">
        <f>IF('Raw Data'!Q1047="",ROUND(AVERAGE('Raw Data'!$Q$2:$Q$1501),0),'Raw Data'!Q1047)</f>
        <v>2</v>
      </c>
      <c r="R1047" s="21">
        <f>'Raw Data'!R1047</f>
        <v>2</v>
      </c>
      <c r="S1047" s="21">
        <f>IF('Raw Data'!S1047="",ROUND(AVERAGE('Raw Data'!$S$2:$S$1501),0),'Raw Data'!S1047)</f>
        <v>1</v>
      </c>
      <c r="T1047" s="21">
        <f>'Raw Data'!T1047</f>
        <v>163.16</v>
      </c>
      <c r="U1047" s="21" t="str">
        <f>INDEX('Lookup Tables'!$C$7:$C$9,MATCH(E1047,'Lookup Tables'!$B$7:$B$9,0))</f>
        <v>Tier 1 (Metro)</v>
      </c>
      <c r="V1047" s="21" t="str">
        <f t="shared" si="48"/>
        <v>7-12 months</v>
      </c>
      <c r="W1047" s="21" t="str">
        <f t="shared" si="49"/>
        <v>Medium Risk</v>
      </c>
      <c r="X1047" s="21" t="str">
        <f t="shared" si="50"/>
        <v>Yes</v>
      </c>
    </row>
    <row r="1048" spans="1:24" x14ac:dyDescent="0.3">
      <c r="A1048" s="21">
        <f>'Raw Data'!A1048</f>
        <v>51047</v>
      </c>
      <c r="B1048" s="21">
        <f>'Raw Data'!B1048</f>
        <v>1</v>
      </c>
      <c r="C1048" s="21">
        <f>'Raw Data'!C1048</f>
        <v>28</v>
      </c>
      <c r="D1048" s="21" t="str">
        <f>'Raw Data'!D1048</f>
        <v>Mobile Phone</v>
      </c>
      <c r="E1048" s="21">
        <f>'Raw Data'!E1048</f>
        <v>1</v>
      </c>
      <c r="F1048" s="21">
        <f>IF('Raw Data'!F1048="",ROUND(AVERAGE('Raw Data'!$F$2:$F$1501),1),'Raw Data'!F1048)</f>
        <v>5</v>
      </c>
      <c r="G1048" s="21" t="str">
        <f>'Raw Data'!G1048</f>
        <v>E wallet</v>
      </c>
      <c r="H1048" s="21" t="str">
        <f>'Raw Data'!H1048</f>
        <v>Male</v>
      </c>
      <c r="I1048" s="21">
        <f>IF('Raw Data'!I1048="",ROUND(AVERAGE('Raw Data'!$I$2:$I$1501),1),'Raw Data'!I1048)</f>
        <v>3.4</v>
      </c>
      <c r="J1048" s="21">
        <f>'Raw Data'!J1048</f>
        <v>3</v>
      </c>
      <c r="K1048" s="21" t="str">
        <f>'Raw Data'!K1048</f>
        <v>Laptop &amp; Accessory</v>
      </c>
      <c r="L1048" s="21">
        <f>'Raw Data'!L1048</f>
        <v>4</v>
      </c>
      <c r="M1048" s="21" t="str">
        <f>'Raw Data'!M1048</f>
        <v>Married</v>
      </c>
      <c r="N1048" s="21">
        <f>'Raw Data'!N1048</f>
        <v>1</v>
      </c>
      <c r="O1048" s="21">
        <f>'Raw Data'!O1048</f>
        <v>1</v>
      </c>
      <c r="P1048" s="21">
        <f>IF('Raw Data'!P1048="",ROUND(AVERAGE('Raw Data'!$P$2:$P$1501),1),'Raw Data'!P1048)</f>
        <v>16.399999999999999</v>
      </c>
      <c r="Q1048" s="21">
        <f>IF('Raw Data'!Q1048="",ROUND(AVERAGE('Raw Data'!$Q$2:$Q$1501),0),'Raw Data'!Q1048)</f>
        <v>2</v>
      </c>
      <c r="R1048" s="21">
        <f>'Raw Data'!R1048</f>
        <v>4</v>
      </c>
      <c r="S1048" s="21">
        <f>IF('Raw Data'!S1048="",ROUND(AVERAGE('Raw Data'!$S$2:$S$1501),0),'Raw Data'!S1048)</f>
        <v>0</v>
      </c>
      <c r="T1048" s="21">
        <f>'Raw Data'!T1048</f>
        <v>203.65</v>
      </c>
      <c r="U1048" s="21" t="str">
        <f>INDEX('Lookup Tables'!$C$7:$C$9,MATCH(E1048,'Lookup Tables'!$B$7:$B$9,0))</f>
        <v>Tier 1 (Metro)</v>
      </c>
      <c r="V1048" s="21" t="str">
        <f t="shared" si="48"/>
        <v>25+ months</v>
      </c>
      <c r="W1048" s="21" t="str">
        <f t="shared" si="49"/>
        <v>Low Risk</v>
      </c>
      <c r="X1048" s="21" t="str">
        <f t="shared" si="50"/>
        <v>Yes</v>
      </c>
    </row>
    <row r="1049" spans="1:24" x14ac:dyDescent="0.3">
      <c r="A1049" s="21">
        <f>'Raw Data'!A1049</f>
        <v>51048</v>
      </c>
      <c r="B1049" s="21">
        <f>'Raw Data'!B1049</f>
        <v>0</v>
      </c>
      <c r="C1049" s="21">
        <f>'Raw Data'!C1049</f>
        <v>2</v>
      </c>
      <c r="D1049" s="21" t="str">
        <f>'Raw Data'!D1049</f>
        <v>Mobile Phone</v>
      </c>
      <c r="E1049" s="21">
        <f>'Raw Data'!E1049</f>
        <v>3</v>
      </c>
      <c r="F1049" s="21">
        <f>IF('Raw Data'!F1049="",ROUND(AVERAGE('Raw Data'!$F$2:$F$1501),1),'Raw Data'!F1049)</f>
        <v>17</v>
      </c>
      <c r="G1049" s="21" t="str">
        <f>'Raw Data'!G1049</f>
        <v>E wallet</v>
      </c>
      <c r="H1049" s="21" t="str">
        <f>'Raw Data'!H1049</f>
        <v>Male</v>
      </c>
      <c r="I1049" s="21">
        <f>IF('Raw Data'!I1049="",ROUND(AVERAGE('Raw Data'!$I$2:$I$1501),1),'Raw Data'!I1049)</f>
        <v>2.7</v>
      </c>
      <c r="J1049" s="21">
        <f>'Raw Data'!J1049</f>
        <v>3</v>
      </c>
      <c r="K1049" s="21" t="str">
        <f>'Raw Data'!K1049</f>
        <v>Fashion</v>
      </c>
      <c r="L1049" s="21">
        <f>'Raw Data'!L1049</f>
        <v>3</v>
      </c>
      <c r="M1049" s="21" t="str">
        <f>'Raw Data'!M1049</f>
        <v>Single</v>
      </c>
      <c r="N1049" s="21">
        <f>'Raw Data'!N1049</f>
        <v>1</v>
      </c>
      <c r="O1049" s="21">
        <f>'Raw Data'!O1049</f>
        <v>1</v>
      </c>
      <c r="P1049" s="21">
        <f>IF('Raw Data'!P1049="",ROUND(AVERAGE('Raw Data'!$P$2:$P$1501),1),'Raw Data'!P1049)</f>
        <v>12.6</v>
      </c>
      <c r="Q1049" s="21">
        <f>IF('Raw Data'!Q1049="",ROUND(AVERAGE('Raw Data'!$Q$2:$Q$1501),0),'Raw Data'!Q1049)</f>
        <v>0</v>
      </c>
      <c r="R1049" s="21">
        <f>'Raw Data'!R1049</f>
        <v>7</v>
      </c>
      <c r="S1049" s="21">
        <f>IF('Raw Data'!S1049="",ROUND(AVERAGE('Raw Data'!$S$2:$S$1501),0),'Raw Data'!S1049)</f>
        <v>4</v>
      </c>
      <c r="T1049" s="21">
        <f>'Raw Data'!T1049</f>
        <v>213.64</v>
      </c>
      <c r="U1049" s="21" t="str">
        <f>INDEX('Lookup Tables'!$C$7:$C$9,MATCH(E1049,'Lookup Tables'!$B$7:$B$9,0))</f>
        <v>Tier 3 (Semi-urban/Rural)</v>
      </c>
      <c r="V1049" s="21" t="str">
        <f t="shared" si="48"/>
        <v>0-6 months</v>
      </c>
      <c r="W1049" s="21" t="str">
        <f t="shared" si="49"/>
        <v>Medium Risk</v>
      </c>
      <c r="X1049" s="21" t="str">
        <f t="shared" si="50"/>
        <v>No</v>
      </c>
    </row>
    <row r="1050" spans="1:24" x14ac:dyDescent="0.3">
      <c r="A1050" s="21">
        <f>'Raw Data'!A1050</f>
        <v>51049</v>
      </c>
      <c r="B1050" s="21">
        <f>'Raw Data'!B1050</f>
        <v>1</v>
      </c>
      <c r="C1050" s="21">
        <f>'Raw Data'!C1050</f>
        <v>1</v>
      </c>
      <c r="D1050" s="21" t="str">
        <f>'Raw Data'!D1050</f>
        <v>Computer</v>
      </c>
      <c r="E1050" s="21">
        <f>'Raw Data'!E1050</f>
        <v>1</v>
      </c>
      <c r="F1050" s="21">
        <f>IF('Raw Data'!F1050="",ROUND(AVERAGE('Raw Data'!$F$2:$F$1501),1),'Raw Data'!F1050)</f>
        <v>22</v>
      </c>
      <c r="G1050" s="21" t="str">
        <f>'Raw Data'!G1050</f>
        <v>Debit Card</v>
      </c>
      <c r="H1050" s="21" t="str">
        <f>'Raw Data'!H1050</f>
        <v>Female</v>
      </c>
      <c r="I1050" s="21">
        <f>IF('Raw Data'!I1050="",ROUND(AVERAGE('Raw Data'!$I$2:$I$1501),1),'Raw Data'!I1050)</f>
        <v>2.1</v>
      </c>
      <c r="J1050" s="21">
        <f>'Raw Data'!J1050</f>
        <v>3</v>
      </c>
      <c r="K1050" s="21" t="str">
        <f>'Raw Data'!K1050</f>
        <v>Fashion</v>
      </c>
      <c r="L1050" s="21">
        <f>'Raw Data'!L1050</f>
        <v>4</v>
      </c>
      <c r="M1050" s="21" t="str">
        <f>'Raw Data'!M1050</f>
        <v>Married</v>
      </c>
      <c r="N1050" s="21">
        <f>'Raw Data'!N1050</f>
        <v>22</v>
      </c>
      <c r="O1050" s="21">
        <f>'Raw Data'!O1050</f>
        <v>1</v>
      </c>
      <c r="P1050" s="21">
        <f>IF('Raw Data'!P1050="",ROUND(AVERAGE('Raw Data'!$P$2:$P$1501),1),'Raw Data'!P1050)</f>
        <v>17.5</v>
      </c>
      <c r="Q1050" s="21">
        <f>IF('Raw Data'!Q1050="",ROUND(AVERAGE('Raw Data'!$Q$2:$Q$1501),0),'Raw Data'!Q1050)</f>
        <v>0</v>
      </c>
      <c r="R1050" s="21">
        <f>'Raw Data'!R1050</f>
        <v>2</v>
      </c>
      <c r="S1050" s="21">
        <f>IF('Raw Data'!S1050="",ROUND(AVERAGE('Raw Data'!$S$2:$S$1501),0),'Raw Data'!S1050)</f>
        <v>24</v>
      </c>
      <c r="T1050" s="21">
        <f>'Raw Data'!T1050</f>
        <v>157.44</v>
      </c>
      <c r="U1050" s="21" t="str">
        <f>INDEX('Lookup Tables'!$C$7:$C$9,MATCH(E1050,'Lookup Tables'!$B$7:$B$9,0))</f>
        <v>Tier 1 (Metro)</v>
      </c>
      <c r="V1050" s="21" t="str">
        <f t="shared" si="48"/>
        <v>0-6 months</v>
      </c>
      <c r="W1050" s="21" t="str">
        <f t="shared" si="49"/>
        <v>Medium Risk</v>
      </c>
      <c r="X1050" s="21" t="str">
        <f t="shared" si="50"/>
        <v>Yes</v>
      </c>
    </row>
    <row r="1051" spans="1:24" x14ac:dyDescent="0.3">
      <c r="A1051" s="21">
        <f>'Raw Data'!A1051</f>
        <v>51050</v>
      </c>
      <c r="B1051" s="21">
        <f>'Raw Data'!B1051</f>
        <v>0</v>
      </c>
      <c r="C1051" s="21">
        <f>'Raw Data'!C1051</f>
        <v>2</v>
      </c>
      <c r="D1051" s="21" t="str">
        <f>'Raw Data'!D1051</f>
        <v>Phone</v>
      </c>
      <c r="E1051" s="21">
        <f>'Raw Data'!E1051</f>
        <v>1</v>
      </c>
      <c r="F1051" s="21">
        <f>IF('Raw Data'!F1051="",ROUND(AVERAGE('Raw Data'!$F$2:$F$1501),1),'Raw Data'!F1051)</f>
        <v>11</v>
      </c>
      <c r="G1051" s="21" t="str">
        <f>'Raw Data'!G1051</f>
        <v>Credit Card</v>
      </c>
      <c r="H1051" s="21" t="str">
        <f>'Raw Data'!H1051</f>
        <v>Female</v>
      </c>
      <c r="I1051" s="21">
        <f>IF('Raw Data'!I1051="",ROUND(AVERAGE('Raw Data'!$I$2:$I$1501),1),'Raw Data'!I1051)</f>
        <v>3.8</v>
      </c>
      <c r="J1051" s="21">
        <f>'Raw Data'!J1051</f>
        <v>4</v>
      </c>
      <c r="K1051" s="21" t="str">
        <f>'Raw Data'!K1051</f>
        <v>Mobile Phone</v>
      </c>
      <c r="L1051" s="21">
        <f>'Raw Data'!L1051</f>
        <v>3</v>
      </c>
      <c r="M1051" s="21" t="str">
        <f>'Raw Data'!M1051</f>
        <v>Married</v>
      </c>
      <c r="N1051" s="21">
        <f>'Raw Data'!N1051</f>
        <v>1</v>
      </c>
      <c r="O1051" s="21">
        <f>'Raw Data'!O1051</f>
        <v>1</v>
      </c>
      <c r="P1051" s="21">
        <f>IF('Raw Data'!P1051="",ROUND(AVERAGE('Raw Data'!$P$2:$P$1501),1),'Raw Data'!P1051)</f>
        <v>21.2</v>
      </c>
      <c r="Q1051" s="21">
        <f>IF('Raw Data'!Q1051="",ROUND(AVERAGE('Raw Data'!$Q$2:$Q$1501),0),'Raw Data'!Q1051)</f>
        <v>1</v>
      </c>
      <c r="R1051" s="21">
        <f>'Raw Data'!R1051</f>
        <v>5</v>
      </c>
      <c r="S1051" s="21">
        <f>IF('Raw Data'!S1051="",ROUND(AVERAGE('Raw Data'!$S$2:$S$1501),0),'Raw Data'!S1051)</f>
        <v>12</v>
      </c>
      <c r="T1051" s="21">
        <f>'Raw Data'!T1051</f>
        <v>325</v>
      </c>
      <c r="U1051" s="21" t="str">
        <f>INDEX('Lookup Tables'!$C$7:$C$9,MATCH(E1051,'Lookup Tables'!$B$7:$B$9,0))</f>
        <v>Tier 1 (Metro)</v>
      </c>
      <c r="V1051" s="21" t="str">
        <f t="shared" si="48"/>
        <v>0-6 months</v>
      </c>
      <c r="W1051" s="21" t="str">
        <f t="shared" si="49"/>
        <v>Medium Risk</v>
      </c>
      <c r="X1051" s="21" t="str">
        <f t="shared" si="50"/>
        <v>No</v>
      </c>
    </row>
    <row r="1052" spans="1:24" x14ac:dyDescent="0.3">
      <c r="A1052" s="21">
        <f>'Raw Data'!A1052</f>
        <v>51051</v>
      </c>
      <c r="B1052" s="21">
        <f>'Raw Data'!B1052</f>
        <v>0</v>
      </c>
      <c r="C1052" s="21">
        <f>'Raw Data'!C1052</f>
        <v>21</v>
      </c>
      <c r="D1052" s="21" t="str">
        <f>'Raw Data'!D1052</f>
        <v>Mobile Phone</v>
      </c>
      <c r="E1052" s="21">
        <f>'Raw Data'!E1052</f>
        <v>1</v>
      </c>
      <c r="F1052" s="21">
        <f>IF('Raw Data'!F1052="",ROUND(AVERAGE('Raw Data'!$F$2:$F$1501),1),'Raw Data'!F1052)</f>
        <v>20</v>
      </c>
      <c r="G1052" s="21" t="str">
        <f>'Raw Data'!G1052</f>
        <v>Debit Card</v>
      </c>
      <c r="H1052" s="21" t="str">
        <f>'Raw Data'!H1052</f>
        <v>Male</v>
      </c>
      <c r="I1052" s="21">
        <f>IF('Raw Data'!I1052="",ROUND(AVERAGE('Raw Data'!$I$2:$I$1501),1),'Raw Data'!I1052)</f>
        <v>3.8</v>
      </c>
      <c r="J1052" s="21">
        <f>'Raw Data'!J1052</f>
        <v>4</v>
      </c>
      <c r="K1052" s="21" t="str">
        <f>'Raw Data'!K1052</f>
        <v>Laptop &amp; Accessory</v>
      </c>
      <c r="L1052" s="21">
        <f>'Raw Data'!L1052</f>
        <v>5</v>
      </c>
      <c r="M1052" s="21" t="str">
        <f>'Raw Data'!M1052</f>
        <v>Married</v>
      </c>
      <c r="N1052" s="21">
        <f>'Raw Data'!N1052</f>
        <v>3</v>
      </c>
      <c r="O1052" s="21">
        <f>'Raw Data'!O1052</f>
        <v>0</v>
      </c>
      <c r="P1052" s="21">
        <f>IF('Raw Data'!P1052="",ROUND(AVERAGE('Raw Data'!$P$2:$P$1501),1),'Raw Data'!P1052)</f>
        <v>15.5</v>
      </c>
      <c r="Q1052" s="21">
        <f>IF('Raw Data'!Q1052="",ROUND(AVERAGE('Raw Data'!$Q$2:$Q$1501),0),'Raw Data'!Q1052)</f>
        <v>2</v>
      </c>
      <c r="R1052" s="21">
        <f>'Raw Data'!R1052</f>
        <v>4</v>
      </c>
      <c r="S1052" s="21">
        <f>IF('Raw Data'!S1052="",ROUND(AVERAGE('Raw Data'!$S$2:$S$1501),0),'Raw Data'!S1052)</f>
        <v>5</v>
      </c>
      <c r="T1052" s="21">
        <f>'Raw Data'!T1052</f>
        <v>170.53</v>
      </c>
      <c r="U1052" s="21" t="str">
        <f>INDEX('Lookup Tables'!$C$7:$C$9,MATCH(E1052,'Lookup Tables'!$B$7:$B$9,0))</f>
        <v>Tier 1 (Metro)</v>
      </c>
      <c r="V1052" s="21" t="str">
        <f t="shared" si="48"/>
        <v>13-24 months</v>
      </c>
      <c r="W1052" s="21" t="str">
        <f t="shared" si="49"/>
        <v>Low Risk</v>
      </c>
      <c r="X1052" s="21" t="str">
        <f t="shared" si="50"/>
        <v>No</v>
      </c>
    </row>
    <row r="1053" spans="1:24" x14ac:dyDescent="0.3">
      <c r="A1053" s="21">
        <f>'Raw Data'!A1053</f>
        <v>51052</v>
      </c>
      <c r="B1053" s="21">
        <f>'Raw Data'!B1053</f>
        <v>0</v>
      </c>
      <c r="C1053" s="21">
        <f>'Raw Data'!C1053</f>
        <v>10</v>
      </c>
      <c r="D1053" s="21" t="str">
        <f>'Raw Data'!D1053</f>
        <v>Phone</v>
      </c>
      <c r="E1053" s="21">
        <f>'Raw Data'!E1053</f>
        <v>1</v>
      </c>
      <c r="F1053" s="21">
        <f>IF('Raw Data'!F1053="",ROUND(AVERAGE('Raw Data'!$F$2:$F$1501),1),'Raw Data'!F1053)</f>
        <v>37</v>
      </c>
      <c r="G1053" s="21" t="str">
        <f>'Raw Data'!G1053</f>
        <v>E wallet</v>
      </c>
      <c r="H1053" s="21" t="str">
        <f>'Raw Data'!H1053</f>
        <v>Female</v>
      </c>
      <c r="I1053" s="21">
        <f>IF('Raw Data'!I1053="",ROUND(AVERAGE('Raw Data'!$I$2:$I$1501),1),'Raw Data'!I1053)</f>
        <v>3</v>
      </c>
      <c r="J1053" s="21">
        <f>'Raw Data'!J1053</f>
        <v>4</v>
      </c>
      <c r="K1053" s="21" t="str">
        <f>'Raw Data'!K1053</f>
        <v>Mobile Phone</v>
      </c>
      <c r="L1053" s="21">
        <f>'Raw Data'!L1053</f>
        <v>1</v>
      </c>
      <c r="M1053" s="21" t="str">
        <f>'Raw Data'!M1053</f>
        <v>Single</v>
      </c>
      <c r="N1053" s="21">
        <f>'Raw Data'!N1053</f>
        <v>1</v>
      </c>
      <c r="O1053" s="21">
        <f>'Raw Data'!O1053</f>
        <v>1</v>
      </c>
      <c r="P1053" s="21">
        <f>IF('Raw Data'!P1053="",ROUND(AVERAGE('Raw Data'!$P$2:$P$1501),1),'Raw Data'!P1053)</f>
        <v>16.5</v>
      </c>
      <c r="Q1053" s="21">
        <f>IF('Raw Data'!Q1053="",ROUND(AVERAGE('Raw Data'!$Q$2:$Q$1501),0),'Raw Data'!Q1053)</f>
        <v>1</v>
      </c>
      <c r="R1053" s="21">
        <f>'Raw Data'!R1053</f>
        <v>4</v>
      </c>
      <c r="S1053" s="21">
        <f>IF('Raw Data'!S1053="",ROUND(AVERAGE('Raw Data'!$S$2:$S$1501),0),'Raw Data'!S1053)</f>
        <v>9</v>
      </c>
      <c r="T1053" s="21">
        <f>'Raw Data'!T1053</f>
        <v>87.69</v>
      </c>
      <c r="U1053" s="21" t="str">
        <f>INDEX('Lookup Tables'!$C$7:$C$9,MATCH(E1053,'Lookup Tables'!$B$7:$B$9,0))</f>
        <v>Tier 1 (Metro)</v>
      </c>
      <c r="V1053" s="21" t="str">
        <f t="shared" si="48"/>
        <v>7-12 months</v>
      </c>
      <c r="W1053" s="21" t="str">
        <f t="shared" si="49"/>
        <v>High Risk</v>
      </c>
      <c r="X1053" s="21" t="str">
        <f t="shared" si="50"/>
        <v>No</v>
      </c>
    </row>
    <row r="1054" spans="1:24" x14ac:dyDescent="0.3">
      <c r="A1054" s="21">
        <f>'Raw Data'!A1054</f>
        <v>51053</v>
      </c>
      <c r="B1054" s="21">
        <f>'Raw Data'!B1054</f>
        <v>1</v>
      </c>
      <c r="C1054" s="21">
        <f>'Raw Data'!C1054</f>
        <v>3</v>
      </c>
      <c r="D1054" s="21" t="str">
        <f>'Raw Data'!D1054</f>
        <v>Computer</v>
      </c>
      <c r="E1054" s="21">
        <f>'Raw Data'!E1054</f>
        <v>1</v>
      </c>
      <c r="F1054" s="21">
        <f>IF('Raw Data'!F1054="",ROUND(AVERAGE('Raw Data'!$F$2:$F$1501),1),'Raw Data'!F1054)</f>
        <v>14</v>
      </c>
      <c r="G1054" s="21" t="str">
        <f>'Raw Data'!G1054</f>
        <v>Debit Card</v>
      </c>
      <c r="H1054" s="21" t="str">
        <f>'Raw Data'!H1054</f>
        <v>Female</v>
      </c>
      <c r="I1054" s="21">
        <f>IF('Raw Data'!I1054="",ROUND(AVERAGE('Raw Data'!$I$2:$I$1501),1),'Raw Data'!I1054)</f>
        <v>2</v>
      </c>
      <c r="J1054" s="21">
        <f>'Raw Data'!J1054</f>
        <v>4</v>
      </c>
      <c r="K1054" s="21" t="str">
        <f>'Raw Data'!K1054</f>
        <v>Mobile Phone</v>
      </c>
      <c r="L1054" s="21">
        <f>'Raw Data'!L1054</f>
        <v>3</v>
      </c>
      <c r="M1054" s="21" t="str">
        <f>'Raw Data'!M1054</f>
        <v>Single</v>
      </c>
      <c r="N1054" s="21">
        <f>'Raw Data'!N1054</f>
        <v>7</v>
      </c>
      <c r="O1054" s="21">
        <f>'Raw Data'!O1054</f>
        <v>1</v>
      </c>
      <c r="P1054" s="21">
        <f>IF('Raw Data'!P1054="",ROUND(AVERAGE('Raw Data'!$P$2:$P$1501),1),'Raw Data'!P1054)</f>
        <v>23.1</v>
      </c>
      <c r="Q1054" s="21">
        <f>IF('Raw Data'!Q1054="",ROUND(AVERAGE('Raw Data'!$Q$2:$Q$1501),0),'Raw Data'!Q1054)</f>
        <v>2</v>
      </c>
      <c r="R1054" s="21">
        <f>'Raw Data'!R1054</f>
        <v>3</v>
      </c>
      <c r="S1054" s="21">
        <f>IF('Raw Data'!S1054="",ROUND(AVERAGE('Raw Data'!$S$2:$S$1501),0),'Raw Data'!S1054)</f>
        <v>1</v>
      </c>
      <c r="T1054" s="21">
        <f>'Raw Data'!T1054</f>
        <v>246.73</v>
      </c>
      <c r="U1054" s="21" t="str">
        <f>INDEX('Lookup Tables'!$C$7:$C$9,MATCH(E1054,'Lookup Tables'!$B$7:$B$9,0))</f>
        <v>Tier 1 (Metro)</v>
      </c>
      <c r="V1054" s="21" t="str">
        <f t="shared" si="48"/>
        <v>0-6 months</v>
      </c>
      <c r="W1054" s="21" t="str">
        <f t="shared" si="49"/>
        <v>Medium Risk</v>
      </c>
      <c r="X1054" s="21" t="str">
        <f t="shared" si="50"/>
        <v>Yes</v>
      </c>
    </row>
    <row r="1055" spans="1:24" x14ac:dyDescent="0.3">
      <c r="A1055" s="21">
        <f>'Raw Data'!A1055</f>
        <v>51054</v>
      </c>
      <c r="B1055" s="21">
        <f>'Raw Data'!B1055</f>
        <v>0</v>
      </c>
      <c r="C1055" s="21">
        <f>'Raw Data'!C1055</f>
        <v>16</v>
      </c>
      <c r="D1055" s="21" t="str">
        <f>'Raw Data'!D1055</f>
        <v>Mobile Phone</v>
      </c>
      <c r="E1055" s="21">
        <f>'Raw Data'!E1055</f>
        <v>1</v>
      </c>
      <c r="F1055" s="21">
        <f>IF('Raw Data'!F1055="",ROUND(AVERAGE('Raw Data'!$F$2:$F$1501),1),'Raw Data'!F1055)</f>
        <v>18</v>
      </c>
      <c r="G1055" s="21" t="str">
        <f>'Raw Data'!G1055</f>
        <v>Credit Card</v>
      </c>
      <c r="H1055" s="21" t="str">
        <f>'Raw Data'!H1055</f>
        <v>Male</v>
      </c>
      <c r="I1055" s="21">
        <f>IF('Raw Data'!I1055="",ROUND(AVERAGE('Raw Data'!$I$2:$I$1501),1),'Raw Data'!I1055)</f>
        <v>2</v>
      </c>
      <c r="J1055" s="21">
        <f>'Raw Data'!J1055</f>
        <v>4</v>
      </c>
      <c r="K1055" s="21" t="str">
        <f>'Raw Data'!K1055</f>
        <v>Mobile Phone</v>
      </c>
      <c r="L1055" s="21">
        <f>'Raw Data'!L1055</f>
        <v>1</v>
      </c>
      <c r="M1055" s="21" t="str">
        <f>'Raw Data'!M1055</f>
        <v>Divorced</v>
      </c>
      <c r="N1055" s="21">
        <f>'Raw Data'!N1055</f>
        <v>4</v>
      </c>
      <c r="O1055" s="21">
        <f>'Raw Data'!O1055</f>
        <v>0</v>
      </c>
      <c r="P1055" s="21">
        <f>IF('Raw Data'!P1055="",ROUND(AVERAGE('Raw Data'!$P$2:$P$1501),1),'Raw Data'!P1055)</f>
        <v>11.8</v>
      </c>
      <c r="Q1055" s="21">
        <f>IF('Raw Data'!Q1055="",ROUND(AVERAGE('Raw Data'!$Q$2:$Q$1501),0),'Raw Data'!Q1055)</f>
        <v>2</v>
      </c>
      <c r="R1055" s="21">
        <f>'Raw Data'!R1055</f>
        <v>4</v>
      </c>
      <c r="S1055" s="21">
        <f>IF('Raw Data'!S1055="",ROUND(AVERAGE('Raw Data'!$S$2:$S$1501),0),'Raw Data'!S1055)</f>
        <v>4</v>
      </c>
      <c r="T1055" s="21">
        <f>'Raw Data'!T1055</f>
        <v>213.39</v>
      </c>
      <c r="U1055" s="21" t="str">
        <f>INDEX('Lookup Tables'!$C$7:$C$9,MATCH(E1055,'Lookup Tables'!$B$7:$B$9,0))</f>
        <v>Tier 1 (Metro)</v>
      </c>
      <c r="V1055" s="21" t="str">
        <f t="shared" si="48"/>
        <v>13-24 months</v>
      </c>
      <c r="W1055" s="21" t="str">
        <f t="shared" si="49"/>
        <v>Low Risk</v>
      </c>
      <c r="X1055" s="21" t="str">
        <f t="shared" si="50"/>
        <v>No</v>
      </c>
    </row>
    <row r="1056" spans="1:24" x14ac:dyDescent="0.3">
      <c r="A1056" s="21">
        <f>'Raw Data'!A1056</f>
        <v>51055</v>
      </c>
      <c r="B1056" s="21">
        <f>'Raw Data'!B1056</f>
        <v>0</v>
      </c>
      <c r="C1056" s="21">
        <f>'Raw Data'!C1056</f>
        <v>19</v>
      </c>
      <c r="D1056" s="21" t="str">
        <f>'Raw Data'!D1056</f>
        <v>Phone</v>
      </c>
      <c r="E1056" s="21">
        <f>'Raw Data'!E1056</f>
        <v>3</v>
      </c>
      <c r="F1056" s="21">
        <f>IF('Raw Data'!F1056="",ROUND(AVERAGE('Raw Data'!$F$2:$F$1501),1),'Raw Data'!F1056)</f>
        <v>9</v>
      </c>
      <c r="G1056" s="21" t="str">
        <f>'Raw Data'!G1056</f>
        <v>Cash on Delivery</v>
      </c>
      <c r="H1056" s="21" t="str">
        <f>'Raw Data'!H1056</f>
        <v>Male</v>
      </c>
      <c r="I1056" s="21">
        <f>IF('Raw Data'!I1056="",ROUND(AVERAGE('Raw Data'!$I$2:$I$1501),1),'Raw Data'!I1056)</f>
        <v>3</v>
      </c>
      <c r="J1056" s="21">
        <f>'Raw Data'!J1056</f>
        <v>3</v>
      </c>
      <c r="K1056" s="21" t="str">
        <f>'Raw Data'!K1056</f>
        <v>Grocery</v>
      </c>
      <c r="L1056" s="21">
        <f>'Raw Data'!L1056</f>
        <v>2</v>
      </c>
      <c r="M1056" s="21" t="str">
        <f>'Raw Data'!M1056</f>
        <v>Single</v>
      </c>
      <c r="N1056" s="21">
        <f>'Raw Data'!N1056</f>
        <v>3</v>
      </c>
      <c r="O1056" s="21">
        <f>'Raw Data'!O1056</f>
        <v>0</v>
      </c>
      <c r="P1056" s="21">
        <f>IF('Raw Data'!P1056="",ROUND(AVERAGE('Raw Data'!$P$2:$P$1501),1),'Raw Data'!P1056)</f>
        <v>20.2</v>
      </c>
      <c r="Q1056" s="21">
        <f>IF('Raw Data'!Q1056="",ROUND(AVERAGE('Raw Data'!$Q$2:$Q$1501),0),'Raw Data'!Q1056)</f>
        <v>1</v>
      </c>
      <c r="R1056" s="21">
        <f>'Raw Data'!R1056</f>
        <v>5</v>
      </c>
      <c r="S1056" s="21">
        <f>IF('Raw Data'!S1056="",ROUND(AVERAGE('Raw Data'!$S$2:$S$1501),0),'Raw Data'!S1056)</f>
        <v>0</v>
      </c>
      <c r="T1056" s="21">
        <f>'Raw Data'!T1056</f>
        <v>192.74</v>
      </c>
      <c r="U1056" s="21" t="str">
        <f>INDEX('Lookup Tables'!$C$7:$C$9,MATCH(E1056,'Lookup Tables'!$B$7:$B$9,0))</f>
        <v>Tier 3 (Semi-urban/Rural)</v>
      </c>
      <c r="V1056" s="21" t="str">
        <f t="shared" si="48"/>
        <v>13-24 months</v>
      </c>
      <c r="W1056" s="21" t="str">
        <f t="shared" si="49"/>
        <v>Low Risk</v>
      </c>
      <c r="X1056" s="21" t="str">
        <f t="shared" si="50"/>
        <v>No</v>
      </c>
    </row>
    <row r="1057" spans="1:24" x14ac:dyDescent="0.3">
      <c r="A1057" s="21">
        <f>'Raw Data'!A1057</f>
        <v>51056</v>
      </c>
      <c r="B1057" s="21">
        <f>'Raw Data'!B1057</f>
        <v>0</v>
      </c>
      <c r="C1057" s="21">
        <f>'Raw Data'!C1057</f>
        <v>18</v>
      </c>
      <c r="D1057" s="21" t="str">
        <f>'Raw Data'!D1057</f>
        <v>Mobile Phone</v>
      </c>
      <c r="E1057" s="21">
        <f>'Raw Data'!E1057</f>
        <v>2</v>
      </c>
      <c r="F1057" s="21">
        <f>IF('Raw Data'!F1057="",ROUND(AVERAGE('Raw Data'!$F$2:$F$1501),1),'Raw Data'!F1057)</f>
        <v>16</v>
      </c>
      <c r="G1057" s="21" t="str">
        <f>'Raw Data'!G1057</f>
        <v>UPI</v>
      </c>
      <c r="H1057" s="21" t="str">
        <f>'Raw Data'!H1057</f>
        <v>Female</v>
      </c>
      <c r="I1057" s="21">
        <f>IF('Raw Data'!I1057="",ROUND(AVERAGE('Raw Data'!$I$2:$I$1501),1),'Raw Data'!I1057)</f>
        <v>2.6</v>
      </c>
      <c r="J1057" s="21">
        <f>'Raw Data'!J1057</f>
        <v>4</v>
      </c>
      <c r="K1057" s="21" t="str">
        <f>'Raw Data'!K1057</f>
        <v>Fashion</v>
      </c>
      <c r="L1057" s="21">
        <f>'Raw Data'!L1057</f>
        <v>3</v>
      </c>
      <c r="M1057" s="21" t="str">
        <f>'Raw Data'!M1057</f>
        <v>Married</v>
      </c>
      <c r="N1057" s="21">
        <f>'Raw Data'!N1057</f>
        <v>1</v>
      </c>
      <c r="O1057" s="21">
        <f>'Raw Data'!O1057</f>
        <v>0</v>
      </c>
      <c r="P1057" s="21">
        <f>IF('Raw Data'!P1057="",ROUND(AVERAGE('Raw Data'!$P$2:$P$1501),1),'Raw Data'!P1057)</f>
        <v>19.7</v>
      </c>
      <c r="Q1057" s="21">
        <f>IF('Raw Data'!Q1057="",ROUND(AVERAGE('Raw Data'!$Q$2:$Q$1501),0),'Raw Data'!Q1057)</f>
        <v>1</v>
      </c>
      <c r="R1057" s="21">
        <f>'Raw Data'!R1057</f>
        <v>2</v>
      </c>
      <c r="S1057" s="21">
        <f>IF('Raw Data'!S1057="",ROUND(AVERAGE('Raw Data'!$S$2:$S$1501),0),'Raw Data'!S1057)</f>
        <v>6</v>
      </c>
      <c r="T1057" s="21">
        <f>'Raw Data'!T1057</f>
        <v>154.43</v>
      </c>
      <c r="U1057" s="21" t="str">
        <f>INDEX('Lookup Tables'!$C$7:$C$9,MATCH(E1057,'Lookup Tables'!$B$7:$B$9,0))</f>
        <v>Tier 2 (Urban)</v>
      </c>
      <c r="V1057" s="21" t="str">
        <f t="shared" si="48"/>
        <v>13-24 months</v>
      </c>
      <c r="W1057" s="21" t="str">
        <f t="shared" si="49"/>
        <v>Medium Risk</v>
      </c>
      <c r="X1057" s="21" t="str">
        <f t="shared" si="50"/>
        <v>No</v>
      </c>
    </row>
    <row r="1058" spans="1:24" x14ac:dyDescent="0.3">
      <c r="A1058" s="21">
        <f>'Raw Data'!A1058</f>
        <v>51057</v>
      </c>
      <c r="B1058" s="21">
        <f>'Raw Data'!B1058</f>
        <v>0</v>
      </c>
      <c r="C1058" s="21">
        <f>'Raw Data'!C1058</f>
        <v>25</v>
      </c>
      <c r="D1058" s="21" t="str">
        <f>'Raw Data'!D1058</f>
        <v>Mobile Phone</v>
      </c>
      <c r="E1058" s="21">
        <f>'Raw Data'!E1058</f>
        <v>1</v>
      </c>
      <c r="F1058" s="21">
        <f>IF('Raw Data'!F1058="",ROUND(AVERAGE('Raw Data'!$F$2:$F$1501),1),'Raw Data'!F1058)</f>
        <v>18</v>
      </c>
      <c r="G1058" s="21" t="str">
        <f>'Raw Data'!G1058</f>
        <v>Cash on Delivery</v>
      </c>
      <c r="H1058" s="21" t="str">
        <f>'Raw Data'!H1058</f>
        <v>Male</v>
      </c>
      <c r="I1058" s="21">
        <f>IF('Raw Data'!I1058="",ROUND(AVERAGE('Raw Data'!$I$2:$I$1501),1),'Raw Data'!I1058)</f>
        <v>2.7</v>
      </c>
      <c r="J1058" s="21">
        <f>'Raw Data'!J1058</f>
        <v>4</v>
      </c>
      <c r="K1058" s="21" t="str">
        <f>'Raw Data'!K1058</f>
        <v>Laptop &amp; Accessory</v>
      </c>
      <c r="L1058" s="21">
        <f>'Raw Data'!L1058</f>
        <v>2</v>
      </c>
      <c r="M1058" s="21" t="str">
        <f>'Raw Data'!M1058</f>
        <v>Married</v>
      </c>
      <c r="N1058" s="21">
        <f>'Raw Data'!N1058</f>
        <v>7</v>
      </c>
      <c r="O1058" s="21">
        <f>'Raw Data'!O1058</f>
        <v>0</v>
      </c>
      <c r="P1058" s="21">
        <f>IF('Raw Data'!P1058="",ROUND(AVERAGE('Raw Data'!$P$2:$P$1501),1),'Raw Data'!P1058)</f>
        <v>19</v>
      </c>
      <c r="Q1058" s="21">
        <f>IF('Raw Data'!Q1058="",ROUND(AVERAGE('Raw Data'!$Q$2:$Q$1501),0),'Raw Data'!Q1058)</f>
        <v>4</v>
      </c>
      <c r="R1058" s="21">
        <f>'Raw Data'!R1058</f>
        <v>4</v>
      </c>
      <c r="S1058" s="21">
        <f>IF('Raw Data'!S1058="",ROUND(AVERAGE('Raw Data'!$S$2:$S$1501),0),'Raw Data'!S1058)</f>
        <v>17</v>
      </c>
      <c r="T1058" s="21">
        <f>'Raw Data'!T1058</f>
        <v>201.63</v>
      </c>
      <c r="U1058" s="21" t="str">
        <f>INDEX('Lookup Tables'!$C$7:$C$9,MATCH(E1058,'Lookup Tables'!$B$7:$B$9,0))</f>
        <v>Tier 1 (Metro)</v>
      </c>
      <c r="V1058" s="21" t="str">
        <f t="shared" si="48"/>
        <v>25+ months</v>
      </c>
      <c r="W1058" s="21" t="str">
        <f t="shared" si="49"/>
        <v>Medium Risk</v>
      </c>
      <c r="X1058" s="21" t="str">
        <f t="shared" si="50"/>
        <v>No</v>
      </c>
    </row>
    <row r="1059" spans="1:24" x14ac:dyDescent="0.3">
      <c r="A1059" s="21">
        <f>'Raw Data'!A1059</f>
        <v>51058</v>
      </c>
      <c r="B1059" s="21">
        <f>'Raw Data'!B1059</f>
        <v>0</v>
      </c>
      <c r="C1059" s="21">
        <f>'Raw Data'!C1059</f>
        <v>2</v>
      </c>
      <c r="D1059" s="21" t="str">
        <f>'Raw Data'!D1059</f>
        <v>Computer</v>
      </c>
      <c r="E1059" s="21">
        <f>'Raw Data'!E1059</f>
        <v>1</v>
      </c>
      <c r="F1059" s="21">
        <f>IF('Raw Data'!F1059="",ROUND(AVERAGE('Raw Data'!$F$2:$F$1501),1),'Raw Data'!F1059)</f>
        <v>16</v>
      </c>
      <c r="G1059" s="21" t="str">
        <f>'Raw Data'!G1059</f>
        <v>Cash on Delivery</v>
      </c>
      <c r="H1059" s="21" t="str">
        <f>'Raw Data'!H1059</f>
        <v>Male</v>
      </c>
      <c r="I1059" s="21">
        <f>IF('Raw Data'!I1059="",ROUND(AVERAGE('Raw Data'!$I$2:$I$1501),1),'Raw Data'!I1059)</f>
        <v>3.6</v>
      </c>
      <c r="J1059" s="21">
        <f>'Raw Data'!J1059</f>
        <v>3</v>
      </c>
      <c r="K1059" s="21" t="str">
        <f>'Raw Data'!K1059</f>
        <v>Grocery</v>
      </c>
      <c r="L1059" s="21">
        <f>'Raw Data'!L1059</f>
        <v>5</v>
      </c>
      <c r="M1059" s="21" t="str">
        <f>'Raw Data'!M1059</f>
        <v>Married</v>
      </c>
      <c r="N1059" s="21">
        <f>'Raw Data'!N1059</f>
        <v>2</v>
      </c>
      <c r="O1059" s="21">
        <f>'Raw Data'!O1059</f>
        <v>0</v>
      </c>
      <c r="P1059" s="21">
        <f>IF('Raw Data'!P1059="",ROUND(AVERAGE('Raw Data'!$P$2:$P$1501),1),'Raw Data'!P1059)</f>
        <v>20.5</v>
      </c>
      <c r="Q1059" s="21">
        <f>IF('Raw Data'!Q1059="",ROUND(AVERAGE('Raw Data'!$Q$2:$Q$1501),0),'Raw Data'!Q1059)</f>
        <v>1</v>
      </c>
      <c r="R1059" s="21">
        <f>'Raw Data'!R1059</f>
        <v>5</v>
      </c>
      <c r="S1059" s="21">
        <f>IF('Raw Data'!S1059="",ROUND(AVERAGE('Raw Data'!$S$2:$S$1501),0),'Raw Data'!S1059)</f>
        <v>9</v>
      </c>
      <c r="T1059" s="21">
        <f>'Raw Data'!T1059</f>
        <v>269.05</v>
      </c>
      <c r="U1059" s="21" t="str">
        <f>INDEX('Lookup Tables'!$C$7:$C$9,MATCH(E1059,'Lookup Tables'!$B$7:$B$9,0))</f>
        <v>Tier 1 (Metro)</v>
      </c>
      <c r="V1059" s="21" t="str">
        <f t="shared" si="48"/>
        <v>0-6 months</v>
      </c>
      <c r="W1059" s="21" t="str">
        <f t="shared" si="49"/>
        <v>Low Risk</v>
      </c>
      <c r="X1059" s="21" t="str">
        <f t="shared" si="50"/>
        <v>No</v>
      </c>
    </row>
    <row r="1060" spans="1:24" x14ac:dyDescent="0.3">
      <c r="A1060" s="21">
        <f>'Raw Data'!A1060</f>
        <v>51059</v>
      </c>
      <c r="B1060" s="21">
        <f>'Raw Data'!B1060</f>
        <v>0</v>
      </c>
      <c r="C1060" s="21">
        <f>'Raw Data'!C1060</f>
        <v>14</v>
      </c>
      <c r="D1060" s="21" t="str">
        <f>'Raw Data'!D1060</f>
        <v>Mobile Phone</v>
      </c>
      <c r="E1060" s="21">
        <f>'Raw Data'!E1060</f>
        <v>2</v>
      </c>
      <c r="F1060" s="21">
        <f>IF('Raw Data'!F1060="",ROUND(AVERAGE('Raw Data'!$F$2:$F$1501),1),'Raw Data'!F1060)</f>
        <v>6</v>
      </c>
      <c r="G1060" s="21" t="str">
        <f>'Raw Data'!G1060</f>
        <v>Debit Card</v>
      </c>
      <c r="H1060" s="21" t="str">
        <f>'Raw Data'!H1060</f>
        <v>Male</v>
      </c>
      <c r="I1060" s="21">
        <f>IF('Raw Data'!I1060="",ROUND(AVERAGE('Raw Data'!$I$2:$I$1501),1),'Raw Data'!I1060)</f>
        <v>3.4</v>
      </c>
      <c r="J1060" s="21">
        <f>'Raw Data'!J1060</f>
        <v>2</v>
      </c>
      <c r="K1060" s="21" t="str">
        <f>'Raw Data'!K1060</f>
        <v>Mobile Phone</v>
      </c>
      <c r="L1060" s="21">
        <f>'Raw Data'!L1060</f>
        <v>5</v>
      </c>
      <c r="M1060" s="21" t="str">
        <f>'Raw Data'!M1060</f>
        <v>Single</v>
      </c>
      <c r="N1060" s="21">
        <f>'Raw Data'!N1060</f>
        <v>9</v>
      </c>
      <c r="O1060" s="21">
        <f>'Raw Data'!O1060</f>
        <v>0</v>
      </c>
      <c r="P1060" s="21">
        <f>IF('Raw Data'!P1060="",ROUND(AVERAGE('Raw Data'!$P$2:$P$1501),1),'Raw Data'!P1060)</f>
        <v>17</v>
      </c>
      <c r="Q1060" s="21">
        <f>IF('Raw Data'!Q1060="",ROUND(AVERAGE('Raw Data'!$Q$2:$Q$1501),0),'Raw Data'!Q1060)</f>
        <v>2</v>
      </c>
      <c r="R1060" s="21">
        <f>'Raw Data'!R1060</f>
        <v>5</v>
      </c>
      <c r="S1060" s="21">
        <f>IF('Raw Data'!S1060="",ROUND(AVERAGE('Raw Data'!$S$2:$S$1501),0),'Raw Data'!S1060)</f>
        <v>3</v>
      </c>
      <c r="T1060" s="21">
        <f>'Raw Data'!T1060</f>
        <v>191.09</v>
      </c>
      <c r="U1060" s="21" t="str">
        <f>INDEX('Lookup Tables'!$C$7:$C$9,MATCH(E1060,'Lookup Tables'!$B$7:$B$9,0))</f>
        <v>Tier 2 (Urban)</v>
      </c>
      <c r="V1060" s="21" t="str">
        <f t="shared" si="48"/>
        <v>13-24 months</v>
      </c>
      <c r="W1060" s="21" t="str">
        <f t="shared" si="49"/>
        <v>Low Risk</v>
      </c>
      <c r="X1060" s="21" t="str">
        <f t="shared" si="50"/>
        <v>No</v>
      </c>
    </row>
    <row r="1061" spans="1:24" x14ac:dyDescent="0.3">
      <c r="A1061" s="21">
        <f>'Raw Data'!A1061</f>
        <v>51060</v>
      </c>
      <c r="B1061" s="21">
        <f>'Raw Data'!B1061</f>
        <v>0</v>
      </c>
      <c r="C1061" s="21">
        <f>'Raw Data'!C1061</f>
        <v>6</v>
      </c>
      <c r="D1061" s="21" t="str">
        <f>'Raw Data'!D1061</f>
        <v>Mobile Phone</v>
      </c>
      <c r="E1061" s="21">
        <f>'Raw Data'!E1061</f>
        <v>1</v>
      </c>
      <c r="F1061" s="21">
        <f>IF('Raw Data'!F1061="",ROUND(AVERAGE('Raw Data'!$F$2:$F$1501),1),'Raw Data'!F1061)</f>
        <v>16</v>
      </c>
      <c r="G1061" s="21" t="str">
        <f>'Raw Data'!G1061</f>
        <v>E wallet</v>
      </c>
      <c r="H1061" s="21" t="str">
        <f>'Raw Data'!H1061</f>
        <v>Female</v>
      </c>
      <c r="I1061" s="21">
        <f>IF('Raw Data'!I1061="",ROUND(AVERAGE('Raw Data'!$I$2:$I$1501),1),'Raw Data'!I1061)</f>
        <v>3.9</v>
      </c>
      <c r="J1061" s="21">
        <f>'Raw Data'!J1061</f>
        <v>2</v>
      </c>
      <c r="K1061" s="21" t="str">
        <f>'Raw Data'!K1061</f>
        <v>Fashion</v>
      </c>
      <c r="L1061" s="21">
        <f>'Raw Data'!L1061</f>
        <v>3</v>
      </c>
      <c r="M1061" s="21" t="str">
        <f>'Raw Data'!M1061</f>
        <v>Married</v>
      </c>
      <c r="N1061" s="21">
        <f>'Raw Data'!N1061</f>
        <v>2</v>
      </c>
      <c r="O1061" s="21">
        <f>'Raw Data'!O1061</f>
        <v>0</v>
      </c>
      <c r="P1061" s="21">
        <f>IF('Raw Data'!P1061="",ROUND(AVERAGE('Raw Data'!$P$2:$P$1501),1),'Raw Data'!P1061)</f>
        <v>14</v>
      </c>
      <c r="Q1061" s="21">
        <f>IF('Raw Data'!Q1061="",ROUND(AVERAGE('Raw Data'!$Q$2:$Q$1501),0),'Raw Data'!Q1061)</f>
        <v>1</v>
      </c>
      <c r="R1061" s="21">
        <f>'Raw Data'!R1061</f>
        <v>4</v>
      </c>
      <c r="S1061" s="21">
        <f>IF('Raw Data'!S1061="",ROUND(AVERAGE('Raw Data'!$S$2:$S$1501),0),'Raw Data'!S1061)</f>
        <v>7</v>
      </c>
      <c r="T1061" s="21">
        <f>'Raw Data'!T1061</f>
        <v>99.15</v>
      </c>
      <c r="U1061" s="21" t="str">
        <f>INDEX('Lookup Tables'!$C$7:$C$9,MATCH(E1061,'Lookup Tables'!$B$7:$B$9,0))</f>
        <v>Tier 1 (Metro)</v>
      </c>
      <c r="V1061" s="21" t="str">
        <f t="shared" si="48"/>
        <v>0-6 months</v>
      </c>
      <c r="W1061" s="21" t="str">
        <f t="shared" si="49"/>
        <v>Medium Risk</v>
      </c>
      <c r="X1061" s="21" t="str">
        <f t="shared" si="50"/>
        <v>No</v>
      </c>
    </row>
    <row r="1062" spans="1:24" x14ac:dyDescent="0.3">
      <c r="A1062" s="21">
        <f>'Raw Data'!A1062</f>
        <v>51061</v>
      </c>
      <c r="B1062" s="21">
        <f>'Raw Data'!B1062</f>
        <v>0</v>
      </c>
      <c r="C1062" s="21">
        <f>'Raw Data'!C1062</f>
        <v>18</v>
      </c>
      <c r="D1062" s="21" t="str">
        <f>'Raw Data'!D1062</f>
        <v>Mobile Phone</v>
      </c>
      <c r="E1062" s="21">
        <f>'Raw Data'!E1062</f>
        <v>3</v>
      </c>
      <c r="F1062" s="21">
        <f>IF('Raw Data'!F1062="",ROUND(AVERAGE('Raw Data'!$F$2:$F$1501),1),'Raw Data'!F1062)</f>
        <v>26</v>
      </c>
      <c r="G1062" s="21" t="str">
        <f>'Raw Data'!G1062</f>
        <v>Credit Card</v>
      </c>
      <c r="H1062" s="21" t="str">
        <f>'Raw Data'!H1062</f>
        <v>Male</v>
      </c>
      <c r="I1062" s="21">
        <f>IF('Raw Data'!I1062="",ROUND(AVERAGE('Raw Data'!$I$2:$I$1501),1),'Raw Data'!I1062)</f>
        <v>2.2000000000000002</v>
      </c>
      <c r="J1062" s="21">
        <f>'Raw Data'!J1062</f>
        <v>3</v>
      </c>
      <c r="K1062" s="21" t="str">
        <f>'Raw Data'!K1062</f>
        <v>Laptop &amp; Accessory</v>
      </c>
      <c r="L1062" s="21">
        <f>'Raw Data'!L1062</f>
        <v>4</v>
      </c>
      <c r="M1062" s="21" t="str">
        <f>'Raw Data'!M1062</f>
        <v>Divorced</v>
      </c>
      <c r="N1062" s="21">
        <f>'Raw Data'!N1062</f>
        <v>4</v>
      </c>
      <c r="O1062" s="21">
        <f>'Raw Data'!O1062</f>
        <v>1</v>
      </c>
      <c r="P1062" s="21">
        <f>IF('Raw Data'!P1062="",ROUND(AVERAGE('Raw Data'!$P$2:$P$1501),1),'Raw Data'!P1062)</f>
        <v>19.8</v>
      </c>
      <c r="Q1062" s="21">
        <f>IF('Raw Data'!Q1062="",ROUND(AVERAGE('Raw Data'!$Q$2:$Q$1501),0),'Raw Data'!Q1062)</f>
        <v>2</v>
      </c>
      <c r="R1062" s="21">
        <f>'Raw Data'!R1062</f>
        <v>3</v>
      </c>
      <c r="S1062" s="21">
        <f>IF('Raw Data'!S1062="",ROUND(AVERAGE('Raw Data'!$S$2:$S$1501),0),'Raw Data'!S1062)</f>
        <v>14</v>
      </c>
      <c r="T1062" s="21">
        <f>'Raw Data'!T1062</f>
        <v>0</v>
      </c>
      <c r="U1062" s="21" t="str">
        <f>INDEX('Lookup Tables'!$C$7:$C$9,MATCH(E1062,'Lookup Tables'!$B$7:$B$9,0))</f>
        <v>Tier 3 (Semi-urban/Rural)</v>
      </c>
      <c r="V1062" s="21" t="str">
        <f t="shared" si="48"/>
        <v>13-24 months</v>
      </c>
      <c r="W1062" s="21" t="str">
        <f t="shared" si="49"/>
        <v>Low Risk</v>
      </c>
      <c r="X1062" s="21" t="str">
        <f t="shared" si="50"/>
        <v>No</v>
      </c>
    </row>
    <row r="1063" spans="1:24" x14ac:dyDescent="0.3">
      <c r="A1063" s="21">
        <f>'Raw Data'!A1063</f>
        <v>51062</v>
      </c>
      <c r="B1063" s="21">
        <f>'Raw Data'!B1063</f>
        <v>0</v>
      </c>
      <c r="C1063" s="21">
        <f>'Raw Data'!C1063</f>
        <v>13</v>
      </c>
      <c r="D1063" s="21" t="str">
        <f>'Raw Data'!D1063</f>
        <v>Mobile Phone</v>
      </c>
      <c r="E1063" s="21">
        <f>'Raw Data'!E1063</f>
        <v>2</v>
      </c>
      <c r="F1063" s="21">
        <f>IF('Raw Data'!F1063="",ROUND(AVERAGE('Raw Data'!$F$2:$F$1501),1),'Raw Data'!F1063)</f>
        <v>18</v>
      </c>
      <c r="G1063" s="21" t="str">
        <f>'Raw Data'!G1063</f>
        <v>UPI</v>
      </c>
      <c r="H1063" s="21" t="str">
        <f>'Raw Data'!H1063</f>
        <v>Male</v>
      </c>
      <c r="I1063" s="21">
        <f>IF('Raw Data'!I1063="",ROUND(AVERAGE('Raw Data'!$I$2:$I$1501),1),'Raw Data'!I1063)</f>
        <v>2.9</v>
      </c>
      <c r="J1063" s="21">
        <f>'Raw Data'!J1063</f>
        <v>1</v>
      </c>
      <c r="K1063" s="21" t="str">
        <f>'Raw Data'!K1063</f>
        <v>Fashion</v>
      </c>
      <c r="L1063" s="21">
        <f>'Raw Data'!L1063</f>
        <v>3</v>
      </c>
      <c r="M1063" s="21" t="str">
        <f>'Raw Data'!M1063</f>
        <v>Married</v>
      </c>
      <c r="N1063" s="21">
        <f>'Raw Data'!N1063</f>
        <v>1</v>
      </c>
      <c r="O1063" s="21">
        <f>'Raw Data'!O1063</f>
        <v>0</v>
      </c>
      <c r="P1063" s="21">
        <f>IF('Raw Data'!P1063="",ROUND(AVERAGE('Raw Data'!$P$2:$P$1501),1),'Raw Data'!P1063)</f>
        <v>20</v>
      </c>
      <c r="Q1063" s="21">
        <f>IF('Raw Data'!Q1063="",ROUND(AVERAGE('Raw Data'!$Q$2:$Q$1501),0),'Raw Data'!Q1063)</f>
        <v>5</v>
      </c>
      <c r="R1063" s="21">
        <f>'Raw Data'!R1063</f>
        <v>5</v>
      </c>
      <c r="S1063" s="21">
        <f>IF('Raw Data'!S1063="",ROUND(AVERAGE('Raw Data'!$S$2:$S$1501),0),'Raw Data'!S1063)</f>
        <v>1</v>
      </c>
      <c r="T1063" s="21">
        <f>'Raw Data'!T1063</f>
        <v>201.15</v>
      </c>
      <c r="U1063" s="21" t="str">
        <f>INDEX('Lookup Tables'!$C$7:$C$9,MATCH(E1063,'Lookup Tables'!$B$7:$B$9,0))</f>
        <v>Tier 2 (Urban)</v>
      </c>
      <c r="V1063" s="21" t="str">
        <f t="shared" si="48"/>
        <v>13-24 months</v>
      </c>
      <c r="W1063" s="21" t="str">
        <f t="shared" si="49"/>
        <v>Medium Risk</v>
      </c>
      <c r="X1063" s="21" t="str">
        <f t="shared" si="50"/>
        <v>No</v>
      </c>
    </row>
    <row r="1064" spans="1:24" x14ac:dyDescent="0.3">
      <c r="A1064" s="21">
        <f>'Raw Data'!A1064</f>
        <v>51063</v>
      </c>
      <c r="B1064" s="21">
        <f>'Raw Data'!B1064</f>
        <v>0</v>
      </c>
      <c r="C1064" s="21">
        <f>'Raw Data'!C1064</f>
        <v>14</v>
      </c>
      <c r="D1064" s="21" t="str">
        <f>'Raw Data'!D1064</f>
        <v>Phone</v>
      </c>
      <c r="E1064" s="21">
        <f>'Raw Data'!E1064</f>
        <v>3</v>
      </c>
      <c r="F1064" s="21">
        <f>IF('Raw Data'!F1064="",ROUND(AVERAGE('Raw Data'!$F$2:$F$1501),1),'Raw Data'!F1064)</f>
        <v>22</v>
      </c>
      <c r="G1064" s="21" t="str">
        <f>'Raw Data'!G1064</f>
        <v>Debit Card</v>
      </c>
      <c r="H1064" s="21" t="str">
        <f>'Raw Data'!H1064</f>
        <v>Male</v>
      </c>
      <c r="I1064" s="21">
        <f>IF('Raw Data'!I1064="",ROUND(AVERAGE('Raw Data'!$I$2:$I$1501),1),'Raw Data'!I1064)</f>
        <v>3.4</v>
      </c>
      <c r="J1064" s="21">
        <f>'Raw Data'!J1064</f>
        <v>4</v>
      </c>
      <c r="K1064" s="21" t="str">
        <f>'Raw Data'!K1064</f>
        <v>Laptop &amp; Accessory</v>
      </c>
      <c r="L1064" s="21">
        <f>'Raw Data'!L1064</f>
        <v>4</v>
      </c>
      <c r="M1064" s="21" t="str">
        <f>'Raw Data'!M1064</f>
        <v>Married</v>
      </c>
      <c r="N1064" s="21">
        <f>'Raw Data'!N1064</f>
        <v>4</v>
      </c>
      <c r="O1064" s="21">
        <f>'Raw Data'!O1064</f>
        <v>1</v>
      </c>
      <c r="P1064" s="21">
        <f>IF('Raw Data'!P1064="",ROUND(AVERAGE('Raw Data'!$P$2:$P$1501),1),'Raw Data'!P1064)</f>
        <v>19.899999999999999</v>
      </c>
      <c r="Q1064" s="21">
        <f>IF('Raw Data'!Q1064="",ROUND(AVERAGE('Raw Data'!$Q$2:$Q$1501),0),'Raw Data'!Q1064)</f>
        <v>2</v>
      </c>
      <c r="R1064" s="21">
        <f>'Raw Data'!R1064</f>
        <v>7</v>
      </c>
      <c r="S1064" s="21">
        <f>IF('Raw Data'!S1064="",ROUND(AVERAGE('Raw Data'!$S$2:$S$1501),0),'Raw Data'!S1064)</f>
        <v>7</v>
      </c>
      <c r="T1064" s="21">
        <f>'Raw Data'!T1064</f>
        <v>125.77</v>
      </c>
      <c r="U1064" s="21" t="str">
        <f>INDEX('Lookup Tables'!$C$7:$C$9,MATCH(E1064,'Lookup Tables'!$B$7:$B$9,0))</f>
        <v>Tier 3 (Semi-urban/Rural)</v>
      </c>
      <c r="V1064" s="21" t="str">
        <f t="shared" si="48"/>
        <v>13-24 months</v>
      </c>
      <c r="W1064" s="21" t="str">
        <f t="shared" si="49"/>
        <v>Low Risk</v>
      </c>
      <c r="X1064" s="21" t="str">
        <f t="shared" si="50"/>
        <v>No</v>
      </c>
    </row>
    <row r="1065" spans="1:24" x14ac:dyDescent="0.3">
      <c r="A1065" s="21">
        <f>'Raw Data'!A1065</f>
        <v>51064</v>
      </c>
      <c r="B1065" s="21">
        <f>'Raw Data'!B1065</f>
        <v>0</v>
      </c>
      <c r="C1065" s="21">
        <f>'Raw Data'!C1065</f>
        <v>10</v>
      </c>
      <c r="D1065" s="21" t="str">
        <f>'Raw Data'!D1065</f>
        <v>Computer</v>
      </c>
      <c r="E1065" s="21">
        <f>'Raw Data'!E1065</f>
        <v>1</v>
      </c>
      <c r="F1065" s="21">
        <f>IF('Raw Data'!F1065="",ROUND(AVERAGE('Raw Data'!$F$2:$F$1501),1),'Raw Data'!F1065)</f>
        <v>13</v>
      </c>
      <c r="G1065" s="21" t="str">
        <f>'Raw Data'!G1065</f>
        <v>Cash on Delivery</v>
      </c>
      <c r="H1065" s="21" t="str">
        <f>'Raw Data'!H1065</f>
        <v>Female</v>
      </c>
      <c r="I1065" s="21">
        <f>IF('Raw Data'!I1065="",ROUND(AVERAGE('Raw Data'!$I$2:$I$1501),1),'Raw Data'!I1065)</f>
        <v>3.2</v>
      </c>
      <c r="J1065" s="21">
        <f>'Raw Data'!J1065</f>
        <v>3</v>
      </c>
      <c r="K1065" s="21" t="str">
        <f>'Raw Data'!K1065</f>
        <v>Mobile Phone</v>
      </c>
      <c r="L1065" s="21">
        <f>'Raw Data'!L1065</f>
        <v>4</v>
      </c>
      <c r="M1065" s="21" t="str">
        <f>'Raw Data'!M1065</f>
        <v>Married</v>
      </c>
      <c r="N1065" s="21">
        <f>'Raw Data'!N1065</f>
        <v>1</v>
      </c>
      <c r="O1065" s="21">
        <f>'Raw Data'!O1065</f>
        <v>0</v>
      </c>
      <c r="P1065" s="21">
        <f>IF('Raw Data'!P1065="",ROUND(AVERAGE('Raw Data'!$P$2:$P$1501),1),'Raw Data'!P1065)</f>
        <v>16.2</v>
      </c>
      <c r="Q1065" s="21">
        <f>IF('Raw Data'!Q1065="",ROUND(AVERAGE('Raw Data'!$Q$2:$Q$1501),0),'Raw Data'!Q1065)</f>
        <v>2</v>
      </c>
      <c r="R1065" s="21">
        <f>'Raw Data'!R1065</f>
        <v>4</v>
      </c>
      <c r="S1065" s="21">
        <f>IF('Raw Data'!S1065="",ROUND(AVERAGE('Raw Data'!$S$2:$S$1501),0),'Raw Data'!S1065)</f>
        <v>1</v>
      </c>
      <c r="T1065" s="21">
        <f>'Raw Data'!T1065</f>
        <v>174.52</v>
      </c>
      <c r="U1065" s="21" t="str">
        <f>INDEX('Lookup Tables'!$C$7:$C$9,MATCH(E1065,'Lookup Tables'!$B$7:$B$9,0))</f>
        <v>Tier 1 (Metro)</v>
      </c>
      <c r="V1065" s="21" t="str">
        <f t="shared" si="48"/>
        <v>7-12 months</v>
      </c>
      <c r="W1065" s="21" t="str">
        <f t="shared" si="49"/>
        <v>Low Risk</v>
      </c>
      <c r="X1065" s="21" t="str">
        <f t="shared" si="50"/>
        <v>No</v>
      </c>
    </row>
    <row r="1066" spans="1:24" x14ac:dyDescent="0.3">
      <c r="A1066" s="21">
        <f>'Raw Data'!A1066</f>
        <v>51065</v>
      </c>
      <c r="B1066" s="21">
        <f>'Raw Data'!B1066</f>
        <v>1</v>
      </c>
      <c r="C1066" s="21">
        <f>'Raw Data'!C1066</f>
        <v>1</v>
      </c>
      <c r="D1066" s="21" t="str">
        <f>'Raw Data'!D1066</f>
        <v>Phone</v>
      </c>
      <c r="E1066" s="21">
        <f>'Raw Data'!E1066</f>
        <v>2</v>
      </c>
      <c r="F1066" s="21">
        <f>IF('Raw Data'!F1066="",ROUND(AVERAGE('Raw Data'!$F$2:$F$1501),1),'Raw Data'!F1066)</f>
        <v>20</v>
      </c>
      <c r="G1066" s="21" t="str">
        <f>'Raw Data'!G1066</f>
        <v>E wallet</v>
      </c>
      <c r="H1066" s="21" t="str">
        <f>'Raw Data'!H1066</f>
        <v>Male</v>
      </c>
      <c r="I1066" s="21">
        <f>IF('Raw Data'!I1066="",ROUND(AVERAGE('Raw Data'!$I$2:$I$1501),1),'Raw Data'!I1066)</f>
        <v>4</v>
      </c>
      <c r="J1066" s="21">
        <f>'Raw Data'!J1066</f>
        <v>4</v>
      </c>
      <c r="K1066" s="21" t="str">
        <f>'Raw Data'!K1066</f>
        <v>Laptop &amp; Accessory</v>
      </c>
      <c r="L1066" s="21">
        <f>'Raw Data'!L1066</f>
        <v>1</v>
      </c>
      <c r="M1066" s="21" t="str">
        <f>'Raw Data'!M1066</f>
        <v>Single</v>
      </c>
      <c r="N1066" s="21">
        <f>'Raw Data'!N1066</f>
        <v>1</v>
      </c>
      <c r="O1066" s="21">
        <f>'Raw Data'!O1066</f>
        <v>0</v>
      </c>
      <c r="P1066" s="21">
        <f>IF('Raw Data'!P1066="",ROUND(AVERAGE('Raw Data'!$P$2:$P$1501),1),'Raw Data'!P1066)</f>
        <v>13.5</v>
      </c>
      <c r="Q1066" s="21">
        <f>IF('Raw Data'!Q1066="",ROUND(AVERAGE('Raw Data'!$Q$2:$Q$1501),0),'Raw Data'!Q1066)</f>
        <v>2</v>
      </c>
      <c r="R1066" s="21">
        <f>'Raw Data'!R1066</f>
        <v>8</v>
      </c>
      <c r="S1066" s="21">
        <f>IF('Raw Data'!S1066="",ROUND(AVERAGE('Raw Data'!$S$2:$S$1501),0),'Raw Data'!S1066)</f>
        <v>10</v>
      </c>
      <c r="T1066" s="21">
        <f>'Raw Data'!T1066</f>
        <v>135.5</v>
      </c>
      <c r="U1066" s="21" t="str">
        <f>INDEX('Lookup Tables'!$C$7:$C$9,MATCH(E1066,'Lookup Tables'!$B$7:$B$9,0))</f>
        <v>Tier 2 (Urban)</v>
      </c>
      <c r="V1066" s="21" t="str">
        <f t="shared" si="48"/>
        <v>0-6 months</v>
      </c>
      <c r="W1066" s="21" t="str">
        <f t="shared" si="49"/>
        <v>Low Risk</v>
      </c>
      <c r="X1066" s="21" t="str">
        <f t="shared" si="50"/>
        <v>Yes</v>
      </c>
    </row>
    <row r="1067" spans="1:24" x14ac:dyDescent="0.3">
      <c r="A1067" s="21">
        <f>'Raw Data'!A1067</f>
        <v>51066</v>
      </c>
      <c r="B1067" s="21">
        <f>'Raw Data'!B1067</f>
        <v>0</v>
      </c>
      <c r="C1067" s="21">
        <f>'Raw Data'!C1067</f>
        <v>7</v>
      </c>
      <c r="D1067" s="21" t="str">
        <f>'Raw Data'!D1067</f>
        <v>Mobile Phone</v>
      </c>
      <c r="E1067" s="21">
        <f>'Raw Data'!E1067</f>
        <v>1</v>
      </c>
      <c r="F1067" s="21">
        <f>IF('Raw Data'!F1067="",ROUND(AVERAGE('Raw Data'!$F$2:$F$1501),1),'Raw Data'!F1067)</f>
        <v>17</v>
      </c>
      <c r="G1067" s="21" t="str">
        <f>'Raw Data'!G1067</f>
        <v>UPI</v>
      </c>
      <c r="H1067" s="21" t="str">
        <f>'Raw Data'!H1067</f>
        <v>Male</v>
      </c>
      <c r="I1067" s="21">
        <f>IF('Raw Data'!I1067="",ROUND(AVERAGE('Raw Data'!$I$2:$I$1501),1),'Raw Data'!I1067)</f>
        <v>3.2</v>
      </c>
      <c r="J1067" s="21">
        <f>'Raw Data'!J1067</f>
        <v>3</v>
      </c>
      <c r="K1067" s="21" t="str">
        <f>'Raw Data'!K1067</f>
        <v>Laptop &amp; Accessory</v>
      </c>
      <c r="L1067" s="21">
        <f>'Raw Data'!L1067</f>
        <v>4</v>
      </c>
      <c r="M1067" s="21" t="str">
        <f>'Raw Data'!M1067</f>
        <v>Divorced</v>
      </c>
      <c r="N1067" s="21">
        <f>'Raw Data'!N1067</f>
        <v>1</v>
      </c>
      <c r="O1067" s="21">
        <f>'Raw Data'!O1067</f>
        <v>0</v>
      </c>
      <c r="P1067" s="21">
        <f>IF('Raw Data'!P1067="",ROUND(AVERAGE('Raw Data'!$P$2:$P$1501),1),'Raw Data'!P1067)</f>
        <v>16.7</v>
      </c>
      <c r="Q1067" s="21">
        <f>IF('Raw Data'!Q1067="",ROUND(AVERAGE('Raw Data'!$Q$2:$Q$1501),0),'Raw Data'!Q1067)</f>
        <v>4</v>
      </c>
      <c r="R1067" s="21">
        <f>'Raw Data'!R1067</f>
        <v>4</v>
      </c>
      <c r="S1067" s="21">
        <f>IF('Raw Data'!S1067="",ROUND(AVERAGE('Raw Data'!$S$2:$S$1501),0),'Raw Data'!S1067)</f>
        <v>0</v>
      </c>
      <c r="T1067" s="21">
        <f>'Raw Data'!T1067</f>
        <v>131.55000000000001</v>
      </c>
      <c r="U1067" s="21" t="str">
        <f>INDEX('Lookup Tables'!$C$7:$C$9,MATCH(E1067,'Lookup Tables'!$B$7:$B$9,0))</f>
        <v>Tier 1 (Metro)</v>
      </c>
      <c r="V1067" s="21" t="str">
        <f t="shared" si="48"/>
        <v>7-12 months</v>
      </c>
      <c r="W1067" s="21" t="str">
        <f t="shared" si="49"/>
        <v>Low Risk</v>
      </c>
      <c r="X1067" s="21" t="str">
        <f t="shared" si="50"/>
        <v>No</v>
      </c>
    </row>
    <row r="1068" spans="1:24" x14ac:dyDescent="0.3">
      <c r="A1068" s="21">
        <f>'Raw Data'!A1068</f>
        <v>51067</v>
      </c>
      <c r="B1068" s="21">
        <f>'Raw Data'!B1068</f>
        <v>0</v>
      </c>
      <c r="C1068" s="21">
        <f>'Raw Data'!C1068</f>
        <v>41</v>
      </c>
      <c r="D1068" s="21" t="str">
        <f>'Raw Data'!D1068</f>
        <v>Mobile Phone</v>
      </c>
      <c r="E1068" s="21">
        <f>'Raw Data'!E1068</f>
        <v>3</v>
      </c>
      <c r="F1068" s="21">
        <f>IF('Raw Data'!F1068="",ROUND(AVERAGE('Raw Data'!$F$2:$F$1501),1),'Raw Data'!F1068)</f>
        <v>7</v>
      </c>
      <c r="G1068" s="21" t="str">
        <f>'Raw Data'!G1068</f>
        <v>Debit Card</v>
      </c>
      <c r="H1068" s="21" t="str">
        <f>'Raw Data'!H1068</f>
        <v>Female</v>
      </c>
      <c r="I1068" s="21">
        <f>IF('Raw Data'!I1068="",ROUND(AVERAGE('Raw Data'!$I$2:$I$1501),1),'Raw Data'!I1068)</f>
        <v>4.2</v>
      </c>
      <c r="J1068" s="21">
        <f>'Raw Data'!J1068</f>
        <v>3</v>
      </c>
      <c r="K1068" s="21" t="str">
        <f>'Raw Data'!K1068</f>
        <v>Laptop &amp; Accessory</v>
      </c>
      <c r="L1068" s="21">
        <f>'Raw Data'!L1068</f>
        <v>4</v>
      </c>
      <c r="M1068" s="21" t="str">
        <f>'Raw Data'!M1068</f>
        <v>Married</v>
      </c>
      <c r="N1068" s="21">
        <f>'Raw Data'!N1068</f>
        <v>1</v>
      </c>
      <c r="O1068" s="21">
        <f>'Raw Data'!O1068</f>
        <v>0</v>
      </c>
      <c r="P1068" s="21">
        <f>IF('Raw Data'!P1068="",ROUND(AVERAGE('Raw Data'!$P$2:$P$1501),1),'Raw Data'!P1068)</f>
        <v>19.3</v>
      </c>
      <c r="Q1068" s="21">
        <f>IF('Raw Data'!Q1068="",ROUND(AVERAGE('Raw Data'!$Q$2:$Q$1501),0),'Raw Data'!Q1068)</f>
        <v>1</v>
      </c>
      <c r="R1068" s="21">
        <f>'Raw Data'!R1068</f>
        <v>3</v>
      </c>
      <c r="S1068" s="21">
        <f>IF('Raw Data'!S1068="",ROUND(AVERAGE('Raw Data'!$S$2:$S$1501),0),'Raw Data'!S1068)</f>
        <v>0</v>
      </c>
      <c r="T1068" s="21">
        <f>'Raw Data'!T1068</f>
        <v>137.91</v>
      </c>
      <c r="U1068" s="21" t="str">
        <f>INDEX('Lookup Tables'!$C$7:$C$9,MATCH(E1068,'Lookup Tables'!$B$7:$B$9,0))</f>
        <v>Tier 3 (Semi-urban/Rural)</v>
      </c>
      <c r="V1068" s="21" t="str">
        <f t="shared" si="48"/>
        <v>25+ months</v>
      </c>
      <c r="W1068" s="21" t="str">
        <f t="shared" si="49"/>
        <v>Low Risk</v>
      </c>
      <c r="X1068" s="21" t="str">
        <f t="shared" si="50"/>
        <v>No</v>
      </c>
    </row>
    <row r="1069" spans="1:24" x14ac:dyDescent="0.3">
      <c r="A1069" s="21">
        <f>'Raw Data'!A1069</f>
        <v>51068</v>
      </c>
      <c r="B1069" s="21">
        <f>'Raw Data'!B1069</f>
        <v>0</v>
      </c>
      <c r="C1069" s="21">
        <f>'Raw Data'!C1069</f>
        <v>27</v>
      </c>
      <c r="D1069" s="21" t="str">
        <f>'Raw Data'!D1069</f>
        <v>Mobile Phone</v>
      </c>
      <c r="E1069" s="21">
        <f>'Raw Data'!E1069</f>
        <v>2</v>
      </c>
      <c r="F1069" s="21">
        <f>IF('Raw Data'!F1069="",ROUND(AVERAGE('Raw Data'!$F$2:$F$1501),1),'Raw Data'!F1069)</f>
        <v>17</v>
      </c>
      <c r="G1069" s="21" t="str">
        <f>'Raw Data'!G1069</f>
        <v>Debit Card</v>
      </c>
      <c r="H1069" s="21" t="str">
        <f>'Raw Data'!H1069</f>
        <v>Male</v>
      </c>
      <c r="I1069" s="21">
        <f>IF('Raw Data'!I1069="",ROUND(AVERAGE('Raw Data'!$I$2:$I$1501),1),'Raw Data'!I1069)</f>
        <v>3.3</v>
      </c>
      <c r="J1069" s="21">
        <f>'Raw Data'!J1069</f>
        <v>4</v>
      </c>
      <c r="K1069" s="21" t="str">
        <f>'Raw Data'!K1069</f>
        <v>Laptop &amp; Accessory</v>
      </c>
      <c r="L1069" s="21">
        <f>'Raw Data'!L1069</f>
        <v>3</v>
      </c>
      <c r="M1069" s="21" t="str">
        <f>'Raw Data'!M1069</f>
        <v>Divorced</v>
      </c>
      <c r="N1069" s="21">
        <f>'Raw Data'!N1069</f>
        <v>1</v>
      </c>
      <c r="O1069" s="21">
        <f>'Raw Data'!O1069</f>
        <v>0</v>
      </c>
      <c r="P1069" s="21">
        <f>IF('Raw Data'!P1069="",ROUND(AVERAGE('Raw Data'!$P$2:$P$1501),1),'Raw Data'!P1069)</f>
        <v>19.600000000000001</v>
      </c>
      <c r="Q1069" s="21">
        <f>IF('Raw Data'!Q1069="",ROUND(AVERAGE('Raw Data'!$Q$2:$Q$1501),0),'Raw Data'!Q1069)</f>
        <v>1</v>
      </c>
      <c r="R1069" s="21">
        <f>'Raw Data'!R1069</f>
        <v>3</v>
      </c>
      <c r="S1069" s="21">
        <f>IF('Raw Data'!S1069="",ROUND(AVERAGE('Raw Data'!$S$2:$S$1501),0),'Raw Data'!S1069)</f>
        <v>6</v>
      </c>
      <c r="T1069" s="21">
        <f>'Raw Data'!T1069</f>
        <v>142.88</v>
      </c>
      <c r="U1069" s="21" t="str">
        <f>INDEX('Lookup Tables'!$C$7:$C$9,MATCH(E1069,'Lookup Tables'!$B$7:$B$9,0))</f>
        <v>Tier 2 (Urban)</v>
      </c>
      <c r="V1069" s="21" t="str">
        <f t="shared" si="48"/>
        <v>25+ months</v>
      </c>
      <c r="W1069" s="21" t="str">
        <f t="shared" si="49"/>
        <v>Medium Risk</v>
      </c>
      <c r="X1069" s="21" t="str">
        <f t="shared" si="50"/>
        <v>No</v>
      </c>
    </row>
    <row r="1070" spans="1:24" x14ac:dyDescent="0.3">
      <c r="A1070" s="21">
        <f>'Raw Data'!A1070</f>
        <v>51069</v>
      </c>
      <c r="B1070" s="21">
        <f>'Raw Data'!B1070</f>
        <v>0</v>
      </c>
      <c r="C1070" s="21">
        <f>'Raw Data'!C1070</f>
        <v>0</v>
      </c>
      <c r="D1070" s="21" t="str">
        <f>'Raw Data'!D1070</f>
        <v>Mobile Phone</v>
      </c>
      <c r="E1070" s="21">
        <f>'Raw Data'!E1070</f>
        <v>1</v>
      </c>
      <c r="F1070" s="21">
        <f>IF('Raw Data'!F1070="",ROUND(AVERAGE('Raw Data'!$F$2:$F$1501),1),'Raw Data'!F1070)</f>
        <v>7</v>
      </c>
      <c r="G1070" s="21" t="str">
        <f>'Raw Data'!G1070</f>
        <v>UPI</v>
      </c>
      <c r="H1070" s="21" t="str">
        <f>'Raw Data'!H1070</f>
        <v>Female</v>
      </c>
      <c r="I1070" s="21">
        <f>IF('Raw Data'!I1070="",ROUND(AVERAGE('Raw Data'!$I$2:$I$1501),1),'Raw Data'!I1070)</f>
        <v>3.6</v>
      </c>
      <c r="J1070" s="21">
        <f>'Raw Data'!J1070</f>
        <v>5</v>
      </c>
      <c r="K1070" s="21" t="str">
        <f>'Raw Data'!K1070</f>
        <v>Laptop &amp; Accessory</v>
      </c>
      <c r="L1070" s="21">
        <f>'Raw Data'!L1070</f>
        <v>5</v>
      </c>
      <c r="M1070" s="21" t="str">
        <f>'Raw Data'!M1070</f>
        <v>Married</v>
      </c>
      <c r="N1070" s="21">
        <f>'Raw Data'!N1070</f>
        <v>1</v>
      </c>
      <c r="O1070" s="21">
        <f>'Raw Data'!O1070</f>
        <v>0</v>
      </c>
      <c r="P1070" s="21">
        <f>IF('Raw Data'!P1070="",ROUND(AVERAGE('Raw Data'!$P$2:$P$1501),1),'Raw Data'!P1070)</f>
        <v>14.5</v>
      </c>
      <c r="Q1070" s="21">
        <f>IF('Raw Data'!Q1070="",ROUND(AVERAGE('Raw Data'!$Q$2:$Q$1501),0),'Raw Data'!Q1070)</f>
        <v>1</v>
      </c>
      <c r="R1070" s="21">
        <f>'Raw Data'!R1070</f>
        <v>6</v>
      </c>
      <c r="S1070" s="21">
        <f>IF('Raw Data'!S1070="",ROUND(AVERAGE('Raw Data'!$S$2:$S$1501),0),'Raw Data'!S1070)</f>
        <v>0</v>
      </c>
      <c r="T1070" s="21">
        <f>'Raw Data'!T1070</f>
        <v>222.69</v>
      </c>
      <c r="U1070" s="21" t="str">
        <f>INDEX('Lookup Tables'!$C$7:$C$9,MATCH(E1070,'Lookup Tables'!$B$7:$B$9,0))</f>
        <v>Tier 1 (Metro)</v>
      </c>
      <c r="V1070" s="21" t="str">
        <f t="shared" si="48"/>
        <v>0-6 months</v>
      </c>
      <c r="W1070" s="21" t="str">
        <f t="shared" si="49"/>
        <v>Low Risk</v>
      </c>
      <c r="X1070" s="21" t="str">
        <f t="shared" si="50"/>
        <v>No</v>
      </c>
    </row>
    <row r="1071" spans="1:24" x14ac:dyDescent="0.3">
      <c r="A1071" s="21">
        <f>'Raw Data'!A1071</f>
        <v>51070</v>
      </c>
      <c r="B1071" s="21">
        <f>'Raw Data'!B1071</f>
        <v>0</v>
      </c>
      <c r="C1071" s="21">
        <f>'Raw Data'!C1071</f>
        <v>1</v>
      </c>
      <c r="D1071" s="21" t="str">
        <f>'Raw Data'!D1071</f>
        <v>Mobile Phone</v>
      </c>
      <c r="E1071" s="21">
        <f>'Raw Data'!E1071</f>
        <v>1</v>
      </c>
      <c r="F1071" s="21">
        <f>IF('Raw Data'!F1071="",ROUND(AVERAGE('Raw Data'!$F$2:$F$1501),1),'Raw Data'!F1071)</f>
        <v>9</v>
      </c>
      <c r="G1071" s="21" t="str">
        <f>'Raw Data'!G1071</f>
        <v>Debit Card</v>
      </c>
      <c r="H1071" s="21" t="str">
        <f>'Raw Data'!H1071</f>
        <v>Female</v>
      </c>
      <c r="I1071" s="21">
        <f>IF('Raw Data'!I1071="",ROUND(AVERAGE('Raw Data'!$I$2:$I$1501),1),'Raw Data'!I1071)</f>
        <v>2.7</v>
      </c>
      <c r="J1071" s="21">
        <f>'Raw Data'!J1071</f>
        <v>3</v>
      </c>
      <c r="K1071" s="21" t="str">
        <f>'Raw Data'!K1071</f>
        <v>Fashion</v>
      </c>
      <c r="L1071" s="21">
        <f>'Raw Data'!L1071</f>
        <v>5</v>
      </c>
      <c r="M1071" s="21" t="str">
        <f>'Raw Data'!M1071</f>
        <v>Married</v>
      </c>
      <c r="N1071" s="21">
        <f>'Raw Data'!N1071</f>
        <v>7</v>
      </c>
      <c r="O1071" s="21">
        <f>'Raw Data'!O1071</f>
        <v>0</v>
      </c>
      <c r="P1071" s="21">
        <f>IF('Raw Data'!P1071="",ROUND(AVERAGE('Raw Data'!$P$2:$P$1501),1),'Raw Data'!P1071)</f>
        <v>17.100000000000001</v>
      </c>
      <c r="Q1071" s="21">
        <f>IF('Raw Data'!Q1071="",ROUND(AVERAGE('Raw Data'!$Q$2:$Q$1501),0),'Raw Data'!Q1071)</f>
        <v>0</v>
      </c>
      <c r="R1071" s="21">
        <f>'Raw Data'!R1071</f>
        <v>5</v>
      </c>
      <c r="S1071" s="21">
        <f>IF('Raw Data'!S1071="",ROUND(AVERAGE('Raw Data'!$S$2:$S$1501),0),'Raw Data'!S1071)</f>
        <v>0</v>
      </c>
      <c r="T1071" s="21">
        <f>'Raw Data'!T1071</f>
        <v>211.55</v>
      </c>
      <c r="U1071" s="21" t="str">
        <f>INDEX('Lookup Tables'!$C$7:$C$9,MATCH(E1071,'Lookup Tables'!$B$7:$B$9,0))</f>
        <v>Tier 1 (Metro)</v>
      </c>
      <c r="V1071" s="21" t="str">
        <f t="shared" si="48"/>
        <v>0-6 months</v>
      </c>
      <c r="W1071" s="21" t="str">
        <f t="shared" si="49"/>
        <v>Low Risk</v>
      </c>
      <c r="X1071" s="21" t="str">
        <f t="shared" si="50"/>
        <v>No</v>
      </c>
    </row>
    <row r="1072" spans="1:24" x14ac:dyDescent="0.3">
      <c r="A1072" s="21">
        <f>'Raw Data'!A1072</f>
        <v>51071</v>
      </c>
      <c r="B1072" s="21">
        <f>'Raw Data'!B1072</f>
        <v>0</v>
      </c>
      <c r="C1072" s="21">
        <f>'Raw Data'!C1072</f>
        <v>1</v>
      </c>
      <c r="D1072" s="21" t="str">
        <f>'Raw Data'!D1072</f>
        <v>Computer</v>
      </c>
      <c r="E1072" s="21">
        <f>'Raw Data'!E1072</f>
        <v>1</v>
      </c>
      <c r="F1072" s="21">
        <f>IF('Raw Data'!F1072="",ROUND(AVERAGE('Raw Data'!$F$2:$F$1501),1),'Raw Data'!F1072)</f>
        <v>16</v>
      </c>
      <c r="G1072" s="21" t="str">
        <f>'Raw Data'!G1072</f>
        <v>UPI</v>
      </c>
      <c r="H1072" s="21" t="str">
        <f>'Raw Data'!H1072</f>
        <v>Female</v>
      </c>
      <c r="I1072" s="21">
        <f>IF('Raw Data'!I1072="",ROUND(AVERAGE('Raw Data'!$I$2:$I$1501),1),'Raw Data'!I1072)</f>
        <v>2.9</v>
      </c>
      <c r="J1072" s="21">
        <f>'Raw Data'!J1072</f>
        <v>3</v>
      </c>
      <c r="K1072" s="21" t="str">
        <f>'Raw Data'!K1072</f>
        <v>Laptop &amp; Accessory</v>
      </c>
      <c r="L1072" s="21">
        <f>'Raw Data'!L1072</f>
        <v>3</v>
      </c>
      <c r="M1072" s="21" t="str">
        <f>'Raw Data'!M1072</f>
        <v>Single</v>
      </c>
      <c r="N1072" s="21">
        <f>'Raw Data'!N1072</f>
        <v>1</v>
      </c>
      <c r="O1072" s="21">
        <f>'Raw Data'!O1072</f>
        <v>0</v>
      </c>
      <c r="P1072" s="21">
        <f>IF('Raw Data'!P1072="",ROUND(AVERAGE('Raw Data'!$P$2:$P$1501),1),'Raw Data'!P1072)</f>
        <v>11.4</v>
      </c>
      <c r="Q1072" s="21">
        <f>IF('Raw Data'!Q1072="",ROUND(AVERAGE('Raw Data'!$Q$2:$Q$1501),0),'Raw Data'!Q1072)</f>
        <v>3</v>
      </c>
      <c r="R1072" s="21">
        <f>'Raw Data'!R1072</f>
        <v>2</v>
      </c>
      <c r="S1072" s="21">
        <f>IF('Raw Data'!S1072="",ROUND(AVERAGE('Raw Data'!$S$2:$S$1501),0),'Raw Data'!S1072)</f>
        <v>4</v>
      </c>
      <c r="T1072" s="21">
        <f>'Raw Data'!T1072</f>
        <v>113.56</v>
      </c>
      <c r="U1072" s="21" t="str">
        <f>INDEX('Lookup Tables'!$C$7:$C$9,MATCH(E1072,'Lookup Tables'!$B$7:$B$9,0))</f>
        <v>Tier 1 (Metro)</v>
      </c>
      <c r="V1072" s="21" t="str">
        <f t="shared" si="48"/>
        <v>0-6 months</v>
      </c>
      <c r="W1072" s="21" t="str">
        <f t="shared" si="49"/>
        <v>Medium Risk</v>
      </c>
      <c r="X1072" s="21" t="str">
        <f t="shared" si="50"/>
        <v>No</v>
      </c>
    </row>
    <row r="1073" spans="1:24" x14ac:dyDescent="0.3">
      <c r="A1073" s="21">
        <f>'Raw Data'!A1073</f>
        <v>51072</v>
      </c>
      <c r="B1073" s="21">
        <f>'Raw Data'!B1073</f>
        <v>0</v>
      </c>
      <c r="C1073" s="21">
        <f>'Raw Data'!C1073</f>
        <v>12</v>
      </c>
      <c r="D1073" s="21" t="str">
        <f>'Raw Data'!D1073</f>
        <v>Phone</v>
      </c>
      <c r="E1073" s="21">
        <f>'Raw Data'!E1073</f>
        <v>2</v>
      </c>
      <c r="F1073" s="21">
        <f>IF('Raw Data'!F1073="",ROUND(AVERAGE('Raw Data'!$F$2:$F$1501),1),'Raw Data'!F1073)</f>
        <v>17</v>
      </c>
      <c r="G1073" s="21" t="str">
        <f>'Raw Data'!G1073</f>
        <v>Debit Card</v>
      </c>
      <c r="H1073" s="21" t="str">
        <f>'Raw Data'!H1073</f>
        <v>Male</v>
      </c>
      <c r="I1073" s="21">
        <f>IF('Raw Data'!I1073="",ROUND(AVERAGE('Raw Data'!$I$2:$I$1501),1),'Raw Data'!I1073)</f>
        <v>3.5</v>
      </c>
      <c r="J1073" s="21">
        <f>'Raw Data'!J1073</f>
        <v>3</v>
      </c>
      <c r="K1073" s="21" t="str">
        <f>'Raw Data'!K1073</f>
        <v>Fashion</v>
      </c>
      <c r="L1073" s="21">
        <f>'Raw Data'!L1073</f>
        <v>4</v>
      </c>
      <c r="M1073" s="21" t="str">
        <f>'Raw Data'!M1073</f>
        <v>Married</v>
      </c>
      <c r="N1073" s="21">
        <f>'Raw Data'!N1073</f>
        <v>4</v>
      </c>
      <c r="O1073" s="21">
        <f>'Raw Data'!O1073</f>
        <v>0</v>
      </c>
      <c r="P1073" s="21">
        <f>IF('Raw Data'!P1073="",ROUND(AVERAGE('Raw Data'!$P$2:$P$1501),1),'Raw Data'!P1073)</f>
        <v>19.399999999999999</v>
      </c>
      <c r="Q1073" s="21">
        <f>IF('Raw Data'!Q1073="",ROUND(AVERAGE('Raw Data'!$Q$2:$Q$1501),0),'Raw Data'!Q1073)</f>
        <v>1</v>
      </c>
      <c r="R1073" s="21">
        <f>'Raw Data'!R1073</f>
        <v>4</v>
      </c>
      <c r="S1073" s="21">
        <f>IF('Raw Data'!S1073="",ROUND(AVERAGE('Raw Data'!$S$2:$S$1501),0),'Raw Data'!S1073)</f>
        <v>9</v>
      </c>
      <c r="T1073" s="21">
        <f>'Raw Data'!T1073</f>
        <v>121.05</v>
      </c>
      <c r="U1073" s="21" t="str">
        <f>INDEX('Lookup Tables'!$C$7:$C$9,MATCH(E1073,'Lookup Tables'!$B$7:$B$9,0))</f>
        <v>Tier 2 (Urban)</v>
      </c>
      <c r="V1073" s="21" t="str">
        <f t="shared" si="48"/>
        <v>7-12 months</v>
      </c>
      <c r="W1073" s="21" t="str">
        <f t="shared" si="49"/>
        <v>Low Risk</v>
      </c>
      <c r="X1073" s="21" t="str">
        <f t="shared" si="50"/>
        <v>No</v>
      </c>
    </row>
    <row r="1074" spans="1:24" x14ac:dyDescent="0.3">
      <c r="A1074" s="21">
        <f>'Raw Data'!A1074</f>
        <v>51073</v>
      </c>
      <c r="B1074" s="21">
        <f>'Raw Data'!B1074</f>
        <v>0</v>
      </c>
      <c r="C1074" s="21">
        <f>'Raw Data'!C1074</f>
        <v>17</v>
      </c>
      <c r="D1074" s="21" t="str">
        <f>'Raw Data'!D1074</f>
        <v>Phone</v>
      </c>
      <c r="E1074" s="21">
        <f>'Raw Data'!E1074</f>
        <v>1</v>
      </c>
      <c r="F1074" s="21">
        <f>IF('Raw Data'!F1074="",ROUND(AVERAGE('Raw Data'!$F$2:$F$1501),1),'Raw Data'!F1074)</f>
        <v>14.8</v>
      </c>
      <c r="G1074" s="21" t="str">
        <f>'Raw Data'!G1074</f>
        <v>E wallet</v>
      </c>
      <c r="H1074" s="21" t="str">
        <f>'Raw Data'!H1074</f>
        <v>Female</v>
      </c>
      <c r="I1074" s="21">
        <f>IF('Raw Data'!I1074="",ROUND(AVERAGE('Raw Data'!$I$2:$I$1501),1),'Raw Data'!I1074)</f>
        <v>4</v>
      </c>
      <c r="J1074" s="21">
        <f>'Raw Data'!J1074</f>
        <v>4</v>
      </c>
      <c r="K1074" s="21" t="str">
        <f>'Raw Data'!K1074</f>
        <v>Laptop &amp; Accessory</v>
      </c>
      <c r="L1074" s="21">
        <f>'Raw Data'!L1074</f>
        <v>5</v>
      </c>
      <c r="M1074" s="21" t="str">
        <f>'Raw Data'!M1074</f>
        <v>Married</v>
      </c>
      <c r="N1074" s="21">
        <f>'Raw Data'!N1074</f>
        <v>1</v>
      </c>
      <c r="O1074" s="21">
        <f>'Raw Data'!O1074</f>
        <v>0</v>
      </c>
      <c r="P1074" s="21">
        <f>IF('Raw Data'!P1074="",ROUND(AVERAGE('Raw Data'!$P$2:$P$1501),1),'Raw Data'!P1074)</f>
        <v>13.3</v>
      </c>
      <c r="Q1074" s="21">
        <f>IF('Raw Data'!Q1074="",ROUND(AVERAGE('Raw Data'!$Q$2:$Q$1501),0),'Raw Data'!Q1074)</f>
        <v>3</v>
      </c>
      <c r="R1074" s="21">
        <f>'Raw Data'!R1074</f>
        <v>2</v>
      </c>
      <c r="S1074" s="21">
        <f>IF('Raw Data'!S1074="",ROUND(AVERAGE('Raw Data'!$S$2:$S$1501),0),'Raw Data'!S1074)</f>
        <v>1</v>
      </c>
      <c r="T1074" s="21">
        <f>'Raw Data'!T1074</f>
        <v>200.85</v>
      </c>
      <c r="U1074" s="21" t="str">
        <f>INDEX('Lookup Tables'!$C$7:$C$9,MATCH(E1074,'Lookup Tables'!$B$7:$B$9,0))</f>
        <v>Tier 1 (Metro)</v>
      </c>
      <c r="V1074" s="21" t="str">
        <f t="shared" si="48"/>
        <v>13-24 months</v>
      </c>
      <c r="W1074" s="21" t="str">
        <f t="shared" si="49"/>
        <v>Low Risk</v>
      </c>
      <c r="X1074" s="21" t="str">
        <f t="shared" si="50"/>
        <v>No</v>
      </c>
    </row>
    <row r="1075" spans="1:24" x14ac:dyDescent="0.3">
      <c r="A1075" s="21">
        <f>'Raw Data'!A1075</f>
        <v>51074</v>
      </c>
      <c r="B1075" s="21">
        <f>'Raw Data'!B1075</f>
        <v>0</v>
      </c>
      <c r="C1075" s="21">
        <f>'Raw Data'!C1075</f>
        <v>2</v>
      </c>
      <c r="D1075" s="21" t="str">
        <f>'Raw Data'!D1075</f>
        <v>Mobile Phone</v>
      </c>
      <c r="E1075" s="21">
        <f>'Raw Data'!E1075</f>
        <v>2</v>
      </c>
      <c r="F1075" s="21">
        <f>IF('Raw Data'!F1075="",ROUND(AVERAGE('Raw Data'!$F$2:$F$1501),1),'Raw Data'!F1075)</f>
        <v>23</v>
      </c>
      <c r="G1075" s="21" t="str">
        <f>'Raw Data'!G1075</f>
        <v>Credit Card</v>
      </c>
      <c r="H1075" s="21" t="str">
        <f>'Raw Data'!H1075</f>
        <v>Female</v>
      </c>
      <c r="I1075" s="21">
        <f>IF('Raw Data'!I1075="",ROUND(AVERAGE('Raw Data'!$I$2:$I$1501),1),'Raw Data'!I1075)</f>
        <v>3.4</v>
      </c>
      <c r="J1075" s="21">
        <f>'Raw Data'!J1075</f>
        <v>3</v>
      </c>
      <c r="K1075" s="21" t="str">
        <f>'Raw Data'!K1075</f>
        <v>Others</v>
      </c>
      <c r="L1075" s="21">
        <f>'Raw Data'!L1075</f>
        <v>3</v>
      </c>
      <c r="M1075" s="21" t="str">
        <f>'Raw Data'!M1075</f>
        <v>Divorced</v>
      </c>
      <c r="N1075" s="21">
        <f>'Raw Data'!N1075</f>
        <v>3</v>
      </c>
      <c r="O1075" s="21">
        <f>'Raw Data'!O1075</f>
        <v>0</v>
      </c>
      <c r="P1075" s="21">
        <f>IF('Raw Data'!P1075="",ROUND(AVERAGE('Raw Data'!$P$2:$P$1501),1),'Raw Data'!P1075)</f>
        <v>18.7</v>
      </c>
      <c r="Q1075" s="21">
        <f>IF('Raw Data'!Q1075="",ROUND(AVERAGE('Raw Data'!$Q$2:$Q$1501),0),'Raw Data'!Q1075)</f>
        <v>1</v>
      </c>
      <c r="R1075" s="21">
        <f>'Raw Data'!R1075</f>
        <v>6</v>
      </c>
      <c r="S1075" s="21">
        <f>IF('Raw Data'!S1075="",ROUND(AVERAGE('Raw Data'!$S$2:$S$1501),0),'Raw Data'!S1075)</f>
        <v>9</v>
      </c>
      <c r="T1075" s="21">
        <f>'Raw Data'!T1075</f>
        <v>237.89</v>
      </c>
      <c r="U1075" s="21" t="str">
        <f>INDEX('Lookup Tables'!$C$7:$C$9,MATCH(E1075,'Lookup Tables'!$B$7:$B$9,0))</f>
        <v>Tier 2 (Urban)</v>
      </c>
      <c r="V1075" s="21" t="str">
        <f t="shared" si="48"/>
        <v>0-6 months</v>
      </c>
      <c r="W1075" s="21" t="str">
        <f t="shared" si="49"/>
        <v>Medium Risk</v>
      </c>
      <c r="X1075" s="21" t="str">
        <f t="shared" si="50"/>
        <v>No</v>
      </c>
    </row>
    <row r="1076" spans="1:24" x14ac:dyDescent="0.3">
      <c r="A1076" s="21">
        <f>'Raw Data'!A1076</f>
        <v>51075</v>
      </c>
      <c r="B1076" s="21">
        <f>'Raw Data'!B1076</f>
        <v>0</v>
      </c>
      <c r="C1076" s="21">
        <f>'Raw Data'!C1076</f>
        <v>7</v>
      </c>
      <c r="D1076" s="21" t="str">
        <f>'Raw Data'!D1076</f>
        <v>Phone</v>
      </c>
      <c r="E1076" s="21">
        <f>'Raw Data'!E1076</f>
        <v>1</v>
      </c>
      <c r="F1076" s="21">
        <f>IF('Raw Data'!F1076="",ROUND(AVERAGE('Raw Data'!$F$2:$F$1501),1),'Raw Data'!F1076)</f>
        <v>19</v>
      </c>
      <c r="G1076" s="21" t="str">
        <f>'Raw Data'!G1076</f>
        <v>E wallet</v>
      </c>
      <c r="H1076" s="21" t="str">
        <f>'Raw Data'!H1076</f>
        <v>Female</v>
      </c>
      <c r="I1076" s="21">
        <f>IF('Raw Data'!I1076="",ROUND(AVERAGE('Raw Data'!$I$2:$I$1501),1),'Raw Data'!I1076)</f>
        <v>2.8</v>
      </c>
      <c r="J1076" s="21">
        <f>'Raw Data'!J1076</f>
        <v>4</v>
      </c>
      <c r="K1076" s="21" t="str">
        <f>'Raw Data'!K1076</f>
        <v>Others</v>
      </c>
      <c r="L1076" s="21">
        <f>'Raw Data'!L1076</f>
        <v>3</v>
      </c>
      <c r="M1076" s="21" t="str">
        <f>'Raw Data'!M1076</f>
        <v>Married</v>
      </c>
      <c r="N1076" s="21">
        <f>'Raw Data'!N1076</f>
        <v>2</v>
      </c>
      <c r="O1076" s="21">
        <f>'Raw Data'!O1076</f>
        <v>0</v>
      </c>
      <c r="P1076" s="21">
        <f>IF('Raw Data'!P1076="",ROUND(AVERAGE('Raw Data'!$P$2:$P$1501),1),'Raw Data'!P1076)</f>
        <v>12</v>
      </c>
      <c r="Q1076" s="21">
        <f>IF('Raw Data'!Q1076="",ROUND(AVERAGE('Raw Data'!$Q$2:$Q$1501),0),'Raw Data'!Q1076)</f>
        <v>2</v>
      </c>
      <c r="R1076" s="21">
        <f>'Raw Data'!R1076</f>
        <v>5</v>
      </c>
      <c r="S1076" s="21">
        <f>IF('Raw Data'!S1076="",ROUND(AVERAGE('Raw Data'!$S$2:$S$1501),0),'Raw Data'!S1076)</f>
        <v>8</v>
      </c>
      <c r="T1076" s="21">
        <f>'Raw Data'!T1076</f>
        <v>237.04</v>
      </c>
      <c r="U1076" s="21" t="str">
        <f>INDEX('Lookup Tables'!$C$7:$C$9,MATCH(E1076,'Lookup Tables'!$B$7:$B$9,0))</f>
        <v>Tier 1 (Metro)</v>
      </c>
      <c r="V1076" s="21" t="str">
        <f t="shared" si="48"/>
        <v>7-12 months</v>
      </c>
      <c r="W1076" s="21" t="str">
        <f t="shared" si="49"/>
        <v>Medium Risk</v>
      </c>
      <c r="X1076" s="21" t="str">
        <f t="shared" si="50"/>
        <v>No</v>
      </c>
    </row>
    <row r="1077" spans="1:24" x14ac:dyDescent="0.3">
      <c r="A1077" s="21">
        <f>'Raw Data'!A1077</f>
        <v>51076</v>
      </c>
      <c r="B1077" s="21">
        <f>'Raw Data'!B1077</f>
        <v>0</v>
      </c>
      <c r="C1077" s="21">
        <f>'Raw Data'!C1077</f>
        <v>18</v>
      </c>
      <c r="D1077" s="21" t="str">
        <f>'Raw Data'!D1077</f>
        <v>Mobile Phone</v>
      </c>
      <c r="E1077" s="21">
        <f>'Raw Data'!E1077</f>
        <v>2</v>
      </c>
      <c r="F1077" s="21">
        <f>IF('Raw Data'!F1077="",ROUND(AVERAGE('Raw Data'!$F$2:$F$1501),1),'Raw Data'!F1077)</f>
        <v>9</v>
      </c>
      <c r="G1077" s="21" t="str">
        <f>'Raw Data'!G1077</f>
        <v>E wallet</v>
      </c>
      <c r="H1077" s="21" t="str">
        <f>'Raw Data'!H1077</f>
        <v>Male</v>
      </c>
      <c r="I1077" s="21">
        <f>IF('Raw Data'!I1077="",ROUND(AVERAGE('Raw Data'!$I$2:$I$1501),1),'Raw Data'!I1077)</f>
        <v>3.9</v>
      </c>
      <c r="J1077" s="21">
        <f>'Raw Data'!J1077</f>
        <v>1</v>
      </c>
      <c r="K1077" s="21" t="str">
        <f>'Raw Data'!K1077</f>
        <v>Laptop &amp; Accessory</v>
      </c>
      <c r="L1077" s="21">
        <f>'Raw Data'!L1077</f>
        <v>2</v>
      </c>
      <c r="M1077" s="21" t="str">
        <f>'Raw Data'!M1077</f>
        <v>Divorced</v>
      </c>
      <c r="N1077" s="21">
        <f>'Raw Data'!N1077</f>
        <v>13</v>
      </c>
      <c r="O1077" s="21">
        <f>'Raw Data'!O1077</f>
        <v>0</v>
      </c>
      <c r="P1077" s="21">
        <f>IF('Raw Data'!P1077="",ROUND(AVERAGE('Raw Data'!$P$2:$P$1501),1),'Raw Data'!P1077)</f>
        <v>19.600000000000001</v>
      </c>
      <c r="Q1077" s="21">
        <f>IF('Raw Data'!Q1077="",ROUND(AVERAGE('Raw Data'!$Q$2:$Q$1501),0),'Raw Data'!Q1077)</f>
        <v>1</v>
      </c>
      <c r="R1077" s="21">
        <f>'Raw Data'!R1077</f>
        <v>1</v>
      </c>
      <c r="S1077" s="21">
        <f>IF('Raw Data'!S1077="",ROUND(AVERAGE('Raw Data'!$S$2:$S$1501),0),'Raw Data'!S1077)</f>
        <v>4</v>
      </c>
      <c r="T1077" s="21">
        <f>'Raw Data'!T1077</f>
        <v>124.84</v>
      </c>
      <c r="U1077" s="21" t="str">
        <f>INDEX('Lookup Tables'!$C$7:$C$9,MATCH(E1077,'Lookup Tables'!$B$7:$B$9,0))</f>
        <v>Tier 2 (Urban)</v>
      </c>
      <c r="V1077" s="21" t="str">
        <f t="shared" si="48"/>
        <v>13-24 months</v>
      </c>
      <c r="W1077" s="21" t="str">
        <f t="shared" si="49"/>
        <v>Low Risk</v>
      </c>
      <c r="X1077" s="21" t="str">
        <f t="shared" si="50"/>
        <v>No</v>
      </c>
    </row>
    <row r="1078" spans="1:24" x14ac:dyDescent="0.3">
      <c r="A1078" s="21">
        <f>'Raw Data'!A1078</f>
        <v>51077</v>
      </c>
      <c r="B1078" s="21">
        <f>'Raw Data'!B1078</f>
        <v>0</v>
      </c>
      <c r="C1078" s="21">
        <f>'Raw Data'!C1078</f>
        <v>13</v>
      </c>
      <c r="D1078" s="21" t="str">
        <f>'Raw Data'!D1078</f>
        <v>Mobile Phone</v>
      </c>
      <c r="E1078" s="21">
        <f>'Raw Data'!E1078</f>
        <v>3</v>
      </c>
      <c r="F1078" s="21">
        <f>IF('Raw Data'!F1078="",ROUND(AVERAGE('Raw Data'!$F$2:$F$1501),1),'Raw Data'!F1078)</f>
        <v>14.8</v>
      </c>
      <c r="G1078" s="21" t="str">
        <f>'Raw Data'!G1078</f>
        <v>Debit Card</v>
      </c>
      <c r="H1078" s="21" t="str">
        <f>'Raw Data'!H1078</f>
        <v>Female</v>
      </c>
      <c r="I1078" s="21">
        <f>IF('Raw Data'!I1078="",ROUND(AVERAGE('Raw Data'!$I$2:$I$1501),1),'Raw Data'!I1078)</f>
        <v>1.4</v>
      </c>
      <c r="J1078" s="21">
        <f>'Raw Data'!J1078</f>
        <v>3</v>
      </c>
      <c r="K1078" s="21" t="str">
        <f>'Raw Data'!K1078</f>
        <v>Fashion</v>
      </c>
      <c r="L1078" s="21">
        <f>'Raw Data'!L1078</f>
        <v>5</v>
      </c>
      <c r="M1078" s="21" t="str">
        <f>'Raw Data'!M1078</f>
        <v>Married</v>
      </c>
      <c r="N1078" s="21">
        <f>'Raw Data'!N1078</f>
        <v>6</v>
      </c>
      <c r="O1078" s="21">
        <f>'Raw Data'!O1078</f>
        <v>0</v>
      </c>
      <c r="P1078" s="21">
        <f>IF('Raw Data'!P1078="",ROUND(AVERAGE('Raw Data'!$P$2:$P$1501),1),'Raw Data'!P1078)</f>
        <v>17.100000000000001</v>
      </c>
      <c r="Q1078" s="21">
        <f>IF('Raw Data'!Q1078="",ROUND(AVERAGE('Raw Data'!$Q$2:$Q$1501),0),'Raw Data'!Q1078)</f>
        <v>4</v>
      </c>
      <c r="R1078" s="21">
        <f>'Raw Data'!R1078</f>
        <v>3</v>
      </c>
      <c r="S1078" s="21">
        <f>IF('Raw Data'!S1078="",ROUND(AVERAGE('Raw Data'!$S$2:$S$1501),0),'Raw Data'!S1078)</f>
        <v>5</v>
      </c>
      <c r="T1078" s="21">
        <f>'Raw Data'!T1078</f>
        <v>234.41</v>
      </c>
      <c r="U1078" s="21" t="str">
        <f>INDEX('Lookup Tables'!$C$7:$C$9,MATCH(E1078,'Lookup Tables'!$B$7:$B$9,0))</f>
        <v>Tier 3 (Semi-urban/Rural)</v>
      </c>
      <c r="V1078" s="21" t="str">
        <f t="shared" si="48"/>
        <v>13-24 months</v>
      </c>
      <c r="W1078" s="21" t="str">
        <f t="shared" si="49"/>
        <v>Low Risk</v>
      </c>
      <c r="X1078" s="21" t="str">
        <f t="shared" si="50"/>
        <v>No</v>
      </c>
    </row>
    <row r="1079" spans="1:24" x14ac:dyDescent="0.3">
      <c r="A1079" s="21">
        <f>'Raw Data'!A1079</f>
        <v>51078</v>
      </c>
      <c r="B1079" s="21">
        <f>'Raw Data'!B1079</f>
        <v>0</v>
      </c>
      <c r="C1079" s="21">
        <f>'Raw Data'!C1079</f>
        <v>7</v>
      </c>
      <c r="D1079" s="21" t="str">
        <f>'Raw Data'!D1079</f>
        <v>Phone</v>
      </c>
      <c r="E1079" s="21">
        <f>'Raw Data'!E1079</f>
        <v>3</v>
      </c>
      <c r="F1079" s="21">
        <f>IF('Raw Data'!F1079="",ROUND(AVERAGE('Raw Data'!$F$2:$F$1501),1),'Raw Data'!F1079)</f>
        <v>13</v>
      </c>
      <c r="G1079" s="21" t="str">
        <f>'Raw Data'!G1079</f>
        <v>Debit Card</v>
      </c>
      <c r="H1079" s="21" t="str">
        <f>'Raw Data'!H1079</f>
        <v>Male</v>
      </c>
      <c r="I1079" s="21">
        <f>IF('Raw Data'!I1079="",ROUND(AVERAGE('Raw Data'!$I$2:$I$1501),1),'Raw Data'!I1079)</f>
        <v>1.9</v>
      </c>
      <c r="J1079" s="21">
        <f>'Raw Data'!J1079</f>
        <v>4</v>
      </c>
      <c r="K1079" s="21" t="str">
        <f>'Raw Data'!K1079</f>
        <v>Laptop &amp; Accessory</v>
      </c>
      <c r="L1079" s="21">
        <f>'Raw Data'!L1079</f>
        <v>4</v>
      </c>
      <c r="M1079" s="21" t="str">
        <f>'Raw Data'!M1079</f>
        <v>Married</v>
      </c>
      <c r="N1079" s="21">
        <f>'Raw Data'!N1079</f>
        <v>2</v>
      </c>
      <c r="O1079" s="21">
        <f>'Raw Data'!O1079</f>
        <v>0</v>
      </c>
      <c r="P1079" s="21">
        <f>IF('Raw Data'!P1079="",ROUND(AVERAGE('Raw Data'!$P$2:$P$1501),1),'Raw Data'!P1079)</f>
        <v>13.3</v>
      </c>
      <c r="Q1079" s="21">
        <f>IF('Raw Data'!Q1079="",ROUND(AVERAGE('Raw Data'!$Q$2:$Q$1501),0),'Raw Data'!Q1079)</f>
        <v>2</v>
      </c>
      <c r="R1079" s="21">
        <f>'Raw Data'!R1079</f>
        <v>3</v>
      </c>
      <c r="S1079" s="21">
        <f>IF('Raw Data'!S1079="",ROUND(AVERAGE('Raw Data'!$S$2:$S$1501),0),'Raw Data'!S1079)</f>
        <v>0</v>
      </c>
      <c r="T1079" s="21">
        <f>'Raw Data'!T1079</f>
        <v>82.31</v>
      </c>
      <c r="U1079" s="21" t="str">
        <f>INDEX('Lookup Tables'!$C$7:$C$9,MATCH(E1079,'Lookup Tables'!$B$7:$B$9,0))</f>
        <v>Tier 3 (Semi-urban/Rural)</v>
      </c>
      <c r="V1079" s="21" t="str">
        <f t="shared" si="48"/>
        <v>7-12 months</v>
      </c>
      <c r="W1079" s="21" t="str">
        <f t="shared" si="49"/>
        <v>Low Risk</v>
      </c>
      <c r="X1079" s="21" t="str">
        <f t="shared" si="50"/>
        <v>No</v>
      </c>
    </row>
    <row r="1080" spans="1:24" x14ac:dyDescent="0.3">
      <c r="A1080" s="21">
        <f>'Raw Data'!A1080</f>
        <v>51079</v>
      </c>
      <c r="B1080" s="21">
        <f>'Raw Data'!B1080</f>
        <v>0</v>
      </c>
      <c r="C1080" s="21">
        <f>'Raw Data'!C1080</f>
        <v>8</v>
      </c>
      <c r="D1080" s="21" t="str">
        <f>'Raw Data'!D1080</f>
        <v>Computer</v>
      </c>
      <c r="E1080" s="21">
        <f>'Raw Data'!E1080</f>
        <v>3</v>
      </c>
      <c r="F1080" s="21">
        <f>IF('Raw Data'!F1080="",ROUND(AVERAGE('Raw Data'!$F$2:$F$1501),1),'Raw Data'!F1080)</f>
        <v>11</v>
      </c>
      <c r="G1080" s="21" t="str">
        <f>'Raw Data'!G1080</f>
        <v>Debit Card</v>
      </c>
      <c r="H1080" s="21" t="str">
        <f>'Raw Data'!H1080</f>
        <v>Male</v>
      </c>
      <c r="I1080" s="21">
        <f>IF('Raw Data'!I1080="",ROUND(AVERAGE('Raw Data'!$I$2:$I$1501),1),'Raw Data'!I1080)</f>
        <v>3.4</v>
      </c>
      <c r="J1080" s="21">
        <f>'Raw Data'!J1080</f>
        <v>4</v>
      </c>
      <c r="K1080" s="21" t="str">
        <f>'Raw Data'!K1080</f>
        <v>Others</v>
      </c>
      <c r="L1080" s="21">
        <f>'Raw Data'!L1080</f>
        <v>2</v>
      </c>
      <c r="M1080" s="21" t="str">
        <f>'Raw Data'!M1080</f>
        <v>Single</v>
      </c>
      <c r="N1080" s="21">
        <f>'Raw Data'!N1080</f>
        <v>5</v>
      </c>
      <c r="O1080" s="21">
        <f>'Raw Data'!O1080</f>
        <v>0</v>
      </c>
      <c r="P1080" s="21">
        <f>IF('Raw Data'!P1080="",ROUND(AVERAGE('Raw Data'!$P$2:$P$1501),1),'Raw Data'!P1080)</f>
        <v>16.3</v>
      </c>
      <c r="Q1080" s="21">
        <f>IF('Raw Data'!Q1080="",ROUND(AVERAGE('Raw Data'!$Q$2:$Q$1501),0),'Raw Data'!Q1080)</f>
        <v>4</v>
      </c>
      <c r="R1080" s="21">
        <f>'Raw Data'!R1080</f>
        <v>4</v>
      </c>
      <c r="S1080" s="21">
        <f>IF('Raw Data'!S1080="",ROUND(AVERAGE('Raw Data'!$S$2:$S$1501),0),'Raw Data'!S1080)</f>
        <v>4</v>
      </c>
      <c r="T1080" s="21">
        <f>'Raw Data'!T1080</f>
        <v>168.84</v>
      </c>
      <c r="U1080" s="21" t="str">
        <f>INDEX('Lookup Tables'!$C$7:$C$9,MATCH(E1080,'Lookup Tables'!$B$7:$B$9,0))</f>
        <v>Tier 3 (Semi-urban/Rural)</v>
      </c>
      <c r="V1080" s="21" t="str">
        <f t="shared" si="48"/>
        <v>7-12 months</v>
      </c>
      <c r="W1080" s="21" t="str">
        <f t="shared" si="49"/>
        <v>Low Risk</v>
      </c>
      <c r="X1080" s="21" t="str">
        <f t="shared" si="50"/>
        <v>No</v>
      </c>
    </row>
    <row r="1081" spans="1:24" x14ac:dyDescent="0.3">
      <c r="A1081" s="21">
        <f>'Raw Data'!A1081</f>
        <v>51080</v>
      </c>
      <c r="B1081" s="21">
        <f>'Raw Data'!B1081</f>
        <v>0</v>
      </c>
      <c r="C1081" s="21">
        <f>'Raw Data'!C1081</f>
        <v>7</v>
      </c>
      <c r="D1081" s="21" t="str">
        <f>'Raw Data'!D1081</f>
        <v>Mobile Phone</v>
      </c>
      <c r="E1081" s="21">
        <f>'Raw Data'!E1081</f>
        <v>1</v>
      </c>
      <c r="F1081" s="21">
        <f>IF('Raw Data'!F1081="",ROUND(AVERAGE('Raw Data'!$F$2:$F$1501),1),'Raw Data'!F1081)</f>
        <v>15</v>
      </c>
      <c r="G1081" s="21" t="str">
        <f>'Raw Data'!G1081</f>
        <v>Credit Card</v>
      </c>
      <c r="H1081" s="21" t="str">
        <f>'Raw Data'!H1081</f>
        <v>Male</v>
      </c>
      <c r="I1081" s="21">
        <f>IF('Raw Data'!I1081="",ROUND(AVERAGE('Raw Data'!$I$2:$I$1501),1),'Raw Data'!I1081)</f>
        <v>2.9</v>
      </c>
      <c r="J1081" s="21">
        <f>'Raw Data'!J1081</f>
        <v>5</v>
      </c>
      <c r="K1081" s="21" t="str">
        <f>'Raw Data'!K1081</f>
        <v>Mobile Phone</v>
      </c>
      <c r="L1081" s="21">
        <f>'Raw Data'!L1081</f>
        <v>5</v>
      </c>
      <c r="M1081" s="21" t="str">
        <f>'Raw Data'!M1081</f>
        <v>Married</v>
      </c>
      <c r="N1081" s="21">
        <f>'Raw Data'!N1081</f>
        <v>1</v>
      </c>
      <c r="O1081" s="21">
        <f>'Raw Data'!O1081</f>
        <v>0</v>
      </c>
      <c r="P1081" s="21">
        <f>IF('Raw Data'!P1081="",ROUND(AVERAGE('Raw Data'!$P$2:$P$1501),1),'Raw Data'!P1081)</f>
        <v>13.9</v>
      </c>
      <c r="Q1081" s="21">
        <f>IF('Raw Data'!Q1081="",ROUND(AVERAGE('Raw Data'!$Q$2:$Q$1501),0),'Raw Data'!Q1081)</f>
        <v>1</v>
      </c>
      <c r="R1081" s="21">
        <f>'Raw Data'!R1081</f>
        <v>7</v>
      </c>
      <c r="S1081" s="21">
        <f>IF('Raw Data'!S1081="",ROUND(AVERAGE('Raw Data'!$S$2:$S$1501),0),'Raw Data'!S1081)</f>
        <v>1</v>
      </c>
      <c r="T1081" s="21">
        <f>'Raw Data'!T1081</f>
        <v>206.79</v>
      </c>
      <c r="U1081" s="21" t="str">
        <f>INDEX('Lookup Tables'!$C$7:$C$9,MATCH(E1081,'Lookup Tables'!$B$7:$B$9,0))</f>
        <v>Tier 1 (Metro)</v>
      </c>
      <c r="V1081" s="21" t="str">
        <f t="shared" si="48"/>
        <v>7-12 months</v>
      </c>
      <c r="W1081" s="21" t="str">
        <f t="shared" si="49"/>
        <v>Low Risk</v>
      </c>
      <c r="X1081" s="21" t="str">
        <f t="shared" si="50"/>
        <v>No</v>
      </c>
    </row>
    <row r="1082" spans="1:24" x14ac:dyDescent="0.3">
      <c r="A1082" s="21">
        <f>'Raw Data'!A1082</f>
        <v>51081</v>
      </c>
      <c r="B1082" s="21">
        <f>'Raw Data'!B1082</f>
        <v>1</v>
      </c>
      <c r="C1082" s="21">
        <f>'Raw Data'!C1082</f>
        <v>3</v>
      </c>
      <c r="D1082" s="21" t="str">
        <f>'Raw Data'!D1082</f>
        <v>Mobile Phone</v>
      </c>
      <c r="E1082" s="21">
        <f>'Raw Data'!E1082</f>
        <v>1</v>
      </c>
      <c r="F1082" s="21">
        <f>IF('Raw Data'!F1082="",ROUND(AVERAGE('Raw Data'!$F$2:$F$1501),1),'Raw Data'!F1082)</f>
        <v>12</v>
      </c>
      <c r="G1082" s="21" t="str">
        <f>'Raw Data'!G1082</f>
        <v>Credit Card</v>
      </c>
      <c r="H1082" s="21" t="str">
        <f>'Raw Data'!H1082</f>
        <v>Female</v>
      </c>
      <c r="I1082" s="21">
        <f>IF('Raw Data'!I1082="",ROUND(AVERAGE('Raw Data'!$I$2:$I$1501),1),'Raw Data'!I1082)</f>
        <v>3.3</v>
      </c>
      <c r="J1082" s="21">
        <f>'Raw Data'!J1082</f>
        <v>4</v>
      </c>
      <c r="K1082" s="21" t="str">
        <f>'Raw Data'!K1082</f>
        <v>Laptop &amp; Accessory</v>
      </c>
      <c r="L1082" s="21">
        <f>'Raw Data'!L1082</f>
        <v>4</v>
      </c>
      <c r="M1082" s="21" t="str">
        <f>'Raw Data'!M1082</f>
        <v>Married</v>
      </c>
      <c r="N1082" s="21">
        <f>'Raw Data'!N1082</f>
        <v>2</v>
      </c>
      <c r="O1082" s="21">
        <f>'Raw Data'!O1082</f>
        <v>0</v>
      </c>
      <c r="P1082" s="21">
        <f>IF('Raw Data'!P1082="",ROUND(AVERAGE('Raw Data'!$P$2:$P$1501),1),'Raw Data'!P1082)</f>
        <v>18.600000000000001</v>
      </c>
      <c r="Q1082" s="21">
        <f>IF('Raw Data'!Q1082="",ROUND(AVERAGE('Raw Data'!$Q$2:$Q$1501),0),'Raw Data'!Q1082)</f>
        <v>2</v>
      </c>
      <c r="R1082" s="21">
        <f>'Raw Data'!R1082</f>
        <v>4</v>
      </c>
      <c r="S1082" s="21">
        <f>IF('Raw Data'!S1082="",ROUND(AVERAGE('Raw Data'!$S$2:$S$1501),0),'Raw Data'!S1082)</f>
        <v>0</v>
      </c>
      <c r="T1082" s="21">
        <f>'Raw Data'!T1082</f>
        <v>65.67</v>
      </c>
      <c r="U1082" s="21" t="str">
        <f>INDEX('Lookup Tables'!$C$7:$C$9,MATCH(E1082,'Lookup Tables'!$B$7:$B$9,0))</f>
        <v>Tier 1 (Metro)</v>
      </c>
      <c r="V1082" s="21" t="str">
        <f t="shared" si="48"/>
        <v>0-6 months</v>
      </c>
      <c r="W1082" s="21" t="str">
        <f t="shared" si="49"/>
        <v>Low Risk</v>
      </c>
      <c r="X1082" s="21" t="str">
        <f t="shared" si="50"/>
        <v>Yes</v>
      </c>
    </row>
    <row r="1083" spans="1:24" x14ac:dyDescent="0.3">
      <c r="A1083" s="21">
        <f>'Raw Data'!A1083</f>
        <v>51082</v>
      </c>
      <c r="B1083" s="21">
        <f>'Raw Data'!B1083</f>
        <v>0</v>
      </c>
      <c r="C1083" s="21">
        <f>'Raw Data'!C1083</f>
        <v>8</v>
      </c>
      <c r="D1083" s="21" t="str">
        <f>'Raw Data'!D1083</f>
        <v>Mobile Phone</v>
      </c>
      <c r="E1083" s="21">
        <f>'Raw Data'!E1083</f>
        <v>2</v>
      </c>
      <c r="F1083" s="21">
        <f>IF('Raw Data'!F1083="",ROUND(AVERAGE('Raw Data'!$F$2:$F$1501),1),'Raw Data'!F1083)</f>
        <v>5</v>
      </c>
      <c r="G1083" s="21" t="str">
        <f>'Raw Data'!G1083</f>
        <v>E wallet</v>
      </c>
      <c r="H1083" s="21" t="str">
        <f>'Raw Data'!H1083</f>
        <v>Male</v>
      </c>
      <c r="I1083" s="21">
        <f>IF('Raw Data'!I1083="",ROUND(AVERAGE('Raw Data'!$I$2:$I$1501),1),'Raw Data'!I1083)</f>
        <v>2.9</v>
      </c>
      <c r="J1083" s="21">
        <f>'Raw Data'!J1083</f>
        <v>3</v>
      </c>
      <c r="K1083" s="21" t="str">
        <f>'Raw Data'!K1083</f>
        <v>Mobile Phone</v>
      </c>
      <c r="L1083" s="21">
        <f>'Raw Data'!L1083</f>
        <v>5</v>
      </c>
      <c r="M1083" s="21" t="str">
        <f>'Raw Data'!M1083</f>
        <v>Single</v>
      </c>
      <c r="N1083" s="21">
        <f>'Raw Data'!N1083</f>
        <v>1</v>
      </c>
      <c r="O1083" s="21">
        <f>'Raw Data'!O1083</f>
        <v>0</v>
      </c>
      <c r="P1083" s="21">
        <f>IF('Raw Data'!P1083="",ROUND(AVERAGE('Raw Data'!$P$2:$P$1501),1),'Raw Data'!P1083)</f>
        <v>15</v>
      </c>
      <c r="Q1083" s="21">
        <f>IF('Raw Data'!Q1083="",ROUND(AVERAGE('Raw Data'!$Q$2:$Q$1501),0),'Raw Data'!Q1083)</f>
        <v>1</v>
      </c>
      <c r="R1083" s="21">
        <f>'Raw Data'!R1083</f>
        <v>4</v>
      </c>
      <c r="S1083" s="21">
        <f>IF('Raw Data'!S1083="",ROUND(AVERAGE('Raw Data'!$S$2:$S$1501),0),'Raw Data'!S1083)</f>
        <v>2</v>
      </c>
      <c r="T1083" s="21">
        <f>'Raw Data'!T1083</f>
        <v>295.11</v>
      </c>
      <c r="U1083" s="21" t="str">
        <f>INDEX('Lookup Tables'!$C$7:$C$9,MATCH(E1083,'Lookup Tables'!$B$7:$B$9,0))</f>
        <v>Tier 2 (Urban)</v>
      </c>
      <c r="V1083" s="21" t="str">
        <f t="shared" si="48"/>
        <v>7-12 months</v>
      </c>
      <c r="W1083" s="21" t="str">
        <f t="shared" si="49"/>
        <v>Low Risk</v>
      </c>
      <c r="X1083" s="21" t="str">
        <f t="shared" si="50"/>
        <v>No</v>
      </c>
    </row>
    <row r="1084" spans="1:24" x14ac:dyDescent="0.3">
      <c r="A1084" s="21">
        <f>'Raw Data'!A1084</f>
        <v>51083</v>
      </c>
      <c r="B1084" s="21">
        <f>'Raw Data'!B1084</f>
        <v>0</v>
      </c>
      <c r="C1084" s="21">
        <f>'Raw Data'!C1084</f>
        <v>11</v>
      </c>
      <c r="D1084" s="21" t="str">
        <f>'Raw Data'!D1084</f>
        <v>Computer</v>
      </c>
      <c r="E1084" s="21">
        <f>'Raw Data'!E1084</f>
        <v>1</v>
      </c>
      <c r="F1084" s="21">
        <f>IF('Raw Data'!F1084="",ROUND(AVERAGE('Raw Data'!$F$2:$F$1501),1),'Raw Data'!F1084)</f>
        <v>11</v>
      </c>
      <c r="G1084" s="21" t="str">
        <f>'Raw Data'!G1084</f>
        <v>Credit Card</v>
      </c>
      <c r="H1084" s="21" t="str">
        <f>'Raw Data'!H1084</f>
        <v>Male</v>
      </c>
      <c r="I1084" s="21">
        <f>IF('Raw Data'!I1084="",ROUND(AVERAGE('Raw Data'!$I$2:$I$1501),1),'Raw Data'!I1084)</f>
        <v>3.3</v>
      </c>
      <c r="J1084" s="21">
        <f>'Raw Data'!J1084</f>
        <v>4</v>
      </c>
      <c r="K1084" s="21" t="str">
        <f>'Raw Data'!K1084</f>
        <v>Laptop &amp; Accessory</v>
      </c>
      <c r="L1084" s="21">
        <f>'Raw Data'!L1084</f>
        <v>1</v>
      </c>
      <c r="M1084" s="21" t="str">
        <f>'Raw Data'!M1084</f>
        <v>Single</v>
      </c>
      <c r="N1084" s="21">
        <f>'Raw Data'!N1084</f>
        <v>1</v>
      </c>
      <c r="O1084" s="21">
        <f>'Raw Data'!O1084</f>
        <v>0</v>
      </c>
      <c r="P1084" s="21">
        <f>IF('Raw Data'!P1084="",ROUND(AVERAGE('Raw Data'!$P$2:$P$1501),1),'Raw Data'!P1084)</f>
        <v>11</v>
      </c>
      <c r="Q1084" s="21">
        <f>IF('Raw Data'!Q1084="",ROUND(AVERAGE('Raw Data'!$Q$2:$Q$1501),0),'Raw Data'!Q1084)</f>
        <v>2</v>
      </c>
      <c r="R1084" s="21">
        <f>'Raw Data'!R1084</f>
        <v>4</v>
      </c>
      <c r="S1084" s="21">
        <f>IF('Raw Data'!S1084="",ROUND(AVERAGE('Raw Data'!$S$2:$S$1501),0),'Raw Data'!S1084)</f>
        <v>2</v>
      </c>
      <c r="T1084" s="21">
        <f>'Raw Data'!T1084</f>
        <v>252.97</v>
      </c>
      <c r="U1084" s="21" t="str">
        <f>INDEX('Lookup Tables'!$C$7:$C$9,MATCH(E1084,'Lookup Tables'!$B$7:$B$9,0))</f>
        <v>Tier 1 (Metro)</v>
      </c>
      <c r="V1084" s="21" t="str">
        <f t="shared" si="48"/>
        <v>7-12 months</v>
      </c>
      <c r="W1084" s="21" t="str">
        <f t="shared" si="49"/>
        <v>Low Risk</v>
      </c>
      <c r="X1084" s="21" t="str">
        <f t="shared" si="50"/>
        <v>No</v>
      </c>
    </row>
    <row r="1085" spans="1:24" x14ac:dyDescent="0.3">
      <c r="A1085" s="21">
        <f>'Raw Data'!A1085</f>
        <v>51084</v>
      </c>
      <c r="B1085" s="21">
        <f>'Raw Data'!B1085</f>
        <v>0</v>
      </c>
      <c r="C1085" s="21">
        <f>'Raw Data'!C1085</f>
        <v>20</v>
      </c>
      <c r="D1085" s="21" t="str">
        <f>'Raw Data'!D1085</f>
        <v>Mobile Phone</v>
      </c>
      <c r="E1085" s="21">
        <f>'Raw Data'!E1085</f>
        <v>1</v>
      </c>
      <c r="F1085" s="21">
        <f>IF('Raw Data'!F1085="",ROUND(AVERAGE('Raw Data'!$F$2:$F$1501),1),'Raw Data'!F1085)</f>
        <v>12</v>
      </c>
      <c r="G1085" s="21" t="str">
        <f>'Raw Data'!G1085</f>
        <v>Credit Card</v>
      </c>
      <c r="H1085" s="21" t="str">
        <f>'Raw Data'!H1085</f>
        <v>Female</v>
      </c>
      <c r="I1085" s="21">
        <f>IF('Raw Data'!I1085="",ROUND(AVERAGE('Raw Data'!$I$2:$I$1501),1),'Raw Data'!I1085)</f>
        <v>2.2999999999999998</v>
      </c>
      <c r="J1085" s="21">
        <f>'Raw Data'!J1085</f>
        <v>2</v>
      </c>
      <c r="K1085" s="21" t="str">
        <f>'Raw Data'!K1085</f>
        <v>Mobile Phone</v>
      </c>
      <c r="L1085" s="21">
        <f>'Raw Data'!L1085</f>
        <v>3</v>
      </c>
      <c r="M1085" s="21" t="str">
        <f>'Raw Data'!M1085</f>
        <v>Married</v>
      </c>
      <c r="N1085" s="21">
        <f>'Raw Data'!N1085</f>
        <v>1</v>
      </c>
      <c r="O1085" s="21">
        <f>'Raw Data'!O1085</f>
        <v>0</v>
      </c>
      <c r="P1085" s="21">
        <f>IF('Raw Data'!P1085="",ROUND(AVERAGE('Raw Data'!$P$2:$P$1501),1),'Raw Data'!P1085)</f>
        <v>12.6</v>
      </c>
      <c r="Q1085" s="21">
        <f>IF('Raw Data'!Q1085="",ROUND(AVERAGE('Raw Data'!$Q$2:$Q$1501),0),'Raw Data'!Q1085)</f>
        <v>2</v>
      </c>
      <c r="R1085" s="21">
        <f>'Raw Data'!R1085</f>
        <v>4</v>
      </c>
      <c r="S1085" s="21">
        <f>IF('Raw Data'!S1085="",ROUND(AVERAGE('Raw Data'!$S$2:$S$1501),0),'Raw Data'!S1085)</f>
        <v>6</v>
      </c>
      <c r="T1085" s="21">
        <f>'Raw Data'!T1085</f>
        <v>215.59</v>
      </c>
      <c r="U1085" s="21" t="str">
        <f>INDEX('Lookup Tables'!$C$7:$C$9,MATCH(E1085,'Lookup Tables'!$B$7:$B$9,0))</f>
        <v>Tier 1 (Metro)</v>
      </c>
      <c r="V1085" s="21" t="str">
        <f t="shared" si="48"/>
        <v>13-24 months</v>
      </c>
      <c r="W1085" s="21" t="str">
        <f t="shared" si="49"/>
        <v>Medium Risk</v>
      </c>
      <c r="X1085" s="21" t="str">
        <f t="shared" si="50"/>
        <v>No</v>
      </c>
    </row>
    <row r="1086" spans="1:24" x14ac:dyDescent="0.3">
      <c r="A1086" s="21">
        <f>'Raw Data'!A1086</f>
        <v>51085</v>
      </c>
      <c r="B1086" s="21">
        <f>'Raw Data'!B1086</f>
        <v>0</v>
      </c>
      <c r="C1086" s="21">
        <f>'Raw Data'!C1086</f>
        <v>10</v>
      </c>
      <c r="D1086" s="21" t="str">
        <f>'Raw Data'!D1086</f>
        <v>Phone</v>
      </c>
      <c r="E1086" s="21">
        <f>'Raw Data'!E1086</f>
        <v>1</v>
      </c>
      <c r="F1086" s="21">
        <f>IF('Raw Data'!F1086="",ROUND(AVERAGE('Raw Data'!$F$2:$F$1501),1),'Raw Data'!F1086)</f>
        <v>14.8</v>
      </c>
      <c r="G1086" s="21" t="str">
        <f>'Raw Data'!G1086</f>
        <v>Credit Card</v>
      </c>
      <c r="H1086" s="21" t="str">
        <f>'Raw Data'!H1086</f>
        <v>Male</v>
      </c>
      <c r="I1086" s="21">
        <f>IF('Raw Data'!I1086="",ROUND(AVERAGE('Raw Data'!$I$2:$I$1501),1),'Raw Data'!I1086)</f>
        <v>3.3</v>
      </c>
      <c r="J1086" s="21">
        <f>'Raw Data'!J1086</f>
        <v>4</v>
      </c>
      <c r="K1086" s="21" t="str">
        <f>'Raw Data'!K1086</f>
        <v>Fashion</v>
      </c>
      <c r="L1086" s="21">
        <f>'Raw Data'!L1086</f>
        <v>4</v>
      </c>
      <c r="M1086" s="21" t="str">
        <f>'Raw Data'!M1086</f>
        <v>Single</v>
      </c>
      <c r="N1086" s="21">
        <f>'Raw Data'!N1086</f>
        <v>4</v>
      </c>
      <c r="O1086" s="21">
        <f>'Raw Data'!O1086</f>
        <v>1</v>
      </c>
      <c r="P1086" s="21">
        <f>IF('Raw Data'!P1086="",ROUND(AVERAGE('Raw Data'!$P$2:$P$1501),1),'Raw Data'!P1086)</f>
        <v>14.5</v>
      </c>
      <c r="Q1086" s="21">
        <f>IF('Raw Data'!Q1086="",ROUND(AVERAGE('Raw Data'!$Q$2:$Q$1501),0),'Raw Data'!Q1086)</f>
        <v>2</v>
      </c>
      <c r="R1086" s="21">
        <f>'Raw Data'!R1086</f>
        <v>3</v>
      </c>
      <c r="S1086" s="21">
        <f>IF('Raw Data'!S1086="",ROUND(AVERAGE('Raw Data'!$S$2:$S$1501),0),'Raw Data'!S1086)</f>
        <v>4</v>
      </c>
      <c r="T1086" s="21">
        <f>'Raw Data'!T1086</f>
        <v>126.92</v>
      </c>
      <c r="U1086" s="21" t="str">
        <f>INDEX('Lookup Tables'!$C$7:$C$9,MATCH(E1086,'Lookup Tables'!$B$7:$B$9,0))</f>
        <v>Tier 1 (Metro)</v>
      </c>
      <c r="V1086" s="21" t="str">
        <f t="shared" si="48"/>
        <v>7-12 months</v>
      </c>
      <c r="W1086" s="21" t="str">
        <f t="shared" si="49"/>
        <v>Low Risk</v>
      </c>
      <c r="X1086" s="21" t="str">
        <f t="shared" si="50"/>
        <v>No</v>
      </c>
    </row>
    <row r="1087" spans="1:24" x14ac:dyDescent="0.3">
      <c r="A1087" s="21">
        <f>'Raw Data'!A1087</f>
        <v>51086</v>
      </c>
      <c r="B1087" s="21">
        <f>'Raw Data'!B1087</f>
        <v>0</v>
      </c>
      <c r="C1087" s="21">
        <f>'Raw Data'!C1087</f>
        <v>14</v>
      </c>
      <c r="D1087" s="21" t="str">
        <f>'Raw Data'!D1087</f>
        <v>Mobile Phone</v>
      </c>
      <c r="E1087" s="21">
        <f>'Raw Data'!E1087</f>
        <v>1</v>
      </c>
      <c r="F1087" s="21">
        <f>IF('Raw Data'!F1087="",ROUND(AVERAGE('Raw Data'!$F$2:$F$1501),1),'Raw Data'!F1087)</f>
        <v>9</v>
      </c>
      <c r="G1087" s="21" t="str">
        <f>'Raw Data'!G1087</f>
        <v>Debit Card</v>
      </c>
      <c r="H1087" s="21" t="str">
        <f>'Raw Data'!H1087</f>
        <v>Female</v>
      </c>
      <c r="I1087" s="21">
        <f>IF('Raw Data'!I1087="",ROUND(AVERAGE('Raw Data'!$I$2:$I$1501),1),'Raw Data'!I1087)</f>
        <v>3.6</v>
      </c>
      <c r="J1087" s="21">
        <f>'Raw Data'!J1087</f>
        <v>5</v>
      </c>
      <c r="K1087" s="21" t="str">
        <f>'Raw Data'!K1087</f>
        <v>Mobile Phone</v>
      </c>
      <c r="L1087" s="21">
        <f>'Raw Data'!L1087</f>
        <v>3</v>
      </c>
      <c r="M1087" s="21" t="str">
        <f>'Raw Data'!M1087</f>
        <v>Married</v>
      </c>
      <c r="N1087" s="21">
        <f>'Raw Data'!N1087</f>
        <v>2</v>
      </c>
      <c r="O1087" s="21">
        <f>'Raw Data'!O1087</f>
        <v>1</v>
      </c>
      <c r="P1087" s="21">
        <f>IF('Raw Data'!P1087="",ROUND(AVERAGE('Raw Data'!$P$2:$P$1501),1),'Raw Data'!P1087)</f>
        <v>20.8</v>
      </c>
      <c r="Q1087" s="21">
        <f>IF('Raw Data'!Q1087="",ROUND(AVERAGE('Raw Data'!$Q$2:$Q$1501),0),'Raw Data'!Q1087)</f>
        <v>2</v>
      </c>
      <c r="R1087" s="21">
        <f>'Raw Data'!R1087</f>
        <v>2</v>
      </c>
      <c r="S1087" s="21">
        <f>IF('Raw Data'!S1087="",ROUND(AVERAGE('Raw Data'!$S$2:$S$1501),0),'Raw Data'!S1087)</f>
        <v>12</v>
      </c>
      <c r="T1087" s="21">
        <f>'Raw Data'!T1087</f>
        <v>176.25</v>
      </c>
      <c r="U1087" s="21" t="str">
        <f>INDEX('Lookup Tables'!$C$7:$C$9,MATCH(E1087,'Lookup Tables'!$B$7:$B$9,0))</f>
        <v>Tier 1 (Metro)</v>
      </c>
      <c r="V1087" s="21" t="str">
        <f t="shared" si="48"/>
        <v>13-24 months</v>
      </c>
      <c r="W1087" s="21" t="str">
        <f t="shared" si="49"/>
        <v>Medium Risk</v>
      </c>
      <c r="X1087" s="21" t="str">
        <f t="shared" si="50"/>
        <v>No</v>
      </c>
    </row>
    <row r="1088" spans="1:24" x14ac:dyDescent="0.3">
      <c r="A1088" s="21">
        <f>'Raw Data'!A1088</f>
        <v>51087</v>
      </c>
      <c r="B1088" s="21">
        <f>'Raw Data'!B1088</f>
        <v>0</v>
      </c>
      <c r="C1088" s="21">
        <f>'Raw Data'!C1088</f>
        <v>1</v>
      </c>
      <c r="D1088" s="21" t="str">
        <f>'Raw Data'!D1088</f>
        <v>Mobile Phone</v>
      </c>
      <c r="E1088" s="21">
        <f>'Raw Data'!E1088</f>
        <v>1</v>
      </c>
      <c r="F1088" s="21">
        <f>IF('Raw Data'!F1088="",ROUND(AVERAGE('Raw Data'!$F$2:$F$1501),1),'Raw Data'!F1088)</f>
        <v>28</v>
      </c>
      <c r="G1088" s="21" t="str">
        <f>'Raw Data'!G1088</f>
        <v>Debit Card</v>
      </c>
      <c r="H1088" s="21" t="str">
        <f>'Raw Data'!H1088</f>
        <v>Male</v>
      </c>
      <c r="I1088" s="21">
        <f>IF('Raw Data'!I1088="",ROUND(AVERAGE('Raw Data'!$I$2:$I$1501),1),'Raw Data'!I1088)</f>
        <v>3.8</v>
      </c>
      <c r="J1088" s="21">
        <f>'Raw Data'!J1088</f>
        <v>4</v>
      </c>
      <c r="K1088" s="21" t="str">
        <f>'Raw Data'!K1088</f>
        <v>Mobile Phone</v>
      </c>
      <c r="L1088" s="21">
        <f>'Raw Data'!L1088</f>
        <v>4</v>
      </c>
      <c r="M1088" s="21" t="str">
        <f>'Raw Data'!M1088</f>
        <v>Married</v>
      </c>
      <c r="N1088" s="21">
        <f>'Raw Data'!N1088</f>
        <v>4</v>
      </c>
      <c r="O1088" s="21">
        <f>'Raw Data'!O1088</f>
        <v>0</v>
      </c>
      <c r="P1088" s="21">
        <f>IF('Raw Data'!P1088="",ROUND(AVERAGE('Raw Data'!$P$2:$P$1501),1),'Raw Data'!P1088)</f>
        <v>19.2</v>
      </c>
      <c r="Q1088" s="21">
        <f>IF('Raw Data'!Q1088="",ROUND(AVERAGE('Raw Data'!$Q$2:$Q$1501),0),'Raw Data'!Q1088)</f>
        <v>1</v>
      </c>
      <c r="R1088" s="21">
        <f>'Raw Data'!R1088</f>
        <v>2</v>
      </c>
      <c r="S1088" s="21">
        <f>IF('Raw Data'!S1088="",ROUND(AVERAGE('Raw Data'!$S$2:$S$1501),0),'Raw Data'!S1088)</f>
        <v>0</v>
      </c>
      <c r="T1088" s="21">
        <f>'Raw Data'!T1088</f>
        <v>223.47</v>
      </c>
      <c r="U1088" s="21" t="str">
        <f>INDEX('Lookup Tables'!$C$7:$C$9,MATCH(E1088,'Lookup Tables'!$B$7:$B$9,0))</f>
        <v>Tier 1 (Metro)</v>
      </c>
      <c r="V1088" s="21" t="str">
        <f t="shared" si="48"/>
        <v>0-6 months</v>
      </c>
      <c r="W1088" s="21" t="str">
        <f t="shared" si="49"/>
        <v>Low Risk</v>
      </c>
      <c r="X1088" s="21" t="str">
        <f t="shared" si="50"/>
        <v>No</v>
      </c>
    </row>
    <row r="1089" spans="1:24" x14ac:dyDescent="0.3">
      <c r="A1089" s="21">
        <f>'Raw Data'!A1089</f>
        <v>51088</v>
      </c>
      <c r="B1089" s="21">
        <f>'Raw Data'!B1089</f>
        <v>0</v>
      </c>
      <c r="C1089" s="21">
        <f>'Raw Data'!C1089</f>
        <v>6</v>
      </c>
      <c r="D1089" s="21" t="str">
        <f>'Raw Data'!D1089</f>
        <v>Mobile Phone</v>
      </c>
      <c r="E1089" s="21">
        <f>'Raw Data'!E1089</f>
        <v>3</v>
      </c>
      <c r="F1089" s="21">
        <f>IF('Raw Data'!F1089="",ROUND(AVERAGE('Raw Data'!$F$2:$F$1501),1),'Raw Data'!F1089)</f>
        <v>5</v>
      </c>
      <c r="G1089" s="21" t="str">
        <f>'Raw Data'!G1089</f>
        <v>Cash on Delivery</v>
      </c>
      <c r="H1089" s="21" t="str">
        <f>'Raw Data'!H1089</f>
        <v>Male</v>
      </c>
      <c r="I1089" s="21">
        <f>IF('Raw Data'!I1089="",ROUND(AVERAGE('Raw Data'!$I$2:$I$1501),1),'Raw Data'!I1089)</f>
        <v>4.3</v>
      </c>
      <c r="J1089" s="21">
        <f>'Raw Data'!J1089</f>
        <v>3</v>
      </c>
      <c r="K1089" s="21" t="str">
        <f>'Raw Data'!K1089</f>
        <v>Laptop &amp; Accessory</v>
      </c>
      <c r="L1089" s="21">
        <f>'Raw Data'!L1089</f>
        <v>4</v>
      </c>
      <c r="M1089" s="21" t="str">
        <f>'Raw Data'!M1089</f>
        <v>Divorced</v>
      </c>
      <c r="N1089" s="21">
        <f>'Raw Data'!N1089</f>
        <v>2</v>
      </c>
      <c r="O1089" s="21">
        <f>'Raw Data'!O1089</f>
        <v>1</v>
      </c>
      <c r="P1089" s="21">
        <f>IF('Raw Data'!P1089="",ROUND(AVERAGE('Raw Data'!$P$2:$P$1501),1),'Raw Data'!P1089)</f>
        <v>21.7</v>
      </c>
      <c r="Q1089" s="21">
        <f>IF('Raw Data'!Q1089="",ROUND(AVERAGE('Raw Data'!$Q$2:$Q$1501),0),'Raw Data'!Q1089)</f>
        <v>2</v>
      </c>
      <c r="R1089" s="21">
        <f>'Raw Data'!R1089</f>
        <v>3</v>
      </c>
      <c r="S1089" s="21">
        <f>IF('Raw Data'!S1089="",ROUND(AVERAGE('Raw Data'!$S$2:$S$1501),0),'Raw Data'!S1089)</f>
        <v>0</v>
      </c>
      <c r="T1089" s="21">
        <f>'Raw Data'!T1089</f>
        <v>118.25</v>
      </c>
      <c r="U1089" s="21" t="str">
        <f>INDEX('Lookup Tables'!$C$7:$C$9,MATCH(E1089,'Lookup Tables'!$B$7:$B$9,0))</f>
        <v>Tier 3 (Semi-urban/Rural)</v>
      </c>
      <c r="V1089" s="21" t="str">
        <f t="shared" si="48"/>
        <v>0-6 months</v>
      </c>
      <c r="W1089" s="21" t="str">
        <f t="shared" si="49"/>
        <v>Low Risk</v>
      </c>
      <c r="X1089" s="21" t="str">
        <f t="shared" si="50"/>
        <v>No</v>
      </c>
    </row>
    <row r="1090" spans="1:24" x14ac:dyDescent="0.3">
      <c r="A1090" s="21">
        <f>'Raw Data'!A1090</f>
        <v>51089</v>
      </c>
      <c r="B1090" s="21">
        <f>'Raw Data'!B1090</f>
        <v>0</v>
      </c>
      <c r="C1090" s="21">
        <f>'Raw Data'!C1090</f>
        <v>0</v>
      </c>
      <c r="D1090" s="21" t="str">
        <f>'Raw Data'!D1090</f>
        <v>Mobile Phone</v>
      </c>
      <c r="E1090" s="21">
        <f>'Raw Data'!E1090</f>
        <v>1</v>
      </c>
      <c r="F1090" s="21">
        <f>IF('Raw Data'!F1090="",ROUND(AVERAGE('Raw Data'!$F$2:$F$1501),1),'Raw Data'!F1090)</f>
        <v>25</v>
      </c>
      <c r="G1090" s="21" t="str">
        <f>'Raw Data'!G1090</f>
        <v>UPI</v>
      </c>
      <c r="H1090" s="21" t="str">
        <f>'Raw Data'!H1090</f>
        <v>Female</v>
      </c>
      <c r="I1090" s="21">
        <f>IF('Raw Data'!I1090="",ROUND(AVERAGE('Raw Data'!$I$2:$I$1501),1),'Raw Data'!I1090)</f>
        <v>3.1</v>
      </c>
      <c r="J1090" s="21">
        <f>'Raw Data'!J1090</f>
        <v>3</v>
      </c>
      <c r="K1090" s="21" t="str">
        <f>'Raw Data'!K1090</f>
        <v>Laptop &amp; Accessory</v>
      </c>
      <c r="L1090" s="21">
        <f>'Raw Data'!L1090</f>
        <v>3</v>
      </c>
      <c r="M1090" s="21" t="str">
        <f>'Raw Data'!M1090</f>
        <v>Married</v>
      </c>
      <c r="N1090" s="21">
        <f>'Raw Data'!N1090</f>
        <v>1</v>
      </c>
      <c r="O1090" s="21">
        <f>'Raw Data'!O1090</f>
        <v>0</v>
      </c>
      <c r="P1090" s="21">
        <f>IF('Raw Data'!P1090="",ROUND(AVERAGE('Raw Data'!$P$2:$P$1501),1),'Raw Data'!P1090)</f>
        <v>21.8</v>
      </c>
      <c r="Q1090" s="21">
        <f>IF('Raw Data'!Q1090="",ROUND(AVERAGE('Raw Data'!$Q$2:$Q$1501),0),'Raw Data'!Q1090)</f>
        <v>4</v>
      </c>
      <c r="R1090" s="21">
        <f>'Raw Data'!R1090</f>
        <v>2</v>
      </c>
      <c r="S1090" s="21">
        <f>IF('Raw Data'!S1090="",ROUND(AVERAGE('Raw Data'!$S$2:$S$1501),0),'Raw Data'!S1090)</f>
        <v>3</v>
      </c>
      <c r="T1090" s="21">
        <f>'Raw Data'!T1090</f>
        <v>170.07</v>
      </c>
      <c r="U1090" s="21" t="str">
        <f>INDEX('Lookup Tables'!$C$7:$C$9,MATCH(E1090,'Lookup Tables'!$B$7:$B$9,0))</f>
        <v>Tier 1 (Metro)</v>
      </c>
      <c r="V1090" s="21" t="str">
        <f t="shared" ref="V1090:V1153" si="51">IF(C1090&lt;=6,"0-6 months",IF(C1090&lt;=12,"7-12 months",IF(C1090&lt;=24,"13-24 months","25+ months")))</f>
        <v>0-6 months</v>
      </c>
      <c r="W1090" s="21" t="str">
        <f t="shared" ref="W1090:W1153" si="52">IF(AND(O1090=1,L1090&lt;=2),"High Risk",IF(OR(L1090=3,S1090&gt;15),"Medium Risk","Low Risk"))</f>
        <v>Medium Risk</v>
      </c>
      <c r="X1090" s="21" t="str">
        <f t="shared" ref="X1090:X1153" si="53">IF(B1090=1,"Yes","No")</f>
        <v>No</v>
      </c>
    </row>
    <row r="1091" spans="1:24" x14ac:dyDescent="0.3">
      <c r="A1091" s="21">
        <f>'Raw Data'!A1091</f>
        <v>51090</v>
      </c>
      <c r="B1091" s="21">
        <f>'Raw Data'!B1091</f>
        <v>0</v>
      </c>
      <c r="C1091" s="21">
        <f>'Raw Data'!C1091</f>
        <v>2</v>
      </c>
      <c r="D1091" s="21" t="str">
        <f>'Raw Data'!D1091</f>
        <v>Mobile Phone</v>
      </c>
      <c r="E1091" s="21">
        <f>'Raw Data'!E1091</f>
        <v>2</v>
      </c>
      <c r="F1091" s="21">
        <f>IF('Raw Data'!F1091="",ROUND(AVERAGE('Raw Data'!$F$2:$F$1501),1),'Raw Data'!F1091)</f>
        <v>13</v>
      </c>
      <c r="G1091" s="21" t="str">
        <f>'Raw Data'!G1091</f>
        <v>Debit Card</v>
      </c>
      <c r="H1091" s="21" t="str">
        <f>'Raw Data'!H1091</f>
        <v>Female</v>
      </c>
      <c r="I1091" s="21">
        <f>IF('Raw Data'!I1091="",ROUND(AVERAGE('Raw Data'!$I$2:$I$1501),1),'Raw Data'!I1091)</f>
        <v>3.1</v>
      </c>
      <c r="J1091" s="21">
        <f>'Raw Data'!J1091</f>
        <v>2</v>
      </c>
      <c r="K1091" s="21" t="str">
        <f>'Raw Data'!K1091</f>
        <v>Laptop &amp; Accessory</v>
      </c>
      <c r="L1091" s="21">
        <f>'Raw Data'!L1091</f>
        <v>5</v>
      </c>
      <c r="M1091" s="21" t="str">
        <f>'Raw Data'!M1091</f>
        <v>Married</v>
      </c>
      <c r="N1091" s="21">
        <f>'Raw Data'!N1091</f>
        <v>4</v>
      </c>
      <c r="O1091" s="21">
        <f>'Raw Data'!O1091</f>
        <v>0</v>
      </c>
      <c r="P1091" s="21">
        <f>IF('Raw Data'!P1091="",ROUND(AVERAGE('Raw Data'!$P$2:$P$1501),1),'Raw Data'!P1091)</f>
        <v>14.1</v>
      </c>
      <c r="Q1091" s="21">
        <f>IF('Raw Data'!Q1091="",ROUND(AVERAGE('Raw Data'!$Q$2:$Q$1501),0),'Raw Data'!Q1091)</f>
        <v>1</v>
      </c>
      <c r="R1091" s="21">
        <f>'Raw Data'!R1091</f>
        <v>5</v>
      </c>
      <c r="S1091" s="21">
        <f>IF('Raw Data'!S1091="",ROUND(AVERAGE('Raw Data'!$S$2:$S$1501),0),'Raw Data'!S1091)</f>
        <v>0</v>
      </c>
      <c r="T1091" s="21">
        <f>'Raw Data'!T1091</f>
        <v>230.07</v>
      </c>
      <c r="U1091" s="21" t="str">
        <f>INDEX('Lookup Tables'!$C$7:$C$9,MATCH(E1091,'Lookup Tables'!$B$7:$B$9,0))</f>
        <v>Tier 2 (Urban)</v>
      </c>
      <c r="V1091" s="21" t="str">
        <f t="shared" si="51"/>
        <v>0-6 months</v>
      </c>
      <c r="W1091" s="21" t="str">
        <f t="shared" si="52"/>
        <v>Low Risk</v>
      </c>
      <c r="X1091" s="21" t="str">
        <f t="shared" si="53"/>
        <v>No</v>
      </c>
    </row>
    <row r="1092" spans="1:24" x14ac:dyDescent="0.3">
      <c r="A1092" s="21">
        <f>'Raw Data'!A1092</f>
        <v>51091</v>
      </c>
      <c r="B1092" s="21">
        <f>'Raw Data'!B1092</f>
        <v>0</v>
      </c>
      <c r="C1092" s="21">
        <f>'Raw Data'!C1092</f>
        <v>12</v>
      </c>
      <c r="D1092" s="21" t="str">
        <f>'Raw Data'!D1092</f>
        <v>Computer</v>
      </c>
      <c r="E1092" s="21">
        <f>'Raw Data'!E1092</f>
        <v>1</v>
      </c>
      <c r="F1092" s="21">
        <f>IF('Raw Data'!F1092="",ROUND(AVERAGE('Raw Data'!$F$2:$F$1501),1),'Raw Data'!F1092)</f>
        <v>21</v>
      </c>
      <c r="G1092" s="21" t="str">
        <f>'Raw Data'!G1092</f>
        <v>Credit Card</v>
      </c>
      <c r="H1092" s="21" t="str">
        <f>'Raw Data'!H1092</f>
        <v>Male</v>
      </c>
      <c r="I1092" s="21">
        <f>IF('Raw Data'!I1092="",ROUND(AVERAGE('Raw Data'!$I$2:$I$1501),1),'Raw Data'!I1092)</f>
        <v>1.8</v>
      </c>
      <c r="J1092" s="21">
        <f>'Raw Data'!J1092</f>
        <v>4</v>
      </c>
      <c r="K1092" s="21" t="str">
        <f>'Raw Data'!K1092</f>
        <v>Grocery</v>
      </c>
      <c r="L1092" s="21">
        <f>'Raw Data'!L1092</f>
        <v>2</v>
      </c>
      <c r="M1092" s="21" t="str">
        <f>'Raw Data'!M1092</f>
        <v>Single</v>
      </c>
      <c r="N1092" s="21">
        <f>'Raw Data'!N1092</f>
        <v>6</v>
      </c>
      <c r="O1092" s="21">
        <f>'Raw Data'!O1092</f>
        <v>1</v>
      </c>
      <c r="P1092" s="21">
        <f>IF('Raw Data'!P1092="",ROUND(AVERAGE('Raw Data'!$P$2:$P$1501),1),'Raw Data'!P1092)</f>
        <v>15.3</v>
      </c>
      <c r="Q1092" s="21">
        <f>IF('Raw Data'!Q1092="",ROUND(AVERAGE('Raw Data'!$Q$2:$Q$1501),0),'Raw Data'!Q1092)</f>
        <v>5</v>
      </c>
      <c r="R1092" s="21">
        <f>'Raw Data'!R1092</f>
        <v>6</v>
      </c>
      <c r="S1092" s="21">
        <f>IF('Raw Data'!S1092="",ROUND(AVERAGE('Raw Data'!$S$2:$S$1501),0),'Raw Data'!S1092)</f>
        <v>7</v>
      </c>
      <c r="T1092" s="21">
        <f>'Raw Data'!T1092</f>
        <v>97.8</v>
      </c>
      <c r="U1092" s="21" t="str">
        <f>INDEX('Lookup Tables'!$C$7:$C$9,MATCH(E1092,'Lookup Tables'!$B$7:$B$9,0))</f>
        <v>Tier 1 (Metro)</v>
      </c>
      <c r="V1092" s="21" t="str">
        <f t="shared" si="51"/>
        <v>7-12 months</v>
      </c>
      <c r="W1092" s="21" t="str">
        <f t="shared" si="52"/>
        <v>High Risk</v>
      </c>
      <c r="X1092" s="21" t="str">
        <f t="shared" si="53"/>
        <v>No</v>
      </c>
    </row>
    <row r="1093" spans="1:24" x14ac:dyDescent="0.3">
      <c r="A1093" s="21">
        <f>'Raw Data'!A1093</f>
        <v>51092</v>
      </c>
      <c r="B1093" s="21">
        <f>'Raw Data'!B1093</f>
        <v>0</v>
      </c>
      <c r="C1093" s="21">
        <f>'Raw Data'!C1093</f>
        <v>48</v>
      </c>
      <c r="D1093" s="21" t="str">
        <f>'Raw Data'!D1093</f>
        <v>Phone</v>
      </c>
      <c r="E1093" s="21">
        <f>'Raw Data'!E1093</f>
        <v>2</v>
      </c>
      <c r="F1093" s="21">
        <f>IF('Raw Data'!F1093="",ROUND(AVERAGE('Raw Data'!$F$2:$F$1501),1),'Raw Data'!F1093)</f>
        <v>15</v>
      </c>
      <c r="G1093" s="21" t="str">
        <f>'Raw Data'!G1093</f>
        <v>UPI</v>
      </c>
      <c r="H1093" s="21" t="str">
        <f>'Raw Data'!H1093</f>
        <v>Female</v>
      </c>
      <c r="I1093" s="21">
        <f>IF('Raw Data'!I1093="",ROUND(AVERAGE('Raw Data'!$I$2:$I$1501),1),'Raw Data'!I1093)</f>
        <v>2.5</v>
      </c>
      <c r="J1093" s="21">
        <f>'Raw Data'!J1093</f>
        <v>2</v>
      </c>
      <c r="K1093" s="21" t="str">
        <f>'Raw Data'!K1093</f>
        <v>Laptop &amp; Accessory</v>
      </c>
      <c r="L1093" s="21">
        <f>'Raw Data'!L1093</f>
        <v>3</v>
      </c>
      <c r="M1093" s="21" t="str">
        <f>'Raw Data'!M1093</f>
        <v>Single</v>
      </c>
      <c r="N1093" s="21">
        <f>'Raw Data'!N1093</f>
        <v>8</v>
      </c>
      <c r="O1093" s="21">
        <f>'Raw Data'!O1093</f>
        <v>1</v>
      </c>
      <c r="P1093" s="21">
        <f>IF('Raw Data'!P1093="",ROUND(AVERAGE('Raw Data'!$P$2:$P$1501),1),'Raw Data'!P1093)</f>
        <v>14.6</v>
      </c>
      <c r="Q1093" s="21">
        <f>IF('Raw Data'!Q1093="",ROUND(AVERAGE('Raw Data'!$Q$2:$Q$1501),0),'Raw Data'!Q1093)</f>
        <v>1</v>
      </c>
      <c r="R1093" s="21">
        <f>'Raw Data'!R1093</f>
        <v>6</v>
      </c>
      <c r="S1093" s="21">
        <f>IF('Raw Data'!S1093="",ROUND(AVERAGE('Raw Data'!$S$2:$S$1501),0),'Raw Data'!S1093)</f>
        <v>3</v>
      </c>
      <c r="T1093" s="21">
        <f>'Raw Data'!T1093</f>
        <v>198.28</v>
      </c>
      <c r="U1093" s="21" t="str">
        <f>INDEX('Lookup Tables'!$C$7:$C$9,MATCH(E1093,'Lookup Tables'!$B$7:$B$9,0))</f>
        <v>Tier 2 (Urban)</v>
      </c>
      <c r="V1093" s="21" t="str">
        <f t="shared" si="51"/>
        <v>25+ months</v>
      </c>
      <c r="W1093" s="21" t="str">
        <f t="shared" si="52"/>
        <v>Medium Risk</v>
      </c>
      <c r="X1093" s="21" t="str">
        <f t="shared" si="53"/>
        <v>No</v>
      </c>
    </row>
    <row r="1094" spans="1:24" x14ac:dyDescent="0.3">
      <c r="A1094" s="21">
        <f>'Raw Data'!A1094</f>
        <v>51093</v>
      </c>
      <c r="B1094" s="21">
        <f>'Raw Data'!B1094</f>
        <v>0</v>
      </c>
      <c r="C1094" s="21">
        <f>'Raw Data'!C1094</f>
        <v>1</v>
      </c>
      <c r="D1094" s="21" t="str">
        <f>'Raw Data'!D1094</f>
        <v>Phone</v>
      </c>
      <c r="E1094" s="21">
        <f>'Raw Data'!E1094</f>
        <v>1</v>
      </c>
      <c r="F1094" s="21">
        <f>IF('Raw Data'!F1094="",ROUND(AVERAGE('Raw Data'!$F$2:$F$1501),1),'Raw Data'!F1094)</f>
        <v>24</v>
      </c>
      <c r="G1094" s="21" t="str">
        <f>'Raw Data'!G1094</f>
        <v>Credit Card</v>
      </c>
      <c r="H1094" s="21" t="str">
        <f>'Raw Data'!H1094</f>
        <v>Male</v>
      </c>
      <c r="I1094" s="21">
        <f>IF('Raw Data'!I1094="",ROUND(AVERAGE('Raw Data'!$I$2:$I$1501),1),'Raw Data'!I1094)</f>
        <v>2.8</v>
      </c>
      <c r="J1094" s="21">
        <f>'Raw Data'!J1094</f>
        <v>2</v>
      </c>
      <c r="K1094" s="21" t="str">
        <f>'Raw Data'!K1094</f>
        <v>Mobile Phone</v>
      </c>
      <c r="L1094" s="21">
        <f>'Raw Data'!L1094</f>
        <v>1</v>
      </c>
      <c r="M1094" s="21" t="str">
        <f>'Raw Data'!M1094</f>
        <v>Single</v>
      </c>
      <c r="N1094" s="21">
        <f>'Raw Data'!N1094</f>
        <v>2</v>
      </c>
      <c r="O1094" s="21">
        <f>'Raw Data'!O1094</f>
        <v>0</v>
      </c>
      <c r="P1094" s="21">
        <f>IF('Raw Data'!P1094="",ROUND(AVERAGE('Raw Data'!$P$2:$P$1501),1),'Raw Data'!P1094)</f>
        <v>13.6</v>
      </c>
      <c r="Q1094" s="21">
        <f>IF('Raw Data'!Q1094="",ROUND(AVERAGE('Raw Data'!$Q$2:$Q$1501),0),'Raw Data'!Q1094)</f>
        <v>2</v>
      </c>
      <c r="R1094" s="21">
        <f>'Raw Data'!R1094</f>
        <v>3</v>
      </c>
      <c r="S1094" s="21">
        <f>IF('Raw Data'!S1094="",ROUND(AVERAGE('Raw Data'!$S$2:$S$1501),0),'Raw Data'!S1094)</f>
        <v>3</v>
      </c>
      <c r="T1094" s="21">
        <f>'Raw Data'!T1094</f>
        <v>83.49</v>
      </c>
      <c r="U1094" s="21" t="str">
        <f>INDEX('Lookup Tables'!$C$7:$C$9,MATCH(E1094,'Lookup Tables'!$B$7:$B$9,0))</f>
        <v>Tier 1 (Metro)</v>
      </c>
      <c r="V1094" s="21" t="str">
        <f t="shared" si="51"/>
        <v>0-6 months</v>
      </c>
      <c r="W1094" s="21" t="str">
        <f t="shared" si="52"/>
        <v>Low Risk</v>
      </c>
      <c r="X1094" s="21" t="str">
        <f t="shared" si="53"/>
        <v>No</v>
      </c>
    </row>
    <row r="1095" spans="1:24" x14ac:dyDescent="0.3">
      <c r="A1095" s="21">
        <f>'Raw Data'!A1095</f>
        <v>51094</v>
      </c>
      <c r="B1095" s="21">
        <f>'Raw Data'!B1095</f>
        <v>0</v>
      </c>
      <c r="C1095" s="21">
        <f>'Raw Data'!C1095</f>
        <v>5</v>
      </c>
      <c r="D1095" s="21" t="str">
        <f>'Raw Data'!D1095</f>
        <v>Phone</v>
      </c>
      <c r="E1095" s="21">
        <f>'Raw Data'!E1095</f>
        <v>3</v>
      </c>
      <c r="F1095" s="21">
        <f>IF('Raw Data'!F1095="",ROUND(AVERAGE('Raw Data'!$F$2:$F$1501),1),'Raw Data'!F1095)</f>
        <v>11</v>
      </c>
      <c r="G1095" s="21" t="str">
        <f>'Raw Data'!G1095</f>
        <v>Debit Card</v>
      </c>
      <c r="H1095" s="21" t="str">
        <f>'Raw Data'!H1095</f>
        <v>Male</v>
      </c>
      <c r="I1095" s="21">
        <f>IF('Raw Data'!I1095="",ROUND(AVERAGE('Raw Data'!$I$2:$I$1501),1),'Raw Data'!I1095)</f>
        <v>3.6</v>
      </c>
      <c r="J1095" s="21">
        <f>'Raw Data'!J1095</f>
        <v>2</v>
      </c>
      <c r="K1095" s="21" t="str">
        <f>'Raw Data'!K1095</f>
        <v>Mobile Phone</v>
      </c>
      <c r="L1095" s="21">
        <f>'Raw Data'!L1095</f>
        <v>3</v>
      </c>
      <c r="M1095" s="21" t="str">
        <f>'Raw Data'!M1095</f>
        <v>Single</v>
      </c>
      <c r="N1095" s="21">
        <f>'Raw Data'!N1095</f>
        <v>4</v>
      </c>
      <c r="O1095" s="21">
        <f>'Raw Data'!O1095</f>
        <v>0</v>
      </c>
      <c r="P1095" s="21">
        <f>IF('Raw Data'!P1095="",ROUND(AVERAGE('Raw Data'!$P$2:$P$1501),1),'Raw Data'!P1095)</f>
        <v>11</v>
      </c>
      <c r="Q1095" s="21">
        <f>IF('Raw Data'!Q1095="",ROUND(AVERAGE('Raw Data'!$Q$2:$Q$1501),0),'Raw Data'!Q1095)</f>
        <v>3</v>
      </c>
      <c r="R1095" s="21">
        <f>'Raw Data'!R1095</f>
        <v>5</v>
      </c>
      <c r="S1095" s="21">
        <f>IF('Raw Data'!S1095="",ROUND(AVERAGE('Raw Data'!$S$2:$S$1501),0),'Raw Data'!S1095)</f>
        <v>2</v>
      </c>
      <c r="T1095" s="21">
        <f>'Raw Data'!T1095</f>
        <v>128.09</v>
      </c>
      <c r="U1095" s="21" t="str">
        <f>INDEX('Lookup Tables'!$C$7:$C$9,MATCH(E1095,'Lookup Tables'!$B$7:$B$9,0))</f>
        <v>Tier 3 (Semi-urban/Rural)</v>
      </c>
      <c r="V1095" s="21" t="str">
        <f t="shared" si="51"/>
        <v>0-6 months</v>
      </c>
      <c r="W1095" s="21" t="str">
        <f t="shared" si="52"/>
        <v>Medium Risk</v>
      </c>
      <c r="X1095" s="21" t="str">
        <f t="shared" si="53"/>
        <v>No</v>
      </c>
    </row>
    <row r="1096" spans="1:24" x14ac:dyDescent="0.3">
      <c r="A1096" s="21">
        <f>'Raw Data'!A1096</f>
        <v>51095</v>
      </c>
      <c r="B1096" s="21">
        <f>'Raw Data'!B1096</f>
        <v>0</v>
      </c>
      <c r="C1096" s="21">
        <f>'Raw Data'!C1096</f>
        <v>16</v>
      </c>
      <c r="D1096" s="21" t="str">
        <f>'Raw Data'!D1096</f>
        <v>Phone</v>
      </c>
      <c r="E1096" s="21">
        <f>'Raw Data'!E1096</f>
        <v>3</v>
      </c>
      <c r="F1096" s="21">
        <f>IF('Raw Data'!F1096="",ROUND(AVERAGE('Raw Data'!$F$2:$F$1501),1),'Raw Data'!F1096)</f>
        <v>6</v>
      </c>
      <c r="G1096" s="21" t="str">
        <f>'Raw Data'!G1096</f>
        <v>Debit Card</v>
      </c>
      <c r="H1096" s="21" t="str">
        <f>'Raw Data'!H1096</f>
        <v>Male</v>
      </c>
      <c r="I1096" s="21">
        <f>IF('Raw Data'!I1096="",ROUND(AVERAGE('Raw Data'!$I$2:$I$1501),1),'Raw Data'!I1096)</f>
        <v>2.5</v>
      </c>
      <c r="J1096" s="21">
        <f>'Raw Data'!J1096</f>
        <v>3</v>
      </c>
      <c r="K1096" s="21" t="str">
        <f>'Raw Data'!K1096</f>
        <v>Laptop &amp; Accessory</v>
      </c>
      <c r="L1096" s="21">
        <f>'Raw Data'!L1096</f>
        <v>3</v>
      </c>
      <c r="M1096" s="21" t="str">
        <f>'Raw Data'!M1096</f>
        <v>Divorced</v>
      </c>
      <c r="N1096" s="21">
        <f>'Raw Data'!N1096</f>
        <v>4</v>
      </c>
      <c r="O1096" s="21">
        <f>'Raw Data'!O1096</f>
        <v>0</v>
      </c>
      <c r="P1096" s="21">
        <f>IF('Raw Data'!P1096="",ROUND(AVERAGE('Raw Data'!$P$2:$P$1501),1),'Raw Data'!P1096)</f>
        <v>15.9</v>
      </c>
      <c r="Q1096" s="21">
        <f>IF('Raw Data'!Q1096="",ROUND(AVERAGE('Raw Data'!$Q$2:$Q$1501),0),'Raw Data'!Q1096)</f>
        <v>0</v>
      </c>
      <c r="R1096" s="21">
        <f>'Raw Data'!R1096</f>
        <v>3</v>
      </c>
      <c r="S1096" s="21">
        <f>IF('Raw Data'!S1096="",ROUND(AVERAGE('Raw Data'!$S$2:$S$1501),0),'Raw Data'!S1096)</f>
        <v>2</v>
      </c>
      <c r="T1096" s="21">
        <f>'Raw Data'!T1096</f>
        <v>152.25</v>
      </c>
      <c r="U1096" s="21" t="str">
        <f>INDEX('Lookup Tables'!$C$7:$C$9,MATCH(E1096,'Lookup Tables'!$B$7:$B$9,0))</f>
        <v>Tier 3 (Semi-urban/Rural)</v>
      </c>
      <c r="V1096" s="21" t="str">
        <f t="shared" si="51"/>
        <v>13-24 months</v>
      </c>
      <c r="W1096" s="21" t="str">
        <f t="shared" si="52"/>
        <v>Medium Risk</v>
      </c>
      <c r="X1096" s="21" t="str">
        <f t="shared" si="53"/>
        <v>No</v>
      </c>
    </row>
    <row r="1097" spans="1:24" x14ac:dyDescent="0.3">
      <c r="A1097" s="21">
        <f>'Raw Data'!A1097</f>
        <v>51096</v>
      </c>
      <c r="B1097" s="21">
        <f>'Raw Data'!B1097</f>
        <v>0</v>
      </c>
      <c r="C1097" s="21">
        <f>'Raw Data'!C1097</f>
        <v>2</v>
      </c>
      <c r="D1097" s="21" t="str">
        <f>'Raw Data'!D1097</f>
        <v>Computer</v>
      </c>
      <c r="E1097" s="21">
        <f>'Raw Data'!E1097</f>
        <v>1</v>
      </c>
      <c r="F1097" s="21">
        <f>IF('Raw Data'!F1097="",ROUND(AVERAGE('Raw Data'!$F$2:$F$1501),1),'Raw Data'!F1097)</f>
        <v>26</v>
      </c>
      <c r="G1097" s="21" t="str">
        <f>'Raw Data'!G1097</f>
        <v>Credit Card</v>
      </c>
      <c r="H1097" s="21" t="str">
        <f>'Raw Data'!H1097</f>
        <v>Male</v>
      </c>
      <c r="I1097" s="21">
        <f>IF('Raw Data'!I1097="",ROUND(AVERAGE('Raw Data'!$I$2:$I$1501),1),'Raw Data'!I1097)</f>
        <v>3.5</v>
      </c>
      <c r="J1097" s="21">
        <f>'Raw Data'!J1097</f>
        <v>3</v>
      </c>
      <c r="K1097" s="21" t="str">
        <f>'Raw Data'!K1097</f>
        <v>Fashion</v>
      </c>
      <c r="L1097" s="21">
        <f>'Raw Data'!L1097</f>
        <v>4</v>
      </c>
      <c r="M1097" s="21" t="str">
        <f>'Raw Data'!M1097</f>
        <v>Married</v>
      </c>
      <c r="N1097" s="21">
        <f>'Raw Data'!N1097</f>
        <v>1</v>
      </c>
      <c r="O1097" s="21">
        <f>'Raw Data'!O1097</f>
        <v>0</v>
      </c>
      <c r="P1097" s="21">
        <f>IF('Raw Data'!P1097="",ROUND(AVERAGE('Raw Data'!$P$2:$P$1501),1),'Raw Data'!P1097)</f>
        <v>11.5</v>
      </c>
      <c r="Q1097" s="21">
        <f>IF('Raw Data'!Q1097="",ROUND(AVERAGE('Raw Data'!$Q$2:$Q$1501),0),'Raw Data'!Q1097)</f>
        <v>2</v>
      </c>
      <c r="R1097" s="21">
        <f>'Raw Data'!R1097</f>
        <v>5</v>
      </c>
      <c r="S1097" s="21">
        <f>IF('Raw Data'!S1097="",ROUND(AVERAGE('Raw Data'!$S$2:$S$1501),0),'Raw Data'!S1097)</f>
        <v>2</v>
      </c>
      <c r="T1097" s="21">
        <f>'Raw Data'!T1097</f>
        <v>208.25</v>
      </c>
      <c r="U1097" s="21" t="str">
        <f>INDEX('Lookup Tables'!$C$7:$C$9,MATCH(E1097,'Lookup Tables'!$B$7:$B$9,0))</f>
        <v>Tier 1 (Metro)</v>
      </c>
      <c r="V1097" s="21" t="str">
        <f t="shared" si="51"/>
        <v>0-6 months</v>
      </c>
      <c r="W1097" s="21" t="str">
        <f t="shared" si="52"/>
        <v>Low Risk</v>
      </c>
      <c r="X1097" s="21" t="str">
        <f t="shared" si="53"/>
        <v>No</v>
      </c>
    </row>
    <row r="1098" spans="1:24" x14ac:dyDescent="0.3">
      <c r="A1098" s="21">
        <f>'Raw Data'!A1098</f>
        <v>51097</v>
      </c>
      <c r="B1098" s="21">
        <f>'Raw Data'!B1098</f>
        <v>0</v>
      </c>
      <c r="C1098" s="21">
        <f>'Raw Data'!C1098</f>
        <v>8</v>
      </c>
      <c r="D1098" s="21" t="str">
        <f>'Raw Data'!D1098</f>
        <v>Phone</v>
      </c>
      <c r="E1098" s="21">
        <f>'Raw Data'!E1098</f>
        <v>3</v>
      </c>
      <c r="F1098" s="21">
        <f>IF('Raw Data'!F1098="",ROUND(AVERAGE('Raw Data'!$F$2:$F$1501),1),'Raw Data'!F1098)</f>
        <v>14</v>
      </c>
      <c r="G1098" s="21" t="str">
        <f>'Raw Data'!G1098</f>
        <v>Cash on Delivery</v>
      </c>
      <c r="H1098" s="21" t="str">
        <f>'Raw Data'!H1098</f>
        <v>Male</v>
      </c>
      <c r="I1098" s="21">
        <f>IF('Raw Data'!I1098="",ROUND(AVERAGE('Raw Data'!$I$2:$I$1501),1),'Raw Data'!I1098)</f>
        <v>2.9</v>
      </c>
      <c r="J1098" s="21">
        <f>'Raw Data'!J1098</f>
        <v>3</v>
      </c>
      <c r="K1098" s="21" t="str">
        <f>'Raw Data'!K1098</f>
        <v>Mobile Phone</v>
      </c>
      <c r="L1098" s="21">
        <f>'Raw Data'!L1098</f>
        <v>4</v>
      </c>
      <c r="M1098" s="21" t="str">
        <f>'Raw Data'!M1098</f>
        <v>Single</v>
      </c>
      <c r="N1098" s="21">
        <f>'Raw Data'!N1098</f>
        <v>1</v>
      </c>
      <c r="O1098" s="21">
        <f>'Raw Data'!O1098</f>
        <v>0</v>
      </c>
      <c r="P1098" s="21">
        <f>IF('Raw Data'!P1098="",ROUND(AVERAGE('Raw Data'!$P$2:$P$1501),1),'Raw Data'!P1098)</f>
        <v>15.9</v>
      </c>
      <c r="Q1098" s="21">
        <f>IF('Raw Data'!Q1098="",ROUND(AVERAGE('Raw Data'!$Q$2:$Q$1501),0),'Raw Data'!Q1098)</f>
        <v>0</v>
      </c>
      <c r="R1098" s="21">
        <f>'Raw Data'!R1098</f>
        <v>5</v>
      </c>
      <c r="S1098" s="21">
        <f>IF('Raw Data'!S1098="",ROUND(AVERAGE('Raw Data'!$S$2:$S$1501),0),'Raw Data'!S1098)</f>
        <v>0</v>
      </c>
      <c r="T1098" s="21">
        <f>'Raw Data'!T1098</f>
        <v>141.46</v>
      </c>
      <c r="U1098" s="21" t="str">
        <f>INDEX('Lookup Tables'!$C$7:$C$9,MATCH(E1098,'Lookup Tables'!$B$7:$B$9,0))</f>
        <v>Tier 3 (Semi-urban/Rural)</v>
      </c>
      <c r="V1098" s="21" t="str">
        <f t="shared" si="51"/>
        <v>7-12 months</v>
      </c>
      <c r="W1098" s="21" t="str">
        <f t="shared" si="52"/>
        <v>Low Risk</v>
      </c>
      <c r="X1098" s="21" t="str">
        <f t="shared" si="53"/>
        <v>No</v>
      </c>
    </row>
    <row r="1099" spans="1:24" x14ac:dyDescent="0.3">
      <c r="A1099" s="21">
        <f>'Raw Data'!A1099</f>
        <v>51098</v>
      </c>
      <c r="B1099" s="21">
        <f>'Raw Data'!B1099</f>
        <v>0</v>
      </c>
      <c r="C1099" s="21">
        <f>'Raw Data'!C1099</f>
        <v>13</v>
      </c>
      <c r="D1099" s="21" t="str">
        <f>'Raw Data'!D1099</f>
        <v>Mobile Phone</v>
      </c>
      <c r="E1099" s="21">
        <f>'Raw Data'!E1099</f>
        <v>3</v>
      </c>
      <c r="F1099" s="21">
        <f>IF('Raw Data'!F1099="",ROUND(AVERAGE('Raw Data'!$F$2:$F$1501),1),'Raw Data'!F1099)</f>
        <v>16</v>
      </c>
      <c r="G1099" s="21" t="str">
        <f>'Raw Data'!G1099</f>
        <v>E wallet</v>
      </c>
      <c r="H1099" s="21" t="str">
        <f>'Raw Data'!H1099</f>
        <v>Male</v>
      </c>
      <c r="I1099" s="21">
        <f>IF('Raw Data'!I1099="",ROUND(AVERAGE('Raw Data'!$I$2:$I$1501),1),'Raw Data'!I1099)</f>
        <v>2.8</v>
      </c>
      <c r="J1099" s="21">
        <f>'Raw Data'!J1099</f>
        <v>3</v>
      </c>
      <c r="K1099" s="21" t="str">
        <f>'Raw Data'!K1099</f>
        <v>Mobile Phone</v>
      </c>
      <c r="L1099" s="21">
        <f>'Raw Data'!L1099</f>
        <v>3</v>
      </c>
      <c r="M1099" s="21" t="str">
        <f>'Raw Data'!M1099</f>
        <v>Single</v>
      </c>
      <c r="N1099" s="21">
        <f>'Raw Data'!N1099</f>
        <v>1</v>
      </c>
      <c r="O1099" s="21">
        <f>'Raw Data'!O1099</f>
        <v>0</v>
      </c>
      <c r="P1099" s="21">
        <f>IF('Raw Data'!P1099="",ROUND(AVERAGE('Raw Data'!$P$2:$P$1501),1),'Raw Data'!P1099)</f>
        <v>23.4</v>
      </c>
      <c r="Q1099" s="21">
        <f>IF('Raw Data'!Q1099="",ROUND(AVERAGE('Raw Data'!$Q$2:$Q$1501),0),'Raw Data'!Q1099)</f>
        <v>4</v>
      </c>
      <c r="R1099" s="21">
        <f>'Raw Data'!R1099</f>
        <v>8</v>
      </c>
      <c r="S1099" s="21">
        <f>IF('Raw Data'!S1099="",ROUND(AVERAGE('Raw Data'!$S$2:$S$1501),0),'Raw Data'!S1099)</f>
        <v>0</v>
      </c>
      <c r="T1099" s="21">
        <f>'Raw Data'!T1099</f>
        <v>186.91</v>
      </c>
      <c r="U1099" s="21" t="str">
        <f>INDEX('Lookup Tables'!$C$7:$C$9,MATCH(E1099,'Lookup Tables'!$B$7:$B$9,0))</f>
        <v>Tier 3 (Semi-urban/Rural)</v>
      </c>
      <c r="V1099" s="21" t="str">
        <f t="shared" si="51"/>
        <v>13-24 months</v>
      </c>
      <c r="W1099" s="21" t="str">
        <f t="shared" si="52"/>
        <v>Medium Risk</v>
      </c>
      <c r="X1099" s="21" t="str">
        <f t="shared" si="53"/>
        <v>No</v>
      </c>
    </row>
    <row r="1100" spans="1:24" x14ac:dyDescent="0.3">
      <c r="A1100" s="21">
        <f>'Raw Data'!A1100</f>
        <v>51099</v>
      </c>
      <c r="B1100" s="21">
        <f>'Raw Data'!B1100</f>
        <v>0</v>
      </c>
      <c r="C1100" s="21">
        <f>'Raw Data'!C1100</f>
        <v>9</v>
      </c>
      <c r="D1100" s="21" t="str">
        <f>'Raw Data'!D1100</f>
        <v>Mobile Phone</v>
      </c>
      <c r="E1100" s="21">
        <f>'Raw Data'!E1100</f>
        <v>3</v>
      </c>
      <c r="F1100" s="21">
        <f>IF('Raw Data'!F1100="",ROUND(AVERAGE('Raw Data'!$F$2:$F$1501),1),'Raw Data'!F1100)</f>
        <v>24</v>
      </c>
      <c r="G1100" s="21" t="str">
        <f>'Raw Data'!G1100</f>
        <v>Debit Card</v>
      </c>
      <c r="H1100" s="21" t="str">
        <f>'Raw Data'!H1100</f>
        <v>Male</v>
      </c>
      <c r="I1100" s="21">
        <f>IF('Raw Data'!I1100="",ROUND(AVERAGE('Raw Data'!$I$2:$I$1501),1),'Raw Data'!I1100)</f>
        <v>3.1</v>
      </c>
      <c r="J1100" s="21">
        <f>'Raw Data'!J1100</f>
        <v>4</v>
      </c>
      <c r="K1100" s="21" t="str">
        <f>'Raw Data'!K1100</f>
        <v>Mobile Phone</v>
      </c>
      <c r="L1100" s="21">
        <f>'Raw Data'!L1100</f>
        <v>4</v>
      </c>
      <c r="M1100" s="21" t="str">
        <f>'Raw Data'!M1100</f>
        <v>Married</v>
      </c>
      <c r="N1100" s="21">
        <f>'Raw Data'!N1100</f>
        <v>1</v>
      </c>
      <c r="O1100" s="21">
        <f>'Raw Data'!O1100</f>
        <v>1</v>
      </c>
      <c r="P1100" s="21">
        <f>IF('Raw Data'!P1100="",ROUND(AVERAGE('Raw Data'!$P$2:$P$1501),1),'Raw Data'!P1100)</f>
        <v>14.2</v>
      </c>
      <c r="Q1100" s="21">
        <f>IF('Raw Data'!Q1100="",ROUND(AVERAGE('Raw Data'!$Q$2:$Q$1501),0),'Raw Data'!Q1100)</f>
        <v>2</v>
      </c>
      <c r="R1100" s="21">
        <f>'Raw Data'!R1100</f>
        <v>3</v>
      </c>
      <c r="S1100" s="21">
        <f>IF('Raw Data'!S1100="",ROUND(AVERAGE('Raw Data'!$S$2:$S$1501),0),'Raw Data'!S1100)</f>
        <v>3</v>
      </c>
      <c r="T1100" s="21">
        <f>'Raw Data'!T1100</f>
        <v>142.19999999999999</v>
      </c>
      <c r="U1100" s="21" t="str">
        <f>INDEX('Lookup Tables'!$C$7:$C$9,MATCH(E1100,'Lookup Tables'!$B$7:$B$9,0))</f>
        <v>Tier 3 (Semi-urban/Rural)</v>
      </c>
      <c r="V1100" s="21" t="str">
        <f t="shared" si="51"/>
        <v>7-12 months</v>
      </c>
      <c r="W1100" s="21" t="str">
        <f t="shared" si="52"/>
        <v>Low Risk</v>
      </c>
      <c r="X1100" s="21" t="str">
        <f t="shared" si="53"/>
        <v>No</v>
      </c>
    </row>
    <row r="1101" spans="1:24" x14ac:dyDescent="0.3">
      <c r="A1101" s="21">
        <f>'Raw Data'!A1101</f>
        <v>51100</v>
      </c>
      <c r="B1101" s="21">
        <f>'Raw Data'!B1101</f>
        <v>0</v>
      </c>
      <c r="C1101" s="21">
        <f>'Raw Data'!C1101</f>
        <v>2</v>
      </c>
      <c r="D1101" s="21" t="str">
        <f>'Raw Data'!D1101</f>
        <v>Mobile Phone</v>
      </c>
      <c r="E1101" s="21">
        <f>'Raw Data'!E1101</f>
        <v>3</v>
      </c>
      <c r="F1101" s="21">
        <f>IF('Raw Data'!F1101="",ROUND(AVERAGE('Raw Data'!$F$2:$F$1501),1),'Raw Data'!F1101)</f>
        <v>6</v>
      </c>
      <c r="G1101" s="21" t="str">
        <f>'Raw Data'!G1101</f>
        <v>Debit Card</v>
      </c>
      <c r="H1101" s="21" t="str">
        <f>'Raw Data'!H1101</f>
        <v>Male</v>
      </c>
      <c r="I1101" s="21">
        <f>IF('Raw Data'!I1101="",ROUND(AVERAGE('Raw Data'!$I$2:$I$1501),1),'Raw Data'!I1101)</f>
        <v>2.6</v>
      </c>
      <c r="J1101" s="21">
        <f>'Raw Data'!J1101</f>
        <v>3</v>
      </c>
      <c r="K1101" s="21" t="str">
        <f>'Raw Data'!K1101</f>
        <v>Mobile Phone</v>
      </c>
      <c r="L1101" s="21">
        <f>'Raw Data'!L1101</f>
        <v>1</v>
      </c>
      <c r="M1101" s="21" t="str">
        <f>'Raw Data'!M1101</f>
        <v>Married</v>
      </c>
      <c r="N1101" s="21">
        <f>'Raw Data'!N1101</f>
        <v>2</v>
      </c>
      <c r="O1101" s="21">
        <f>'Raw Data'!O1101</f>
        <v>0</v>
      </c>
      <c r="P1101" s="21">
        <f>IF('Raw Data'!P1101="",ROUND(AVERAGE('Raw Data'!$P$2:$P$1501),1),'Raw Data'!P1101)</f>
        <v>16.7</v>
      </c>
      <c r="Q1101" s="21">
        <f>IF('Raw Data'!Q1101="",ROUND(AVERAGE('Raw Data'!$Q$2:$Q$1501),0),'Raw Data'!Q1101)</f>
        <v>1</v>
      </c>
      <c r="R1101" s="21">
        <f>'Raw Data'!R1101</f>
        <v>3</v>
      </c>
      <c r="S1101" s="21">
        <f>IF('Raw Data'!S1101="",ROUND(AVERAGE('Raw Data'!$S$2:$S$1501),0),'Raw Data'!S1101)</f>
        <v>0</v>
      </c>
      <c r="T1101" s="21">
        <f>'Raw Data'!T1101</f>
        <v>150.82</v>
      </c>
      <c r="U1101" s="21" t="str">
        <f>INDEX('Lookup Tables'!$C$7:$C$9,MATCH(E1101,'Lookup Tables'!$B$7:$B$9,0))</f>
        <v>Tier 3 (Semi-urban/Rural)</v>
      </c>
      <c r="V1101" s="21" t="str">
        <f t="shared" si="51"/>
        <v>0-6 months</v>
      </c>
      <c r="W1101" s="21" t="str">
        <f t="shared" si="52"/>
        <v>Low Risk</v>
      </c>
      <c r="X1101" s="21" t="str">
        <f t="shared" si="53"/>
        <v>No</v>
      </c>
    </row>
    <row r="1102" spans="1:24" x14ac:dyDescent="0.3">
      <c r="A1102" s="21">
        <f>'Raw Data'!A1102</f>
        <v>51101</v>
      </c>
      <c r="B1102" s="21">
        <f>'Raw Data'!B1102</f>
        <v>0</v>
      </c>
      <c r="C1102" s="21">
        <f>'Raw Data'!C1102</f>
        <v>4</v>
      </c>
      <c r="D1102" s="21" t="str">
        <f>'Raw Data'!D1102</f>
        <v>Mobile Phone</v>
      </c>
      <c r="E1102" s="21">
        <f>'Raw Data'!E1102</f>
        <v>1</v>
      </c>
      <c r="F1102" s="21">
        <f>IF('Raw Data'!F1102="",ROUND(AVERAGE('Raw Data'!$F$2:$F$1501),1),'Raw Data'!F1102)</f>
        <v>19</v>
      </c>
      <c r="G1102" s="21" t="str">
        <f>'Raw Data'!G1102</f>
        <v>UPI</v>
      </c>
      <c r="H1102" s="21" t="str">
        <f>'Raw Data'!H1102</f>
        <v>Male</v>
      </c>
      <c r="I1102" s="21">
        <f>IF('Raw Data'!I1102="",ROUND(AVERAGE('Raw Data'!$I$2:$I$1501),1),'Raw Data'!I1102)</f>
        <v>2.6</v>
      </c>
      <c r="J1102" s="21">
        <f>'Raw Data'!J1102</f>
        <v>2</v>
      </c>
      <c r="K1102" s="21" t="str">
        <f>'Raw Data'!K1102</f>
        <v>Laptop &amp; Accessory</v>
      </c>
      <c r="L1102" s="21">
        <f>'Raw Data'!L1102</f>
        <v>2</v>
      </c>
      <c r="M1102" s="21" t="str">
        <f>'Raw Data'!M1102</f>
        <v>Single</v>
      </c>
      <c r="N1102" s="21">
        <f>'Raw Data'!N1102</f>
        <v>21</v>
      </c>
      <c r="O1102" s="21">
        <f>'Raw Data'!O1102</f>
        <v>1</v>
      </c>
      <c r="P1102" s="21">
        <f>IF('Raw Data'!P1102="",ROUND(AVERAGE('Raw Data'!$P$2:$P$1501),1),'Raw Data'!P1102)</f>
        <v>19.2</v>
      </c>
      <c r="Q1102" s="21">
        <f>IF('Raw Data'!Q1102="",ROUND(AVERAGE('Raw Data'!$Q$2:$Q$1501),0),'Raw Data'!Q1102)</f>
        <v>2</v>
      </c>
      <c r="R1102" s="21">
        <f>'Raw Data'!R1102</f>
        <v>10</v>
      </c>
      <c r="S1102" s="21">
        <f>IF('Raw Data'!S1102="",ROUND(AVERAGE('Raw Data'!$S$2:$S$1501),0),'Raw Data'!S1102)</f>
        <v>7</v>
      </c>
      <c r="T1102" s="21">
        <f>'Raw Data'!T1102</f>
        <v>248.79</v>
      </c>
      <c r="U1102" s="21" t="str">
        <f>INDEX('Lookup Tables'!$C$7:$C$9,MATCH(E1102,'Lookup Tables'!$B$7:$B$9,0))</f>
        <v>Tier 1 (Metro)</v>
      </c>
      <c r="V1102" s="21" t="str">
        <f t="shared" si="51"/>
        <v>0-6 months</v>
      </c>
      <c r="W1102" s="21" t="str">
        <f t="shared" si="52"/>
        <v>High Risk</v>
      </c>
      <c r="X1102" s="21" t="str">
        <f t="shared" si="53"/>
        <v>No</v>
      </c>
    </row>
    <row r="1103" spans="1:24" x14ac:dyDescent="0.3">
      <c r="A1103" s="21">
        <f>'Raw Data'!A1103</f>
        <v>51102</v>
      </c>
      <c r="B1103" s="21">
        <f>'Raw Data'!B1103</f>
        <v>0</v>
      </c>
      <c r="C1103" s="21">
        <f>'Raw Data'!C1103</f>
        <v>15</v>
      </c>
      <c r="D1103" s="21" t="str">
        <f>'Raw Data'!D1103</f>
        <v>Mobile Phone</v>
      </c>
      <c r="E1103" s="21">
        <f>'Raw Data'!E1103</f>
        <v>2</v>
      </c>
      <c r="F1103" s="21">
        <f>IF('Raw Data'!F1103="",ROUND(AVERAGE('Raw Data'!$F$2:$F$1501),1),'Raw Data'!F1103)</f>
        <v>10</v>
      </c>
      <c r="G1103" s="21" t="str">
        <f>'Raw Data'!G1103</f>
        <v>UPI</v>
      </c>
      <c r="H1103" s="21" t="str">
        <f>'Raw Data'!H1103</f>
        <v>Male</v>
      </c>
      <c r="I1103" s="21">
        <f>IF('Raw Data'!I1103="",ROUND(AVERAGE('Raw Data'!$I$2:$I$1501),1),'Raw Data'!I1103)</f>
        <v>1.7</v>
      </c>
      <c r="J1103" s="21">
        <f>'Raw Data'!J1103</f>
        <v>3</v>
      </c>
      <c r="K1103" s="21" t="str">
        <f>'Raw Data'!K1103</f>
        <v>Mobile Phone</v>
      </c>
      <c r="L1103" s="21">
        <f>'Raw Data'!L1103</f>
        <v>4</v>
      </c>
      <c r="M1103" s="21" t="str">
        <f>'Raw Data'!M1103</f>
        <v>Divorced</v>
      </c>
      <c r="N1103" s="21">
        <f>'Raw Data'!N1103</f>
        <v>1</v>
      </c>
      <c r="O1103" s="21">
        <f>'Raw Data'!O1103</f>
        <v>0</v>
      </c>
      <c r="P1103" s="21">
        <f>IF('Raw Data'!P1103="",ROUND(AVERAGE('Raw Data'!$P$2:$P$1501),1),'Raw Data'!P1103)</f>
        <v>17</v>
      </c>
      <c r="Q1103" s="21">
        <f>IF('Raw Data'!Q1103="",ROUND(AVERAGE('Raw Data'!$Q$2:$Q$1501),0),'Raw Data'!Q1103)</f>
        <v>2</v>
      </c>
      <c r="R1103" s="21">
        <f>'Raw Data'!R1103</f>
        <v>5</v>
      </c>
      <c r="S1103" s="21">
        <f>IF('Raw Data'!S1103="",ROUND(AVERAGE('Raw Data'!$S$2:$S$1501),0),'Raw Data'!S1103)</f>
        <v>1</v>
      </c>
      <c r="T1103" s="21">
        <f>'Raw Data'!T1103</f>
        <v>116.74</v>
      </c>
      <c r="U1103" s="21" t="str">
        <f>INDEX('Lookup Tables'!$C$7:$C$9,MATCH(E1103,'Lookup Tables'!$B$7:$B$9,0))</f>
        <v>Tier 2 (Urban)</v>
      </c>
      <c r="V1103" s="21" t="str">
        <f t="shared" si="51"/>
        <v>13-24 months</v>
      </c>
      <c r="W1103" s="21" t="str">
        <f t="shared" si="52"/>
        <v>Low Risk</v>
      </c>
      <c r="X1103" s="21" t="str">
        <f t="shared" si="53"/>
        <v>No</v>
      </c>
    </row>
    <row r="1104" spans="1:24" x14ac:dyDescent="0.3">
      <c r="A1104" s="21">
        <f>'Raw Data'!A1104</f>
        <v>51103</v>
      </c>
      <c r="B1104" s="21">
        <f>'Raw Data'!B1104</f>
        <v>0</v>
      </c>
      <c r="C1104" s="21">
        <f>'Raw Data'!C1104</f>
        <v>8</v>
      </c>
      <c r="D1104" s="21" t="str">
        <f>'Raw Data'!D1104</f>
        <v>Phone</v>
      </c>
      <c r="E1104" s="21">
        <f>'Raw Data'!E1104</f>
        <v>1</v>
      </c>
      <c r="F1104" s="21">
        <f>IF('Raw Data'!F1104="",ROUND(AVERAGE('Raw Data'!$F$2:$F$1501),1),'Raw Data'!F1104)</f>
        <v>13</v>
      </c>
      <c r="G1104" s="21" t="str">
        <f>'Raw Data'!G1104</f>
        <v>E wallet</v>
      </c>
      <c r="H1104" s="21" t="str">
        <f>'Raw Data'!H1104</f>
        <v>Female</v>
      </c>
      <c r="I1104" s="21">
        <f>IF('Raw Data'!I1104="",ROUND(AVERAGE('Raw Data'!$I$2:$I$1501),1),'Raw Data'!I1104)</f>
        <v>2.7</v>
      </c>
      <c r="J1104" s="21">
        <f>'Raw Data'!J1104</f>
        <v>5</v>
      </c>
      <c r="K1104" s="21" t="str">
        <f>'Raw Data'!K1104</f>
        <v>Fashion</v>
      </c>
      <c r="L1104" s="21">
        <f>'Raw Data'!L1104</f>
        <v>4</v>
      </c>
      <c r="M1104" s="21" t="str">
        <f>'Raw Data'!M1104</f>
        <v>Single</v>
      </c>
      <c r="N1104" s="21">
        <f>'Raw Data'!N1104</f>
        <v>4</v>
      </c>
      <c r="O1104" s="21">
        <f>'Raw Data'!O1104</f>
        <v>0</v>
      </c>
      <c r="P1104" s="21">
        <f>IF('Raw Data'!P1104="",ROUND(AVERAGE('Raw Data'!$P$2:$P$1501),1),'Raw Data'!P1104)</f>
        <v>17</v>
      </c>
      <c r="Q1104" s="21">
        <f>IF('Raw Data'!Q1104="",ROUND(AVERAGE('Raw Data'!$Q$2:$Q$1501),0),'Raw Data'!Q1104)</f>
        <v>0</v>
      </c>
      <c r="R1104" s="21">
        <f>'Raw Data'!R1104</f>
        <v>6</v>
      </c>
      <c r="S1104" s="21">
        <f>IF('Raw Data'!S1104="",ROUND(AVERAGE('Raw Data'!$S$2:$S$1501),0),'Raw Data'!S1104)</f>
        <v>0</v>
      </c>
      <c r="T1104" s="21">
        <f>'Raw Data'!T1104</f>
        <v>221.75</v>
      </c>
      <c r="U1104" s="21" t="str">
        <f>INDEX('Lookup Tables'!$C$7:$C$9,MATCH(E1104,'Lookup Tables'!$B$7:$B$9,0))</f>
        <v>Tier 1 (Metro)</v>
      </c>
      <c r="V1104" s="21" t="str">
        <f t="shared" si="51"/>
        <v>7-12 months</v>
      </c>
      <c r="W1104" s="21" t="str">
        <f t="shared" si="52"/>
        <v>Low Risk</v>
      </c>
      <c r="X1104" s="21" t="str">
        <f t="shared" si="53"/>
        <v>No</v>
      </c>
    </row>
    <row r="1105" spans="1:24" x14ac:dyDescent="0.3">
      <c r="A1105" s="21">
        <f>'Raw Data'!A1105</f>
        <v>51104</v>
      </c>
      <c r="B1105" s="21">
        <f>'Raw Data'!B1105</f>
        <v>0</v>
      </c>
      <c r="C1105" s="21">
        <f>'Raw Data'!C1105</f>
        <v>0</v>
      </c>
      <c r="D1105" s="21" t="str">
        <f>'Raw Data'!D1105</f>
        <v>Mobile Phone</v>
      </c>
      <c r="E1105" s="21">
        <f>'Raw Data'!E1105</f>
        <v>1</v>
      </c>
      <c r="F1105" s="21">
        <f>IF('Raw Data'!F1105="",ROUND(AVERAGE('Raw Data'!$F$2:$F$1501),1),'Raw Data'!F1105)</f>
        <v>15</v>
      </c>
      <c r="G1105" s="21" t="str">
        <f>'Raw Data'!G1105</f>
        <v>E wallet</v>
      </c>
      <c r="H1105" s="21" t="str">
        <f>'Raw Data'!H1105</f>
        <v>Female</v>
      </c>
      <c r="I1105" s="21">
        <f>IF('Raw Data'!I1105="",ROUND(AVERAGE('Raw Data'!$I$2:$I$1501),1),'Raw Data'!I1105)</f>
        <v>2.6</v>
      </c>
      <c r="J1105" s="21">
        <f>'Raw Data'!J1105</f>
        <v>4</v>
      </c>
      <c r="K1105" s="21" t="str">
        <f>'Raw Data'!K1105</f>
        <v>Laptop &amp; Accessory</v>
      </c>
      <c r="L1105" s="21">
        <f>'Raw Data'!L1105</f>
        <v>4</v>
      </c>
      <c r="M1105" s="21" t="str">
        <f>'Raw Data'!M1105</f>
        <v>Single</v>
      </c>
      <c r="N1105" s="21">
        <f>'Raw Data'!N1105</f>
        <v>4</v>
      </c>
      <c r="O1105" s="21">
        <f>'Raw Data'!O1105</f>
        <v>0</v>
      </c>
      <c r="P1105" s="21">
        <f>IF('Raw Data'!P1105="",ROUND(AVERAGE('Raw Data'!$P$2:$P$1501),1),'Raw Data'!P1105)</f>
        <v>14.7</v>
      </c>
      <c r="Q1105" s="21">
        <f>IF('Raw Data'!Q1105="",ROUND(AVERAGE('Raw Data'!$Q$2:$Q$1501),0),'Raw Data'!Q1105)</f>
        <v>4</v>
      </c>
      <c r="R1105" s="21">
        <f>'Raw Data'!R1105</f>
        <v>2</v>
      </c>
      <c r="S1105" s="21">
        <f>IF('Raw Data'!S1105="",ROUND(AVERAGE('Raw Data'!$S$2:$S$1501),0),'Raw Data'!S1105)</f>
        <v>1</v>
      </c>
      <c r="T1105" s="21">
        <f>'Raw Data'!T1105</f>
        <v>179.94</v>
      </c>
      <c r="U1105" s="21" t="str">
        <f>INDEX('Lookup Tables'!$C$7:$C$9,MATCH(E1105,'Lookup Tables'!$B$7:$B$9,0))</f>
        <v>Tier 1 (Metro)</v>
      </c>
      <c r="V1105" s="21" t="str">
        <f t="shared" si="51"/>
        <v>0-6 months</v>
      </c>
      <c r="W1105" s="21" t="str">
        <f t="shared" si="52"/>
        <v>Low Risk</v>
      </c>
      <c r="X1105" s="21" t="str">
        <f t="shared" si="53"/>
        <v>No</v>
      </c>
    </row>
    <row r="1106" spans="1:24" x14ac:dyDescent="0.3">
      <c r="A1106" s="21">
        <f>'Raw Data'!A1106</f>
        <v>51105</v>
      </c>
      <c r="B1106" s="21">
        <f>'Raw Data'!B1106</f>
        <v>0</v>
      </c>
      <c r="C1106" s="21">
        <f>'Raw Data'!C1106</f>
        <v>14</v>
      </c>
      <c r="D1106" s="21" t="str">
        <f>'Raw Data'!D1106</f>
        <v>Mobile Phone</v>
      </c>
      <c r="E1106" s="21">
        <f>'Raw Data'!E1106</f>
        <v>3</v>
      </c>
      <c r="F1106" s="21">
        <f>IF('Raw Data'!F1106="",ROUND(AVERAGE('Raw Data'!$F$2:$F$1501),1),'Raw Data'!F1106)</f>
        <v>5</v>
      </c>
      <c r="G1106" s="21" t="str">
        <f>'Raw Data'!G1106</f>
        <v>Debit Card</v>
      </c>
      <c r="H1106" s="21" t="str">
        <f>'Raw Data'!H1106</f>
        <v>Male</v>
      </c>
      <c r="I1106" s="21">
        <f>IF('Raw Data'!I1106="",ROUND(AVERAGE('Raw Data'!$I$2:$I$1501),1),'Raw Data'!I1106)</f>
        <v>2.5</v>
      </c>
      <c r="J1106" s="21">
        <f>'Raw Data'!J1106</f>
        <v>3</v>
      </c>
      <c r="K1106" s="21" t="str">
        <f>'Raw Data'!K1106</f>
        <v>Mobile Phone</v>
      </c>
      <c r="L1106" s="21">
        <f>'Raw Data'!L1106</f>
        <v>3</v>
      </c>
      <c r="M1106" s="21" t="str">
        <f>'Raw Data'!M1106</f>
        <v>Single</v>
      </c>
      <c r="N1106" s="21">
        <f>'Raw Data'!N1106</f>
        <v>1</v>
      </c>
      <c r="O1106" s="21">
        <f>'Raw Data'!O1106</f>
        <v>0</v>
      </c>
      <c r="P1106" s="21">
        <f>IF('Raw Data'!P1106="",ROUND(AVERAGE('Raw Data'!$P$2:$P$1501),1),'Raw Data'!P1106)</f>
        <v>15.2</v>
      </c>
      <c r="Q1106" s="21">
        <f>IF('Raw Data'!Q1106="",ROUND(AVERAGE('Raw Data'!$Q$2:$Q$1501),0),'Raw Data'!Q1106)</f>
        <v>0</v>
      </c>
      <c r="R1106" s="21">
        <f>'Raw Data'!R1106</f>
        <v>1</v>
      </c>
      <c r="S1106" s="21">
        <f>IF('Raw Data'!S1106="",ROUND(AVERAGE('Raw Data'!$S$2:$S$1501),0),'Raw Data'!S1106)</f>
        <v>2</v>
      </c>
      <c r="T1106" s="21">
        <f>'Raw Data'!T1106</f>
        <v>148.34</v>
      </c>
      <c r="U1106" s="21" t="str">
        <f>INDEX('Lookup Tables'!$C$7:$C$9,MATCH(E1106,'Lookup Tables'!$B$7:$B$9,0))</f>
        <v>Tier 3 (Semi-urban/Rural)</v>
      </c>
      <c r="V1106" s="21" t="str">
        <f t="shared" si="51"/>
        <v>13-24 months</v>
      </c>
      <c r="W1106" s="21" t="str">
        <f t="shared" si="52"/>
        <v>Medium Risk</v>
      </c>
      <c r="X1106" s="21" t="str">
        <f t="shared" si="53"/>
        <v>No</v>
      </c>
    </row>
    <row r="1107" spans="1:24" x14ac:dyDescent="0.3">
      <c r="A1107" s="21">
        <f>'Raw Data'!A1107</f>
        <v>51106</v>
      </c>
      <c r="B1107" s="21">
        <f>'Raw Data'!B1107</f>
        <v>0</v>
      </c>
      <c r="C1107" s="21">
        <f>'Raw Data'!C1107</f>
        <v>0</v>
      </c>
      <c r="D1107" s="21" t="str">
        <f>'Raw Data'!D1107</f>
        <v>Mobile Phone</v>
      </c>
      <c r="E1107" s="21">
        <f>'Raw Data'!E1107</f>
        <v>1</v>
      </c>
      <c r="F1107" s="21">
        <f>IF('Raw Data'!F1107="",ROUND(AVERAGE('Raw Data'!$F$2:$F$1501),1),'Raw Data'!F1107)</f>
        <v>8</v>
      </c>
      <c r="G1107" s="21" t="str">
        <f>'Raw Data'!G1107</f>
        <v>UPI</v>
      </c>
      <c r="H1107" s="21" t="str">
        <f>'Raw Data'!H1107</f>
        <v>Female</v>
      </c>
      <c r="I1107" s="21">
        <f>IF('Raw Data'!I1107="",ROUND(AVERAGE('Raw Data'!$I$2:$I$1501),1),'Raw Data'!I1107)</f>
        <v>3.2</v>
      </c>
      <c r="J1107" s="21">
        <f>'Raw Data'!J1107</f>
        <v>2</v>
      </c>
      <c r="K1107" s="21" t="str">
        <f>'Raw Data'!K1107</f>
        <v>Laptop &amp; Accessory</v>
      </c>
      <c r="L1107" s="21">
        <f>'Raw Data'!L1107</f>
        <v>4</v>
      </c>
      <c r="M1107" s="21" t="str">
        <f>'Raw Data'!M1107</f>
        <v>Married</v>
      </c>
      <c r="N1107" s="21">
        <f>'Raw Data'!N1107</f>
        <v>1</v>
      </c>
      <c r="O1107" s="21">
        <f>'Raw Data'!O1107</f>
        <v>0</v>
      </c>
      <c r="P1107" s="21">
        <f>IF('Raw Data'!P1107="",ROUND(AVERAGE('Raw Data'!$P$2:$P$1501),1),'Raw Data'!P1107)</f>
        <v>12.6</v>
      </c>
      <c r="Q1107" s="21">
        <f>IF('Raw Data'!Q1107="",ROUND(AVERAGE('Raw Data'!$Q$2:$Q$1501),0),'Raw Data'!Q1107)</f>
        <v>2</v>
      </c>
      <c r="R1107" s="21">
        <f>'Raw Data'!R1107</f>
        <v>5</v>
      </c>
      <c r="S1107" s="21">
        <f>IF('Raw Data'!S1107="",ROUND(AVERAGE('Raw Data'!$S$2:$S$1501),0),'Raw Data'!S1107)</f>
        <v>0</v>
      </c>
      <c r="T1107" s="21">
        <f>'Raw Data'!T1107</f>
        <v>113.04</v>
      </c>
      <c r="U1107" s="21" t="str">
        <f>INDEX('Lookup Tables'!$C$7:$C$9,MATCH(E1107,'Lookup Tables'!$B$7:$B$9,0))</f>
        <v>Tier 1 (Metro)</v>
      </c>
      <c r="V1107" s="21" t="str">
        <f t="shared" si="51"/>
        <v>0-6 months</v>
      </c>
      <c r="W1107" s="21" t="str">
        <f t="shared" si="52"/>
        <v>Low Risk</v>
      </c>
      <c r="X1107" s="21" t="str">
        <f t="shared" si="53"/>
        <v>No</v>
      </c>
    </row>
    <row r="1108" spans="1:24" x14ac:dyDescent="0.3">
      <c r="A1108" s="21">
        <f>'Raw Data'!A1108</f>
        <v>51107</v>
      </c>
      <c r="B1108" s="21">
        <f>'Raw Data'!B1108</f>
        <v>0</v>
      </c>
      <c r="C1108" s="21">
        <f>'Raw Data'!C1108</f>
        <v>13</v>
      </c>
      <c r="D1108" s="21" t="str">
        <f>'Raw Data'!D1108</f>
        <v>Mobile Phone</v>
      </c>
      <c r="E1108" s="21">
        <f>'Raw Data'!E1108</f>
        <v>3</v>
      </c>
      <c r="F1108" s="21">
        <f>IF('Raw Data'!F1108="",ROUND(AVERAGE('Raw Data'!$F$2:$F$1501),1),'Raw Data'!F1108)</f>
        <v>25</v>
      </c>
      <c r="G1108" s="21" t="str">
        <f>'Raw Data'!G1108</f>
        <v>UPI</v>
      </c>
      <c r="H1108" s="21" t="str">
        <f>'Raw Data'!H1108</f>
        <v>Female</v>
      </c>
      <c r="I1108" s="21">
        <f>IF('Raw Data'!I1108="",ROUND(AVERAGE('Raw Data'!$I$2:$I$1501),1),'Raw Data'!I1108)</f>
        <v>3.4</v>
      </c>
      <c r="J1108" s="21">
        <f>'Raw Data'!J1108</f>
        <v>3</v>
      </c>
      <c r="K1108" s="21" t="str">
        <f>'Raw Data'!K1108</f>
        <v>Laptop &amp; Accessory</v>
      </c>
      <c r="L1108" s="21">
        <f>'Raw Data'!L1108</f>
        <v>4</v>
      </c>
      <c r="M1108" s="21" t="str">
        <f>'Raw Data'!M1108</f>
        <v>Single</v>
      </c>
      <c r="N1108" s="21">
        <f>'Raw Data'!N1108</f>
        <v>2</v>
      </c>
      <c r="O1108" s="21">
        <f>'Raw Data'!O1108</f>
        <v>0</v>
      </c>
      <c r="P1108" s="21">
        <f>IF('Raw Data'!P1108="",ROUND(AVERAGE('Raw Data'!$P$2:$P$1501),1),'Raw Data'!P1108)</f>
        <v>19</v>
      </c>
      <c r="Q1108" s="21">
        <f>IF('Raw Data'!Q1108="",ROUND(AVERAGE('Raw Data'!$Q$2:$Q$1501),0),'Raw Data'!Q1108)</f>
        <v>0</v>
      </c>
      <c r="R1108" s="21">
        <f>'Raw Data'!R1108</f>
        <v>4</v>
      </c>
      <c r="S1108" s="21">
        <f>IF('Raw Data'!S1108="",ROUND(AVERAGE('Raw Data'!$S$2:$S$1501),0),'Raw Data'!S1108)</f>
        <v>0</v>
      </c>
      <c r="T1108" s="21">
        <f>'Raw Data'!T1108</f>
        <v>116.96</v>
      </c>
      <c r="U1108" s="21" t="str">
        <f>INDEX('Lookup Tables'!$C$7:$C$9,MATCH(E1108,'Lookup Tables'!$B$7:$B$9,0))</f>
        <v>Tier 3 (Semi-urban/Rural)</v>
      </c>
      <c r="V1108" s="21" t="str">
        <f t="shared" si="51"/>
        <v>13-24 months</v>
      </c>
      <c r="W1108" s="21" t="str">
        <f t="shared" si="52"/>
        <v>Low Risk</v>
      </c>
      <c r="X1108" s="21" t="str">
        <f t="shared" si="53"/>
        <v>No</v>
      </c>
    </row>
    <row r="1109" spans="1:24" x14ac:dyDescent="0.3">
      <c r="A1109" s="21">
        <f>'Raw Data'!A1109</f>
        <v>51108</v>
      </c>
      <c r="B1109" s="21">
        <f>'Raw Data'!B1109</f>
        <v>0</v>
      </c>
      <c r="C1109" s="21">
        <f>'Raw Data'!C1109</f>
        <v>2</v>
      </c>
      <c r="D1109" s="21" t="str">
        <f>'Raw Data'!D1109</f>
        <v>Mobile Phone</v>
      </c>
      <c r="E1109" s="21">
        <f>'Raw Data'!E1109</f>
        <v>3</v>
      </c>
      <c r="F1109" s="21">
        <f>IF('Raw Data'!F1109="",ROUND(AVERAGE('Raw Data'!$F$2:$F$1501),1),'Raw Data'!F1109)</f>
        <v>22</v>
      </c>
      <c r="G1109" s="21" t="str">
        <f>'Raw Data'!G1109</f>
        <v>Debit Card</v>
      </c>
      <c r="H1109" s="21" t="str">
        <f>'Raw Data'!H1109</f>
        <v>Male</v>
      </c>
      <c r="I1109" s="21">
        <f>IF('Raw Data'!I1109="",ROUND(AVERAGE('Raw Data'!$I$2:$I$1501),1),'Raw Data'!I1109)</f>
        <v>3.1</v>
      </c>
      <c r="J1109" s="21">
        <f>'Raw Data'!J1109</f>
        <v>3</v>
      </c>
      <c r="K1109" s="21" t="str">
        <f>'Raw Data'!K1109</f>
        <v>Mobile Phone</v>
      </c>
      <c r="L1109" s="21">
        <f>'Raw Data'!L1109</f>
        <v>5</v>
      </c>
      <c r="M1109" s="21" t="str">
        <f>'Raw Data'!M1109</f>
        <v>Single</v>
      </c>
      <c r="N1109" s="21">
        <f>'Raw Data'!N1109</f>
        <v>4</v>
      </c>
      <c r="O1109" s="21">
        <f>'Raw Data'!O1109</f>
        <v>0</v>
      </c>
      <c r="P1109" s="21">
        <f>IF('Raw Data'!P1109="",ROUND(AVERAGE('Raw Data'!$P$2:$P$1501),1),'Raw Data'!P1109)</f>
        <v>16.3</v>
      </c>
      <c r="Q1109" s="21">
        <f>IF('Raw Data'!Q1109="",ROUND(AVERAGE('Raw Data'!$Q$2:$Q$1501),0),'Raw Data'!Q1109)</f>
        <v>3</v>
      </c>
      <c r="R1109" s="21">
        <f>'Raw Data'!R1109</f>
        <v>2</v>
      </c>
      <c r="S1109" s="21">
        <f>IF('Raw Data'!S1109="",ROUND(AVERAGE('Raw Data'!$S$2:$S$1501),0),'Raw Data'!S1109)</f>
        <v>1</v>
      </c>
      <c r="T1109" s="21">
        <f>'Raw Data'!T1109</f>
        <v>139.37</v>
      </c>
      <c r="U1109" s="21" t="str">
        <f>INDEX('Lookup Tables'!$C$7:$C$9,MATCH(E1109,'Lookup Tables'!$B$7:$B$9,0))</f>
        <v>Tier 3 (Semi-urban/Rural)</v>
      </c>
      <c r="V1109" s="21" t="str">
        <f t="shared" si="51"/>
        <v>0-6 months</v>
      </c>
      <c r="W1109" s="21" t="str">
        <f t="shared" si="52"/>
        <v>Low Risk</v>
      </c>
      <c r="X1109" s="21" t="str">
        <f t="shared" si="53"/>
        <v>No</v>
      </c>
    </row>
    <row r="1110" spans="1:24" x14ac:dyDescent="0.3">
      <c r="A1110" s="21">
        <f>'Raw Data'!A1110</f>
        <v>51109</v>
      </c>
      <c r="B1110" s="21">
        <f>'Raw Data'!B1110</f>
        <v>0</v>
      </c>
      <c r="C1110" s="21">
        <f>'Raw Data'!C1110</f>
        <v>31</v>
      </c>
      <c r="D1110" s="21" t="str">
        <f>'Raw Data'!D1110</f>
        <v>Mobile Phone</v>
      </c>
      <c r="E1110" s="21">
        <f>'Raw Data'!E1110</f>
        <v>3</v>
      </c>
      <c r="F1110" s="21">
        <f>IF('Raw Data'!F1110="",ROUND(AVERAGE('Raw Data'!$F$2:$F$1501),1),'Raw Data'!F1110)</f>
        <v>14</v>
      </c>
      <c r="G1110" s="21" t="str">
        <f>'Raw Data'!G1110</f>
        <v>E wallet</v>
      </c>
      <c r="H1110" s="21" t="str">
        <f>'Raw Data'!H1110</f>
        <v>Male</v>
      </c>
      <c r="I1110" s="21">
        <f>IF('Raw Data'!I1110="",ROUND(AVERAGE('Raw Data'!$I$2:$I$1501),1),'Raw Data'!I1110)</f>
        <v>3.6</v>
      </c>
      <c r="J1110" s="21">
        <f>'Raw Data'!J1110</f>
        <v>3</v>
      </c>
      <c r="K1110" s="21" t="str">
        <f>'Raw Data'!K1110</f>
        <v>Grocery</v>
      </c>
      <c r="L1110" s="21">
        <f>'Raw Data'!L1110</f>
        <v>2</v>
      </c>
      <c r="M1110" s="21" t="str">
        <f>'Raw Data'!M1110</f>
        <v>Single</v>
      </c>
      <c r="N1110" s="21">
        <f>'Raw Data'!N1110</f>
        <v>22</v>
      </c>
      <c r="O1110" s="21">
        <f>'Raw Data'!O1110</f>
        <v>0</v>
      </c>
      <c r="P1110" s="21">
        <f>IF('Raw Data'!P1110="",ROUND(AVERAGE('Raw Data'!$P$2:$P$1501),1),'Raw Data'!P1110)</f>
        <v>19.399999999999999</v>
      </c>
      <c r="Q1110" s="21">
        <f>IF('Raw Data'!Q1110="",ROUND(AVERAGE('Raw Data'!$Q$2:$Q$1501),0),'Raw Data'!Q1110)</f>
        <v>1</v>
      </c>
      <c r="R1110" s="21">
        <f>'Raw Data'!R1110</f>
        <v>7</v>
      </c>
      <c r="S1110" s="21">
        <f>IF('Raw Data'!S1110="",ROUND(AVERAGE('Raw Data'!$S$2:$S$1501),0),'Raw Data'!S1110)</f>
        <v>1</v>
      </c>
      <c r="T1110" s="21">
        <f>'Raw Data'!T1110</f>
        <v>171.75</v>
      </c>
      <c r="U1110" s="21" t="str">
        <f>INDEX('Lookup Tables'!$C$7:$C$9,MATCH(E1110,'Lookup Tables'!$B$7:$B$9,0))</f>
        <v>Tier 3 (Semi-urban/Rural)</v>
      </c>
      <c r="V1110" s="21" t="str">
        <f t="shared" si="51"/>
        <v>25+ months</v>
      </c>
      <c r="W1110" s="21" t="str">
        <f t="shared" si="52"/>
        <v>Low Risk</v>
      </c>
      <c r="X1110" s="21" t="str">
        <f t="shared" si="53"/>
        <v>No</v>
      </c>
    </row>
    <row r="1111" spans="1:24" x14ac:dyDescent="0.3">
      <c r="A1111" s="21">
        <f>'Raw Data'!A1111</f>
        <v>51110</v>
      </c>
      <c r="B1111" s="21">
        <f>'Raw Data'!B1111</f>
        <v>0</v>
      </c>
      <c r="C1111" s="21">
        <f>'Raw Data'!C1111</f>
        <v>4</v>
      </c>
      <c r="D1111" s="21" t="str">
        <f>'Raw Data'!D1111</f>
        <v>Mobile Phone</v>
      </c>
      <c r="E1111" s="21">
        <f>'Raw Data'!E1111</f>
        <v>3</v>
      </c>
      <c r="F1111" s="21">
        <f>IF('Raw Data'!F1111="",ROUND(AVERAGE('Raw Data'!$F$2:$F$1501),1),'Raw Data'!F1111)</f>
        <v>16</v>
      </c>
      <c r="G1111" s="21" t="str">
        <f>'Raw Data'!G1111</f>
        <v>Debit Card</v>
      </c>
      <c r="H1111" s="21" t="str">
        <f>'Raw Data'!H1111</f>
        <v>Female</v>
      </c>
      <c r="I1111" s="21">
        <f>IF('Raw Data'!I1111="",ROUND(AVERAGE('Raw Data'!$I$2:$I$1501),1),'Raw Data'!I1111)</f>
        <v>3.3</v>
      </c>
      <c r="J1111" s="21">
        <f>'Raw Data'!J1111</f>
        <v>2</v>
      </c>
      <c r="K1111" s="21" t="str">
        <f>'Raw Data'!K1111</f>
        <v>Grocery</v>
      </c>
      <c r="L1111" s="21">
        <f>'Raw Data'!L1111</f>
        <v>4</v>
      </c>
      <c r="M1111" s="21" t="str">
        <f>'Raw Data'!M1111</f>
        <v>Married</v>
      </c>
      <c r="N1111" s="21">
        <f>'Raw Data'!N1111</f>
        <v>1</v>
      </c>
      <c r="O1111" s="21">
        <f>'Raw Data'!O1111</f>
        <v>0</v>
      </c>
      <c r="P1111" s="21">
        <f>IF('Raw Data'!P1111="",ROUND(AVERAGE('Raw Data'!$P$2:$P$1501),1),'Raw Data'!P1111)</f>
        <v>11.1</v>
      </c>
      <c r="Q1111" s="21">
        <f>IF('Raw Data'!Q1111="",ROUND(AVERAGE('Raw Data'!$Q$2:$Q$1501),0),'Raw Data'!Q1111)</f>
        <v>3</v>
      </c>
      <c r="R1111" s="21">
        <f>'Raw Data'!R1111</f>
        <v>2</v>
      </c>
      <c r="S1111" s="21">
        <f>IF('Raw Data'!S1111="",ROUND(AVERAGE('Raw Data'!$S$2:$S$1501),0),'Raw Data'!S1111)</f>
        <v>8</v>
      </c>
      <c r="T1111" s="21">
        <f>'Raw Data'!T1111</f>
        <v>213.19</v>
      </c>
      <c r="U1111" s="21" t="str">
        <f>INDEX('Lookup Tables'!$C$7:$C$9,MATCH(E1111,'Lookup Tables'!$B$7:$B$9,0))</f>
        <v>Tier 3 (Semi-urban/Rural)</v>
      </c>
      <c r="V1111" s="21" t="str">
        <f t="shared" si="51"/>
        <v>0-6 months</v>
      </c>
      <c r="W1111" s="21" t="str">
        <f t="shared" si="52"/>
        <v>Low Risk</v>
      </c>
      <c r="X1111" s="21" t="str">
        <f t="shared" si="53"/>
        <v>No</v>
      </c>
    </row>
    <row r="1112" spans="1:24" x14ac:dyDescent="0.3">
      <c r="A1112" s="21">
        <f>'Raw Data'!A1112</f>
        <v>51111</v>
      </c>
      <c r="B1112" s="21">
        <f>'Raw Data'!B1112</f>
        <v>0</v>
      </c>
      <c r="C1112" s="21">
        <f>'Raw Data'!C1112</f>
        <v>3</v>
      </c>
      <c r="D1112" s="21" t="str">
        <f>'Raw Data'!D1112</f>
        <v>Mobile Phone</v>
      </c>
      <c r="E1112" s="21">
        <f>'Raw Data'!E1112</f>
        <v>1</v>
      </c>
      <c r="F1112" s="21">
        <f>IF('Raw Data'!F1112="",ROUND(AVERAGE('Raw Data'!$F$2:$F$1501),1),'Raw Data'!F1112)</f>
        <v>12</v>
      </c>
      <c r="G1112" s="21" t="str">
        <f>'Raw Data'!G1112</f>
        <v>Debit Card</v>
      </c>
      <c r="H1112" s="21" t="str">
        <f>'Raw Data'!H1112</f>
        <v>Male</v>
      </c>
      <c r="I1112" s="21">
        <f>IF('Raw Data'!I1112="",ROUND(AVERAGE('Raw Data'!$I$2:$I$1501),1),'Raw Data'!I1112)</f>
        <v>2.7</v>
      </c>
      <c r="J1112" s="21">
        <f>'Raw Data'!J1112</f>
        <v>2</v>
      </c>
      <c r="K1112" s="21" t="str">
        <f>'Raw Data'!K1112</f>
        <v>Laptop &amp; Accessory</v>
      </c>
      <c r="L1112" s="21">
        <f>'Raw Data'!L1112</f>
        <v>4</v>
      </c>
      <c r="M1112" s="21" t="str">
        <f>'Raw Data'!M1112</f>
        <v>Single</v>
      </c>
      <c r="N1112" s="21">
        <f>'Raw Data'!N1112</f>
        <v>7</v>
      </c>
      <c r="O1112" s="21">
        <f>'Raw Data'!O1112</f>
        <v>0</v>
      </c>
      <c r="P1112" s="21">
        <f>IF('Raw Data'!P1112="",ROUND(AVERAGE('Raw Data'!$P$2:$P$1501),1),'Raw Data'!P1112)</f>
        <v>19.399999999999999</v>
      </c>
      <c r="Q1112" s="21">
        <f>IF('Raw Data'!Q1112="",ROUND(AVERAGE('Raw Data'!$Q$2:$Q$1501),0),'Raw Data'!Q1112)</f>
        <v>0</v>
      </c>
      <c r="R1112" s="21">
        <f>'Raw Data'!R1112</f>
        <v>1</v>
      </c>
      <c r="S1112" s="21">
        <f>IF('Raw Data'!S1112="",ROUND(AVERAGE('Raw Data'!$S$2:$S$1501),0),'Raw Data'!S1112)</f>
        <v>9</v>
      </c>
      <c r="T1112" s="21">
        <f>'Raw Data'!T1112</f>
        <v>163.49</v>
      </c>
      <c r="U1112" s="21" t="str">
        <f>INDEX('Lookup Tables'!$C$7:$C$9,MATCH(E1112,'Lookup Tables'!$B$7:$B$9,0))</f>
        <v>Tier 1 (Metro)</v>
      </c>
      <c r="V1112" s="21" t="str">
        <f t="shared" si="51"/>
        <v>0-6 months</v>
      </c>
      <c r="W1112" s="21" t="str">
        <f t="shared" si="52"/>
        <v>Low Risk</v>
      </c>
      <c r="X1112" s="21" t="str">
        <f t="shared" si="53"/>
        <v>No</v>
      </c>
    </row>
    <row r="1113" spans="1:24" x14ac:dyDescent="0.3">
      <c r="A1113" s="21">
        <f>'Raw Data'!A1113</f>
        <v>51112</v>
      </c>
      <c r="B1113" s="21">
        <f>'Raw Data'!B1113</f>
        <v>0</v>
      </c>
      <c r="C1113" s="21">
        <f>'Raw Data'!C1113</f>
        <v>1</v>
      </c>
      <c r="D1113" s="21" t="str">
        <f>'Raw Data'!D1113</f>
        <v>Computer</v>
      </c>
      <c r="E1113" s="21">
        <f>'Raw Data'!E1113</f>
        <v>1</v>
      </c>
      <c r="F1113" s="21">
        <f>IF('Raw Data'!F1113="",ROUND(AVERAGE('Raw Data'!$F$2:$F$1501),1),'Raw Data'!F1113)</f>
        <v>25</v>
      </c>
      <c r="G1113" s="21" t="str">
        <f>'Raw Data'!G1113</f>
        <v>Debit Card</v>
      </c>
      <c r="H1113" s="21" t="str">
        <f>'Raw Data'!H1113</f>
        <v>Female</v>
      </c>
      <c r="I1113" s="21">
        <f>IF('Raw Data'!I1113="",ROUND(AVERAGE('Raw Data'!$I$2:$I$1501),1),'Raw Data'!I1113)</f>
        <v>2.6</v>
      </c>
      <c r="J1113" s="21">
        <f>'Raw Data'!J1113</f>
        <v>5</v>
      </c>
      <c r="K1113" s="21" t="str">
        <f>'Raw Data'!K1113</f>
        <v>Mobile Phone</v>
      </c>
      <c r="L1113" s="21">
        <f>'Raw Data'!L1113</f>
        <v>5</v>
      </c>
      <c r="M1113" s="21" t="str">
        <f>'Raw Data'!M1113</f>
        <v>Single</v>
      </c>
      <c r="N1113" s="21">
        <f>'Raw Data'!N1113</f>
        <v>1</v>
      </c>
      <c r="O1113" s="21">
        <f>'Raw Data'!O1113</f>
        <v>0</v>
      </c>
      <c r="P1113" s="21">
        <f>IF('Raw Data'!P1113="",ROUND(AVERAGE('Raw Data'!$P$2:$P$1501),1),'Raw Data'!P1113)</f>
        <v>14.8</v>
      </c>
      <c r="Q1113" s="21">
        <f>IF('Raw Data'!Q1113="",ROUND(AVERAGE('Raw Data'!$Q$2:$Q$1501),0),'Raw Data'!Q1113)</f>
        <v>2</v>
      </c>
      <c r="R1113" s="21">
        <f>'Raw Data'!R1113</f>
        <v>2</v>
      </c>
      <c r="S1113" s="21">
        <f>IF('Raw Data'!S1113="",ROUND(AVERAGE('Raw Data'!$S$2:$S$1501),0),'Raw Data'!S1113)</f>
        <v>1</v>
      </c>
      <c r="T1113" s="21">
        <f>'Raw Data'!T1113</f>
        <v>167.17</v>
      </c>
      <c r="U1113" s="21" t="str">
        <f>INDEX('Lookup Tables'!$C$7:$C$9,MATCH(E1113,'Lookup Tables'!$B$7:$B$9,0))</f>
        <v>Tier 1 (Metro)</v>
      </c>
      <c r="V1113" s="21" t="str">
        <f t="shared" si="51"/>
        <v>0-6 months</v>
      </c>
      <c r="W1113" s="21" t="str">
        <f t="shared" si="52"/>
        <v>Low Risk</v>
      </c>
      <c r="X1113" s="21" t="str">
        <f t="shared" si="53"/>
        <v>No</v>
      </c>
    </row>
    <row r="1114" spans="1:24" x14ac:dyDescent="0.3">
      <c r="A1114" s="21">
        <f>'Raw Data'!A1114</f>
        <v>51113</v>
      </c>
      <c r="B1114" s="21">
        <f>'Raw Data'!B1114</f>
        <v>0</v>
      </c>
      <c r="C1114" s="21">
        <f>'Raw Data'!C1114</f>
        <v>3</v>
      </c>
      <c r="D1114" s="21" t="str">
        <f>'Raw Data'!D1114</f>
        <v>Computer</v>
      </c>
      <c r="E1114" s="21">
        <f>'Raw Data'!E1114</f>
        <v>1</v>
      </c>
      <c r="F1114" s="21">
        <f>IF('Raw Data'!F1114="",ROUND(AVERAGE('Raw Data'!$F$2:$F$1501),1),'Raw Data'!F1114)</f>
        <v>13</v>
      </c>
      <c r="G1114" s="21" t="str">
        <f>'Raw Data'!G1114</f>
        <v>Debit Card</v>
      </c>
      <c r="H1114" s="21" t="str">
        <f>'Raw Data'!H1114</f>
        <v>Female</v>
      </c>
      <c r="I1114" s="21">
        <f>IF('Raw Data'!I1114="",ROUND(AVERAGE('Raw Data'!$I$2:$I$1501),1),'Raw Data'!I1114)</f>
        <v>3.1</v>
      </c>
      <c r="J1114" s="21">
        <f>'Raw Data'!J1114</f>
        <v>5</v>
      </c>
      <c r="K1114" s="21" t="str">
        <f>'Raw Data'!K1114</f>
        <v>Mobile Phone</v>
      </c>
      <c r="L1114" s="21">
        <f>'Raw Data'!L1114</f>
        <v>2</v>
      </c>
      <c r="M1114" s="21" t="str">
        <f>'Raw Data'!M1114</f>
        <v>Married</v>
      </c>
      <c r="N1114" s="21">
        <f>'Raw Data'!N1114</f>
        <v>4</v>
      </c>
      <c r="O1114" s="21">
        <f>'Raw Data'!O1114</f>
        <v>0</v>
      </c>
      <c r="P1114" s="21">
        <f>IF('Raw Data'!P1114="",ROUND(AVERAGE('Raw Data'!$P$2:$P$1501),1),'Raw Data'!P1114)</f>
        <v>11.7</v>
      </c>
      <c r="Q1114" s="21">
        <f>IF('Raw Data'!Q1114="",ROUND(AVERAGE('Raw Data'!$Q$2:$Q$1501),0),'Raw Data'!Q1114)</f>
        <v>3</v>
      </c>
      <c r="R1114" s="21">
        <f>'Raw Data'!R1114</f>
        <v>2</v>
      </c>
      <c r="S1114" s="21">
        <f>IF('Raw Data'!S1114="",ROUND(AVERAGE('Raw Data'!$S$2:$S$1501),0),'Raw Data'!S1114)</f>
        <v>0</v>
      </c>
      <c r="T1114" s="21">
        <f>'Raw Data'!T1114</f>
        <v>175.38</v>
      </c>
      <c r="U1114" s="21" t="str">
        <f>INDEX('Lookup Tables'!$C$7:$C$9,MATCH(E1114,'Lookup Tables'!$B$7:$B$9,0))</f>
        <v>Tier 1 (Metro)</v>
      </c>
      <c r="V1114" s="21" t="str">
        <f t="shared" si="51"/>
        <v>0-6 months</v>
      </c>
      <c r="W1114" s="21" t="str">
        <f t="shared" si="52"/>
        <v>Low Risk</v>
      </c>
      <c r="X1114" s="21" t="str">
        <f t="shared" si="53"/>
        <v>No</v>
      </c>
    </row>
    <row r="1115" spans="1:24" x14ac:dyDescent="0.3">
      <c r="A1115" s="21">
        <f>'Raw Data'!A1115</f>
        <v>51114</v>
      </c>
      <c r="B1115" s="21">
        <f>'Raw Data'!B1115</f>
        <v>0</v>
      </c>
      <c r="C1115" s="21">
        <f>'Raw Data'!C1115</f>
        <v>20</v>
      </c>
      <c r="D1115" s="21" t="str">
        <f>'Raw Data'!D1115</f>
        <v>Mobile Phone</v>
      </c>
      <c r="E1115" s="21">
        <f>'Raw Data'!E1115</f>
        <v>1</v>
      </c>
      <c r="F1115" s="21">
        <f>IF('Raw Data'!F1115="",ROUND(AVERAGE('Raw Data'!$F$2:$F$1501),1),'Raw Data'!F1115)</f>
        <v>16</v>
      </c>
      <c r="G1115" s="21" t="str">
        <f>'Raw Data'!G1115</f>
        <v>Debit Card</v>
      </c>
      <c r="H1115" s="21" t="str">
        <f>'Raw Data'!H1115</f>
        <v>Female</v>
      </c>
      <c r="I1115" s="21">
        <f>IF('Raw Data'!I1115="",ROUND(AVERAGE('Raw Data'!$I$2:$I$1501),1),'Raw Data'!I1115)</f>
        <v>3.3</v>
      </c>
      <c r="J1115" s="21">
        <f>'Raw Data'!J1115</f>
        <v>2</v>
      </c>
      <c r="K1115" s="21" t="str">
        <f>'Raw Data'!K1115</f>
        <v>Laptop &amp; Accessory</v>
      </c>
      <c r="L1115" s="21">
        <f>'Raw Data'!L1115</f>
        <v>3</v>
      </c>
      <c r="M1115" s="21" t="str">
        <f>'Raw Data'!M1115</f>
        <v>Single</v>
      </c>
      <c r="N1115" s="21">
        <f>'Raw Data'!N1115</f>
        <v>3</v>
      </c>
      <c r="O1115" s="21">
        <f>'Raw Data'!O1115</f>
        <v>0</v>
      </c>
      <c r="P1115" s="21">
        <f>IF('Raw Data'!P1115="",ROUND(AVERAGE('Raw Data'!$P$2:$P$1501),1),'Raw Data'!P1115)</f>
        <v>18</v>
      </c>
      <c r="Q1115" s="21">
        <f>IF('Raw Data'!Q1115="",ROUND(AVERAGE('Raw Data'!$Q$2:$Q$1501),0),'Raw Data'!Q1115)</f>
        <v>2</v>
      </c>
      <c r="R1115" s="21">
        <f>'Raw Data'!R1115</f>
        <v>7</v>
      </c>
      <c r="S1115" s="21">
        <f>IF('Raw Data'!S1115="",ROUND(AVERAGE('Raw Data'!$S$2:$S$1501),0),'Raw Data'!S1115)</f>
        <v>5</v>
      </c>
      <c r="T1115" s="21">
        <f>'Raw Data'!T1115</f>
        <v>206.22</v>
      </c>
      <c r="U1115" s="21" t="str">
        <f>INDEX('Lookup Tables'!$C$7:$C$9,MATCH(E1115,'Lookup Tables'!$B$7:$B$9,0))</f>
        <v>Tier 1 (Metro)</v>
      </c>
      <c r="V1115" s="21" t="str">
        <f t="shared" si="51"/>
        <v>13-24 months</v>
      </c>
      <c r="W1115" s="21" t="str">
        <f t="shared" si="52"/>
        <v>Medium Risk</v>
      </c>
      <c r="X1115" s="21" t="str">
        <f t="shared" si="53"/>
        <v>No</v>
      </c>
    </row>
    <row r="1116" spans="1:24" x14ac:dyDescent="0.3">
      <c r="A1116" s="21">
        <f>'Raw Data'!A1116</f>
        <v>51115</v>
      </c>
      <c r="B1116" s="21">
        <f>'Raw Data'!B1116</f>
        <v>0</v>
      </c>
      <c r="C1116" s="21">
        <f>'Raw Data'!C1116</f>
        <v>56</v>
      </c>
      <c r="D1116" s="21" t="str">
        <f>'Raw Data'!D1116</f>
        <v>Mobile Phone</v>
      </c>
      <c r="E1116" s="21">
        <f>'Raw Data'!E1116</f>
        <v>1</v>
      </c>
      <c r="F1116" s="21">
        <f>IF('Raw Data'!F1116="",ROUND(AVERAGE('Raw Data'!$F$2:$F$1501),1),'Raw Data'!F1116)</f>
        <v>24</v>
      </c>
      <c r="G1116" s="21" t="str">
        <f>'Raw Data'!G1116</f>
        <v>Credit Card</v>
      </c>
      <c r="H1116" s="21" t="str">
        <f>'Raw Data'!H1116</f>
        <v>Female</v>
      </c>
      <c r="I1116" s="21">
        <f>IF('Raw Data'!I1116="",ROUND(AVERAGE('Raw Data'!$I$2:$I$1501),1),'Raw Data'!I1116)</f>
        <v>3.9</v>
      </c>
      <c r="J1116" s="21">
        <f>'Raw Data'!J1116</f>
        <v>4</v>
      </c>
      <c r="K1116" s="21" t="str">
        <f>'Raw Data'!K1116</f>
        <v>Fashion</v>
      </c>
      <c r="L1116" s="21">
        <f>'Raw Data'!L1116</f>
        <v>3</v>
      </c>
      <c r="M1116" s="21" t="str">
        <f>'Raw Data'!M1116</f>
        <v>Married</v>
      </c>
      <c r="N1116" s="21">
        <f>'Raw Data'!N1116</f>
        <v>1</v>
      </c>
      <c r="O1116" s="21">
        <f>'Raw Data'!O1116</f>
        <v>1</v>
      </c>
      <c r="P1116" s="21">
        <f>IF('Raw Data'!P1116="",ROUND(AVERAGE('Raw Data'!$P$2:$P$1501),1),'Raw Data'!P1116)</f>
        <v>19.3</v>
      </c>
      <c r="Q1116" s="21">
        <f>IF('Raw Data'!Q1116="",ROUND(AVERAGE('Raw Data'!$Q$2:$Q$1501),0),'Raw Data'!Q1116)</f>
        <v>3</v>
      </c>
      <c r="R1116" s="21">
        <f>'Raw Data'!R1116</f>
        <v>4</v>
      </c>
      <c r="S1116" s="21">
        <f>IF('Raw Data'!S1116="",ROUND(AVERAGE('Raw Data'!$S$2:$S$1501),0),'Raw Data'!S1116)</f>
        <v>8</v>
      </c>
      <c r="T1116" s="21">
        <f>'Raw Data'!T1116</f>
        <v>215.46</v>
      </c>
      <c r="U1116" s="21" t="str">
        <f>INDEX('Lookup Tables'!$C$7:$C$9,MATCH(E1116,'Lookup Tables'!$B$7:$B$9,0))</f>
        <v>Tier 1 (Metro)</v>
      </c>
      <c r="V1116" s="21" t="str">
        <f t="shared" si="51"/>
        <v>25+ months</v>
      </c>
      <c r="W1116" s="21" t="str">
        <f t="shared" si="52"/>
        <v>Medium Risk</v>
      </c>
      <c r="X1116" s="21" t="str">
        <f t="shared" si="53"/>
        <v>No</v>
      </c>
    </row>
    <row r="1117" spans="1:24" x14ac:dyDescent="0.3">
      <c r="A1117" s="21">
        <f>'Raw Data'!A1117</f>
        <v>51116</v>
      </c>
      <c r="B1117" s="21">
        <f>'Raw Data'!B1117</f>
        <v>1</v>
      </c>
      <c r="C1117" s="21">
        <f>'Raw Data'!C1117</f>
        <v>4</v>
      </c>
      <c r="D1117" s="21" t="str">
        <f>'Raw Data'!D1117</f>
        <v>Mobile Phone</v>
      </c>
      <c r="E1117" s="21">
        <f>'Raw Data'!E1117</f>
        <v>1</v>
      </c>
      <c r="F1117" s="21">
        <f>IF('Raw Data'!F1117="",ROUND(AVERAGE('Raw Data'!$F$2:$F$1501),1),'Raw Data'!F1117)</f>
        <v>8</v>
      </c>
      <c r="G1117" s="21" t="str">
        <f>'Raw Data'!G1117</f>
        <v>Credit Card</v>
      </c>
      <c r="H1117" s="21" t="str">
        <f>'Raw Data'!H1117</f>
        <v>Male</v>
      </c>
      <c r="I1117" s="21">
        <f>IF('Raw Data'!I1117="",ROUND(AVERAGE('Raw Data'!$I$2:$I$1501),1),'Raw Data'!I1117)</f>
        <v>3.7</v>
      </c>
      <c r="J1117" s="21">
        <f>'Raw Data'!J1117</f>
        <v>2</v>
      </c>
      <c r="K1117" s="21" t="str">
        <f>'Raw Data'!K1117</f>
        <v>Fashion</v>
      </c>
      <c r="L1117" s="21">
        <f>'Raw Data'!L1117</f>
        <v>3</v>
      </c>
      <c r="M1117" s="21" t="str">
        <f>'Raw Data'!M1117</f>
        <v>Single</v>
      </c>
      <c r="N1117" s="21">
        <f>'Raw Data'!N1117</f>
        <v>1</v>
      </c>
      <c r="O1117" s="21">
        <f>'Raw Data'!O1117</f>
        <v>0</v>
      </c>
      <c r="P1117" s="21">
        <f>IF('Raw Data'!P1117="",ROUND(AVERAGE('Raw Data'!$P$2:$P$1501),1),'Raw Data'!P1117)</f>
        <v>14.5</v>
      </c>
      <c r="Q1117" s="21">
        <f>IF('Raw Data'!Q1117="",ROUND(AVERAGE('Raw Data'!$Q$2:$Q$1501),0),'Raw Data'!Q1117)</f>
        <v>2</v>
      </c>
      <c r="R1117" s="21">
        <f>'Raw Data'!R1117</f>
        <v>3</v>
      </c>
      <c r="S1117" s="21">
        <f>IF('Raw Data'!S1117="",ROUND(AVERAGE('Raw Data'!$S$2:$S$1501),0),'Raw Data'!S1117)</f>
        <v>16</v>
      </c>
      <c r="T1117" s="21">
        <f>'Raw Data'!T1117</f>
        <v>103.72</v>
      </c>
      <c r="U1117" s="21" t="str">
        <f>INDEX('Lookup Tables'!$C$7:$C$9,MATCH(E1117,'Lookup Tables'!$B$7:$B$9,0))</f>
        <v>Tier 1 (Metro)</v>
      </c>
      <c r="V1117" s="21" t="str">
        <f t="shared" si="51"/>
        <v>0-6 months</v>
      </c>
      <c r="W1117" s="21" t="str">
        <f t="shared" si="52"/>
        <v>Medium Risk</v>
      </c>
      <c r="X1117" s="21" t="str">
        <f t="shared" si="53"/>
        <v>Yes</v>
      </c>
    </row>
    <row r="1118" spans="1:24" x14ac:dyDescent="0.3">
      <c r="A1118" s="21">
        <f>'Raw Data'!A1118</f>
        <v>51117</v>
      </c>
      <c r="B1118" s="21">
        <f>'Raw Data'!B1118</f>
        <v>0</v>
      </c>
      <c r="C1118" s="21">
        <f>'Raw Data'!C1118</f>
        <v>5</v>
      </c>
      <c r="D1118" s="21" t="str">
        <f>'Raw Data'!D1118</f>
        <v>Computer</v>
      </c>
      <c r="E1118" s="21">
        <f>'Raw Data'!E1118</f>
        <v>3</v>
      </c>
      <c r="F1118" s="21">
        <f>IF('Raw Data'!F1118="",ROUND(AVERAGE('Raw Data'!$F$2:$F$1501),1),'Raw Data'!F1118)</f>
        <v>27</v>
      </c>
      <c r="G1118" s="21" t="str">
        <f>'Raw Data'!G1118</f>
        <v>Credit Card</v>
      </c>
      <c r="H1118" s="21" t="str">
        <f>'Raw Data'!H1118</f>
        <v>Male</v>
      </c>
      <c r="I1118" s="21">
        <f>IF('Raw Data'!I1118="",ROUND(AVERAGE('Raw Data'!$I$2:$I$1501),1),'Raw Data'!I1118)</f>
        <v>2.5</v>
      </c>
      <c r="J1118" s="21">
        <f>'Raw Data'!J1118</f>
        <v>5</v>
      </c>
      <c r="K1118" s="21" t="str">
        <f>'Raw Data'!K1118</f>
        <v>Others</v>
      </c>
      <c r="L1118" s="21">
        <f>'Raw Data'!L1118</f>
        <v>2</v>
      </c>
      <c r="M1118" s="21" t="str">
        <f>'Raw Data'!M1118</f>
        <v>Single</v>
      </c>
      <c r="N1118" s="21">
        <f>'Raw Data'!N1118</f>
        <v>1</v>
      </c>
      <c r="O1118" s="21">
        <f>'Raw Data'!O1118</f>
        <v>0</v>
      </c>
      <c r="P1118" s="21">
        <f>IF('Raw Data'!P1118="",ROUND(AVERAGE('Raw Data'!$P$2:$P$1501),1),'Raw Data'!P1118)</f>
        <v>18.5</v>
      </c>
      <c r="Q1118" s="21">
        <f>IF('Raw Data'!Q1118="",ROUND(AVERAGE('Raw Data'!$Q$2:$Q$1501),0),'Raw Data'!Q1118)</f>
        <v>0</v>
      </c>
      <c r="R1118" s="21">
        <f>'Raw Data'!R1118</f>
        <v>8</v>
      </c>
      <c r="S1118" s="21">
        <f>IF('Raw Data'!S1118="",ROUND(AVERAGE('Raw Data'!$S$2:$S$1501),0),'Raw Data'!S1118)</f>
        <v>0</v>
      </c>
      <c r="T1118" s="21">
        <f>'Raw Data'!T1118</f>
        <v>164.49</v>
      </c>
      <c r="U1118" s="21" t="str">
        <f>INDEX('Lookup Tables'!$C$7:$C$9,MATCH(E1118,'Lookup Tables'!$B$7:$B$9,0))</f>
        <v>Tier 3 (Semi-urban/Rural)</v>
      </c>
      <c r="V1118" s="21" t="str">
        <f t="shared" si="51"/>
        <v>0-6 months</v>
      </c>
      <c r="W1118" s="21" t="str">
        <f t="shared" si="52"/>
        <v>Low Risk</v>
      </c>
      <c r="X1118" s="21" t="str">
        <f t="shared" si="53"/>
        <v>No</v>
      </c>
    </row>
    <row r="1119" spans="1:24" x14ac:dyDescent="0.3">
      <c r="A1119" s="21">
        <f>'Raw Data'!A1119</f>
        <v>51118</v>
      </c>
      <c r="B1119" s="21">
        <f>'Raw Data'!B1119</f>
        <v>0</v>
      </c>
      <c r="C1119" s="21">
        <f>'Raw Data'!C1119</f>
        <v>12</v>
      </c>
      <c r="D1119" s="21" t="str">
        <f>'Raw Data'!D1119</f>
        <v>Mobile Phone</v>
      </c>
      <c r="E1119" s="21">
        <f>'Raw Data'!E1119</f>
        <v>2</v>
      </c>
      <c r="F1119" s="21">
        <f>IF('Raw Data'!F1119="",ROUND(AVERAGE('Raw Data'!$F$2:$F$1501),1),'Raw Data'!F1119)</f>
        <v>5</v>
      </c>
      <c r="G1119" s="21" t="str">
        <f>'Raw Data'!G1119</f>
        <v>Debit Card</v>
      </c>
      <c r="H1119" s="21" t="str">
        <f>'Raw Data'!H1119</f>
        <v>Female</v>
      </c>
      <c r="I1119" s="21">
        <f>IF('Raw Data'!I1119="",ROUND(AVERAGE('Raw Data'!$I$2:$I$1501),1),'Raw Data'!I1119)</f>
        <v>2.8</v>
      </c>
      <c r="J1119" s="21">
        <f>'Raw Data'!J1119</f>
        <v>3</v>
      </c>
      <c r="K1119" s="21" t="str">
        <f>'Raw Data'!K1119</f>
        <v>Laptop &amp; Accessory</v>
      </c>
      <c r="L1119" s="21">
        <f>'Raw Data'!L1119</f>
        <v>1</v>
      </c>
      <c r="M1119" s="21" t="str">
        <f>'Raw Data'!M1119</f>
        <v>Married</v>
      </c>
      <c r="N1119" s="21">
        <f>'Raw Data'!N1119</f>
        <v>1</v>
      </c>
      <c r="O1119" s="21">
        <f>'Raw Data'!O1119</f>
        <v>0</v>
      </c>
      <c r="P1119" s="21">
        <f>IF('Raw Data'!P1119="",ROUND(AVERAGE('Raw Data'!$P$2:$P$1501),1),'Raw Data'!P1119)</f>
        <v>11</v>
      </c>
      <c r="Q1119" s="21">
        <f>IF('Raw Data'!Q1119="",ROUND(AVERAGE('Raw Data'!$Q$2:$Q$1501),0),'Raw Data'!Q1119)</f>
        <v>3</v>
      </c>
      <c r="R1119" s="21">
        <f>'Raw Data'!R1119</f>
        <v>5</v>
      </c>
      <c r="S1119" s="21">
        <f>IF('Raw Data'!S1119="",ROUND(AVERAGE('Raw Data'!$S$2:$S$1501),0),'Raw Data'!S1119)</f>
        <v>2</v>
      </c>
      <c r="T1119" s="21">
        <f>'Raw Data'!T1119</f>
        <v>247.51</v>
      </c>
      <c r="U1119" s="21" t="str">
        <f>INDEX('Lookup Tables'!$C$7:$C$9,MATCH(E1119,'Lookup Tables'!$B$7:$B$9,0))</f>
        <v>Tier 2 (Urban)</v>
      </c>
      <c r="V1119" s="21" t="str">
        <f t="shared" si="51"/>
        <v>7-12 months</v>
      </c>
      <c r="W1119" s="21" t="str">
        <f t="shared" si="52"/>
        <v>Low Risk</v>
      </c>
      <c r="X1119" s="21" t="str">
        <f t="shared" si="53"/>
        <v>No</v>
      </c>
    </row>
    <row r="1120" spans="1:24" x14ac:dyDescent="0.3">
      <c r="A1120" s="21">
        <f>'Raw Data'!A1120</f>
        <v>51119</v>
      </c>
      <c r="B1120" s="21">
        <f>'Raw Data'!B1120</f>
        <v>0</v>
      </c>
      <c r="C1120" s="21">
        <f>'Raw Data'!C1120</f>
        <v>21</v>
      </c>
      <c r="D1120" s="21" t="str">
        <f>'Raw Data'!D1120</f>
        <v>Mobile Phone</v>
      </c>
      <c r="E1120" s="21">
        <f>'Raw Data'!E1120</f>
        <v>1</v>
      </c>
      <c r="F1120" s="21">
        <f>IF('Raw Data'!F1120="",ROUND(AVERAGE('Raw Data'!$F$2:$F$1501),1),'Raw Data'!F1120)</f>
        <v>28</v>
      </c>
      <c r="G1120" s="21" t="str">
        <f>'Raw Data'!G1120</f>
        <v>Debit Card</v>
      </c>
      <c r="H1120" s="21" t="str">
        <f>'Raw Data'!H1120</f>
        <v>Male</v>
      </c>
      <c r="I1120" s="21">
        <f>IF('Raw Data'!I1120="",ROUND(AVERAGE('Raw Data'!$I$2:$I$1501),1),'Raw Data'!I1120)</f>
        <v>3.4</v>
      </c>
      <c r="J1120" s="21">
        <f>'Raw Data'!J1120</f>
        <v>4</v>
      </c>
      <c r="K1120" s="21" t="str">
        <f>'Raw Data'!K1120</f>
        <v>Laptop &amp; Accessory</v>
      </c>
      <c r="L1120" s="21">
        <f>'Raw Data'!L1120</f>
        <v>4</v>
      </c>
      <c r="M1120" s="21" t="str">
        <f>'Raw Data'!M1120</f>
        <v>Single</v>
      </c>
      <c r="N1120" s="21">
        <f>'Raw Data'!N1120</f>
        <v>4</v>
      </c>
      <c r="O1120" s="21">
        <f>'Raw Data'!O1120</f>
        <v>0</v>
      </c>
      <c r="P1120" s="21">
        <f>IF('Raw Data'!P1120="",ROUND(AVERAGE('Raw Data'!$P$2:$P$1501),1),'Raw Data'!P1120)</f>
        <v>11.4</v>
      </c>
      <c r="Q1120" s="21">
        <f>IF('Raw Data'!Q1120="",ROUND(AVERAGE('Raw Data'!$Q$2:$Q$1501),0),'Raw Data'!Q1120)</f>
        <v>0</v>
      </c>
      <c r="R1120" s="21">
        <f>'Raw Data'!R1120</f>
        <v>3</v>
      </c>
      <c r="S1120" s="21">
        <f>IF('Raw Data'!S1120="",ROUND(AVERAGE('Raw Data'!$S$2:$S$1501),0),'Raw Data'!S1120)</f>
        <v>6</v>
      </c>
      <c r="T1120" s="21">
        <f>'Raw Data'!T1120</f>
        <v>107.61</v>
      </c>
      <c r="U1120" s="21" t="str">
        <f>INDEX('Lookup Tables'!$C$7:$C$9,MATCH(E1120,'Lookup Tables'!$B$7:$B$9,0))</f>
        <v>Tier 1 (Metro)</v>
      </c>
      <c r="V1120" s="21" t="str">
        <f t="shared" si="51"/>
        <v>13-24 months</v>
      </c>
      <c r="W1120" s="21" t="str">
        <f t="shared" si="52"/>
        <v>Low Risk</v>
      </c>
      <c r="X1120" s="21" t="str">
        <f t="shared" si="53"/>
        <v>No</v>
      </c>
    </row>
    <row r="1121" spans="1:24" x14ac:dyDescent="0.3">
      <c r="A1121" s="21">
        <f>'Raw Data'!A1121</f>
        <v>51120</v>
      </c>
      <c r="B1121" s="21">
        <f>'Raw Data'!B1121</f>
        <v>1</v>
      </c>
      <c r="C1121" s="21">
        <f>'Raw Data'!C1121</f>
        <v>8</v>
      </c>
      <c r="D1121" s="21" t="str">
        <f>'Raw Data'!D1121</f>
        <v>Computer</v>
      </c>
      <c r="E1121" s="21">
        <f>'Raw Data'!E1121</f>
        <v>2</v>
      </c>
      <c r="F1121" s="21">
        <f>IF('Raw Data'!F1121="",ROUND(AVERAGE('Raw Data'!$F$2:$F$1501),1),'Raw Data'!F1121)</f>
        <v>12</v>
      </c>
      <c r="G1121" s="21" t="str">
        <f>'Raw Data'!G1121</f>
        <v>E wallet</v>
      </c>
      <c r="H1121" s="21" t="str">
        <f>'Raw Data'!H1121</f>
        <v>Female</v>
      </c>
      <c r="I1121" s="21">
        <f>IF('Raw Data'!I1121="",ROUND(AVERAGE('Raw Data'!$I$2:$I$1501),1),'Raw Data'!I1121)</f>
        <v>3.6</v>
      </c>
      <c r="J1121" s="21">
        <f>'Raw Data'!J1121</f>
        <v>1</v>
      </c>
      <c r="K1121" s="21" t="str">
        <f>'Raw Data'!K1121</f>
        <v>Grocery</v>
      </c>
      <c r="L1121" s="21">
        <f>'Raw Data'!L1121</f>
        <v>3</v>
      </c>
      <c r="M1121" s="21" t="str">
        <f>'Raw Data'!M1121</f>
        <v>Single</v>
      </c>
      <c r="N1121" s="21">
        <f>'Raw Data'!N1121</f>
        <v>1</v>
      </c>
      <c r="O1121" s="21">
        <f>'Raw Data'!O1121</f>
        <v>0</v>
      </c>
      <c r="P1121" s="21">
        <f>IF('Raw Data'!P1121="",ROUND(AVERAGE('Raw Data'!$P$2:$P$1501),1),'Raw Data'!P1121)</f>
        <v>20.5</v>
      </c>
      <c r="Q1121" s="21">
        <f>IF('Raw Data'!Q1121="",ROUND(AVERAGE('Raw Data'!$Q$2:$Q$1501),0),'Raw Data'!Q1121)</f>
        <v>1</v>
      </c>
      <c r="R1121" s="21">
        <f>'Raw Data'!R1121</f>
        <v>3</v>
      </c>
      <c r="S1121" s="21">
        <f>IF('Raw Data'!S1121="",ROUND(AVERAGE('Raw Data'!$S$2:$S$1501),0),'Raw Data'!S1121)</f>
        <v>8</v>
      </c>
      <c r="T1121" s="21">
        <f>'Raw Data'!T1121</f>
        <v>184.09</v>
      </c>
      <c r="U1121" s="21" t="str">
        <f>INDEX('Lookup Tables'!$C$7:$C$9,MATCH(E1121,'Lookup Tables'!$B$7:$B$9,0))</f>
        <v>Tier 2 (Urban)</v>
      </c>
      <c r="V1121" s="21" t="str">
        <f t="shared" si="51"/>
        <v>7-12 months</v>
      </c>
      <c r="W1121" s="21" t="str">
        <f t="shared" si="52"/>
        <v>Medium Risk</v>
      </c>
      <c r="X1121" s="21" t="str">
        <f t="shared" si="53"/>
        <v>Yes</v>
      </c>
    </row>
    <row r="1122" spans="1:24" x14ac:dyDescent="0.3">
      <c r="A1122" s="21">
        <f>'Raw Data'!A1122</f>
        <v>51121</v>
      </c>
      <c r="B1122" s="21">
        <f>'Raw Data'!B1122</f>
        <v>0</v>
      </c>
      <c r="C1122" s="21">
        <f>'Raw Data'!C1122</f>
        <v>4</v>
      </c>
      <c r="D1122" s="21" t="str">
        <f>'Raw Data'!D1122</f>
        <v>Mobile Phone</v>
      </c>
      <c r="E1122" s="21">
        <f>'Raw Data'!E1122</f>
        <v>1</v>
      </c>
      <c r="F1122" s="21">
        <f>IF('Raw Data'!F1122="",ROUND(AVERAGE('Raw Data'!$F$2:$F$1501),1),'Raw Data'!F1122)</f>
        <v>13</v>
      </c>
      <c r="G1122" s="21" t="str">
        <f>'Raw Data'!G1122</f>
        <v>Credit Card</v>
      </c>
      <c r="H1122" s="21" t="str">
        <f>'Raw Data'!H1122</f>
        <v>Female</v>
      </c>
      <c r="I1122" s="21">
        <f>IF('Raw Data'!I1122="",ROUND(AVERAGE('Raw Data'!$I$2:$I$1501),1),'Raw Data'!I1122)</f>
        <v>3.6</v>
      </c>
      <c r="J1122" s="21">
        <f>'Raw Data'!J1122</f>
        <v>4</v>
      </c>
      <c r="K1122" s="21" t="str">
        <f>'Raw Data'!K1122</f>
        <v>Fashion</v>
      </c>
      <c r="L1122" s="21">
        <f>'Raw Data'!L1122</f>
        <v>2</v>
      </c>
      <c r="M1122" s="21" t="str">
        <f>'Raw Data'!M1122</f>
        <v>Married</v>
      </c>
      <c r="N1122" s="21">
        <f>'Raw Data'!N1122</f>
        <v>3</v>
      </c>
      <c r="O1122" s="21">
        <f>'Raw Data'!O1122</f>
        <v>0</v>
      </c>
      <c r="P1122" s="21">
        <f>IF('Raw Data'!P1122="",ROUND(AVERAGE('Raw Data'!$P$2:$P$1501),1),'Raw Data'!P1122)</f>
        <v>15.2</v>
      </c>
      <c r="Q1122" s="21">
        <f>IF('Raw Data'!Q1122="",ROUND(AVERAGE('Raw Data'!$Q$2:$Q$1501),0),'Raw Data'!Q1122)</f>
        <v>3</v>
      </c>
      <c r="R1122" s="21">
        <f>'Raw Data'!R1122</f>
        <v>4</v>
      </c>
      <c r="S1122" s="21">
        <f>IF('Raw Data'!S1122="",ROUND(AVERAGE('Raw Data'!$S$2:$S$1501),0),'Raw Data'!S1122)</f>
        <v>4</v>
      </c>
      <c r="T1122" s="21">
        <f>'Raw Data'!T1122</f>
        <v>170.6</v>
      </c>
      <c r="U1122" s="21" t="str">
        <f>INDEX('Lookup Tables'!$C$7:$C$9,MATCH(E1122,'Lookup Tables'!$B$7:$B$9,0))</f>
        <v>Tier 1 (Metro)</v>
      </c>
      <c r="V1122" s="21" t="str">
        <f t="shared" si="51"/>
        <v>0-6 months</v>
      </c>
      <c r="W1122" s="21" t="str">
        <f t="shared" si="52"/>
        <v>Low Risk</v>
      </c>
      <c r="X1122" s="21" t="str">
        <f t="shared" si="53"/>
        <v>No</v>
      </c>
    </row>
    <row r="1123" spans="1:24" x14ac:dyDescent="0.3">
      <c r="A1123" s="21">
        <f>'Raw Data'!A1123</f>
        <v>51122</v>
      </c>
      <c r="B1123" s="21">
        <f>'Raw Data'!B1123</f>
        <v>1</v>
      </c>
      <c r="C1123" s="21">
        <f>'Raw Data'!C1123</f>
        <v>5</v>
      </c>
      <c r="D1123" s="21" t="str">
        <f>'Raw Data'!D1123</f>
        <v>Mobile Phone</v>
      </c>
      <c r="E1123" s="21">
        <f>'Raw Data'!E1123</f>
        <v>1</v>
      </c>
      <c r="F1123" s="21">
        <f>IF('Raw Data'!F1123="",ROUND(AVERAGE('Raw Data'!$F$2:$F$1501),1),'Raw Data'!F1123)</f>
        <v>5</v>
      </c>
      <c r="G1123" s="21" t="str">
        <f>'Raw Data'!G1123</f>
        <v>Debit Card</v>
      </c>
      <c r="H1123" s="21" t="str">
        <f>'Raw Data'!H1123</f>
        <v>Female</v>
      </c>
      <c r="I1123" s="21">
        <f>IF('Raw Data'!I1123="",ROUND(AVERAGE('Raw Data'!$I$2:$I$1501),1),'Raw Data'!I1123)</f>
        <v>2.9</v>
      </c>
      <c r="J1123" s="21">
        <f>'Raw Data'!J1123</f>
        <v>3</v>
      </c>
      <c r="K1123" s="21" t="str">
        <f>'Raw Data'!K1123</f>
        <v>Grocery</v>
      </c>
      <c r="L1123" s="21">
        <f>'Raw Data'!L1123</f>
        <v>3</v>
      </c>
      <c r="M1123" s="21" t="str">
        <f>'Raw Data'!M1123</f>
        <v>Divorced</v>
      </c>
      <c r="N1123" s="21">
        <f>'Raw Data'!N1123</f>
        <v>1</v>
      </c>
      <c r="O1123" s="21">
        <f>'Raw Data'!O1123</f>
        <v>1</v>
      </c>
      <c r="P1123" s="21">
        <f>IF('Raw Data'!P1123="",ROUND(AVERAGE('Raw Data'!$P$2:$P$1501),1),'Raw Data'!P1123)</f>
        <v>11</v>
      </c>
      <c r="Q1123" s="21">
        <f>IF('Raw Data'!Q1123="",ROUND(AVERAGE('Raw Data'!$Q$2:$Q$1501),0),'Raw Data'!Q1123)</f>
        <v>3</v>
      </c>
      <c r="R1123" s="21">
        <f>'Raw Data'!R1123</f>
        <v>2</v>
      </c>
      <c r="S1123" s="21">
        <f>IF('Raw Data'!S1123="",ROUND(AVERAGE('Raw Data'!$S$2:$S$1501),0),'Raw Data'!S1123)</f>
        <v>5</v>
      </c>
      <c r="T1123" s="21">
        <f>'Raw Data'!T1123</f>
        <v>148.83000000000001</v>
      </c>
      <c r="U1123" s="21" t="str">
        <f>INDEX('Lookup Tables'!$C$7:$C$9,MATCH(E1123,'Lookup Tables'!$B$7:$B$9,0))</f>
        <v>Tier 1 (Metro)</v>
      </c>
      <c r="V1123" s="21" t="str">
        <f t="shared" si="51"/>
        <v>0-6 months</v>
      </c>
      <c r="W1123" s="21" t="str">
        <f t="shared" si="52"/>
        <v>Medium Risk</v>
      </c>
      <c r="X1123" s="21" t="str">
        <f t="shared" si="53"/>
        <v>Yes</v>
      </c>
    </row>
    <row r="1124" spans="1:24" x14ac:dyDescent="0.3">
      <c r="A1124" s="21">
        <f>'Raw Data'!A1124</f>
        <v>51123</v>
      </c>
      <c r="B1124" s="21">
        <f>'Raw Data'!B1124</f>
        <v>0</v>
      </c>
      <c r="C1124" s="21">
        <f>'Raw Data'!C1124</f>
        <v>11</v>
      </c>
      <c r="D1124" s="21" t="str">
        <f>'Raw Data'!D1124</f>
        <v>Mobile Phone</v>
      </c>
      <c r="E1124" s="21">
        <f>'Raw Data'!E1124</f>
        <v>3</v>
      </c>
      <c r="F1124" s="21">
        <f>IF('Raw Data'!F1124="",ROUND(AVERAGE('Raw Data'!$F$2:$F$1501),1),'Raw Data'!F1124)</f>
        <v>11</v>
      </c>
      <c r="G1124" s="21" t="str">
        <f>'Raw Data'!G1124</f>
        <v>UPI</v>
      </c>
      <c r="H1124" s="21" t="str">
        <f>'Raw Data'!H1124</f>
        <v>Male</v>
      </c>
      <c r="I1124" s="21">
        <f>IF('Raw Data'!I1124="",ROUND(AVERAGE('Raw Data'!$I$2:$I$1501),1),'Raw Data'!I1124)</f>
        <v>2</v>
      </c>
      <c r="J1124" s="21">
        <f>'Raw Data'!J1124</f>
        <v>4</v>
      </c>
      <c r="K1124" s="21" t="str">
        <f>'Raw Data'!K1124</f>
        <v>Laptop &amp; Accessory</v>
      </c>
      <c r="L1124" s="21">
        <f>'Raw Data'!L1124</f>
        <v>1</v>
      </c>
      <c r="M1124" s="21" t="str">
        <f>'Raw Data'!M1124</f>
        <v>Married</v>
      </c>
      <c r="N1124" s="21">
        <f>'Raw Data'!N1124</f>
        <v>5</v>
      </c>
      <c r="O1124" s="21">
        <f>'Raw Data'!O1124</f>
        <v>0</v>
      </c>
      <c r="P1124" s="21">
        <f>IF('Raw Data'!P1124="",ROUND(AVERAGE('Raw Data'!$P$2:$P$1501),1),'Raw Data'!P1124)</f>
        <v>13.6</v>
      </c>
      <c r="Q1124" s="21">
        <f>IF('Raw Data'!Q1124="",ROUND(AVERAGE('Raw Data'!$Q$2:$Q$1501),0),'Raw Data'!Q1124)</f>
        <v>1</v>
      </c>
      <c r="R1124" s="21">
        <f>'Raw Data'!R1124</f>
        <v>2</v>
      </c>
      <c r="S1124" s="21">
        <f>IF('Raw Data'!S1124="",ROUND(AVERAGE('Raw Data'!$S$2:$S$1501),0),'Raw Data'!S1124)</f>
        <v>1</v>
      </c>
      <c r="T1124" s="21">
        <f>'Raw Data'!T1124</f>
        <v>267.49</v>
      </c>
      <c r="U1124" s="21" t="str">
        <f>INDEX('Lookup Tables'!$C$7:$C$9,MATCH(E1124,'Lookup Tables'!$B$7:$B$9,0))</f>
        <v>Tier 3 (Semi-urban/Rural)</v>
      </c>
      <c r="V1124" s="21" t="str">
        <f t="shared" si="51"/>
        <v>7-12 months</v>
      </c>
      <c r="W1124" s="21" t="str">
        <f t="shared" si="52"/>
        <v>Low Risk</v>
      </c>
      <c r="X1124" s="21" t="str">
        <f t="shared" si="53"/>
        <v>No</v>
      </c>
    </row>
    <row r="1125" spans="1:24" x14ac:dyDescent="0.3">
      <c r="A1125" s="21">
        <f>'Raw Data'!A1125</f>
        <v>51124</v>
      </c>
      <c r="B1125" s="21">
        <f>'Raw Data'!B1125</f>
        <v>0</v>
      </c>
      <c r="C1125" s="21">
        <f>'Raw Data'!C1125</f>
        <v>0</v>
      </c>
      <c r="D1125" s="21" t="str">
        <f>'Raw Data'!D1125</f>
        <v>Phone</v>
      </c>
      <c r="E1125" s="21">
        <f>'Raw Data'!E1125</f>
        <v>2</v>
      </c>
      <c r="F1125" s="21">
        <f>IF('Raw Data'!F1125="",ROUND(AVERAGE('Raw Data'!$F$2:$F$1501),1),'Raw Data'!F1125)</f>
        <v>6</v>
      </c>
      <c r="G1125" s="21" t="str">
        <f>'Raw Data'!G1125</f>
        <v>E wallet</v>
      </c>
      <c r="H1125" s="21" t="str">
        <f>'Raw Data'!H1125</f>
        <v>Male</v>
      </c>
      <c r="I1125" s="21">
        <f>IF('Raw Data'!I1125="",ROUND(AVERAGE('Raw Data'!$I$2:$I$1501),1),'Raw Data'!I1125)</f>
        <v>2.2000000000000002</v>
      </c>
      <c r="J1125" s="21">
        <f>'Raw Data'!J1125</f>
        <v>4</v>
      </c>
      <c r="K1125" s="21" t="str">
        <f>'Raw Data'!K1125</f>
        <v>Mobile Phone</v>
      </c>
      <c r="L1125" s="21">
        <f>'Raw Data'!L1125</f>
        <v>5</v>
      </c>
      <c r="M1125" s="21" t="str">
        <f>'Raw Data'!M1125</f>
        <v>Married</v>
      </c>
      <c r="N1125" s="21">
        <f>'Raw Data'!N1125</f>
        <v>5</v>
      </c>
      <c r="O1125" s="21">
        <f>'Raw Data'!O1125</f>
        <v>0</v>
      </c>
      <c r="P1125" s="21">
        <f>IF('Raw Data'!P1125="",ROUND(AVERAGE('Raw Data'!$P$2:$P$1501),1),'Raw Data'!P1125)</f>
        <v>12.8</v>
      </c>
      <c r="Q1125" s="21">
        <f>IF('Raw Data'!Q1125="",ROUND(AVERAGE('Raw Data'!$Q$2:$Q$1501),0),'Raw Data'!Q1125)</f>
        <v>4</v>
      </c>
      <c r="R1125" s="21">
        <f>'Raw Data'!R1125</f>
        <v>3</v>
      </c>
      <c r="S1125" s="21">
        <f>IF('Raw Data'!S1125="",ROUND(AVERAGE('Raw Data'!$S$2:$S$1501),0),'Raw Data'!S1125)</f>
        <v>0</v>
      </c>
      <c r="T1125" s="21">
        <f>'Raw Data'!T1125</f>
        <v>182.03</v>
      </c>
      <c r="U1125" s="21" t="str">
        <f>INDEX('Lookup Tables'!$C$7:$C$9,MATCH(E1125,'Lookup Tables'!$B$7:$B$9,0))</f>
        <v>Tier 2 (Urban)</v>
      </c>
      <c r="V1125" s="21" t="str">
        <f t="shared" si="51"/>
        <v>0-6 months</v>
      </c>
      <c r="W1125" s="21" t="str">
        <f t="shared" si="52"/>
        <v>Low Risk</v>
      </c>
      <c r="X1125" s="21" t="str">
        <f t="shared" si="53"/>
        <v>No</v>
      </c>
    </row>
    <row r="1126" spans="1:24" x14ac:dyDescent="0.3">
      <c r="A1126" s="21">
        <f>'Raw Data'!A1126</f>
        <v>51125</v>
      </c>
      <c r="B1126" s="21">
        <f>'Raw Data'!B1126</f>
        <v>1</v>
      </c>
      <c r="C1126" s="21">
        <f>'Raw Data'!C1126</f>
        <v>9</v>
      </c>
      <c r="D1126" s="21" t="str">
        <f>'Raw Data'!D1126</f>
        <v>Phone</v>
      </c>
      <c r="E1126" s="21">
        <f>'Raw Data'!E1126</f>
        <v>3</v>
      </c>
      <c r="F1126" s="21">
        <f>IF('Raw Data'!F1126="",ROUND(AVERAGE('Raw Data'!$F$2:$F$1501),1),'Raw Data'!F1126)</f>
        <v>10</v>
      </c>
      <c r="G1126" s="21" t="str">
        <f>'Raw Data'!G1126</f>
        <v>UPI</v>
      </c>
      <c r="H1126" s="21" t="str">
        <f>'Raw Data'!H1126</f>
        <v>Male</v>
      </c>
      <c r="I1126" s="21">
        <f>IF('Raw Data'!I1126="",ROUND(AVERAGE('Raw Data'!$I$2:$I$1501),1),'Raw Data'!I1126)</f>
        <v>3.1</v>
      </c>
      <c r="J1126" s="21">
        <f>'Raw Data'!J1126</f>
        <v>3</v>
      </c>
      <c r="K1126" s="21" t="str">
        <f>'Raw Data'!K1126</f>
        <v>Mobile Phone</v>
      </c>
      <c r="L1126" s="21">
        <f>'Raw Data'!L1126</f>
        <v>4</v>
      </c>
      <c r="M1126" s="21" t="str">
        <f>'Raw Data'!M1126</f>
        <v>Married</v>
      </c>
      <c r="N1126" s="21">
        <f>'Raw Data'!N1126</f>
        <v>5</v>
      </c>
      <c r="O1126" s="21">
        <f>'Raw Data'!O1126</f>
        <v>0</v>
      </c>
      <c r="P1126" s="21">
        <f>IF('Raw Data'!P1126="",ROUND(AVERAGE('Raw Data'!$P$2:$P$1501),1),'Raw Data'!P1126)</f>
        <v>15.4</v>
      </c>
      <c r="Q1126" s="21">
        <f>IF('Raw Data'!Q1126="",ROUND(AVERAGE('Raw Data'!$Q$2:$Q$1501),0),'Raw Data'!Q1126)</f>
        <v>3</v>
      </c>
      <c r="R1126" s="21">
        <f>'Raw Data'!R1126</f>
        <v>4</v>
      </c>
      <c r="S1126" s="21">
        <f>IF('Raw Data'!S1126="",ROUND(AVERAGE('Raw Data'!$S$2:$S$1501),0),'Raw Data'!S1126)</f>
        <v>3</v>
      </c>
      <c r="T1126" s="21">
        <f>'Raw Data'!T1126</f>
        <v>263.11</v>
      </c>
      <c r="U1126" s="21" t="str">
        <f>INDEX('Lookup Tables'!$C$7:$C$9,MATCH(E1126,'Lookup Tables'!$B$7:$B$9,0))</f>
        <v>Tier 3 (Semi-urban/Rural)</v>
      </c>
      <c r="V1126" s="21" t="str">
        <f t="shared" si="51"/>
        <v>7-12 months</v>
      </c>
      <c r="W1126" s="21" t="str">
        <f t="shared" si="52"/>
        <v>Low Risk</v>
      </c>
      <c r="X1126" s="21" t="str">
        <f t="shared" si="53"/>
        <v>Yes</v>
      </c>
    </row>
    <row r="1127" spans="1:24" x14ac:dyDescent="0.3">
      <c r="A1127" s="21">
        <f>'Raw Data'!A1127</f>
        <v>51126</v>
      </c>
      <c r="B1127" s="21">
        <f>'Raw Data'!B1127</f>
        <v>0</v>
      </c>
      <c r="C1127" s="21">
        <f>'Raw Data'!C1127</f>
        <v>4</v>
      </c>
      <c r="D1127" s="21" t="str">
        <f>'Raw Data'!D1127</f>
        <v>Computer</v>
      </c>
      <c r="E1127" s="21">
        <f>'Raw Data'!E1127</f>
        <v>1</v>
      </c>
      <c r="F1127" s="21">
        <f>IF('Raw Data'!F1127="",ROUND(AVERAGE('Raw Data'!$F$2:$F$1501),1),'Raw Data'!F1127)</f>
        <v>13</v>
      </c>
      <c r="G1127" s="21" t="str">
        <f>'Raw Data'!G1127</f>
        <v>Credit Card</v>
      </c>
      <c r="H1127" s="21" t="str">
        <f>'Raw Data'!H1127</f>
        <v>Male</v>
      </c>
      <c r="I1127" s="21">
        <f>IF('Raw Data'!I1127="",ROUND(AVERAGE('Raw Data'!$I$2:$I$1501),1),'Raw Data'!I1127)</f>
        <v>3.1</v>
      </c>
      <c r="J1127" s="21">
        <f>'Raw Data'!J1127</f>
        <v>3</v>
      </c>
      <c r="K1127" s="21" t="str">
        <f>'Raw Data'!K1127</f>
        <v>Laptop &amp; Accessory</v>
      </c>
      <c r="L1127" s="21">
        <f>'Raw Data'!L1127</f>
        <v>4</v>
      </c>
      <c r="M1127" s="21" t="str">
        <f>'Raw Data'!M1127</f>
        <v>Divorced</v>
      </c>
      <c r="N1127" s="21">
        <f>'Raw Data'!N1127</f>
        <v>2</v>
      </c>
      <c r="O1127" s="21">
        <f>'Raw Data'!O1127</f>
        <v>0</v>
      </c>
      <c r="P1127" s="21">
        <f>IF('Raw Data'!P1127="",ROUND(AVERAGE('Raw Data'!$P$2:$P$1501),1),'Raw Data'!P1127)</f>
        <v>14.7</v>
      </c>
      <c r="Q1127" s="21">
        <f>IF('Raw Data'!Q1127="",ROUND(AVERAGE('Raw Data'!$Q$2:$Q$1501),0),'Raw Data'!Q1127)</f>
        <v>1</v>
      </c>
      <c r="R1127" s="21">
        <f>'Raw Data'!R1127</f>
        <v>4</v>
      </c>
      <c r="S1127" s="21">
        <f>IF('Raw Data'!S1127="",ROUND(AVERAGE('Raw Data'!$S$2:$S$1501),0),'Raw Data'!S1127)</f>
        <v>0</v>
      </c>
      <c r="T1127" s="21">
        <f>'Raw Data'!T1127</f>
        <v>180.31</v>
      </c>
      <c r="U1127" s="21" t="str">
        <f>INDEX('Lookup Tables'!$C$7:$C$9,MATCH(E1127,'Lookup Tables'!$B$7:$B$9,0))</f>
        <v>Tier 1 (Metro)</v>
      </c>
      <c r="V1127" s="21" t="str">
        <f t="shared" si="51"/>
        <v>0-6 months</v>
      </c>
      <c r="W1127" s="21" t="str">
        <f t="shared" si="52"/>
        <v>Low Risk</v>
      </c>
      <c r="X1127" s="21" t="str">
        <f t="shared" si="53"/>
        <v>No</v>
      </c>
    </row>
    <row r="1128" spans="1:24" x14ac:dyDescent="0.3">
      <c r="A1128" s="21">
        <f>'Raw Data'!A1128</f>
        <v>51127</v>
      </c>
      <c r="B1128" s="21">
        <f>'Raw Data'!B1128</f>
        <v>0</v>
      </c>
      <c r="C1128" s="21">
        <f>'Raw Data'!C1128</f>
        <v>15</v>
      </c>
      <c r="D1128" s="21" t="str">
        <f>'Raw Data'!D1128</f>
        <v>Mobile Phone</v>
      </c>
      <c r="E1128" s="21">
        <f>'Raw Data'!E1128</f>
        <v>3</v>
      </c>
      <c r="F1128" s="21">
        <f>IF('Raw Data'!F1128="",ROUND(AVERAGE('Raw Data'!$F$2:$F$1501),1),'Raw Data'!F1128)</f>
        <v>22</v>
      </c>
      <c r="G1128" s="21" t="str">
        <f>'Raw Data'!G1128</f>
        <v>Debit Card</v>
      </c>
      <c r="H1128" s="21" t="str">
        <f>'Raw Data'!H1128</f>
        <v>Female</v>
      </c>
      <c r="I1128" s="21">
        <f>IF('Raw Data'!I1128="",ROUND(AVERAGE('Raw Data'!$I$2:$I$1501),1),'Raw Data'!I1128)</f>
        <v>2.1</v>
      </c>
      <c r="J1128" s="21">
        <f>'Raw Data'!J1128</f>
        <v>4</v>
      </c>
      <c r="K1128" s="21" t="str">
        <f>'Raw Data'!K1128</f>
        <v>Mobile Phone</v>
      </c>
      <c r="L1128" s="21">
        <f>'Raw Data'!L1128</f>
        <v>3</v>
      </c>
      <c r="M1128" s="21" t="str">
        <f>'Raw Data'!M1128</f>
        <v>Married</v>
      </c>
      <c r="N1128" s="21">
        <f>'Raw Data'!N1128</f>
        <v>1</v>
      </c>
      <c r="O1128" s="21">
        <f>'Raw Data'!O1128</f>
        <v>0</v>
      </c>
      <c r="P1128" s="21">
        <f>IF('Raw Data'!P1128="",ROUND(AVERAGE('Raw Data'!$P$2:$P$1501),1),'Raw Data'!P1128)</f>
        <v>16.600000000000001</v>
      </c>
      <c r="Q1128" s="21">
        <f>IF('Raw Data'!Q1128="",ROUND(AVERAGE('Raw Data'!$Q$2:$Q$1501),0),'Raw Data'!Q1128)</f>
        <v>1</v>
      </c>
      <c r="R1128" s="21">
        <f>'Raw Data'!R1128</f>
        <v>7</v>
      </c>
      <c r="S1128" s="21">
        <f>IF('Raw Data'!S1128="",ROUND(AVERAGE('Raw Data'!$S$2:$S$1501),0),'Raw Data'!S1128)</f>
        <v>6</v>
      </c>
      <c r="T1128" s="21">
        <f>'Raw Data'!T1128</f>
        <v>205.31</v>
      </c>
      <c r="U1128" s="21" t="str">
        <f>INDEX('Lookup Tables'!$C$7:$C$9,MATCH(E1128,'Lookup Tables'!$B$7:$B$9,0))</f>
        <v>Tier 3 (Semi-urban/Rural)</v>
      </c>
      <c r="V1128" s="21" t="str">
        <f t="shared" si="51"/>
        <v>13-24 months</v>
      </c>
      <c r="W1128" s="21" t="str">
        <f t="shared" si="52"/>
        <v>Medium Risk</v>
      </c>
      <c r="X1128" s="21" t="str">
        <f t="shared" si="53"/>
        <v>No</v>
      </c>
    </row>
    <row r="1129" spans="1:24" x14ac:dyDescent="0.3">
      <c r="A1129" s="21">
        <f>'Raw Data'!A1129</f>
        <v>51128</v>
      </c>
      <c r="B1129" s="21">
        <f>'Raw Data'!B1129</f>
        <v>0</v>
      </c>
      <c r="C1129" s="21">
        <f>'Raw Data'!C1129</f>
        <v>0</v>
      </c>
      <c r="D1129" s="21" t="str">
        <f>'Raw Data'!D1129</f>
        <v>Mobile Phone</v>
      </c>
      <c r="E1129" s="21">
        <f>'Raw Data'!E1129</f>
        <v>2</v>
      </c>
      <c r="F1129" s="21">
        <f>IF('Raw Data'!F1129="",ROUND(AVERAGE('Raw Data'!$F$2:$F$1501),1),'Raw Data'!F1129)</f>
        <v>16</v>
      </c>
      <c r="G1129" s="21" t="str">
        <f>'Raw Data'!G1129</f>
        <v>E wallet</v>
      </c>
      <c r="H1129" s="21" t="str">
        <f>'Raw Data'!H1129</f>
        <v>Female</v>
      </c>
      <c r="I1129" s="21">
        <f>IF('Raw Data'!I1129="",ROUND(AVERAGE('Raw Data'!$I$2:$I$1501),1),'Raw Data'!I1129)</f>
        <v>2.9</v>
      </c>
      <c r="J1129" s="21">
        <f>'Raw Data'!J1129</f>
        <v>3</v>
      </c>
      <c r="K1129" s="21" t="str">
        <f>'Raw Data'!K1129</f>
        <v>Fashion</v>
      </c>
      <c r="L1129" s="21">
        <f>'Raw Data'!L1129</f>
        <v>5</v>
      </c>
      <c r="M1129" s="21" t="str">
        <f>'Raw Data'!M1129</f>
        <v>Married</v>
      </c>
      <c r="N1129" s="21">
        <f>'Raw Data'!N1129</f>
        <v>5</v>
      </c>
      <c r="O1129" s="21">
        <f>'Raw Data'!O1129</f>
        <v>1</v>
      </c>
      <c r="P1129" s="21">
        <f>IF('Raw Data'!P1129="",ROUND(AVERAGE('Raw Data'!$P$2:$P$1501),1),'Raw Data'!P1129)</f>
        <v>15.8</v>
      </c>
      <c r="Q1129" s="21">
        <f>IF('Raw Data'!Q1129="",ROUND(AVERAGE('Raw Data'!$Q$2:$Q$1501),0),'Raw Data'!Q1129)</f>
        <v>3</v>
      </c>
      <c r="R1129" s="21">
        <f>'Raw Data'!R1129</f>
        <v>9</v>
      </c>
      <c r="S1129" s="21">
        <f>IF('Raw Data'!S1129="",ROUND(AVERAGE('Raw Data'!$S$2:$S$1501),0),'Raw Data'!S1129)</f>
        <v>6</v>
      </c>
      <c r="T1129" s="21">
        <f>'Raw Data'!T1129</f>
        <v>148.25</v>
      </c>
      <c r="U1129" s="21" t="str">
        <f>INDEX('Lookup Tables'!$C$7:$C$9,MATCH(E1129,'Lookup Tables'!$B$7:$B$9,0))</f>
        <v>Tier 2 (Urban)</v>
      </c>
      <c r="V1129" s="21" t="str">
        <f t="shared" si="51"/>
        <v>0-6 months</v>
      </c>
      <c r="W1129" s="21" t="str">
        <f t="shared" si="52"/>
        <v>Low Risk</v>
      </c>
      <c r="X1129" s="21" t="str">
        <f t="shared" si="53"/>
        <v>No</v>
      </c>
    </row>
    <row r="1130" spans="1:24" x14ac:dyDescent="0.3">
      <c r="A1130" s="21">
        <f>'Raw Data'!A1130</f>
        <v>51129</v>
      </c>
      <c r="B1130" s="21">
        <f>'Raw Data'!B1130</f>
        <v>0</v>
      </c>
      <c r="C1130" s="21">
        <f>'Raw Data'!C1130</f>
        <v>8</v>
      </c>
      <c r="D1130" s="21" t="str">
        <f>'Raw Data'!D1130</f>
        <v>Phone</v>
      </c>
      <c r="E1130" s="21">
        <f>'Raw Data'!E1130</f>
        <v>2</v>
      </c>
      <c r="F1130" s="21">
        <f>IF('Raw Data'!F1130="",ROUND(AVERAGE('Raw Data'!$F$2:$F$1501),1),'Raw Data'!F1130)</f>
        <v>17</v>
      </c>
      <c r="G1130" s="21" t="str">
        <f>'Raw Data'!G1130</f>
        <v>Debit Card</v>
      </c>
      <c r="H1130" s="21" t="str">
        <f>'Raw Data'!H1130</f>
        <v>Female</v>
      </c>
      <c r="I1130" s="21">
        <f>IF('Raw Data'!I1130="",ROUND(AVERAGE('Raw Data'!$I$2:$I$1501),1),'Raw Data'!I1130)</f>
        <v>3.3</v>
      </c>
      <c r="J1130" s="21">
        <f>'Raw Data'!J1130</f>
        <v>2</v>
      </c>
      <c r="K1130" s="21" t="str">
        <f>'Raw Data'!K1130</f>
        <v>Laptop &amp; Accessory</v>
      </c>
      <c r="L1130" s="21">
        <f>'Raw Data'!L1130</f>
        <v>3</v>
      </c>
      <c r="M1130" s="21" t="str">
        <f>'Raw Data'!M1130</f>
        <v>Single</v>
      </c>
      <c r="N1130" s="21">
        <f>'Raw Data'!N1130</f>
        <v>1</v>
      </c>
      <c r="O1130" s="21">
        <f>'Raw Data'!O1130</f>
        <v>1</v>
      </c>
      <c r="P1130" s="21">
        <f>IF('Raw Data'!P1130="",ROUND(AVERAGE('Raw Data'!$P$2:$P$1501),1),'Raw Data'!P1130)</f>
        <v>20.8</v>
      </c>
      <c r="Q1130" s="21">
        <f>IF('Raw Data'!Q1130="",ROUND(AVERAGE('Raw Data'!$Q$2:$Q$1501),0),'Raw Data'!Q1130)</f>
        <v>1</v>
      </c>
      <c r="R1130" s="21">
        <f>'Raw Data'!R1130</f>
        <v>3</v>
      </c>
      <c r="S1130" s="21">
        <f>IF('Raw Data'!S1130="",ROUND(AVERAGE('Raw Data'!$S$2:$S$1501),0),'Raw Data'!S1130)</f>
        <v>9</v>
      </c>
      <c r="T1130" s="21">
        <f>'Raw Data'!T1130</f>
        <v>148.86000000000001</v>
      </c>
      <c r="U1130" s="21" t="str">
        <f>INDEX('Lookup Tables'!$C$7:$C$9,MATCH(E1130,'Lookup Tables'!$B$7:$B$9,0))</f>
        <v>Tier 2 (Urban)</v>
      </c>
      <c r="V1130" s="21" t="str">
        <f t="shared" si="51"/>
        <v>7-12 months</v>
      </c>
      <c r="W1130" s="21" t="str">
        <f t="shared" si="52"/>
        <v>Medium Risk</v>
      </c>
      <c r="X1130" s="21" t="str">
        <f t="shared" si="53"/>
        <v>No</v>
      </c>
    </row>
    <row r="1131" spans="1:24" x14ac:dyDescent="0.3">
      <c r="A1131" s="21">
        <f>'Raw Data'!A1131</f>
        <v>51130</v>
      </c>
      <c r="B1131" s="21">
        <f>'Raw Data'!B1131</f>
        <v>0</v>
      </c>
      <c r="C1131" s="21">
        <f>'Raw Data'!C1131</f>
        <v>6</v>
      </c>
      <c r="D1131" s="21" t="str">
        <f>'Raw Data'!D1131</f>
        <v>Phone</v>
      </c>
      <c r="E1131" s="21">
        <f>'Raw Data'!E1131</f>
        <v>2</v>
      </c>
      <c r="F1131" s="21">
        <f>IF('Raw Data'!F1131="",ROUND(AVERAGE('Raw Data'!$F$2:$F$1501),1),'Raw Data'!F1131)</f>
        <v>6</v>
      </c>
      <c r="G1131" s="21" t="str">
        <f>'Raw Data'!G1131</f>
        <v>Credit Card</v>
      </c>
      <c r="H1131" s="21" t="str">
        <f>'Raw Data'!H1131</f>
        <v>Male</v>
      </c>
      <c r="I1131" s="21">
        <f>IF('Raw Data'!I1131="",ROUND(AVERAGE('Raw Data'!$I$2:$I$1501),1),'Raw Data'!I1131)</f>
        <v>2.1</v>
      </c>
      <c r="J1131" s="21">
        <f>'Raw Data'!J1131</f>
        <v>2</v>
      </c>
      <c r="K1131" s="21" t="str">
        <f>'Raw Data'!K1131</f>
        <v>Laptop &amp; Accessory</v>
      </c>
      <c r="L1131" s="21">
        <f>'Raw Data'!L1131</f>
        <v>4</v>
      </c>
      <c r="M1131" s="21" t="str">
        <f>'Raw Data'!M1131</f>
        <v>Single</v>
      </c>
      <c r="N1131" s="21">
        <f>'Raw Data'!N1131</f>
        <v>1</v>
      </c>
      <c r="O1131" s="21">
        <f>'Raw Data'!O1131</f>
        <v>1</v>
      </c>
      <c r="P1131" s="21">
        <f>IF('Raw Data'!P1131="",ROUND(AVERAGE('Raw Data'!$P$2:$P$1501),1),'Raw Data'!P1131)</f>
        <v>17.5</v>
      </c>
      <c r="Q1131" s="21">
        <f>IF('Raw Data'!Q1131="",ROUND(AVERAGE('Raw Data'!$Q$2:$Q$1501),0),'Raw Data'!Q1131)</f>
        <v>2</v>
      </c>
      <c r="R1131" s="21">
        <f>'Raw Data'!R1131</f>
        <v>3</v>
      </c>
      <c r="S1131" s="21">
        <f>IF('Raw Data'!S1131="",ROUND(AVERAGE('Raw Data'!$S$2:$S$1501),0),'Raw Data'!S1131)</f>
        <v>2</v>
      </c>
      <c r="T1131" s="21">
        <f>'Raw Data'!T1131</f>
        <v>202.51</v>
      </c>
      <c r="U1131" s="21" t="str">
        <f>INDEX('Lookup Tables'!$C$7:$C$9,MATCH(E1131,'Lookup Tables'!$B$7:$B$9,0))</f>
        <v>Tier 2 (Urban)</v>
      </c>
      <c r="V1131" s="21" t="str">
        <f t="shared" si="51"/>
        <v>0-6 months</v>
      </c>
      <c r="W1131" s="21" t="str">
        <f t="shared" si="52"/>
        <v>Low Risk</v>
      </c>
      <c r="X1131" s="21" t="str">
        <f t="shared" si="53"/>
        <v>No</v>
      </c>
    </row>
    <row r="1132" spans="1:24" x14ac:dyDescent="0.3">
      <c r="A1132" s="21">
        <f>'Raw Data'!A1132</f>
        <v>51131</v>
      </c>
      <c r="B1132" s="21">
        <f>'Raw Data'!B1132</f>
        <v>0</v>
      </c>
      <c r="C1132" s="21">
        <f>'Raw Data'!C1132</f>
        <v>10</v>
      </c>
      <c r="D1132" s="21" t="str">
        <f>'Raw Data'!D1132</f>
        <v>Mobile Phone</v>
      </c>
      <c r="E1132" s="21">
        <f>'Raw Data'!E1132</f>
        <v>3</v>
      </c>
      <c r="F1132" s="21">
        <f>IF('Raw Data'!F1132="",ROUND(AVERAGE('Raw Data'!$F$2:$F$1501),1),'Raw Data'!F1132)</f>
        <v>7</v>
      </c>
      <c r="G1132" s="21" t="str">
        <f>'Raw Data'!G1132</f>
        <v>Debit Card</v>
      </c>
      <c r="H1132" s="21" t="str">
        <f>'Raw Data'!H1132</f>
        <v>Male</v>
      </c>
      <c r="I1132" s="21">
        <f>IF('Raw Data'!I1132="",ROUND(AVERAGE('Raw Data'!$I$2:$I$1501),1),'Raw Data'!I1132)</f>
        <v>3.7</v>
      </c>
      <c r="J1132" s="21">
        <f>'Raw Data'!J1132</f>
        <v>2</v>
      </c>
      <c r="K1132" s="21" t="str">
        <f>'Raw Data'!K1132</f>
        <v>Fashion</v>
      </c>
      <c r="L1132" s="21">
        <f>'Raw Data'!L1132</f>
        <v>3</v>
      </c>
      <c r="M1132" s="21" t="str">
        <f>'Raw Data'!M1132</f>
        <v>Married</v>
      </c>
      <c r="N1132" s="21">
        <f>'Raw Data'!N1132</f>
        <v>1</v>
      </c>
      <c r="O1132" s="21">
        <f>'Raw Data'!O1132</f>
        <v>0</v>
      </c>
      <c r="P1132" s="21">
        <f>IF('Raw Data'!P1132="",ROUND(AVERAGE('Raw Data'!$P$2:$P$1501),1),'Raw Data'!P1132)</f>
        <v>17.600000000000001</v>
      </c>
      <c r="Q1132" s="21">
        <f>IF('Raw Data'!Q1132="",ROUND(AVERAGE('Raw Data'!$Q$2:$Q$1501),0),'Raw Data'!Q1132)</f>
        <v>1</v>
      </c>
      <c r="R1132" s="21">
        <f>'Raw Data'!R1132</f>
        <v>3</v>
      </c>
      <c r="S1132" s="21">
        <f>IF('Raw Data'!S1132="",ROUND(AVERAGE('Raw Data'!$S$2:$S$1501),0),'Raw Data'!S1132)</f>
        <v>0</v>
      </c>
      <c r="T1132" s="21">
        <f>'Raw Data'!T1132</f>
        <v>203.52</v>
      </c>
      <c r="U1132" s="21" t="str">
        <f>INDEX('Lookup Tables'!$C$7:$C$9,MATCH(E1132,'Lookup Tables'!$B$7:$B$9,0))</f>
        <v>Tier 3 (Semi-urban/Rural)</v>
      </c>
      <c r="V1132" s="21" t="str">
        <f t="shared" si="51"/>
        <v>7-12 months</v>
      </c>
      <c r="W1132" s="21" t="str">
        <f t="shared" si="52"/>
        <v>Medium Risk</v>
      </c>
      <c r="X1132" s="21" t="str">
        <f t="shared" si="53"/>
        <v>No</v>
      </c>
    </row>
    <row r="1133" spans="1:24" x14ac:dyDescent="0.3">
      <c r="A1133" s="21">
        <f>'Raw Data'!A1133</f>
        <v>51132</v>
      </c>
      <c r="B1133" s="21">
        <f>'Raw Data'!B1133</f>
        <v>0</v>
      </c>
      <c r="C1133" s="21">
        <f>'Raw Data'!C1133</f>
        <v>0</v>
      </c>
      <c r="D1133" s="21" t="str">
        <f>'Raw Data'!D1133</f>
        <v>Phone</v>
      </c>
      <c r="E1133" s="21">
        <f>'Raw Data'!E1133</f>
        <v>2</v>
      </c>
      <c r="F1133" s="21">
        <f>IF('Raw Data'!F1133="",ROUND(AVERAGE('Raw Data'!$F$2:$F$1501),1),'Raw Data'!F1133)</f>
        <v>29</v>
      </c>
      <c r="G1133" s="21" t="str">
        <f>'Raw Data'!G1133</f>
        <v>UPI</v>
      </c>
      <c r="H1133" s="21" t="str">
        <f>'Raw Data'!H1133</f>
        <v>Female</v>
      </c>
      <c r="I1133" s="21">
        <f>IF('Raw Data'!I1133="",ROUND(AVERAGE('Raw Data'!$I$2:$I$1501),1),'Raw Data'!I1133)</f>
        <v>2.6</v>
      </c>
      <c r="J1133" s="21">
        <f>'Raw Data'!J1133</f>
        <v>3</v>
      </c>
      <c r="K1133" s="21" t="str">
        <f>'Raw Data'!K1133</f>
        <v>Mobile Phone</v>
      </c>
      <c r="L1133" s="21">
        <f>'Raw Data'!L1133</f>
        <v>4</v>
      </c>
      <c r="M1133" s="21" t="str">
        <f>'Raw Data'!M1133</f>
        <v>Divorced</v>
      </c>
      <c r="N1133" s="21">
        <f>'Raw Data'!N1133</f>
        <v>3</v>
      </c>
      <c r="O1133" s="21">
        <f>'Raw Data'!O1133</f>
        <v>1</v>
      </c>
      <c r="P1133" s="21">
        <f>IF('Raw Data'!P1133="",ROUND(AVERAGE('Raw Data'!$P$2:$P$1501),1),'Raw Data'!P1133)</f>
        <v>20.100000000000001</v>
      </c>
      <c r="Q1133" s="21">
        <f>IF('Raw Data'!Q1133="",ROUND(AVERAGE('Raw Data'!$Q$2:$Q$1501),0),'Raw Data'!Q1133)</f>
        <v>1</v>
      </c>
      <c r="R1133" s="21">
        <f>'Raw Data'!R1133</f>
        <v>2</v>
      </c>
      <c r="S1133" s="21">
        <f>IF('Raw Data'!S1133="",ROUND(AVERAGE('Raw Data'!$S$2:$S$1501),0),'Raw Data'!S1133)</f>
        <v>1</v>
      </c>
      <c r="T1133" s="21">
        <f>'Raw Data'!T1133</f>
        <v>212.89</v>
      </c>
      <c r="U1133" s="21" t="str">
        <f>INDEX('Lookup Tables'!$C$7:$C$9,MATCH(E1133,'Lookup Tables'!$B$7:$B$9,0))</f>
        <v>Tier 2 (Urban)</v>
      </c>
      <c r="V1133" s="21" t="str">
        <f t="shared" si="51"/>
        <v>0-6 months</v>
      </c>
      <c r="W1133" s="21" t="str">
        <f t="shared" si="52"/>
        <v>Low Risk</v>
      </c>
      <c r="X1133" s="21" t="str">
        <f t="shared" si="53"/>
        <v>No</v>
      </c>
    </row>
    <row r="1134" spans="1:24" x14ac:dyDescent="0.3">
      <c r="A1134" s="21">
        <f>'Raw Data'!A1134</f>
        <v>51133</v>
      </c>
      <c r="B1134" s="21">
        <f>'Raw Data'!B1134</f>
        <v>0</v>
      </c>
      <c r="C1134" s="21">
        <f>'Raw Data'!C1134</f>
        <v>8</v>
      </c>
      <c r="D1134" s="21" t="str">
        <f>'Raw Data'!D1134</f>
        <v>Mobile Phone</v>
      </c>
      <c r="E1134" s="21">
        <f>'Raw Data'!E1134</f>
        <v>2</v>
      </c>
      <c r="F1134" s="21">
        <f>IF('Raw Data'!F1134="",ROUND(AVERAGE('Raw Data'!$F$2:$F$1501),1),'Raw Data'!F1134)</f>
        <v>9</v>
      </c>
      <c r="G1134" s="21" t="str">
        <f>'Raw Data'!G1134</f>
        <v>Debit Card</v>
      </c>
      <c r="H1134" s="21" t="str">
        <f>'Raw Data'!H1134</f>
        <v>Male</v>
      </c>
      <c r="I1134" s="21">
        <f>IF('Raw Data'!I1134="",ROUND(AVERAGE('Raw Data'!$I$2:$I$1501),1),'Raw Data'!I1134)</f>
        <v>3.8</v>
      </c>
      <c r="J1134" s="21">
        <f>'Raw Data'!J1134</f>
        <v>4</v>
      </c>
      <c r="K1134" s="21" t="str">
        <f>'Raw Data'!K1134</f>
        <v>Grocery</v>
      </c>
      <c r="L1134" s="21">
        <f>'Raw Data'!L1134</f>
        <v>4</v>
      </c>
      <c r="M1134" s="21" t="str">
        <f>'Raw Data'!M1134</f>
        <v>Married</v>
      </c>
      <c r="N1134" s="21">
        <f>'Raw Data'!N1134</f>
        <v>4</v>
      </c>
      <c r="O1134" s="21">
        <f>'Raw Data'!O1134</f>
        <v>0</v>
      </c>
      <c r="P1134" s="21">
        <f>IF('Raw Data'!P1134="",ROUND(AVERAGE('Raw Data'!$P$2:$P$1501),1),'Raw Data'!P1134)</f>
        <v>14.6</v>
      </c>
      <c r="Q1134" s="21">
        <f>IF('Raw Data'!Q1134="",ROUND(AVERAGE('Raw Data'!$Q$2:$Q$1501),0),'Raw Data'!Q1134)</f>
        <v>2</v>
      </c>
      <c r="R1134" s="21">
        <f>'Raw Data'!R1134</f>
        <v>4</v>
      </c>
      <c r="S1134" s="21">
        <f>IF('Raw Data'!S1134="",ROUND(AVERAGE('Raw Data'!$S$2:$S$1501),0),'Raw Data'!S1134)</f>
        <v>3</v>
      </c>
      <c r="T1134" s="21">
        <f>'Raw Data'!T1134</f>
        <v>200.72</v>
      </c>
      <c r="U1134" s="21" t="str">
        <f>INDEX('Lookup Tables'!$C$7:$C$9,MATCH(E1134,'Lookup Tables'!$B$7:$B$9,0))</f>
        <v>Tier 2 (Urban)</v>
      </c>
      <c r="V1134" s="21" t="str">
        <f t="shared" si="51"/>
        <v>7-12 months</v>
      </c>
      <c r="W1134" s="21" t="str">
        <f t="shared" si="52"/>
        <v>Low Risk</v>
      </c>
      <c r="X1134" s="21" t="str">
        <f t="shared" si="53"/>
        <v>No</v>
      </c>
    </row>
    <row r="1135" spans="1:24" x14ac:dyDescent="0.3">
      <c r="A1135" s="21">
        <f>'Raw Data'!A1135</f>
        <v>51134</v>
      </c>
      <c r="B1135" s="21">
        <f>'Raw Data'!B1135</f>
        <v>0</v>
      </c>
      <c r="C1135" s="21">
        <f>'Raw Data'!C1135</f>
        <v>8</v>
      </c>
      <c r="D1135" s="21" t="str">
        <f>'Raw Data'!D1135</f>
        <v>Mobile Phone</v>
      </c>
      <c r="E1135" s="21">
        <f>'Raw Data'!E1135</f>
        <v>3</v>
      </c>
      <c r="F1135" s="21">
        <f>IF('Raw Data'!F1135="",ROUND(AVERAGE('Raw Data'!$F$2:$F$1501),1),'Raw Data'!F1135)</f>
        <v>28</v>
      </c>
      <c r="G1135" s="21" t="str">
        <f>'Raw Data'!G1135</f>
        <v>Cash on Delivery</v>
      </c>
      <c r="H1135" s="21" t="str">
        <f>'Raw Data'!H1135</f>
        <v>Male</v>
      </c>
      <c r="I1135" s="21">
        <f>IF('Raw Data'!I1135="",ROUND(AVERAGE('Raw Data'!$I$2:$I$1501),1),'Raw Data'!I1135)</f>
        <v>2.5</v>
      </c>
      <c r="J1135" s="21">
        <f>'Raw Data'!J1135</f>
        <v>3</v>
      </c>
      <c r="K1135" s="21" t="str">
        <f>'Raw Data'!K1135</f>
        <v>Mobile Phone</v>
      </c>
      <c r="L1135" s="21">
        <f>'Raw Data'!L1135</f>
        <v>3</v>
      </c>
      <c r="M1135" s="21" t="str">
        <f>'Raw Data'!M1135</f>
        <v>Married</v>
      </c>
      <c r="N1135" s="21">
        <f>'Raw Data'!N1135</f>
        <v>3</v>
      </c>
      <c r="O1135" s="21">
        <f>'Raw Data'!O1135</f>
        <v>1</v>
      </c>
      <c r="P1135" s="21">
        <f>IF('Raw Data'!P1135="",ROUND(AVERAGE('Raw Data'!$P$2:$P$1501),1),'Raw Data'!P1135)</f>
        <v>11.6</v>
      </c>
      <c r="Q1135" s="21">
        <f>IF('Raw Data'!Q1135="",ROUND(AVERAGE('Raw Data'!$Q$2:$Q$1501),0),'Raw Data'!Q1135)</f>
        <v>5</v>
      </c>
      <c r="R1135" s="21">
        <f>'Raw Data'!R1135</f>
        <v>2</v>
      </c>
      <c r="S1135" s="21">
        <f>IF('Raw Data'!S1135="",ROUND(AVERAGE('Raw Data'!$S$2:$S$1501),0),'Raw Data'!S1135)</f>
        <v>5</v>
      </c>
      <c r="T1135" s="21">
        <f>'Raw Data'!T1135</f>
        <v>106.5</v>
      </c>
      <c r="U1135" s="21" t="str">
        <f>INDEX('Lookup Tables'!$C$7:$C$9,MATCH(E1135,'Lookup Tables'!$B$7:$B$9,0))</f>
        <v>Tier 3 (Semi-urban/Rural)</v>
      </c>
      <c r="V1135" s="21" t="str">
        <f t="shared" si="51"/>
        <v>7-12 months</v>
      </c>
      <c r="W1135" s="21" t="str">
        <f t="shared" si="52"/>
        <v>Medium Risk</v>
      </c>
      <c r="X1135" s="21" t="str">
        <f t="shared" si="53"/>
        <v>No</v>
      </c>
    </row>
    <row r="1136" spans="1:24" x14ac:dyDescent="0.3">
      <c r="A1136" s="21">
        <f>'Raw Data'!A1136</f>
        <v>51135</v>
      </c>
      <c r="B1136" s="21">
        <f>'Raw Data'!B1136</f>
        <v>0</v>
      </c>
      <c r="C1136" s="21">
        <f>'Raw Data'!C1136</f>
        <v>8</v>
      </c>
      <c r="D1136" s="21" t="str">
        <f>'Raw Data'!D1136</f>
        <v>Computer</v>
      </c>
      <c r="E1136" s="21">
        <f>'Raw Data'!E1136</f>
        <v>3</v>
      </c>
      <c r="F1136" s="21">
        <f>IF('Raw Data'!F1136="",ROUND(AVERAGE('Raw Data'!$F$2:$F$1501),1),'Raw Data'!F1136)</f>
        <v>13</v>
      </c>
      <c r="G1136" s="21" t="str">
        <f>'Raw Data'!G1136</f>
        <v>UPI</v>
      </c>
      <c r="H1136" s="21" t="str">
        <f>'Raw Data'!H1136</f>
        <v>Female</v>
      </c>
      <c r="I1136" s="21">
        <f>IF('Raw Data'!I1136="",ROUND(AVERAGE('Raw Data'!$I$2:$I$1501),1),'Raw Data'!I1136)</f>
        <v>2.2000000000000002</v>
      </c>
      <c r="J1136" s="21">
        <f>'Raw Data'!J1136</f>
        <v>3</v>
      </c>
      <c r="K1136" s="21" t="str">
        <f>'Raw Data'!K1136</f>
        <v>Laptop &amp; Accessory</v>
      </c>
      <c r="L1136" s="21">
        <f>'Raw Data'!L1136</f>
        <v>2</v>
      </c>
      <c r="M1136" s="21" t="str">
        <f>'Raw Data'!M1136</f>
        <v>Married</v>
      </c>
      <c r="N1136" s="21">
        <f>'Raw Data'!N1136</f>
        <v>1</v>
      </c>
      <c r="O1136" s="21">
        <f>'Raw Data'!O1136</f>
        <v>1</v>
      </c>
      <c r="P1136" s="21">
        <f>IF('Raw Data'!P1136="",ROUND(AVERAGE('Raw Data'!$P$2:$P$1501),1),'Raw Data'!P1136)</f>
        <v>20.2</v>
      </c>
      <c r="Q1136" s="21">
        <f>IF('Raw Data'!Q1136="",ROUND(AVERAGE('Raw Data'!$Q$2:$Q$1501),0),'Raw Data'!Q1136)</f>
        <v>1</v>
      </c>
      <c r="R1136" s="21">
        <f>'Raw Data'!R1136</f>
        <v>5</v>
      </c>
      <c r="S1136" s="21">
        <f>IF('Raw Data'!S1136="",ROUND(AVERAGE('Raw Data'!$S$2:$S$1501),0),'Raw Data'!S1136)</f>
        <v>2</v>
      </c>
      <c r="T1136" s="21">
        <f>'Raw Data'!T1136</f>
        <v>135.65</v>
      </c>
      <c r="U1136" s="21" t="str">
        <f>INDEX('Lookup Tables'!$C$7:$C$9,MATCH(E1136,'Lookup Tables'!$B$7:$B$9,0))</f>
        <v>Tier 3 (Semi-urban/Rural)</v>
      </c>
      <c r="V1136" s="21" t="str">
        <f t="shared" si="51"/>
        <v>7-12 months</v>
      </c>
      <c r="W1136" s="21" t="str">
        <f t="shared" si="52"/>
        <v>High Risk</v>
      </c>
      <c r="X1136" s="21" t="str">
        <f t="shared" si="53"/>
        <v>No</v>
      </c>
    </row>
    <row r="1137" spans="1:24" x14ac:dyDescent="0.3">
      <c r="A1137" s="21">
        <f>'Raw Data'!A1137</f>
        <v>51136</v>
      </c>
      <c r="B1137" s="21">
        <f>'Raw Data'!B1137</f>
        <v>0</v>
      </c>
      <c r="C1137" s="21">
        <f>'Raw Data'!C1137</f>
        <v>9</v>
      </c>
      <c r="D1137" s="21" t="str">
        <f>'Raw Data'!D1137</f>
        <v>Mobile Phone</v>
      </c>
      <c r="E1137" s="21">
        <f>'Raw Data'!E1137</f>
        <v>1</v>
      </c>
      <c r="F1137" s="21">
        <f>IF('Raw Data'!F1137="",ROUND(AVERAGE('Raw Data'!$F$2:$F$1501),1),'Raw Data'!F1137)</f>
        <v>15</v>
      </c>
      <c r="G1137" s="21" t="str">
        <f>'Raw Data'!G1137</f>
        <v>Credit Card</v>
      </c>
      <c r="H1137" s="21" t="str">
        <f>'Raw Data'!H1137</f>
        <v>Female</v>
      </c>
      <c r="I1137" s="21">
        <f>IF('Raw Data'!I1137="",ROUND(AVERAGE('Raw Data'!$I$2:$I$1501),1),'Raw Data'!I1137)</f>
        <v>2.6</v>
      </c>
      <c r="J1137" s="21">
        <f>'Raw Data'!J1137</f>
        <v>4</v>
      </c>
      <c r="K1137" s="21" t="str">
        <f>'Raw Data'!K1137</f>
        <v>Others</v>
      </c>
      <c r="L1137" s="21">
        <f>'Raw Data'!L1137</f>
        <v>4</v>
      </c>
      <c r="M1137" s="21" t="str">
        <f>'Raw Data'!M1137</f>
        <v>Married</v>
      </c>
      <c r="N1137" s="21">
        <f>'Raw Data'!N1137</f>
        <v>1</v>
      </c>
      <c r="O1137" s="21">
        <f>'Raw Data'!O1137</f>
        <v>0</v>
      </c>
      <c r="P1137" s="21">
        <f>IF('Raw Data'!P1137="",ROUND(AVERAGE('Raw Data'!$P$2:$P$1501),1),'Raw Data'!P1137)</f>
        <v>16.5</v>
      </c>
      <c r="Q1137" s="21">
        <f>IF('Raw Data'!Q1137="",ROUND(AVERAGE('Raw Data'!$Q$2:$Q$1501),0),'Raw Data'!Q1137)</f>
        <v>2</v>
      </c>
      <c r="R1137" s="21">
        <f>'Raw Data'!R1137</f>
        <v>5</v>
      </c>
      <c r="S1137" s="21">
        <f>IF('Raw Data'!S1137="",ROUND(AVERAGE('Raw Data'!$S$2:$S$1501),0),'Raw Data'!S1137)</f>
        <v>3</v>
      </c>
      <c r="T1137" s="21">
        <f>'Raw Data'!T1137</f>
        <v>226.75</v>
      </c>
      <c r="U1137" s="21" t="str">
        <f>INDEX('Lookup Tables'!$C$7:$C$9,MATCH(E1137,'Lookup Tables'!$B$7:$B$9,0))</f>
        <v>Tier 1 (Metro)</v>
      </c>
      <c r="V1137" s="21" t="str">
        <f t="shared" si="51"/>
        <v>7-12 months</v>
      </c>
      <c r="W1137" s="21" t="str">
        <f t="shared" si="52"/>
        <v>Low Risk</v>
      </c>
      <c r="X1137" s="21" t="str">
        <f t="shared" si="53"/>
        <v>No</v>
      </c>
    </row>
    <row r="1138" spans="1:24" x14ac:dyDescent="0.3">
      <c r="A1138" s="21">
        <f>'Raw Data'!A1138</f>
        <v>51137</v>
      </c>
      <c r="B1138" s="21">
        <f>'Raw Data'!B1138</f>
        <v>0</v>
      </c>
      <c r="C1138" s="21">
        <f>'Raw Data'!C1138</f>
        <v>11</v>
      </c>
      <c r="D1138" s="21" t="str">
        <f>'Raw Data'!D1138</f>
        <v>Phone</v>
      </c>
      <c r="E1138" s="21">
        <f>'Raw Data'!E1138</f>
        <v>3</v>
      </c>
      <c r="F1138" s="21">
        <f>IF('Raw Data'!F1138="",ROUND(AVERAGE('Raw Data'!$F$2:$F$1501),1),'Raw Data'!F1138)</f>
        <v>23</v>
      </c>
      <c r="G1138" s="21" t="str">
        <f>'Raw Data'!G1138</f>
        <v>E wallet</v>
      </c>
      <c r="H1138" s="21" t="str">
        <f>'Raw Data'!H1138</f>
        <v>Male</v>
      </c>
      <c r="I1138" s="21">
        <f>IF('Raw Data'!I1138="",ROUND(AVERAGE('Raw Data'!$I$2:$I$1501),1),'Raw Data'!I1138)</f>
        <v>2.8</v>
      </c>
      <c r="J1138" s="21">
        <f>'Raw Data'!J1138</f>
        <v>2</v>
      </c>
      <c r="K1138" s="21" t="str">
        <f>'Raw Data'!K1138</f>
        <v>Others</v>
      </c>
      <c r="L1138" s="21">
        <f>'Raw Data'!L1138</f>
        <v>3</v>
      </c>
      <c r="M1138" s="21" t="str">
        <f>'Raw Data'!M1138</f>
        <v>Married</v>
      </c>
      <c r="N1138" s="21">
        <f>'Raw Data'!N1138</f>
        <v>8</v>
      </c>
      <c r="O1138" s="21">
        <f>'Raw Data'!O1138</f>
        <v>0</v>
      </c>
      <c r="P1138" s="21">
        <f>IF('Raw Data'!P1138="",ROUND(AVERAGE('Raw Data'!$P$2:$P$1501),1),'Raw Data'!P1138)</f>
        <v>16.5</v>
      </c>
      <c r="Q1138" s="21">
        <f>IF('Raw Data'!Q1138="",ROUND(AVERAGE('Raw Data'!$Q$2:$Q$1501),0),'Raw Data'!Q1138)</f>
        <v>0</v>
      </c>
      <c r="R1138" s="21">
        <f>'Raw Data'!R1138</f>
        <v>5</v>
      </c>
      <c r="S1138" s="21">
        <f>IF('Raw Data'!S1138="",ROUND(AVERAGE('Raw Data'!$S$2:$S$1501),0),'Raw Data'!S1138)</f>
        <v>3</v>
      </c>
      <c r="T1138" s="21">
        <f>'Raw Data'!T1138</f>
        <v>72.28</v>
      </c>
      <c r="U1138" s="21" t="str">
        <f>INDEX('Lookup Tables'!$C$7:$C$9,MATCH(E1138,'Lookup Tables'!$B$7:$B$9,0))</f>
        <v>Tier 3 (Semi-urban/Rural)</v>
      </c>
      <c r="V1138" s="21" t="str">
        <f t="shared" si="51"/>
        <v>7-12 months</v>
      </c>
      <c r="W1138" s="21" t="str">
        <f t="shared" si="52"/>
        <v>Medium Risk</v>
      </c>
      <c r="X1138" s="21" t="str">
        <f t="shared" si="53"/>
        <v>No</v>
      </c>
    </row>
    <row r="1139" spans="1:24" x14ac:dyDescent="0.3">
      <c r="A1139" s="21">
        <f>'Raw Data'!A1139</f>
        <v>51138</v>
      </c>
      <c r="B1139" s="21">
        <f>'Raw Data'!B1139</f>
        <v>0</v>
      </c>
      <c r="C1139" s="21">
        <f>'Raw Data'!C1139</f>
        <v>16</v>
      </c>
      <c r="D1139" s="21" t="str">
        <f>'Raw Data'!D1139</f>
        <v>Mobile Phone</v>
      </c>
      <c r="E1139" s="21">
        <f>'Raw Data'!E1139</f>
        <v>1</v>
      </c>
      <c r="F1139" s="21">
        <f>IF('Raw Data'!F1139="",ROUND(AVERAGE('Raw Data'!$F$2:$F$1501),1),'Raw Data'!F1139)</f>
        <v>25</v>
      </c>
      <c r="G1139" s="21" t="str">
        <f>'Raw Data'!G1139</f>
        <v>E wallet</v>
      </c>
      <c r="H1139" s="21" t="str">
        <f>'Raw Data'!H1139</f>
        <v>Female</v>
      </c>
      <c r="I1139" s="21">
        <f>IF('Raw Data'!I1139="",ROUND(AVERAGE('Raw Data'!$I$2:$I$1501),1),'Raw Data'!I1139)</f>
        <v>2.6</v>
      </c>
      <c r="J1139" s="21">
        <f>'Raw Data'!J1139</f>
        <v>3</v>
      </c>
      <c r="K1139" s="21" t="str">
        <f>'Raw Data'!K1139</f>
        <v>Laptop &amp; Accessory</v>
      </c>
      <c r="L1139" s="21">
        <f>'Raw Data'!L1139</f>
        <v>1</v>
      </c>
      <c r="M1139" s="21" t="str">
        <f>'Raw Data'!M1139</f>
        <v>Married</v>
      </c>
      <c r="N1139" s="21">
        <f>'Raw Data'!N1139</f>
        <v>2</v>
      </c>
      <c r="O1139" s="21">
        <f>'Raw Data'!O1139</f>
        <v>0</v>
      </c>
      <c r="P1139" s="21">
        <f>IF('Raw Data'!P1139="",ROUND(AVERAGE('Raw Data'!$P$2:$P$1501),1),'Raw Data'!P1139)</f>
        <v>13.8</v>
      </c>
      <c r="Q1139" s="21">
        <f>IF('Raw Data'!Q1139="",ROUND(AVERAGE('Raw Data'!$Q$2:$Q$1501),0),'Raw Data'!Q1139)</f>
        <v>2</v>
      </c>
      <c r="R1139" s="21">
        <f>'Raw Data'!R1139</f>
        <v>3</v>
      </c>
      <c r="S1139" s="21">
        <f>IF('Raw Data'!S1139="",ROUND(AVERAGE('Raw Data'!$S$2:$S$1501),0),'Raw Data'!S1139)</f>
        <v>4</v>
      </c>
      <c r="T1139" s="21">
        <f>'Raw Data'!T1139</f>
        <v>196.09</v>
      </c>
      <c r="U1139" s="21" t="str">
        <f>INDEX('Lookup Tables'!$C$7:$C$9,MATCH(E1139,'Lookup Tables'!$B$7:$B$9,0))</f>
        <v>Tier 1 (Metro)</v>
      </c>
      <c r="V1139" s="21" t="str">
        <f t="shared" si="51"/>
        <v>13-24 months</v>
      </c>
      <c r="W1139" s="21" t="str">
        <f t="shared" si="52"/>
        <v>Low Risk</v>
      </c>
      <c r="X1139" s="21" t="str">
        <f t="shared" si="53"/>
        <v>No</v>
      </c>
    </row>
    <row r="1140" spans="1:24" x14ac:dyDescent="0.3">
      <c r="A1140" s="21">
        <f>'Raw Data'!A1140</f>
        <v>51139</v>
      </c>
      <c r="B1140" s="21">
        <f>'Raw Data'!B1140</f>
        <v>0</v>
      </c>
      <c r="C1140" s="21">
        <f>'Raw Data'!C1140</f>
        <v>3</v>
      </c>
      <c r="D1140" s="21" t="str">
        <f>'Raw Data'!D1140</f>
        <v>Mobile Phone</v>
      </c>
      <c r="E1140" s="21">
        <f>'Raw Data'!E1140</f>
        <v>1</v>
      </c>
      <c r="F1140" s="21">
        <f>IF('Raw Data'!F1140="",ROUND(AVERAGE('Raw Data'!$F$2:$F$1501),1),'Raw Data'!F1140)</f>
        <v>14</v>
      </c>
      <c r="G1140" s="21" t="str">
        <f>'Raw Data'!G1140</f>
        <v>UPI</v>
      </c>
      <c r="H1140" s="21" t="str">
        <f>'Raw Data'!H1140</f>
        <v>Male</v>
      </c>
      <c r="I1140" s="21">
        <f>IF('Raw Data'!I1140="",ROUND(AVERAGE('Raw Data'!$I$2:$I$1501),1),'Raw Data'!I1140)</f>
        <v>2.7</v>
      </c>
      <c r="J1140" s="21">
        <f>'Raw Data'!J1140</f>
        <v>3</v>
      </c>
      <c r="K1140" s="21" t="str">
        <f>'Raw Data'!K1140</f>
        <v>Fashion</v>
      </c>
      <c r="L1140" s="21">
        <f>'Raw Data'!L1140</f>
        <v>3</v>
      </c>
      <c r="M1140" s="21" t="str">
        <f>'Raw Data'!M1140</f>
        <v>Single</v>
      </c>
      <c r="N1140" s="21">
        <f>'Raw Data'!N1140</f>
        <v>1</v>
      </c>
      <c r="O1140" s="21">
        <f>'Raw Data'!O1140</f>
        <v>0</v>
      </c>
      <c r="P1140" s="21">
        <f>IF('Raw Data'!P1140="",ROUND(AVERAGE('Raw Data'!$P$2:$P$1501),1),'Raw Data'!P1140)</f>
        <v>13.8</v>
      </c>
      <c r="Q1140" s="21">
        <f>IF('Raw Data'!Q1140="",ROUND(AVERAGE('Raw Data'!$Q$2:$Q$1501),0),'Raw Data'!Q1140)</f>
        <v>2</v>
      </c>
      <c r="R1140" s="21">
        <f>'Raw Data'!R1140</f>
        <v>2</v>
      </c>
      <c r="S1140" s="21">
        <f>IF('Raw Data'!S1140="",ROUND(AVERAGE('Raw Data'!$S$2:$S$1501),0),'Raw Data'!S1140)</f>
        <v>4</v>
      </c>
      <c r="T1140" s="21">
        <f>'Raw Data'!T1140</f>
        <v>173.85</v>
      </c>
      <c r="U1140" s="21" t="str">
        <f>INDEX('Lookup Tables'!$C$7:$C$9,MATCH(E1140,'Lookup Tables'!$B$7:$B$9,0))</f>
        <v>Tier 1 (Metro)</v>
      </c>
      <c r="V1140" s="21" t="str">
        <f t="shared" si="51"/>
        <v>0-6 months</v>
      </c>
      <c r="W1140" s="21" t="str">
        <f t="shared" si="52"/>
        <v>Medium Risk</v>
      </c>
      <c r="X1140" s="21" t="str">
        <f t="shared" si="53"/>
        <v>No</v>
      </c>
    </row>
    <row r="1141" spans="1:24" x14ac:dyDescent="0.3">
      <c r="A1141" s="21">
        <f>'Raw Data'!A1141</f>
        <v>51140</v>
      </c>
      <c r="B1141" s="21">
        <f>'Raw Data'!B1141</f>
        <v>0</v>
      </c>
      <c r="C1141" s="21">
        <f>'Raw Data'!C1141</f>
        <v>17</v>
      </c>
      <c r="D1141" s="21" t="str">
        <f>'Raw Data'!D1141</f>
        <v>Phone</v>
      </c>
      <c r="E1141" s="21">
        <f>'Raw Data'!E1141</f>
        <v>2</v>
      </c>
      <c r="F1141" s="21">
        <f>IF('Raw Data'!F1141="",ROUND(AVERAGE('Raw Data'!$F$2:$F$1501),1),'Raw Data'!F1141)</f>
        <v>11</v>
      </c>
      <c r="G1141" s="21" t="str">
        <f>'Raw Data'!G1141</f>
        <v>Credit Card</v>
      </c>
      <c r="H1141" s="21" t="str">
        <f>'Raw Data'!H1141</f>
        <v>Female</v>
      </c>
      <c r="I1141" s="21">
        <f>IF('Raw Data'!I1141="",ROUND(AVERAGE('Raw Data'!$I$2:$I$1501),1),'Raw Data'!I1141)</f>
        <v>3.1</v>
      </c>
      <c r="J1141" s="21">
        <f>'Raw Data'!J1141</f>
        <v>4</v>
      </c>
      <c r="K1141" s="21" t="str">
        <f>'Raw Data'!K1141</f>
        <v>Laptop &amp; Accessory</v>
      </c>
      <c r="L1141" s="21">
        <f>'Raw Data'!L1141</f>
        <v>3</v>
      </c>
      <c r="M1141" s="21" t="str">
        <f>'Raw Data'!M1141</f>
        <v>Married</v>
      </c>
      <c r="N1141" s="21">
        <f>'Raw Data'!N1141</f>
        <v>3</v>
      </c>
      <c r="O1141" s="21">
        <f>'Raw Data'!O1141</f>
        <v>0</v>
      </c>
      <c r="P1141" s="21">
        <f>IF('Raw Data'!P1141="",ROUND(AVERAGE('Raw Data'!$P$2:$P$1501),1),'Raw Data'!P1141)</f>
        <v>19</v>
      </c>
      <c r="Q1141" s="21">
        <f>IF('Raw Data'!Q1141="",ROUND(AVERAGE('Raw Data'!$Q$2:$Q$1501),0),'Raw Data'!Q1141)</f>
        <v>3</v>
      </c>
      <c r="R1141" s="21">
        <f>'Raw Data'!R1141</f>
        <v>3</v>
      </c>
      <c r="S1141" s="21">
        <f>IF('Raw Data'!S1141="",ROUND(AVERAGE('Raw Data'!$S$2:$S$1501),0),'Raw Data'!S1141)</f>
        <v>2</v>
      </c>
      <c r="T1141" s="21">
        <f>'Raw Data'!T1141</f>
        <v>226.73</v>
      </c>
      <c r="U1141" s="21" t="str">
        <f>INDEX('Lookup Tables'!$C$7:$C$9,MATCH(E1141,'Lookup Tables'!$B$7:$B$9,0))</f>
        <v>Tier 2 (Urban)</v>
      </c>
      <c r="V1141" s="21" t="str">
        <f t="shared" si="51"/>
        <v>13-24 months</v>
      </c>
      <c r="W1141" s="21" t="str">
        <f t="shared" si="52"/>
        <v>Medium Risk</v>
      </c>
      <c r="X1141" s="21" t="str">
        <f t="shared" si="53"/>
        <v>No</v>
      </c>
    </row>
    <row r="1142" spans="1:24" x14ac:dyDescent="0.3">
      <c r="A1142" s="21">
        <f>'Raw Data'!A1142</f>
        <v>51141</v>
      </c>
      <c r="B1142" s="21">
        <f>'Raw Data'!B1142</f>
        <v>1</v>
      </c>
      <c r="C1142" s="21">
        <f>'Raw Data'!C1142</f>
        <v>6</v>
      </c>
      <c r="D1142" s="21" t="str">
        <f>'Raw Data'!D1142</f>
        <v>Phone</v>
      </c>
      <c r="E1142" s="21">
        <f>'Raw Data'!E1142</f>
        <v>3</v>
      </c>
      <c r="F1142" s="21">
        <f>IF('Raw Data'!F1142="",ROUND(AVERAGE('Raw Data'!$F$2:$F$1501),1),'Raw Data'!F1142)</f>
        <v>14</v>
      </c>
      <c r="G1142" s="21" t="str">
        <f>'Raw Data'!G1142</f>
        <v>UPI</v>
      </c>
      <c r="H1142" s="21" t="str">
        <f>'Raw Data'!H1142</f>
        <v>Male</v>
      </c>
      <c r="I1142" s="21">
        <f>IF('Raw Data'!I1142="",ROUND(AVERAGE('Raw Data'!$I$2:$I$1501),1),'Raw Data'!I1142)</f>
        <v>2.8</v>
      </c>
      <c r="J1142" s="21">
        <f>'Raw Data'!J1142</f>
        <v>2</v>
      </c>
      <c r="K1142" s="21" t="str">
        <f>'Raw Data'!K1142</f>
        <v>Laptop &amp; Accessory</v>
      </c>
      <c r="L1142" s="21">
        <f>'Raw Data'!L1142</f>
        <v>4</v>
      </c>
      <c r="M1142" s="21" t="str">
        <f>'Raw Data'!M1142</f>
        <v>Married</v>
      </c>
      <c r="N1142" s="21">
        <f>'Raw Data'!N1142</f>
        <v>1</v>
      </c>
      <c r="O1142" s="21">
        <f>'Raw Data'!O1142</f>
        <v>1</v>
      </c>
      <c r="P1142" s="21">
        <f>IF('Raw Data'!P1142="",ROUND(AVERAGE('Raw Data'!$P$2:$P$1501),1),'Raw Data'!P1142)</f>
        <v>19.399999999999999</v>
      </c>
      <c r="Q1142" s="21">
        <f>IF('Raw Data'!Q1142="",ROUND(AVERAGE('Raw Data'!$Q$2:$Q$1501),0),'Raw Data'!Q1142)</f>
        <v>1</v>
      </c>
      <c r="R1142" s="21">
        <f>'Raw Data'!R1142</f>
        <v>3</v>
      </c>
      <c r="S1142" s="21">
        <f>IF('Raw Data'!S1142="",ROUND(AVERAGE('Raw Data'!$S$2:$S$1501),0),'Raw Data'!S1142)</f>
        <v>8</v>
      </c>
      <c r="T1142" s="21">
        <f>'Raw Data'!T1142</f>
        <v>202.91</v>
      </c>
      <c r="U1142" s="21" t="str">
        <f>INDEX('Lookup Tables'!$C$7:$C$9,MATCH(E1142,'Lookup Tables'!$B$7:$B$9,0))</f>
        <v>Tier 3 (Semi-urban/Rural)</v>
      </c>
      <c r="V1142" s="21" t="str">
        <f t="shared" si="51"/>
        <v>0-6 months</v>
      </c>
      <c r="W1142" s="21" t="str">
        <f t="shared" si="52"/>
        <v>Low Risk</v>
      </c>
      <c r="X1142" s="21" t="str">
        <f t="shared" si="53"/>
        <v>Yes</v>
      </c>
    </row>
    <row r="1143" spans="1:24" x14ac:dyDescent="0.3">
      <c r="A1143" s="21">
        <f>'Raw Data'!A1143</f>
        <v>51142</v>
      </c>
      <c r="B1143" s="21">
        <f>'Raw Data'!B1143</f>
        <v>0</v>
      </c>
      <c r="C1143" s="21">
        <f>'Raw Data'!C1143</f>
        <v>0</v>
      </c>
      <c r="D1143" s="21" t="str">
        <f>'Raw Data'!D1143</f>
        <v>Mobile Phone</v>
      </c>
      <c r="E1143" s="21">
        <f>'Raw Data'!E1143</f>
        <v>3</v>
      </c>
      <c r="F1143" s="21">
        <f>IF('Raw Data'!F1143="",ROUND(AVERAGE('Raw Data'!$F$2:$F$1501),1),'Raw Data'!F1143)</f>
        <v>17</v>
      </c>
      <c r="G1143" s="21" t="str">
        <f>'Raw Data'!G1143</f>
        <v>Credit Card</v>
      </c>
      <c r="H1143" s="21" t="str">
        <f>'Raw Data'!H1143</f>
        <v>Male</v>
      </c>
      <c r="I1143" s="21">
        <f>IF('Raw Data'!I1143="",ROUND(AVERAGE('Raw Data'!$I$2:$I$1501),1),'Raw Data'!I1143)</f>
        <v>2.9</v>
      </c>
      <c r="J1143" s="21">
        <f>'Raw Data'!J1143</f>
        <v>2</v>
      </c>
      <c r="K1143" s="21" t="str">
        <f>'Raw Data'!K1143</f>
        <v>Laptop &amp; Accessory</v>
      </c>
      <c r="L1143" s="21">
        <f>'Raw Data'!L1143</f>
        <v>1</v>
      </c>
      <c r="M1143" s="21" t="str">
        <f>'Raw Data'!M1143</f>
        <v>Divorced</v>
      </c>
      <c r="N1143" s="21">
        <f>'Raw Data'!N1143</f>
        <v>1</v>
      </c>
      <c r="O1143" s="21">
        <f>'Raw Data'!O1143</f>
        <v>0</v>
      </c>
      <c r="P1143" s="21">
        <f>IF('Raw Data'!P1143="",ROUND(AVERAGE('Raw Data'!$P$2:$P$1501),1),'Raw Data'!P1143)</f>
        <v>16.3</v>
      </c>
      <c r="Q1143" s="21">
        <f>IF('Raw Data'!Q1143="",ROUND(AVERAGE('Raw Data'!$Q$2:$Q$1501),0),'Raw Data'!Q1143)</f>
        <v>1</v>
      </c>
      <c r="R1143" s="21">
        <f>'Raw Data'!R1143</f>
        <v>6</v>
      </c>
      <c r="S1143" s="21">
        <f>IF('Raw Data'!S1143="",ROUND(AVERAGE('Raw Data'!$S$2:$S$1501),0),'Raw Data'!S1143)</f>
        <v>5</v>
      </c>
      <c r="T1143" s="21">
        <f>'Raw Data'!T1143</f>
        <v>143.47999999999999</v>
      </c>
      <c r="U1143" s="21" t="str">
        <f>INDEX('Lookup Tables'!$C$7:$C$9,MATCH(E1143,'Lookup Tables'!$B$7:$B$9,0))</f>
        <v>Tier 3 (Semi-urban/Rural)</v>
      </c>
      <c r="V1143" s="21" t="str">
        <f t="shared" si="51"/>
        <v>0-6 months</v>
      </c>
      <c r="W1143" s="21" t="str">
        <f t="shared" si="52"/>
        <v>Low Risk</v>
      </c>
      <c r="X1143" s="21" t="str">
        <f t="shared" si="53"/>
        <v>No</v>
      </c>
    </row>
    <row r="1144" spans="1:24" x14ac:dyDescent="0.3">
      <c r="A1144" s="21">
        <f>'Raw Data'!A1144</f>
        <v>51143</v>
      </c>
      <c r="B1144" s="21">
        <f>'Raw Data'!B1144</f>
        <v>0</v>
      </c>
      <c r="C1144" s="21">
        <f>'Raw Data'!C1144</f>
        <v>0</v>
      </c>
      <c r="D1144" s="21" t="str">
        <f>'Raw Data'!D1144</f>
        <v>Mobile Phone</v>
      </c>
      <c r="E1144" s="21">
        <f>'Raw Data'!E1144</f>
        <v>1</v>
      </c>
      <c r="F1144" s="21">
        <f>IF('Raw Data'!F1144="",ROUND(AVERAGE('Raw Data'!$F$2:$F$1501),1),'Raw Data'!F1144)</f>
        <v>22</v>
      </c>
      <c r="G1144" s="21" t="str">
        <f>'Raw Data'!G1144</f>
        <v>Cash on Delivery</v>
      </c>
      <c r="H1144" s="21" t="str">
        <f>'Raw Data'!H1144</f>
        <v>Female</v>
      </c>
      <c r="I1144" s="21">
        <f>IF('Raw Data'!I1144="",ROUND(AVERAGE('Raw Data'!$I$2:$I$1501),1),'Raw Data'!I1144)</f>
        <v>1.7</v>
      </c>
      <c r="J1144" s="21">
        <f>'Raw Data'!J1144</f>
        <v>2</v>
      </c>
      <c r="K1144" s="21" t="str">
        <f>'Raw Data'!K1144</f>
        <v>Laptop &amp; Accessory</v>
      </c>
      <c r="L1144" s="21">
        <f>'Raw Data'!L1144</f>
        <v>3</v>
      </c>
      <c r="M1144" s="21" t="str">
        <f>'Raw Data'!M1144</f>
        <v>Single</v>
      </c>
      <c r="N1144" s="21">
        <f>'Raw Data'!N1144</f>
        <v>1</v>
      </c>
      <c r="O1144" s="21">
        <f>'Raw Data'!O1144</f>
        <v>0</v>
      </c>
      <c r="P1144" s="21">
        <f>IF('Raw Data'!P1144="",ROUND(AVERAGE('Raw Data'!$P$2:$P$1501),1),'Raw Data'!P1144)</f>
        <v>18.8</v>
      </c>
      <c r="Q1144" s="21">
        <f>IF('Raw Data'!Q1144="",ROUND(AVERAGE('Raw Data'!$Q$2:$Q$1501),0),'Raw Data'!Q1144)</f>
        <v>2</v>
      </c>
      <c r="R1144" s="21">
        <f>'Raw Data'!R1144</f>
        <v>4</v>
      </c>
      <c r="S1144" s="21">
        <f>IF('Raw Data'!S1144="",ROUND(AVERAGE('Raw Data'!$S$2:$S$1501),0),'Raw Data'!S1144)</f>
        <v>0</v>
      </c>
      <c r="T1144" s="21">
        <f>'Raw Data'!T1144</f>
        <v>140.99</v>
      </c>
      <c r="U1144" s="21" t="str">
        <f>INDEX('Lookup Tables'!$C$7:$C$9,MATCH(E1144,'Lookup Tables'!$B$7:$B$9,0))</f>
        <v>Tier 1 (Metro)</v>
      </c>
      <c r="V1144" s="21" t="str">
        <f t="shared" si="51"/>
        <v>0-6 months</v>
      </c>
      <c r="W1144" s="21" t="str">
        <f t="shared" si="52"/>
        <v>Medium Risk</v>
      </c>
      <c r="X1144" s="21" t="str">
        <f t="shared" si="53"/>
        <v>No</v>
      </c>
    </row>
    <row r="1145" spans="1:24" x14ac:dyDescent="0.3">
      <c r="A1145" s="21">
        <f>'Raw Data'!A1145</f>
        <v>51144</v>
      </c>
      <c r="B1145" s="21">
        <f>'Raw Data'!B1145</f>
        <v>0</v>
      </c>
      <c r="C1145" s="21">
        <f>'Raw Data'!C1145</f>
        <v>4</v>
      </c>
      <c r="D1145" s="21" t="str">
        <f>'Raw Data'!D1145</f>
        <v>Computer</v>
      </c>
      <c r="E1145" s="21">
        <f>'Raw Data'!E1145</f>
        <v>2</v>
      </c>
      <c r="F1145" s="21">
        <f>IF('Raw Data'!F1145="",ROUND(AVERAGE('Raw Data'!$F$2:$F$1501),1),'Raw Data'!F1145)</f>
        <v>15</v>
      </c>
      <c r="G1145" s="21" t="str">
        <f>'Raw Data'!G1145</f>
        <v>Credit Card</v>
      </c>
      <c r="H1145" s="21" t="str">
        <f>'Raw Data'!H1145</f>
        <v>Male</v>
      </c>
      <c r="I1145" s="21">
        <f>IF('Raw Data'!I1145="",ROUND(AVERAGE('Raw Data'!$I$2:$I$1501),1),'Raw Data'!I1145)</f>
        <v>3.2</v>
      </c>
      <c r="J1145" s="21">
        <f>'Raw Data'!J1145</f>
        <v>3</v>
      </c>
      <c r="K1145" s="21" t="str">
        <f>'Raw Data'!K1145</f>
        <v>Grocery</v>
      </c>
      <c r="L1145" s="21">
        <f>'Raw Data'!L1145</f>
        <v>4</v>
      </c>
      <c r="M1145" s="21" t="str">
        <f>'Raw Data'!M1145</f>
        <v>Divorced</v>
      </c>
      <c r="N1145" s="21">
        <f>'Raw Data'!N1145</f>
        <v>1</v>
      </c>
      <c r="O1145" s="21">
        <f>'Raw Data'!O1145</f>
        <v>0</v>
      </c>
      <c r="P1145" s="21">
        <f>IF('Raw Data'!P1145="",ROUND(AVERAGE('Raw Data'!$P$2:$P$1501),1),'Raw Data'!P1145)</f>
        <v>18</v>
      </c>
      <c r="Q1145" s="21">
        <f>IF('Raw Data'!Q1145="",ROUND(AVERAGE('Raw Data'!$Q$2:$Q$1501),0),'Raw Data'!Q1145)</f>
        <v>0</v>
      </c>
      <c r="R1145" s="21">
        <f>'Raw Data'!R1145</f>
        <v>3</v>
      </c>
      <c r="S1145" s="21">
        <f>IF('Raw Data'!S1145="",ROUND(AVERAGE('Raw Data'!$S$2:$S$1501),0),'Raw Data'!S1145)</f>
        <v>3</v>
      </c>
      <c r="T1145" s="21">
        <f>'Raw Data'!T1145</f>
        <v>151.25</v>
      </c>
      <c r="U1145" s="21" t="str">
        <f>INDEX('Lookup Tables'!$C$7:$C$9,MATCH(E1145,'Lookup Tables'!$B$7:$B$9,0))</f>
        <v>Tier 2 (Urban)</v>
      </c>
      <c r="V1145" s="21" t="str">
        <f t="shared" si="51"/>
        <v>0-6 months</v>
      </c>
      <c r="W1145" s="21" t="str">
        <f t="shared" si="52"/>
        <v>Low Risk</v>
      </c>
      <c r="X1145" s="21" t="str">
        <f t="shared" si="53"/>
        <v>No</v>
      </c>
    </row>
    <row r="1146" spans="1:24" x14ac:dyDescent="0.3">
      <c r="A1146" s="21">
        <f>'Raw Data'!A1146</f>
        <v>51145</v>
      </c>
      <c r="B1146" s="21">
        <f>'Raw Data'!B1146</f>
        <v>0</v>
      </c>
      <c r="C1146" s="21">
        <f>'Raw Data'!C1146</f>
        <v>15</v>
      </c>
      <c r="D1146" s="21" t="str">
        <f>'Raw Data'!D1146</f>
        <v>Mobile Phone</v>
      </c>
      <c r="E1146" s="21">
        <f>'Raw Data'!E1146</f>
        <v>1</v>
      </c>
      <c r="F1146" s="21">
        <f>IF('Raw Data'!F1146="",ROUND(AVERAGE('Raw Data'!$F$2:$F$1501),1),'Raw Data'!F1146)</f>
        <v>19</v>
      </c>
      <c r="G1146" s="21" t="str">
        <f>'Raw Data'!G1146</f>
        <v>Credit Card</v>
      </c>
      <c r="H1146" s="21" t="str">
        <f>'Raw Data'!H1146</f>
        <v>Female</v>
      </c>
      <c r="I1146" s="21">
        <f>IF('Raw Data'!I1146="",ROUND(AVERAGE('Raw Data'!$I$2:$I$1501),1),'Raw Data'!I1146)</f>
        <v>2.8</v>
      </c>
      <c r="J1146" s="21">
        <f>'Raw Data'!J1146</f>
        <v>4</v>
      </c>
      <c r="K1146" s="21" t="str">
        <f>'Raw Data'!K1146</f>
        <v>Fashion</v>
      </c>
      <c r="L1146" s="21">
        <f>'Raw Data'!L1146</f>
        <v>4</v>
      </c>
      <c r="M1146" s="21" t="str">
        <f>'Raw Data'!M1146</f>
        <v>Single</v>
      </c>
      <c r="N1146" s="21">
        <f>'Raw Data'!N1146</f>
        <v>1</v>
      </c>
      <c r="O1146" s="21">
        <f>'Raw Data'!O1146</f>
        <v>1</v>
      </c>
      <c r="P1146" s="21">
        <f>IF('Raw Data'!P1146="",ROUND(AVERAGE('Raw Data'!$P$2:$P$1501),1),'Raw Data'!P1146)</f>
        <v>16.5</v>
      </c>
      <c r="Q1146" s="21">
        <f>IF('Raw Data'!Q1146="",ROUND(AVERAGE('Raw Data'!$Q$2:$Q$1501),0),'Raw Data'!Q1146)</f>
        <v>1</v>
      </c>
      <c r="R1146" s="21">
        <f>'Raw Data'!R1146</f>
        <v>7</v>
      </c>
      <c r="S1146" s="21">
        <f>IF('Raw Data'!S1146="",ROUND(AVERAGE('Raw Data'!$S$2:$S$1501),0),'Raw Data'!S1146)</f>
        <v>6</v>
      </c>
      <c r="T1146" s="21">
        <f>'Raw Data'!T1146</f>
        <v>211.9</v>
      </c>
      <c r="U1146" s="21" t="str">
        <f>INDEX('Lookup Tables'!$C$7:$C$9,MATCH(E1146,'Lookup Tables'!$B$7:$B$9,0))</f>
        <v>Tier 1 (Metro)</v>
      </c>
      <c r="V1146" s="21" t="str">
        <f t="shared" si="51"/>
        <v>13-24 months</v>
      </c>
      <c r="W1146" s="21" t="str">
        <f t="shared" si="52"/>
        <v>Low Risk</v>
      </c>
      <c r="X1146" s="21" t="str">
        <f t="shared" si="53"/>
        <v>No</v>
      </c>
    </row>
    <row r="1147" spans="1:24" x14ac:dyDescent="0.3">
      <c r="A1147" s="21">
        <f>'Raw Data'!A1147</f>
        <v>51146</v>
      </c>
      <c r="B1147" s="21">
        <f>'Raw Data'!B1147</f>
        <v>0</v>
      </c>
      <c r="C1147" s="21">
        <f>'Raw Data'!C1147</f>
        <v>12</v>
      </c>
      <c r="D1147" s="21" t="str">
        <f>'Raw Data'!D1147</f>
        <v>Phone</v>
      </c>
      <c r="E1147" s="21">
        <f>'Raw Data'!E1147</f>
        <v>3</v>
      </c>
      <c r="F1147" s="21">
        <f>IF('Raw Data'!F1147="",ROUND(AVERAGE('Raw Data'!$F$2:$F$1501),1),'Raw Data'!F1147)</f>
        <v>28</v>
      </c>
      <c r="G1147" s="21" t="str">
        <f>'Raw Data'!G1147</f>
        <v>UPI</v>
      </c>
      <c r="H1147" s="21" t="str">
        <f>'Raw Data'!H1147</f>
        <v>Female</v>
      </c>
      <c r="I1147" s="21">
        <f>IF('Raw Data'!I1147="",ROUND(AVERAGE('Raw Data'!$I$2:$I$1501),1),'Raw Data'!I1147)</f>
        <v>4</v>
      </c>
      <c r="J1147" s="21">
        <f>'Raw Data'!J1147</f>
        <v>3</v>
      </c>
      <c r="K1147" s="21" t="str">
        <f>'Raw Data'!K1147</f>
        <v>Others</v>
      </c>
      <c r="L1147" s="21">
        <f>'Raw Data'!L1147</f>
        <v>3</v>
      </c>
      <c r="M1147" s="21" t="str">
        <f>'Raw Data'!M1147</f>
        <v>Single</v>
      </c>
      <c r="N1147" s="21">
        <f>'Raw Data'!N1147</f>
        <v>7</v>
      </c>
      <c r="O1147" s="21">
        <f>'Raw Data'!O1147</f>
        <v>0</v>
      </c>
      <c r="P1147" s="21">
        <f>IF('Raw Data'!P1147="",ROUND(AVERAGE('Raw Data'!$P$2:$P$1501),1),'Raw Data'!P1147)</f>
        <v>15.4</v>
      </c>
      <c r="Q1147" s="21">
        <f>IF('Raw Data'!Q1147="",ROUND(AVERAGE('Raw Data'!$Q$2:$Q$1501),0),'Raw Data'!Q1147)</f>
        <v>5</v>
      </c>
      <c r="R1147" s="21">
        <f>'Raw Data'!R1147</f>
        <v>5</v>
      </c>
      <c r="S1147" s="21">
        <f>IF('Raw Data'!S1147="",ROUND(AVERAGE('Raw Data'!$S$2:$S$1501),0),'Raw Data'!S1147)</f>
        <v>4</v>
      </c>
      <c r="T1147" s="21">
        <f>'Raw Data'!T1147</f>
        <v>53.38</v>
      </c>
      <c r="U1147" s="21" t="str">
        <f>INDEX('Lookup Tables'!$C$7:$C$9,MATCH(E1147,'Lookup Tables'!$B$7:$B$9,0))</f>
        <v>Tier 3 (Semi-urban/Rural)</v>
      </c>
      <c r="V1147" s="21" t="str">
        <f t="shared" si="51"/>
        <v>7-12 months</v>
      </c>
      <c r="W1147" s="21" t="str">
        <f t="shared" si="52"/>
        <v>Medium Risk</v>
      </c>
      <c r="X1147" s="21" t="str">
        <f t="shared" si="53"/>
        <v>No</v>
      </c>
    </row>
    <row r="1148" spans="1:24" x14ac:dyDescent="0.3">
      <c r="A1148" s="21">
        <f>'Raw Data'!A1148</f>
        <v>51147</v>
      </c>
      <c r="B1148" s="21">
        <f>'Raw Data'!B1148</f>
        <v>0</v>
      </c>
      <c r="C1148" s="21">
        <f>'Raw Data'!C1148</f>
        <v>15</v>
      </c>
      <c r="D1148" s="21" t="str">
        <f>'Raw Data'!D1148</f>
        <v>Phone</v>
      </c>
      <c r="E1148" s="21">
        <f>'Raw Data'!E1148</f>
        <v>3</v>
      </c>
      <c r="F1148" s="21">
        <f>IF('Raw Data'!F1148="",ROUND(AVERAGE('Raw Data'!$F$2:$F$1501),1),'Raw Data'!F1148)</f>
        <v>18</v>
      </c>
      <c r="G1148" s="21" t="str">
        <f>'Raw Data'!G1148</f>
        <v>UPI</v>
      </c>
      <c r="H1148" s="21" t="str">
        <f>'Raw Data'!H1148</f>
        <v>Female</v>
      </c>
      <c r="I1148" s="21">
        <f>IF('Raw Data'!I1148="",ROUND(AVERAGE('Raw Data'!$I$2:$I$1501),1),'Raw Data'!I1148)</f>
        <v>2.2000000000000002</v>
      </c>
      <c r="J1148" s="21">
        <f>'Raw Data'!J1148</f>
        <v>3</v>
      </c>
      <c r="K1148" s="21" t="str">
        <f>'Raw Data'!K1148</f>
        <v>Fashion</v>
      </c>
      <c r="L1148" s="21">
        <f>'Raw Data'!L1148</f>
        <v>5</v>
      </c>
      <c r="M1148" s="21" t="str">
        <f>'Raw Data'!M1148</f>
        <v>Married</v>
      </c>
      <c r="N1148" s="21">
        <f>'Raw Data'!N1148</f>
        <v>2</v>
      </c>
      <c r="O1148" s="21">
        <f>'Raw Data'!O1148</f>
        <v>0</v>
      </c>
      <c r="P1148" s="21">
        <f>IF('Raw Data'!P1148="",ROUND(AVERAGE('Raw Data'!$P$2:$P$1501),1),'Raw Data'!P1148)</f>
        <v>20.2</v>
      </c>
      <c r="Q1148" s="21">
        <f>IF('Raw Data'!Q1148="",ROUND(AVERAGE('Raw Data'!$Q$2:$Q$1501),0),'Raw Data'!Q1148)</f>
        <v>2</v>
      </c>
      <c r="R1148" s="21">
        <f>'Raw Data'!R1148</f>
        <v>5</v>
      </c>
      <c r="S1148" s="21">
        <f>IF('Raw Data'!S1148="",ROUND(AVERAGE('Raw Data'!$S$2:$S$1501),0),'Raw Data'!S1148)</f>
        <v>7</v>
      </c>
      <c r="T1148" s="21">
        <f>'Raw Data'!T1148</f>
        <v>188.66</v>
      </c>
      <c r="U1148" s="21" t="str">
        <f>INDEX('Lookup Tables'!$C$7:$C$9,MATCH(E1148,'Lookup Tables'!$B$7:$B$9,0))</f>
        <v>Tier 3 (Semi-urban/Rural)</v>
      </c>
      <c r="V1148" s="21" t="str">
        <f t="shared" si="51"/>
        <v>13-24 months</v>
      </c>
      <c r="W1148" s="21" t="str">
        <f t="shared" si="52"/>
        <v>Low Risk</v>
      </c>
      <c r="X1148" s="21" t="str">
        <f t="shared" si="53"/>
        <v>No</v>
      </c>
    </row>
    <row r="1149" spans="1:24" x14ac:dyDescent="0.3">
      <c r="A1149" s="21">
        <f>'Raw Data'!A1149</f>
        <v>51148</v>
      </c>
      <c r="B1149" s="21">
        <f>'Raw Data'!B1149</f>
        <v>0</v>
      </c>
      <c r="C1149" s="21">
        <f>'Raw Data'!C1149</f>
        <v>7</v>
      </c>
      <c r="D1149" s="21" t="str">
        <f>'Raw Data'!D1149</f>
        <v>Mobile Phone</v>
      </c>
      <c r="E1149" s="21">
        <f>'Raw Data'!E1149</f>
        <v>2</v>
      </c>
      <c r="F1149" s="21">
        <f>IF('Raw Data'!F1149="",ROUND(AVERAGE('Raw Data'!$F$2:$F$1501),1),'Raw Data'!F1149)</f>
        <v>17</v>
      </c>
      <c r="G1149" s="21" t="str">
        <f>'Raw Data'!G1149</f>
        <v>Credit Card</v>
      </c>
      <c r="H1149" s="21" t="str">
        <f>'Raw Data'!H1149</f>
        <v>Female</v>
      </c>
      <c r="I1149" s="21">
        <f>IF('Raw Data'!I1149="",ROUND(AVERAGE('Raw Data'!$I$2:$I$1501),1),'Raw Data'!I1149)</f>
        <v>1.6</v>
      </c>
      <c r="J1149" s="21">
        <f>'Raw Data'!J1149</f>
        <v>4</v>
      </c>
      <c r="K1149" s="21" t="str">
        <f>'Raw Data'!K1149</f>
        <v>Mobile Phone</v>
      </c>
      <c r="L1149" s="21">
        <f>'Raw Data'!L1149</f>
        <v>3</v>
      </c>
      <c r="M1149" s="21" t="str">
        <f>'Raw Data'!M1149</f>
        <v>Single</v>
      </c>
      <c r="N1149" s="21">
        <f>'Raw Data'!N1149</f>
        <v>2</v>
      </c>
      <c r="O1149" s="21">
        <f>'Raw Data'!O1149</f>
        <v>0</v>
      </c>
      <c r="P1149" s="21">
        <f>IF('Raw Data'!P1149="",ROUND(AVERAGE('Raw Data'!$P$2:$P$1501),1),'Raw Data'!P1149)</f>
        <v>14.7</v>
      </c>
      <c r="Q1149" s="21">
        <f>IF('Raw Data'!Q1149="",ROUND(AVERAGE('Raw Data'!$Q$2:$Q$1501),0),'Raw Data'!Q1149)</f>
        <v>3</v>
      </c>
      <c r="R1149" s="21">
        <f>'Raw Data'!R1149</f>
        <v>3</v>
      </c>
      <c r="S1149" s="21">
        <f>IF('Raw Data'!S1149="",ROUND(AVERAGE('Raw Data'!$S$2:$S$1501),0),'Raw Data'!S1149)</f>
        <v>1</v>
      </c>
      <c r="T1149" s="21">
        <f>'Raw Data'!T1149</f>
        <v>131.43</v>
      </c>
      <c r="U1149" s="21" t="str">
        <f>INDEX('Lookup Tables'!$C$7:$C$9,MATCH(E1149,'Lookup Tables'!$B$7:$B$9,0))</f>
        <v>Tier 2 (Urban)</v>
      </c>
      <c r="V1149" s="21" t="str">
        <f t="shared" si="51"/>
        <v>7-12 months</v>
      </c>
      <c r="W1149" s="21" t="str">
        <f t="shared" si="52"/>
        <v>Medium Risk</v>
      </c>
      <c r="X1149" s="21" t="str">
        <f t="shared" si="53"/>
        <v>No</v>
      </c>
    </row>
    <row r="1150" spans="1:24" x14ac:dyDescent="0.3">
      <c r="A1150" s="21">
        <f>'Raw Data'!A1150</f>
        <v>51149</v>
      </c>
      <c r="B1150" s="21">
        <f>'Raw Data'!B1150</f>
        <v>0</v>
      </c>
      <c r="C1150" s="21">
        <f>'Raw Data'!C1150</f>
        <v>5</v>
      </c>
      <c r="D1150" s="21" t="str">
        <f>'Raw Data'!D1150</f>
        <v>Mobile Phone</v>
      </c>
      <c r="E1150" s="21">
        <f>'Raw Data'!E1150</f>
        <v>3</v>
      </c>
      <c r="F1150" s="21">
        <f>IF('Raw Data'!F1150="",ROUND(AVERAGE('Raw Data'!$F$2:$F$1501),1),'Raw Data'!F1150)</f>
        <v>5</v>
      </c>
      <c r="G1150" s="21" t="str">
        <f>'Raw Data'!G1150</f>
        <v>Debit Card</v>
      </c>
      <c r="H1150" s="21" t="str">
        <f>'Raw Data'!H1150</f>
        <v>Male</v>
      </c>
      <c r="I1150" s="21">
        <f>IF('Raw Data'!I1150="",ROUND(AVERAGE('Raw Data'!$I$2:$I$1501),1),'Raw Data'!I1150)</f>
        <v>3.3</v>
      </c>
      <c r="J1150" s="21">
        <f>'Raw Data'!J1150</f>
        <v>4</v>
      </c>
      <c r="K1150" s="21" t="str">
        <f>'Raw Data'!K1150</f>
        <v>Fashion</v>
      </c>
      <c r="L1150" s="21">
        <f>'Raw Data'!L1150</f>
        <v>3</v>
      </c>
      <c r="M1150" s="21" t="str">
        <f>'Raw Data'!M1150</f>
        <v>Single</v>
      </c>
      <c r="N1150" s="21">
        <f>'Raw Data'!N1150</f>
        <v>4</v>
      </c>
      <c r="O1150" s="21">
        <f>'Raw Data'!O1150</f>
        <v>0</v>
      </c>
      <c r="P1150" s="21">
        <f>IF('Raw Data'!P1150="",ROUND(AVERAGE('Raw Data'!$P$2:$P$1501),1),'Raw Data'!P1150)</f>
        <v>17.3</v>
      </c>
      <c r="Q1150" s="21">
        <f>IF('Raw Data'!Q1150="",ROUND(AVERAGE('Raw Data'!$Q$2:$Q$1501),0),'Raw Data'!Q1150)</f>
        <v>3</v>
      </c>
      <c r="R1150" s="21">
        <f>'Raw Data'!R1150</f>
        <v>2</v>
      </c>
      <c r="S1150" s="21">
        <f>IF('Raw Data'!S1150="",ROUND(AVERAGE('Raw Data'!$S$2:$S$1501),0),'Raw Data'!S1150)</f>
        <v>3</v>
      </c>
      <c r="T1150" s="21">
        <f>'Raw Data'!T1150</f>
        <v>190.5</v>
      </c>
      <c r="U1150" s="21" t="str">
        <f>INDEX('Lookup Tables'!$C$7:$C$9,MATCH(E1150,'Lookup Tables'!$B$7:$B$9,0))</f>
        <v>Tier 3 (Semi-urban/Rural)</v>
      </c>
      <c r="V1150" s="21" t="str">
        <f t="shared" si="51"/>
        <v>0-6 months</v>
      </c>
      <c r="W1150" s="21" t="str">
        <f t="shared" si="52"/>
        <v>Medium Risk</v>
      </c>
      <c r="X1150" s="21" t="str">
        <f t="shared" si="53"/>
        <v>No</v>
      </c>
    </row>
    <row r="1151" spans="1:24" x14ac:dyDescent="0.3">
      <c r="A1151" s="21">
        <f>'Raw Data'!A1151</f>
        <v>51150</v>
      </c>
      <c r="B1151" s="21">
        <f>'Raw Data'!B1151</f>
        <v>1</v>
      </c>
      <c r="C1151" s="21">
        <f>'Raw Data'!C1151</f>
        <v>1</v>
      </c>
      <c r="D1151" s="21" t="str">
        <f>'Raw Data'!D1151</f>
        <v>Mobile Phone</v>
      </c>
      <c r="E1151" s="21">
        <f>'Raw Data'!E1151</f>
        <v>3</v>
      </c>
      <c r="F1151" s="21">
        <f>IF('Raw Data'!F1151="",ROUND(AVERAGE('Raw Data'!$F$2:$F$1501),1),'Raw Data'!F1151)</f>
        <v>5</v>
      </c>
      <c r="G1151" s="21" t="str">
        <f>'Raw Data'!G1151</f>
        <v>Credit Card</v>
      </c>
      <c r="H1151" s="21" t="str">
        <f>'Raw Data'!H1151</f>
        <v>Female</v>
      </c>
      <c r="I1151" s="21">
        <f>IF('Raw Data'!I1151="",ROUND(AVERAGE('Raw Data'!$I$2:$I$1501),1),'Raw Data'!I1151)</f>
        <v>3.1</v>
      </c>
      <c r="J1151" s="21">
        <f>'Raw Data'!J1151</f>
        <v>3</v>
      </c>
      <c r="K1151" s="21" t="str">
        <f>'Raw Data'!K1151</f>
        <v>Others</v>
      </c>
      <c r="L1151" s="21">
        <f>'Raw Data'!L1151</f>
        <v>5</v>
      </c>
      <c r="M1151" s="21" t="str">
        <f>'Raw Data'!M1151</f>
        <v>Single</v>
      </c>
      <c r="N1151" s="21">
        <f>'Raw Data'!N1151</f>
        <v>10</v>
      </c>
      <c r="O1151" s="21">
        <f>'Raw Data'!O1151</f>
        <v>0</v>
      </c>
      <c r="P1151" s="21">
        <f>IF('Raw Data'!P1151="",ROUND(AVERAGE('Raw Data'!$P$2:$P$1501),1),'Raw Data'!P1151)</f>
        <v>13.2</v>
      </c>
      <c r="Q1151" s="21">
        <f>IF('Raw Data'!Q1151="",ROUND(AVERAGE('Raw Data'!$Q$2:$Q$1501),0),'Raw Data'!Q1151)</f>
        <v>3</v>
      </c>
      <c r="R1151" s="21">
        <f>'Raw Data'!R1151</f>
        <v>3</v>
      </c>
      <c r="S1151" s="21">
        <f>IF('Raw Data'!S1151="",ROUND(AVERAGE('Raw Data'!$S$2:$S$1501),0),'Raw Data'!S1151)</f>
        <v>14</v>
      </c>
      <c r="T1151" s="21">
        <f>'Raw Data'!T1151</f>
        <v>198.95</v>
      </c>
      <c r="U1151" s="21" t="str">
        <f>INDEX('Lookup Tables'!$C$7:$C$9,MATCH(E1151,'Lookup Tables'!$B$7:$B$9,0))</f>
        <v>Tier 3 (Semi-urban/Rural)</v>
      </c>
      <c r="V1151" s="21" t="str">
        <f t="shared" si="51"/>
        <v>0-6 months</v>
      </c>
      <c r="W1151" s="21" t="str">
        <f t="shared" si="52"/>
        <v>Low Risk</v>
      </c>
      <c r="X1151" s="21" t="str">
        <f t="shared" si="53"/>
        <v>Yes</v>
      </c>
    </row>
    <row r="1152" spans="1:24" x14ac:dyDescent="0.3">
      <c r="A1152" s="21">
        <f>'Raw Data'!A1152</f>
        <v>51151</v>
      </c>
      <c r="B1152" s="21">
        <f>'Raw Data'!B1152</f>
        <v>0</v>
      </c>
      <c r="C1152" s="21">
        <f>'Raw Data'!C1152</f>
        <v>3</v>
      </c>
      <c r="D1152" s="21" t="str">
        <f>'Raw Data'!D1152</f>
        <v>Phone</v>
      </c>
      <c r="E1152" s="21">
        <f>'Raw Data'!E1152</f>
        <v>2</v>
      </c>
      <c r="F1152" s="21">
        <f>IF('Raw Data'!F1152="",ROUND(AVERAGE('Raw Data'!$F$2:$F$1501),1),'Raw Data'!F1152)</f>
        <v>18</v>
      </c>
      <c r="G1152" s="21" t="str">
        <f>'Raw Data'!G1152</f>
        <v>Cash on Delivery</v>
      </c>
      <c r="H1152" s="21" t="str">
        <f>'Raw Data'!H1152</f>
        <v>Male</v>
      </c>
      <c r="I1152" s="21">
        <f>IF('Raw Data'!I1152="",ROUND(AVERAGE('Raw Data'!$I$2:$I$1501),1),'Raw Data'!I1152)</f>
        <v>2.2000000000000002</v>
      </c>
      <c r="J1152" s="21">
        <f>'Raw Data'!J1152</f>
        <v>4</v>
      </c>
      <c r="K1152" s="21" t="str">
        <f>'Raw Data'!K1152</f>
        <v>Fashion</v>
      </c>
      <c r="L1152" s="21">
        <f>'Raw Data'!L1152</f>
        <v>5</v>
      </c>
      <c r="M1152" s="21" t="str">
        <f>'Raw Data'!M1152</f>
        <v>Married</v>
      </c>
      <c r="N1152" s="21">
        <f>'Raw Data'!N1152</f>
        <v>1</v>
      </c>
      <c r="O1152" s="21">
        <f>'Raw Data'!O1152</f>
        <v>0</v>
      </c>
      <c r="P1152" s="21">
        <f>IF('Raw Data'!P1152="",ROUND(AVERAGE('Raw Data'!$P$2:$P$1501),1),'Raw Data'!P1152)</f>
        <v>13.7</v>
      </c>
      <c r="Q1152" s="21">
        <f>IF('Raw Data'!Q1152="",ROUND(AVERAGE('Raw Data'!$Q$2:$Q$1501),0),'Raw Data'!Q1152)</f>
        <v>2</v>
      </c>
      <c r="R1152" s="21">
        <f>'Raw Data'!R1152</f>
        <v>6</v>
      </c>
      <c r="S1152" s="21">
        <f>IF('Raw Data'!S1152="",ROUND(AVERAGE('Raw Data'!$S$2:$S$1501),0),'Raw Data'!S1152)</f>
        <v>4</v>
      </c>
      <c r="T1152" s="21">
        <f>'Raw Data'!T1152</f>
        <v>88.57</v>
      </c>
      <c r="U1152" s="21" t="str">
        <f>INDEX('Lookup Tables'!$C$7:$C$9,MATCH(E1152,'Lookup Tables'!$B$7:$B$9,0))</f>
        <v>Tier 2 (Urban)</v>
      </c>
      <c r="V1152" s="21" t="str">
        <f t="shared" si="51"/>
        <v>0-6 months</v>
      </c>
      <c r="W1152" s="21" t="str">
        <f t="shared" si="52"/>
        <v>Low Risk</v>
      </c>
      <c r="X1152" s="21" t="str">
        <f t="shared" si="53"/>
        <v>No</v>
      </c>
    </row>
    <row r="1153" spans="1:24" x14ac:dyDescent="0.3">
      <c r="A1153" s="21">
        <f>'Raw Data'!A1153</f>
        <v>51152</v>
      </c>
      <c r="B1153" s="21">
        <f>'Raw Data'!B1153</f>
        <v>0</v>
      </c>
      <c r="C1153" s="21">
        <f>'Raw Data'!C1153</f>
        <v>5</v>
      </c>
      <c r="D1153" s="21" t="str">
        <f>'Raw Data'!D1153</f>
        <v>Mobile Phone</v>
      </c>
      <c r="E1153" s="21">
        <f>'Raw Data'!E1153</f>
        <v>1</v>
      </c>
      <c r="F1153" s="21">
        <f>IF('Raw Data'!F1153="",ROUND(AVERAGE('Raw Data'!$F$2:$F$1501),1),'Raw Data'!F1153)</f>
        <v>14</v>
      </c>
      <c r="G1153" s="21" t="str">
        <f>'Raw Data'!G1153</f>
        <v>UPI</v>
      </c>
      <c r="H1153" s="21" t="str">
        <f>'Raw Data'!H1153</f>
        <v>Male</v>
      </c>
      <c r="I1153" s="21">
        <f>IF('Raw Data'!I1153="",ROUND(AVERAGE('Raw Data'!$I$2:$I$1501),1),'Raw Data'!I1153)</f>
        <v>1.8</v>
      </c>
      <c r="J1153" s="21">
        <f>'Raw Data'!J1153</f>
        <v>2</v>
      </c>
      <c r="K1153" s="21" t="str">
        <f>'Raw Data'!K1153</f>
        <v>Fashion</v>
      </c>
      <c r="L1153" s="21">
        <f>'Raw Data'!L1153</f>
        <v>3</v>
      </c>
      <c r="M1153" s="21" t="str">
        <f>'Raw Data'!M1153</f>
        <v>Single</v>
      </c>
      <c r="N1153" s="21">
        <f>'Raw Data'!N1153</f>
        <v>6</v>
      </c>
      <c r="O1153" s="21">
        <f>'Raw Data'!O1153</f>
        <v>1</v>
      </c>
      <c r="P1153" s="21">
        <f>IF('Raw Data'!P1153="",ROUND(AVERAGE('Raw Data'!$P$2:$P$1501),1),'Raw Data'!P1153)</f>
        <v>15.2</v>
      </c>
      <c r="Q1153" s="21">
        <f>IF('Raw Data'!Q1153="",ROUND(AVERAGE('Raw Data'!$Q$2:$Q$1501),0),'Raw Data'!Q1153)</f>
        <v>3</v>
      </c>
      <c r="R1153" s="21">
        <f>'Raw Data'!R1153</f>
        <v>4</v>
      </c>
      <c r="S1153" s="21">
        <f>IF('Raw Data'!S1153="",ROUND(AVERAGE('Raw Data'!$S$2:$S$1501),0),'Raw Data'!S1153)</f>
        <v>2</v>
      </c>
      <c r="T1153" s="21">
        <f>'Raw Data'!T1153</f>
        <v>167.52</v>
      </c>
      <c r="U1153" s="21" t="str">
        <f>INDEX('Lookup Tables'!$C$7:$C$9,MATCH(E1153,'Lookup Tables'!$B$7:$B$9,0))</f>
        <v>Tier 1 (Metro)</v>
      </c>
      <c r="V1153" s="21" t="str">
        <f t="shared" si="51"/>
        <v>0-6 months</v>
      </c>
      <c r="W1153" s="21" t="str">
        <f t="shared" si="52"/>
        <v>Medium Risk</v>
      </c>
      <c r="X1153" s="21" t="str">
        <f t="shared" si="53"/>
        <v>No</v>
      </c>
    </row>
    <row r="1154" spans="1:24" x14ac:dyDescent="0.3">
      <c r="A1154" s="21">
        <f>'Raw Data'!A1154</f>
        <v>51153</v>
      </c>
      <c r="B1154" s="21">
        <f>'Raw Data'!B1154</f>
        <v>0</v>
      </c>
      <c r="C1154" s="21">
        <f>'Raw Data'!C1154</f>
        <v>0</v>
      </c>
      <c r="D1154" s="21" t="str">
        <f>'Raw Data'!D1154</f>
        <v>Mobile Phone</v>
      </c>
      <c r="E1154" s="21">
        <f>'Raw Data'!E1154</f>
        <v>1</v>
      </c>
      <c r="F1154" s="21">
        <f>IF('Raw Data'!F1154="",ROUND(AVERAGE('Raw Data'!$F$2:$F$1501),1),'Raw Data'!F1154)</f>
        <v>10</v>
      </c>
      <c r="G1154" s="21" t="str">
        <f>'Raw Data'!G1154</f>
        <v>UPI</v>
      </c>
      <c r="H1154" s="21" t="str">
        <f>'Raw Data'!H1154</f>
        <v>Female</v>
      </c>
      <c r="I1154" s="21">
        <f>IF('Raw Data'!I1154="",ROUND(AVERAGE('Raw Data'!$I$2:$I$1501),1),'Raw Data'!I1154)</f>
        <v>4</v>
      </c>
      <c r="J1154" s="21">
        <f>'Raw Data'!J1154</f>
        <v>5</v>
      </c>
      <c r="K1154" s="21" t="str">
        <f>'Raw Data'!K1154</f>
        <v>Others</v>
      </c>
      <c r="L1154" s="21">
        <f>'Raw Data'!L1154</f>
        <v>2</v>
      </c>
      <c r="M1154" s="21" t="str">
        <f>'Raw Data'!M1154</f>
        <v>Married</v>
      </c>
      <c r="N1154" s="21">
        <f>'Raw Data'!N1154</f>
        <v>3</v>
      </c>
      <c r="O1154" s="21">
        <f>'Raw Data'!O1154</f>
        <v>1</v>
      </c>
      <c r="P1154" s="21">
        <f>IF('Raw Data'!P1154="",ROUND(AVERAGE('Raw Data'!$P$2:$P$1501),1),'Raw Data'!P1154)</f>
        <v>13.2</v>
      </c>
      <c r="Q1154" s="21">
        <f>IF('Raw Data'!Q1154="",ROUND(AVERAGE('Raw Data'!$Q$2:$Q$1501),0),'Raw Data'!Q1154)</f>
        <v>1</v>
      </c>
      <c r="R1154" s="21">
        <f>'Raw Data'!R1154</f>
        <v>5</v>
      </c>
      <c r="S1154" s="21">
        <f>IF('Raw Data'!S1154="",ROUND(AVERAGE('Raw Data'!$S$2:$S$1501),0),'Raw Data'!S1154)</f>
        <v>0</v>
      </c>
      <c r="T1154" s="21">
        <f>'Raw Data'!T1154</f>
        <v>188.56</v>
      </c>
      <c r="U1154" s="21" t="str">
        <f>INDEX('Lookup Tables'!$C$7:$C$9,MATCH(E1154,'Lookup Tables'!$B$7:$B$9,0))</f>
        <v>Tier 1 (Metro)</v>
      </c>
      <c r="V1154" s="21" t="str">
        <f t="shared" ref="V1154:V1217" si="54">IF(C1154&lt;=6,"0-6 months",IF(C1154&lt;=12,"7-12 months",IF(C1154&lt;=24,"13-24 months","25+ months")))</f>
        <v>0-6 months</v>
      </c>
      <c r="W1154" s="21" t="str">
        <f t="shared" ref="W1154:W1217" si="55">IF(AND(O1154=1,L1154&lt;=2),"High Risk",IF(OR(L1154=3,S1154&gt;15),"Medium Risk","Low Risk"))</f>
        <v>High Risk</v>
      </c>
      <c r="X1154" s="21" t="str">
        <f t="shared" ref="X1154:X1217" si="56">IF(B1154=1,"Yes","No")</f>
        <v>No</v>
      </c>
    </row>
    <row r="1155" spans="1:24" x14ac:dyDescent="0.3">
      <c r="A1155" s="21">
        <f>'Raw Data'!A1155</f>
        <v>51154</v>
      </c>
      <c r="B1155" s="21">
        <f>'Raw Data'!B1155</f>
        <v>0</v>
      </c>
      <c r="C1155" s="21">
        <f>'Raw Data'!C1155</f>
        <v>2</v>
      </c>
      <c r="D1155" s="21" t="str">
        <f>'Raw Data'!D1155</f>
        <v>Mobile Phone</v>
      </c>
      <c r="E1155" s="21">
        <f>'Raw Data'!E1155</f>
        <v>2</v>
      </c>
      <c r="F1155" s="21">
        <f>IF('Raw Data'!F1155="",ROUND(AVERAGE('Raw Data'!$F$2:$F$1501),1),'Raw Data'!F1155)</f>
        <v>16</v>
      </c>
      <c r="G1155" s="21" t="str">
        <f>'Raw Data'!G1155</f>
        <v>Debit Card</v>
      </c>
      <c r="H1155" s="21" t="str">
        <f>'Raw Data'!H1155</f>
        <v>Male</v>
      </c>
      <c r="I1155" s="21">
        <f>IF('Raw Data'!I1155="",ROUND(AVERAGE('Raw Data'!$I$2:$I$1501),1),'Raw Data'!I1155)</f>
        <v>3.9</v>
      </c>
      <c r="J1155" s="21">
        <f>'Raw Data'!J1155</f>
        <v>5</v>
      </c>
      <c r="K1155" s="21" t="str">
        <f>'Raw Data'!K1155</f>
        <v>Laptop &amp; Accessory</v>
      </c>
      <c r="L1155" s="21">
        <f>'Raw Data'!L1155</f>
        <v>3</v>
      </c>
      <c r="M1155" s="21" t="str">
        <f>'Raw Data'!M1155</f>
        <v>Married</v>
      </c>
      <c r="N1155" s="21">
        <f>'Raw Data'!N1155</f>
        <v>1</v>
      </c>
      <c r="O1155" s="21">
        <f>'Raw Data'!O1155</f>
        <v>0</v>
      </c>
      <c r="P1155" s="21">
        <f>IF('Raw Data'!P1155="",ROUND(AVERAGE('Raw Data'!$P$2:$P$1501),1),'Raw Data'!P1155)</f>
        <v>18.8</v>
      </c>
      <c r="Q1155" s="21">
        <f>IF('Raw Data'!Q1155="",ROUND(AVERAGE('Raw Data'!$Q$2:$Q$1501),0),'Raw Data'!Q1155)</f>
        <v>3</v>
      </c>
      <c r="R1155" s="21">
        <f>'Raw Data'!R1155</f>
        <v>2</v>
      </c>
      <c r="S1155" s="21">
        <f>IF('Raw Data'!S1155="",ROUND(AVERAGE('Raw Data'!$S$2:$S$1501),0),'Raw Data'!S1155)</f>
        <v>0</v>
      </c>
      <c r="T1155" s="21">
        <f>'Raw Data'!T1155</f>
        <v>184.84</v>
      </c>
      <c r="U1155" s="21" t="str">
        <f>INDEX('Lookup Tables'!$C$7:$C$9,MATCH(E1155,'Lookup Tables'!$B$7:$B$9,0))</f>
        <v>Tier 2 (Urban)</v>
      </c>
      <c r="V1155" s="21" t="str">
        <f t="shared" si="54"/>
        <v>0-6 months</v>
      </c>
      <c r="W1155" s="21" t="str">
        <f t="shared" si="55"/>
        <v>Medium Risk</v>
      </c>
      <c r="X1155" s="21" t="str">
        <f t="shared" si="56"/>
        <v>No</v>
      </c>
    </row>
    <row r="1156" spans="1:24" x14ac:dyDescent="0.3">
      <c r="A1156" s="21">
        <f>'Raw Data'!A1156</f>
        <v>51155</v>
      </c>
      <c r="B1156" s="21">
        <f>'Raw Data'!B1156</f>
        <v>0</v>
      </c>
      <c r="C1156" s="21">
        <f>'Raw Data'!C1156</f>
        <v>9</v>
      </c>
      <c r="D1156" s="21" t="str">
        <f>'Raw Data'!D1156</f>
        <v>Computer</v>
      </c>
      <c r="E1156" s="21">
        <f>'Raw Data'!E1156</f>
        <v>2</v>
      </c>
      <c r="F1156" s="21">
        <f>IF('Raw Data'!F1156="",ROUND(AVERAGE('Raw Data'!$F$2:$F$1501),1),'Raw Data'!F1156)</f>
        <v>14</v>
      </c>
      <c r="G1156" s="21" t="str">
        <f>'Raw Data'!G1156</f>
        <v>Credit Card</v>
      </c>
      <c r="H1156" s="21" t="str">
        <f>'Raw Data'!H1156</f>
        <v>Male</v>
      </c>
      <c r="I1156" s="21">
        <f>IF('Raw Data'!I1156="",ROUND(AVERAGE('Raw Data'!$I$2:$I$1501),1),'Raw Data'!I1156)</f>
        <v>1.2</v>
      </c>
      <c r="J1156" s="21">
        <f>'Raw Data'!J1156</f>
        <v>4</v>
      </c>
      <c r="K1156" s="21" t="str">
        <f>'Raw Data'!K1156</f>
        <v>Fashion</v>
      </c>
      <c r="L1156" s="21">
        <f>'Raw Data'!L1156</f>
        <v>1</v>
      </c>
      <c r="M1156" s="21" t="str">
        <f>'Raw Data'!M1156</f>
        <v>Married</v>
      </c>
      <c r="N1156" s="21">
        <f>'Raw Data'!N1156</f>
        <v>1</v>
      </c>
      <c r="O1156" s="21">
        <f>'Raw Data'!O1156</f>
        <v>0</v>
      </c>
      <c r="P1156" s="21">
        <f>IF('Raw Data'!P1156="",ROUND(AVERAGE('Raw Data'!$P$2:$P$1501),1),'Raw Data'!P1156)</f>
        <v>11.3</v>
      </c>
      <c r="Q1156" s="21">
        <f>IF('Raw Data'!Q1156="",ROUND(AVERAGE('Raw Data'!$Q$2:$Q$1501),0),'Raw Data'!Q1156)</f>
        <v>3</v>
      </c>
      <c r="R1156" s="21">
        <f>'Raw Data'!R1156</f>
        <v>5</v>
      </c>
      <c r="S1156" s="21">
        <f>IF('Raw Data'!S1156="",ROUND(AVERAGE('Raw Data'!$S$2:$S$1501),0),'Raw Data'!S1156)</f>
        <v>4</v>
      </c>
      <c r="T1156" s="21">
        <f>'Raw Data'!T1156</f>
        <v>173.28</v>
      </c>
      <c r="U1156" s="21" t="str">
        <f>INDEX('Lookup Tables'!$C$7:$C$9,MATCH(E1156,'Lookup Tables'!$B$7:$B$9,0))</f>
        <v>Tier 2 (Urban)</v>
      </c>
      <c r="V1156" s="21" t="str">
        <f t="shared" si="54"/>
        <v>7-12 months</v>
      </c>
      <c r="W1156" s="21" t="str">
        <f t="shared" si="55"/>
        <v>Low Risk</v>
      </c>
      <c r="X1156" s="21" t="str">
        <f t="shared" si="56"/>
        <v>No</v>
      </c>
    </row>
    <row r="1157" spans="1:24" x14ac:dyDescent="0.3">
      <c r="A1157" s="21">
        <f>'Raw Data'!A1157</f>
        <v>51156</v>
      </c>
      <c r="B1157" s="21">
        <f>'Raw Data'!B1157</f>
        <v>0</v>
      </c>
      <c r="C1157" s="21">
        <f>'Raw Data'!C1157</f>
        <v>13</v>
      </c>
      <c r="D1157" s="21" t="str">
        <f>'Raw Data'!D1157</f>
        <v>Mobile Phone</v>
      </c>
      <c r="E1157" s="21">
        <f>'Raw Data'!E1157</f>
        <v>1</v>
      </c>
      <c r="F1157" s="21">
        <f>IF('Raw Data'!F1157="",ROUND(AVERAGE('Raw Data'!$F$2:$F$1501),1),'Raw Data'!F1157)</f>
        <v>24</v>
      </c>
      <c r="G1157" s="21" t="str">
        <f>'Raw Data'!G1157</f>
        <v>E wallet</v>
      </c>
      <c r="H1157" s="21" t="str">
        <f>'Raw Data'!H1157</f>
        <v>Male</v>
      </c>
      <c r="I1157" s="21">
        <f>IF('Raw Data'!I1157="",ROUND(AVERAGE('Raw Data'!$I$2:$I$1501),1),'Raw Data'!I1157)</f>
        <v>2.6</v>
      </c>
      <c r="J1157" s="21">
        <f>'Raw Data'!J1157</f>
        <v>1</v>
      </c>
      <c r="K1157" s="21" t="str">
        <f>'Raw Data'!K1157</f>
        <v>Grocery</v>
      </c>
      <c r="L1157" s="21">
        <f>'Raw Data'!L1157</f>
        <v>1</v>
      </c>
      <c r="M1157" s="21" t="str">
        <f>'Raw Data'!M1157</f>
        <v>Divorced</v>
      </c>
      <c r="N1157" s="21">
        <f>'Raw Data'!N1157</f>
        <v>2</v>
      </c>
      <c r="O1157" s="21">
        <f>'Raw Data'!O1157</f>
        <v>1</v>
      </c>
      <c r="P1157" s="21">
        <f>IF('Raw Data'!P1157="",ROUND(AVERAGE('Raw Data'!$P$2:$P$1501),1),'Raw Data'!P1157)</f>
        <v>16.3</v>
      </c>
      <c r="Q1157" s="21">
        <f>IF('Raw Data'!Q1157="",ROUND(AVERAGE('Raw Data'!$Q$2:$Q$1501),0),'Raw Data'!Q1157)</f>
        <v>0</v>
      </c>
      <c r="R1157" s="21">
        <f>'Raw Data'!R1157</f>
        <v>6</v>
      </c>
      <c r="S1157" s="21">
        <f>IF('Raw Data'!S1157="",ROUND(AVERAGE('Raw Data'!$S$2:$S$1501),0),'Raw Data'!S1157)</f>
        <v>3</v>
      </c>
      <c r="T1157" s="21">
        <f>'Raw Data'!T1157</f>
        <v>112.85</v>
      </c>
      <c r="U1157" s="21" t="str">
        <f>INDEX('Lookup Tables'!$C$7:$C$9,MATCH(E1157,'Lookup Tables'!$B$7:$B$9,0))</f>
        <v>Tier 1 (Metro)</v>
      </c>
      <c r="V1157" s="21" t="str">
        <f t="shared" si="54"/>
        <v>13-24 months</v>
      </c>
      <c r="W1157" s="21" t="str">
        <f t="shared" si="55"/>
        <v>High Risk</v>
      </c>
      <c r="X1157" s="21" t="str">
        <f t="shared" si="56"/>
        <v>No</v>
      </c>
    </row>
    <row r="1158" spans="1:24" x14ac:dyDescent="0.3">
      <c r="A1158" s="21">
        <f>'Raw Data'!A1158</f>
        <v>51157</v>
      </c>
      <c r="B1158" s="21">
        <f>'Raw Data'!B1158</f>
        <v>0</v>
      </c>
      <c r="C1158" s="21">
        <f>'Raw Data'!C1158</f>
        <v>60</v>
      </c>
      <c r="D1158" s="21" t="str">
        <f>'Raw Data'!D1158</f>
        <v>Mobile Phone</v>
      </c>
      <c r="E1158" s="21">
        <f>'Raw Data'!E1158</f>
        <v>3</v>
      </c>
      <c r="F1158" s="21">
        <f>IF('Raw Data'!F1158="",ROUND(AVERAGE('Raw Data'!$F$2:$F$1501),1),'Raw Data'!F1158)</f>
        <v>15</v>
      </c>
      <c r="G1158" s="21" t="str">
        <f>'Raw Data'!G1158</f>
        <v>UPI</v>
      </c>
      <c r="H1158" s="21" t="str">
        <f>'Raw Data'!H1158</f>
        <v>Female</v>
      </c>
      <c r="I1158" s="21">
        <f>IF('Raw Data'!I1158="",ROUND(AVERAGE('Raw Data'!$I$2:$I$1501),1),'Raw Data'!I1158)</f>
        <v>2.9</v>
      </c>
      <c r="J1158" s="21">
        <f>'Raw Data'!J1158</f>
        <v>3</v>
      </c>
      <c r="K1158" s="21" t="str">
        <f>'Raw Data'!K1158</f>
        <v>Others</v>
      </c>
      <c r="L1158" s="21">
        <f>'Raw Data'!L1158</f>
        <v>3</v>
      </c>
      <c r="M1158" s="21" t="str">
        <f>'Raw Data'!M1158</f>
        <v>Married</v>
      </c>
      <c r="N1158" s="21">
        <f>'Raw Data'!N1158</f>
        <v>4</v>
      </c>
      <c r="O1158" s="21">
        <f>'Raw Data'!O1158</f>
        <v>0</v>
      </c>
      <c r="P1158" s="21">
        <f>IF('Raw Data'!P1158="",ROUND(AVERAGE('Raw Data'!$P$2:$P$1501),1),'Raw Data'!P1158)</f>
        <v>16.5</v>
      </c>
      <c r="Q1158" s="21">
        <f>IF('Raw Data'!Q1158="",ROUND(AVERAGE('Raw Data'!$Q$2:$Q$1501),0),'Raw Data'!Q1158)</f>
        <v>0</v>
      </c>
      <c r="R1158" s="21">
        <f>'Raw Data'!R1158</f>
        <v>4</v>
      </c>
      <c r="S1158" s="21">
        <f>IF('Raw Data'!S1158="",ROUND(AVERAGE('Raw Data'!$S$2:$S$1501),0),'Raw Data'!S1158)</f>
        <v>2</v>
      </c>
      <c r="T1158" s="21">
        <f>'Raw Data'!T1158</f>
        <v>121.23</v>
      </c>
      <c r="U1158" s="21" t="str">
        <f>INDEX('Lookup Tables'!$C$7:$C$9,MATCH(E1158,'Lookup Tables'!$B$7:$B$9,0))</f>
        <v>Tier 3 (Semi-urban/Rural)</v>
      </c>
      <c r="V1158" s="21" t="str">
        <f t="shared" si="54"/>
        <v>25+ months</v>
      </c>
      <c r="W1158" s="21" t="str">
        <f t="shared" si="55"/>
        <v>Medium Risk</v>
      </c>
      <c r="X1158" s="21" t="str">
        <f t="shared" si="56"/>
        <v>No</v>
      </c>
    </row>
    <row r="1159" spans="1:24" x14ac:dyDescent="0.3">
      <c r="A1159" s="21">
        <f>'Raw Data'!A1159</f>
        <v>51158</v>
      </c>
      <c r="B1159" s="21">
        <f>'Raw Data'!B1159</f>
        <v>0</v>
      </c>
      <c r="C1159" s="21">
        <f>'Raw Data'!C1159</f>
        <v>27</v>
      </c>
      <c r="D1159" s="21" t="str">
        <f>'Raw Data'!D1159</f>
        <v>Phone</v>
      </c>
      <c r="E1159" s="21">
        <f>'Raw Data'!E1159</f>
        <v>1</v>
      </c>
      <c r="F1159" s="21">
        <f>IF('Raw Data'!F1159="",ROUND(AVERAGE('Raw Data'!$F$2:$F$1501),1),'Raw Data'!F1159)</f>
        <v>9</v>
      </c>
      <c r="G1159" s="21" t="str">
        <f>'Raw Data'!G1159</f>
        <v>Debit Card</v>
      </c>
      <c r="H1159" s="21" t="str">
        <f>'Raw Data'!H1159</f>
        <v>Female</v>
      </c>
      <c r="I1159" s="21">
        <f>IF('Raw Data'!I1159="",ROUND(AVERAGE('Raw Data'!$I$2:$I$1501),1),'Raw Data'!I1159)</f>
        <v>2.6</v>
      </c>
      <c r="J1159" s="21">
        <f>'Raw Data'!J1159</f>
        <v>4</v>
      </c>
      <c r="K1159" s="21" t="str">
        <f>'Raw Data'!K1159</f>
        <v>Laptop &amp; Accessory</v>
      </c>
      <c r="L1159" s="21">
        <f>'Raw Data'!L1159</f>
        <v>5</v>
      </c>
      <c r="M1159" s="21" t="str">
        <f>'Raw Data'!M1159</f>
        <v>Single</v>
      </c>
      <c r="N1159" s="21">
        <f>'Raw Data'!N1159</f>
        <v>1</v>
      </c>
      <c r="O1159" s="21">
        <f>'Raw Data'!O1159</f>
        <v>0</v>
      </c>
      <c r="P1159" s="21">
        <f>IF('Raw Data'!P1159="",ROUND(AVERAGE('Raw Data'!$P$2:$P$1501),1),'Raw Data'!P1159)</f>
        <v>16.3</v>
      </c>
      <c r="Q1159" s="21">
        <f>IF('Raw Data'!Q1159="",ROUND(AVERAGE('Raw Data'!$Q$2:$Q$1501),0),'Raw Data'!Q1159)</f>
        <v>3</v>
      </c>
      <c r="R1159" s="21">
        <f>'Raw Data'!R1159</f>
        <v>2</v>
      </c>
      <c r="S1159" s="21">
        <f>IF('Raw Data'!S1159="",ROUND(AVERAGE('Raw Data'!$S$2:$S$1501),0),'Raw Data'!S1159)</f>
        <v>12</v>
      </c>
      <c r="T1159" s="21">
        <f>'Raw Data'!T1159</f>
        <v>104.21</v>
      </c>
      <c r="U1159" s="21" t="str">
        <f>INDEX('Lookup Tables'!$C$7:$C$9,MATCH(E1159,'Lookup Tables'!$B$7:$B$9,0))</f>
        <v>Tier 1 (Metro)</v>
      </c>
      <c r="V1159" s="21" t="str">
        <f t="shared" si="54"/>
        <v>25+ months</v>
      </c>
      <c r="W1159" s="21" t="str">
        <f t="shared" si="55"/>
        <v>Low Risk</v>
      </c>
      <c r="X1159" s="21" t="str">
        <f t="shared" si="56"/>
        <v>No</v>
      </c>
    </row>
    <row r="1160" spans="1:24" x14ac:dyDescent="0.3">
      <c r="A1160" s="21">
        <f>'Raw Data'!A1160</f>
        <v>51159</v>
      </c>
      <c r="B1160" s="21">
        <f>'Raw Data'!B1160</f>
        <v>0</v>
      </c>
      <c r="C1160" s="21">
        <f>'Raw Data'!C1160</f>
        <v>10</v>
      </c>
      <c r="D1160" s="21" t="str">
        <f>'Raw Data'!D1160</f>
        <v>Phone</v>
      </c>
      <c r="E1160" s="21">
        <f>'Raw Data'!E1160</f>
        <v>2</v>
      </c>
      <c r="F1160" s="21">
        <f>IF('Raw Data'!F1160="",ROUND(AVERAGE('Raw Data'!$F$2:$F$1501),1),'Raw Data'!F1160)</f>
        <v>22</v>
      </c>
      <c r="G1160" s="21" t="str">
        <f>'Raw Data'!G1160</f>
        <v>UPI</v>
      </c>
      <c r="H1160" s="21" t="str">
        <f>'Raw Data'!H1160</f>
        <v>Male</v>
      </c>
      <c r="I1160" s="21">
        <f>IF('Raw Data'!I1160="",ROUND(AVERAGE('Raw Data'!$I$2:$I$1501),1),'Raw Data'!I1160)</f>
        <v>2.6</v>
      </c>
      <c r="J1160" s="21">
        <f>'Raw Data'!J1160</f>
        <v>3</v>
      </c>
      <c r="K1160" s="21" t="str">
        <f>'Raw Data'!K1160</f>
        <v>Mobile Phone</v>
      </c>
      <c r="L1160" s="21">
        <f>'Raw Data'!L1160</f>
        <v>5</v>
      </c>
      <c r="M1160" s="21" t="str">
        <f>'Raw Data'!M1160</f>
        <v>Single</v>
      </c>
      <c r="N1160" s="21">
        <f>'Raw Data'!N1160</f>
        <v>2</v>
      </c>
      <c r="O1160" s="21">
        <f>'Raw Data'!O1160</f>
        <v>0</v>
      </c>
      <c r="P1160" s="21">
        <f>IF('Raw Data'!P1160="",ROUND(AVERAGE('Raw Data'!$P$2:$P$1501),1),'Raw Data'!P1160)</f>
        <v>14.5</v>
      </c>
      <c r="Q1160" s="21">
        <f>IF('Raw Data'!Q1160="",ROUND(AVERAGE('Raw Data'!$Q$2:$Q$1501),0),'Raw Data'!Q1160)</f>
        <v>1</v>
      </c>
      <c r="R1160" s="21">
        <f>'Raw Data'!R1160</f>
        <v>4</v>
      </c>
      <c r="S1160" s="21">
        <f>IF('Raw Data'!S1160="",ROUND(AVERAGE('Raw Data'!$S$2:$S$1501),0),'Raw Data'!S1160)</f>
        <v>2</v>
      </c>
      <c r="T1160" s="21">
        <f>'Raw Data'!T1160</f>
        <v>210.47</v>
      </c>
      <c r="U1160" s="21" t="str">
        <f>INDEX('Lookup Tables'!$C$7:$C$9,MATCH(E1160,'Lookup Tables'!$B$7:$B$9,0))</f>
        <v>Tier 2 (Urban)</v>
      </c>
      <c r="V1160" s="21" t="str">
        <f t="shared" si="54"/>
        <v>7-12 months</v>
      </c>
      <c r="W1160" s="21" t="str">
        <f t="shared" si="55"/>
        <v>Low Risk</v>
      </c>
      <c r="X1160" s="21" t="str">
        <f t="shared" si="56"/>
        <v>No</v>
      </c>
    </row>
    <row r="1161" spans="1:24" x14ac:dyDescent="0.3">
      <c r="A1161" s="21">
        <f>'Raw Data'!A1161</f>
        <v>51160</v>
      </c>
      <c r="B1161" s="21">
        <f>'Raw Data'!B1161</f>
        <v>1</v>
      </c>
      <c r="C1161" s="21">
        <f>'Raw Data'!C1161</f>
        <v>5</v>
      </c>
      <c r="D1161" s="21" t="str">
        <f>'Raw Data'!D1161</f>
        <v>Computer</v>
      </c>
      <c r="E1161" s="21">
        <f>'Raw Data'!E1161</f>
        <v>2</v>
      </c>
      <c r="F1161" s="21">
        <f>IF('Raw Data'!F1161="",ROUND(AVERAGE('Raw Data'!$F$2:$F$1501),1),'Raw Data'!F1161)</f>
        <v>13</v>
      </c>
      <c r="G1161" s="21" t="str">
        <f>'Raw Data'!G1161</f>
        <v>Credit Card</v>
      </c>
      <c r="H1161" s="21" t="str">
        <f>'Raw Data'!H1161</f>
        <v>Male</v>
      </c>
      <c r="I1161" s="21">
        <f>IF('Raw Data'!I1161="",ROUND(AVERAGE('Raw Data'!$I$2:$I$1501),1),'Raw Data'!I1161)</f>
        <v>2.7</v>
      </c>
      <c r="J1161" s="21">
        <f>'Raw Data'!J1161</f>
        <v>4</v>
      </c>
      <c r="K1161" s="21" t="str">
        <f>'Raw Data'!K1161</f>
        <v>Fashion</v>
      </c>
      <c r="L1161" s="21">
        <f>'Raw Data'!L1161</f>
        <v>3</v>
      </c>
      <c r="M1161" s="21" t="str">
        <f>'Raw Data'!M1161</f>
        <v>Married</v>
      </c>
      <c r="N1161" s="21">
        <f>'Raw Data'!N1161</f>
        <v>4</v>
      </c>
      <c r="O1161" s="21">
        <f>'Raw Data'!O1161</f>
        <v>0</v>
      </c>
      <c r="P1161" s="21">
        <f>IF('Raw Data'!P1161="",ROUND(AVERAGE('Raw Data'!$P$2:$P$1501),1),'Raw Data'!P1161)</f>
        <v>16.899999999999999</v>
      </c>
      <c r="Q1161" s="21">
        <f>IF('Raw Data'!Q1161="",ROUND(AVERAGE('Raw Data'!$Q$2:$Q$1501),0),'Raw Data'!Q1161)</f>
        <v>2</v>
      </c>
      <c r="R1161" s="21">
        <f>'Raw Data'!R1161</f>
        <v>3</v>
      </c>
      <c r="S1161" s="21">
        <f>IF('Raw Data'!S1161="",ROUND(AVERAGE('Raw Data'!$S$2:$S$1501),0),'Raw Data'!S1161)</f>
        <v>3</v>
      </c>
      <c r="T1161" s="21">
        <f>'Raw Data'!T1161</f>
        <v>173.64</v>
      </c>
      <c r="U1161" s="21" t="str">
        <f>INDEX('Lookup Tables'!$C$7:$C$9,MATCH(E1161,'Lookup Tables'!$B$7:$B$9,0))</f>
        <v>Tier 2 (Urban)</v>
      </c>
      <c r="V1161" s="21" t="str">
        <f t="shared" si="54"/>
        <v>0-6 months</v>
      </c>
      <c r="W1161" s="21" t="str">
        <f t="shared" si="55"/>
        <v>Medium Risk</v>
      </c>
      <c r="X1161" s="21" t="str">
        <f t="shared" si="56"/>
        <v>Yes</v>
      </c>
    </row>
    <row r="1162" spans="1:24" x14ac:dyDescent="0.3">
      <c r="A1162" s="21">
        <f>'Raw Data'!A1162</f>
        <v>51161</v>
      </c>
      <c r="B1162" s="21">
        <f>'Raw Data'!B1162</f>
        <v>0</v>
      </c>
      <c r="C1162" s="21">
        <f>'Raw Data'!C1162</f>
        <v>10</v>
      </c>
      <c r="D1162" s="21" t="str">
        <f>'Raw Data'!D1162</f>
        <v>Mobile Phone</v>
      </c>
      <c r="E1162" s="21">
        <f>'Raw Data'!E1162</f>
        <v>2</v>
      </c>
      <c r="F1162" s="21">
        <f>IF('Raw Data'!F1162="",ROUND(AVERAGE('Raw Data'!$F$2:$F$1501),1),'Raw Data'!F1162)</f>
        <v>19</v>
      </c>
      <c r="G1162" s="21" t="str">
        <f>'Raw Data'!G1162</f>
        <v>Debit Card</v>
      </c>
      <c r="H1162" s="21" t="str">
        <f>'Raw Data'!H1162</f>
        <v>Female</v>
      </c>
      <c r="I1162" s="21">
        <f>IF('Raw Data'!I1162="",ROUND(AVERAGE('Raw Data'!$I$2:$I$1501),1),'Raw Data'!I1162)</f>
        <v>2.1</v>
      </c>
      <c r="J1162" s="21">
        <f>'Raw Data'!J1162</f>
        <v>4</v>
      </c>
      <c r="K1162" s="21" t="str">
        <f>'Raw Data'!K1162</f>
        <v>Laptop &amp; Accessory</v>
      </c>
      <c r="L1162" s="21">
        <f>'Raw Data'!L1162</f>
        <v>4</v>
      </c>
      <c r="M1162" s="21" t="str">
        <f>'Raw Data'!M1162</f>
        <v>Married</v>
      </c>
      <c r="N1162" s="21">
        <f>'Raw Data'!N1162</f>
        <v>2</v>
      </c>
      <c r="O1162" s="21">
        <f>'Raw Data'!O1162</f>
        <v>0</v>
      </c>
      <c r="P1162" s="21">
        <f>IF('Raw Data'!P1162="",ROUND(AVERAGE('Raw Data'!$P$2:$P$1501),1),'Raw Data'!P1162)</f>
        <v>17.5</v>
      </c>
      <c r="Q1162" s="21">
        <f>IF('Raw Data'!Q1162="",ROUND(AVERAGE('Raw Data'!$Q$2:$Q$1501),0),'Raw Data'!Q1162)</f>
        <v>1</v>
      </c>
      <c r="R1162" s="21">
        <f>'Raw Data'!R1162</f>
        <v>6</v>
      </c>
      <c r="S1162" s="21">
        <f>IF('Raw Data'!S1162="",ROUND(AVERAGE('Raw Data'!$S$2:$S$1501),0),'Raw Data'!S1162)</f>
        <v>4</v>
      </c>
      <c r="T1162" s="21">
        <f>'Raw Data'!T1162</f>
        <v>177.15</v>
      </c>
      <c r="U1162" s="21" t="str">
        <f>INDEX('Lookup Tables'!$C$7:$C$9,MATCH(E1162,'Lookup Tables'!$B$7:$B$9,0))</f>
        <v>Tier 2 (Urban)</v>
      </c>
      <c r="V1162" s="21" t="str">
        <f t="shared" si="54"/>
        <v>7-12 months</v>
      </c>
      <c r="W1162" s="21" t="str">
        <f t="shared" si="55"/>
        <v>Low Risk</v>
      </c>
      <c r="X1162" s="21" t="str">
        <f t="shared" si="56"/>
        <v>No</v>
      </c>
    </row>
    <row r="1163" spans="1:24" x14ac:dyDescent="0.3">
      <c r="A1163" s="21">
        <f>'Raw Data'!A1163</f>
        <v>51162</v>
      </c>
      <c r="B1163" s="21">
        <f>'Raw Data'!B1163</f>
        <v>0</v>
      </c>
      <c r="C1163" s="21">
        <f>'Raw Data'!C1163</f>
        <v>15</v>
      </c>
      <c r="D1163" s="21" t="str">
        <f>'Raw Data'!D1163</f>
        <v>Mobile Phone</v>
      </c>
      <c r="E1163" s="21">
        <f>'Raw Data'!E1163</f>
        <v>2</v>
      </c>
      <c r="F1163" s="21">
        <f>IF('Raw Data'!F1163="",ROUND(AVERAGE('Raw Data'!$F$2:$F$1501),1),'Raw Data'!F1163)</f>
        <v>11</v>
      </c>
      <c r="G1163" s="21" t="str">
        <f>'Raw Data'!G1163</f>
        <v>Debit Card</v>
      </c>
      <c r="H1163" s="21" t="str">
        <f>'Raw Data'!H1163</f>
        <v>Male</v>
      </c>
      <c r="I1163" s="21">
        <f>IF('Raw Data'!I1163="",ROUND(AVERAGE('Raw Data'!$I$2:$I$1501),1),'Raw Data'!I1163)</f>
        <v>1.7</v>
      </c>
      <c r="J1163" s="21">
        <f>'Raw Data'!J1163</f>
        <v>2</v>
      </c>
      <c r="K1163" s="21" t="str">
        <f>'Raw Data'!K1163</f>
        <v>Fashion</v>
      </c>
      <c r="L1163" s="21">
        <f>'Raw Data'!L1163</f>
        <v>1</v>
      </c>
      <c r="M1163" s="21" t="str">
        <f>'Raw Data'!M1163</f>
        <v>Single</v>
      </c>
      <c r="N1163" s="21">
        <f>'Raw Data'!N1163</f>
        <v>6</v>
      </c>
      <c r="O1163" s="21">
        <f>'Raw Data'!O1163</f>
        <v>0</v>
      </c>
      <c r="P1163" s="21">
        <f>IF('Raw Data'!P1163="",ROUND(AVERAGE('Raw Data'!$P$2:$P$1501),1),'Raw Data'!P1163)</f>
        <v>15.3</v>
      </c>
      <c r="Q1163" s="21">
        <f>IF('Raw Data'!Q1163="",ROUND(AVERAGE('Raw Data'!$Q$2:$Q$1501),0),'Raw Data'!Q1163)</f>
        <v>4</v>
      </c>
      <c r="R1163" s="21">
        <f>'Raw Data'!R1163</f>
        <v>4</v>
      </c>
      <c r="S1163" s="21">
        <f>IF('Raw Data'!S1163="",ROUND(AVERAGE('Raw Data'!$S$2:$S$1501),0),'Raw Data'!S1163)</f>
        <v>3</v>
      </c>
      <c r="T1163" s="21">
        <f>'Raw Data'!T1163</f>
        <v>86.2</v>
      </c>
      <c r="U1163" s="21" t="str">
        <f>INDEX('Lookup Tables'!$C$7:$C$9,MATCH(E1163,'Lookup Tables'!$B$7:$B$9,0))</f>
        <v>Tier 2 (Urban)</v>
      </c>
      <c r="V1163" s="21" t="str">
        <f t="shared" si="54"/>
        <v>13-24 months</v>
      </c>
      <c r="W1163" s="21" t="str">
        <f t="shared" si="55"/>
        <v>Low Risk</v>
      </c>
      <c r="X1163" s="21" t="str">
        <f t="shared" si="56"/>
        <v>No</v>
      </c>
    </row>
    <row r="1164" spans="1:24" x14ac:dyDescent="0.3">
      <c r="A1164" s="21">
        <f>'Raw Data'!A1164</f>
        <v>51163</v>
      </c>
      <c r="B1164" s="21">
        <f>'Raw Data'!B1164</f>
        <v>0</v>
      </c>
      <c r="C1164" s="21">
        <f>'Raw Data'!C1164</f>
        <v>1</v>
      </c>
      <c r="D1164" s="21" t="str">
        <f>'Raw Data'!D1164</f>
        <v>Computer</v>
      </c>
      <c r="E1164" s="21">
        <f>'Raw Data'!E1164</f>
        <v>1</v>
      </c>
      <c r="F1164" s="21">
        <f>IF('Raw Data'!F1164="",ROUND(AVERAGE('Raw Data'!$F$2:$F$1501),1),'Raw Data'!F1164)</f>
        <v>9</v>
      </c>
      <c r="G1164" s="21" t="str">
        <f>'Raw Data'!G1164</f>
        <v>Debit Card</v>
      </c>
      <c r="H1164" s="21" t="str">
        <f>'Raw Data'!H1164</f>
        <v>Male</v>
      </c>
      <c r="I1164" s="21">
        <f>IF('Raw Data'!I1164="",ROUND(AVERAGE('Raw Data'!$I$2:$I$1501),1),'Raw Data'!I1164)</f>
        <v>3.6</v>
      </c>
      <c r="J1164" s="21">
        <f>'Raw Data'!J1164</f>
        <v>3</v>
      </c>
      <c r="K1164" s="21" t="str">
        <f>'Raw Data'!K1164</f>
        <v>Laptop &amp; Accessory</v>
      </c>
      <c r="L1164" s="21">
        <f>'Raw Data'!L1164</f>
        <v>2</v>
      </c>
      <c r="M1164" s="21" t="str">
        <f>'Raw Data'!M1164</f>
        <v>Single</v>
      </c>
      <c r="N1164" s="21">
        <f>'Raw Data'!N1164</f>
        <v>7</v>
      </c>
      <c r="O1164" s="21">
        <f>'Raw Data'!O1164</f>
        <v>1</v>
      </c>
      <c r="P1164" s="21">
        <f>IF('Raw Data'!P1164="",ROUND(AVERAGE('Raw Data'!$P$2:$P$1501),1),'Raw Data'!P1164)</f>
        <v>18.399999999999999</v>
      </c>
      <c r="Q1164" s="21">
        <f>IF('Raw Data'!Q1164="",ROUND(AVERAGE('Raw Data'!$Q$2:$Q$1501),0),'Raw Data'!Q1164)</f>
        <v>3</v>
      </c>
      <c r="R1164" s="21">
        <f>'Raw Data'!R1164</f>
        <v>3</v>
      </c>
      <c r="S1164" s="21">
        <f>IF('Raw Data'!S1164="",ROUND(AVERAGE('Raw Data'!$S$2:$S$1501),0),'Raw Data'!S1164)</f>
        <v>3</v>
      </c>
      <c r="T1164" s="21">
        <f>'Raw Data'!T1164</f>
        <v>178.15</v>
      </c>
      <c r="U1164" s="21" t="str">
        <f>INDEX('Lookup Tables'!$C$7:$C$9,MATCH(E1164,'Lookup Tables'!$B$7:$B$9,0))</f>
        <v>Tier 1 (Metro)</v>
      </c>
      <c r="V1164" s="21" t="str">
        <f t="shared" si="54"/>
        <v>0-6 months</v>
      </c>
      <c r="W1164" s="21" t="str">
        <f t="shared" si="55"/>
        <v>High Risk</v>
      </c>
      <c r="X1164" s="21" t="str">
        <f t="shared" si="56"/>
        <v>No</v>
      </c>
    </row>
    <row r="1165" spans="1:24" x14ac:dyDescent="0.3">
      <c r="A1165" s="21">
        <f>'Raw Data'!A1165</f>
        <v>51164</v>
      </c>
      <c r="B1165" s="21">
        <f>'Raw Data'!B1165</f>
        <v>0</v>
      </c>
      <c r="C1165" s="21">
        <f>'Raw Data'!C1165</f>
        <v>5</v>
      </c>
      <c r="D1165" s="21" t="str">
        <f>'Raw Data'!D1165</f>
        <v>Mobile Phone</v>
      </c>
      <c r="E1165" s="21">
        <f>'Raw Data'!E1165</f>
        <v>1</v>
      </c>
      <c r="F1165" s="21">
        <f>IF('Raw Data'!F1165="",ROUND(AVERAGE('Raw Data'!$F$2:$F$1501),1),'Raw Data'!F1165)</f>
        <v>15</v>
      </c>
      <c r="G1165" s="21" t="str">
        <f>'Raw Data'!G1165</f>
        <v>Credit Card</v>
      </c>
      <c r="H1165" s="21" t="str">
        <f>'Raw Data'!H1165</f>
        <v>Male</v>
      </c>
      <c r="I1165" s="21">
        <f>IF('Raw Data'!I1165="",ROUND(AVERAGE('Raw Data'!$I$2:$I$1501),1),'Raw Data'!I1165)</f>
        <v>1.6</v>
      </c>
      <c r="J1165" s="21">
        <f>'Raw Data'!J1165</f>
        <v>2</v>
      </c>
      <c r="K1165" s="21" t="str">
        <f>'Raw Data'!K1165</f>
        <v>Mobile Phone</v>
      </c>
      <c r="L1165" s="21">
        <f>'Raw Data'!L1165</f>
        <v>1</v>
      </c>
      <c r="M1165" s="21" t="str">
        <f>'Raw Data'!M1165</f>
        <v>Married</v>
      </c>
      <c r="N1165" s="21">
        <f>'Raw Data'!N1165</f>
        <v>2</v>
      </c>
      <c r="O1165" s="21">
        <f>'Raw Data'!O1165</f>
        <v>0</v>
      </c>
      <c r="P1165" s="21">
        <f>IF('Raw Data'!P1165="",ROUND(AVERAGE('Raw Data'!$P$2:$P$1501),1),'Raw Data'!P1165)</f>
        <v>15.6</v>
      </c>
      <c r="Q1165" s="21">
        <f>IF('Raw Data'!Q1165="",ROUND(AVERAGE('Raw Data'!$Q$2:$Q$1501),0),'Raw Data'!Q1165)</f>
        <v>1</v>
      </c>
      <c r="R1165" s="21">
        <f>'Raw Data'!R1165</f>
        <v>4</v>
      </c>
      <c r="S1165" s="21">
        <f>IF('Raw Data'!S1165="",ROUND(AVERAGE('Raw Data'!$S$2:$S$1501),0),'Raw Data'!S1165)</f>
        <v>2</v>
      </c>
      <c r="T1165" s="21">
        <f>'Raw Data'!T1165</f>
        <v>214.85</v>
      </c>
      <c r="U1165" s="21" t="str">
        <f>INDEX('Lookup Tables'!$C$7:$C$9,MATCH(E1165,'Lookup Tables'!$B$7:$B$9,0))</f>
        <v>Tier 1 (Metro)</v>
      </c>
      <c r="V1165" s="21" t="str">
        <f t="shared" si="54"/>
        <v>0-6 months</v>
      </c>
      <c r="W1165" s="21" t="str">
        <f t="shared" si="55"/>
        <v>Low Risk</v>
      </c>
      <c r="X1165" s="21" t="str">
        <f t="shared" si="56"/>
        <v>No</v>
      </c>
    </row>
    <row r="1166" spans="1:24" x14ac:dyDescent="0.3">
      <c r="A1166" s="21">
        <f>'Raw Data'!A1166</f>
        <v>51165</v>
      </c>
      <c r="B1166" s="21">
        <f>'Raw Data'!B1166</f>
        <v>0</v>
      </c>
      <c r="C1166" s="21">
        <f>'Raw Data'!C1166</f>
        <v>18</v>
      </c>
      <c r="D1166" s="21" t="str">
        <f>'Raw Data'!D1166</f>
        <v>Phone</v>
      </c>
      <c r="E1166" s="21">
        <f>'Raw Data'!E1166</f>
        <v>2</v>
      </c>
      <c r="F1166" s="21">
        <f>IF('Raw Data'!F1166="",ROUND(AVERAGE('Raw Data'!$F$2:$F$1501),1),'Raw Data'!F1166)</f>
        <v>15</v>
      </c>
      <c r="G1166" s="21" t="str">
        <f>'Raw Data'!G1166</f>
        <v>Debit Card</v>
      </c>
      <c r="H1166" s="21" t="str">
        <f>'Raw Data'!H1166</f>
        <v>Male</v>
      </c>
      <c r="I1166" s="21">
        <f>IF('Raw Data'!I1166="",ROUND(AVERAGE('Raw Data'!$I$2:$I$1501),1),'Raw Data'!I1166)</f>
        <v>3.1</v>
      </c>
      <c r="J1166" s="21">
        <f>'Raw Data'!J1166</f>
        <v>3</v>
      </c>
      <c r="K1166" s="21" t="str">
        <f>'Raw Data'!K1166</f>
        <v>Mobile Phone</v>
      </c>
      <c r="L1166" s="21">
        <f>'Raw Data'!L1166</f>
        <v>4</v>
      </c>
      <c r="M1166" s="21" t="str">
        <f>'Raw Data'!M1166</f>
        <v>Married</v>
      </c>
      <c r="N1166" s="21">
        <f>'Raw Data'!N1166</f>
        <v>12</v>
      </c>
      <c r="O1166" s="21">
        <f>'Raw Data'!O1166</f>
        <v>0</v>
      </c>
      <c r="P1166" s="21">
        <f>IF('Raw Data'!P1166="",ROUND(AVERAGE('Raw Data'!$P$2:$P$1501),1),'Raw Data'!P1166)</f>
        <v>16</v>
      </c>
      <c r="Q1166" s="21">
        <f>IF('Raw Data'!Q1166="",ROUND(AVERAGE('Raw Data'!$Q$2:$Q$1501),0),'Raw Data'!Q1166)</f>
        <v>1</v>
      </c>
      <c r="R1166" s="21">
        <f>'Raw Data'!R1166</f>
        <v>2</v>
      </c>
      <c r="S1166" s="21">
        <f>IF('Raw Data'!S1166="",ROUND(AVERAGE('Raw Data'!$S$2:$S$1501),0),'Raw Data'!S1166)</f>
        <v>11</v>
      </c>
      <c r="T1166" s="21">
        <f>'Raw Data'!T1166</f>
        <v>78.7</v>
      </c>
      <c r="U1166" s="21" t="str">
        <f>INDEX('Lookup Tables'!$C$7:$C$9,MATCH(E1166,'Lookup Tables'!$B$7:$B$9,0))</f>
        <v>Tier 2 (Urban)</v>
      </c>
      <c r="V1166" s="21" t="str">
        <f t="shared" si="54"/>
        <v>13-24 months</v>
      </c>
      <c r="W1166" s="21" t="str">
        <f t="shared" si="55"/>
        <v>Low Risk</v>
      </c>
      <c r="X1166" s="21" t="str">
        <f t="shared" si="56"/>
        <v>No</v>
      </c>
    </row>
    <row r="1167" spans="1:24" x14ac:dyDescent="0.3">
      <c r="A1167" s="21">
        <f>'Raw Data'!A1167</f>
        <v>51166</v>
      </c>
      <c r="B1167" s="21">
        <f>'Raw Data'!B1167</f>
        <v>0</v>
      </c>
      <c r="C1167" s="21">
        <f>'Raw Data'!C1167</f>
        <v>4</v>
      </c>
      <c r="D1167" s="21" t="str">
        <f>'Raw Data'!D1167</f>
        <v>Computer</v>
      </c>
      <c r="E1167" s="21">
        <f>'Raw Data'!E1167</f>
        <v>2</v>
      </c>
      <c r="F1167" s="21">
        <f>IF('Raw Data'!F1167="",ROUND(AVERAGE('Raw Data'!$F$2:$F$1501),1),'Raw Data'!F1167)</f>
        <v>18</v>
      </c>
      <c r="G1167" s="21" t="str">
        <f>'Raw Data'!G1167</f>
        <v>Debit Card</v>
      </c>
      <c r="H1167" s="21" t="str">
        <f>'Raw Data'!H1167</f>
        <v>Male</v>
      </c>
      <c r="I1167" s="21">
        <f>IF('Raw Data'!I1167="",ROUND(AVERAGE('Raw Data'!$I$2:$I$1501),1),'Raw Data'!I1167)</f>
        <v>3.5</v>
      </c>
      <c r="J1167" s="21">
        <f>'Raw Data'!J1167</f>
        <v>3</v>
      </c>
      <c r="K1167" s="21" t="str">
        <f>'Raw Data'!K1167</f>
        <v>Mobile Phone</v>
      </c>
      <c r="L1167" s="21">
        <f>'Raw Data'!L1167</f>
        <v>2</v>
      </c>
      <c r="M1167" s="21" t="str">
        <f>'Raw Data'!M1167</f>
        <v>Married</v>
      </c>
      <c r="N1167" s="21">
        <f>'Raw Data'!N1167</f>
        <v>1</v>
      </c>
      <c r="O1167" s="21">
        <f>'Raw Data'!O1167</f>
        <v>0</v>
      </c>
      <c r="P1167" s="21">
        <f>IF('Raw Data'!P1167="",ROUND(AVERAGE('Raw Data'!$P$2:$P$1501),1),'Raw Data'!P1167)</f>
        <v>16.899999999999999</v>
      </c>
      <c r="Q1167" s="21">
        <f>IF('Raw Data'!Q1167="",ROUND(AVERAGE('Raw Data'!$Q$2:$Q$1501),0),'Raw Data'!Q1167)</f>
        <v>0</v>
      </c>
      <c r="R1167" s="21">
        <f>'Raw Data'!R1167</f>
        <v>2</v>
      </c>
      <c r="S1167" s="21">
        <f>IF('Raw Data'!S1167="",ROUND(AVERAGE('Raw Data'!$S$2:$S$1501),0),'Raw Data'!S1167)</f>
        <v>2</v>
      </c>
      <c r="T1167" s="21">
        <f>'Raw Data'!T1167</f>
        <v>150.55000000000001</v>
      </c>
      <c r="U1167" s="21" t="str">
        <f>INDEX('Lookup Tables'!$C$7:$C$9,MATCH(E1167,'Lookup Tables'!$B$7:$B$9,0))</f>
        <v>Tier 2 (Urban)</v>
      </c>
      <c r="V1167" s="21" t="str">
        <f t="shared" si="54"/>
        <v>0-6 months</v>
      </c>
      <c r="W1167" s="21" t="str">
        <f t="shared" si="55"/>
        <v>Low Risk</v>
      </c>
      <c r="X1167" s="21" t="str">
        <f t="shared" si="56"/>
        <v>No</v>
      </c>
    </row>
    <row r="1168" spans="1:24" x14ac:dyDescent="0.3">
      <c r="A1168" s="21">
        <f>'Raw Data'!A1168</f>
        <v>51167</v>
      </c>
      <c r="B1168" s="21">
        <f>'Raw Data'!B1168</f>
        <v>0</v>
      </c>
      <c r="C1168" s="21">
        <f>'Raw Data'!C1168</f>
        <v>8</v>
      </c>
      <c r="D1168" s="21" t="str">
        <f>'Raw Data'!D1168</f>
        <v>Mobile Phone</v>
      </c>
      <c r="E1168" s="21">
        <f>'Raw Data'!E1168</f>
        <v>1</v>
      </c>
      <c r="F1168" s="21">
        <f>IF('Raw Data'!F1168="",ROUND(AVERAGE('Raw Data'!$F$2:$F$1501),1),'Raw Data'!F1168)</f>
        <v>12</v>
      </c>
      <c r="G1168" s="21" t="str">
        <f>'Raw Data'!G1168</f>
        <v>UPI</v>
      </c>
      <c r="H1168" s="21" t="str">
        <f>'Raw Data'!H1168</f>
        <v>Female</v>
      </c>
      <c r="I1168" s="21">
        <f>IF('Raw Data'!I1168="",ROUND(AVERAGE('Raw Data'!$I$2:$I$1501),1),'Raw Data'!I1168)</f>
        <v>1.9</v>
      </c>
      <c r="J1168" s="21">
        <f>'Raw Data'!J1168</f>
        <v>4</v>
      </c>
      <c r="K1168" s="21" t="str">
        <f>'Raw Data'!K1168</f>
        <v>Mobile Phone</v>
      </c>
      <c r="L1168" s="21">
        <f>'Raw Data'!L1168</f>
        <v>5</v>
      </c>
      <c r="M1168" s="21" t="str">
        <f>'Raw Data'!M1168</f>
        <v>Married</v>
      </c>
      <c r="N1168" s="21">
        <f>'Raw Data'!N1168</f>
        <v>1</v>
      </c>
      <c r="O1168" s="21">
        <f>'Raw Data'!O1168</f>
        <v>1</v>
      </c>
      <c r="P1168" s="21">
        <f>IF('Raw Data'!P1168="",ROUND(AVERAGE('Raw Data'!$P$2:$P$1501),1),'Raw Data'!P1168)</f>
        <v>19.2</v>
      </c>
      <c r="Q1168" s="21">
        <f>IF('Raw Data'!Q1168="",ROUND(AVERAGE('Raw Data'!$Q$2:$Q$1501),0),'Raw Data'!Q1168)</f>
        <v>0</v>
      </c>
      <c r="R1168" s="21">
        <f>'Raw Data'!R1168</f>
        <v>5</v>
      </c>
      <c r="S1168" s="21">
        <f>IF('Raw Data'!S1168="",ROUND(AVERAGE('Raw Data'!$S$2:$S$1501),0),'Raw Data'!S1168)</f>
        <v>3</v>
      </c>
      <c r="T1168" s="21">
        <f>'Raw Data'!T1168</f>
        <v>93.63</v>
      </c>
      <c r="U1168" s="21" t="str">
        <f>INDEX('Lookup Tables'!$C$7:$C$9,MATCH(E1168,'Lookup Tables'!$B$7:$B$9,0))</f>
        <v>Tier 1 (Metro)</v>
      </c>
      <c r="V1168" s="21" t="str">
        <f t="shared" si="54"/>
        <v>7-12 months</v>
      </c>
      <c r="W1168" s="21" t="str">
        <f t="shared" si="55"/>
        <v>Low Risk</v>
      </c>
      <c r="X1168" s="21" t="str">
        <f t="shared" si="56"/>
        <v>No</v>
      </c>
    </row>
    <row r="1169" spans="1:24" x14ac:dyDescent="0.3">
      <c r="A1169" s="21">
        <f>'Raw Data'!A1169</f>
        <v>51168</v>
      </c>
      <c r="B1169" s="21">
        <f>'Raw Data'!B1169</f>
        <v>0</v>
      </c>
      <c r="C1169" s="21">
        <f>'Raw Data'!C1169</f>
        <v>8</v>
      </c>
      <c r="D1169" s="21" t="str">
        <f>'Raw Data'!D1169</f>
        <v>Phone</v>
      </c>
      <c r="E1169" s="21">
        <f>'Raw Data'!E1169</f>
        <v>3</v>
      </c>
      <c r="F1169" s="21">
        <f>IF('Raw Data'!F1169="",ROUND(AVERAGE('Raw Data'!$F$2:$F$1501),1),'Raw Data'!F1169)</f>
        <v>5</v>
      </c>
      <c r="G1169" s="21" t="str">
        <f>'Raw Data'!G1169</f>
        <v>Debit Card</v>
      </c>
      <c r="H1169" s="21" t="str">
        <f>'Raw Data'!H1169</f>
        <v>Male</v>
      </c>
      <c r="I1169" s="21">
        <f>IF('Raw Data'!I1169="",ROUND(AVERAGE('Raw Data'!$I$2:$I$1501),1),'Raw Data'!I1169)</f>
        <v>2.2999999999999998</v>
      </c>
      <c r="J1169" s="21">
        <f>'Raw Data'!J1169</f>
        <v>5</v>
      </c>
      <c r="K1169" s="21" t="str">
        <f>'Raw Data'!K1169</f>
        <v>Mobile Phone</v>
      </c>
      <c r="L1169" s="21">
        <f>'Raw Data'!L1169</f>
        <v>4</v>
      </c>
      <c r="M1169" s="21" t="str">
        <f>'Raw Data'!M1169</f>
        <v>Married</v>
      </c>
      <c r="N1169" s="21">
        <f>'Raw Data'!N1169</f>
        <v>1</v>
      </c>
      <c r="O1169" s="21">
        <f>'Raw Data'!O1169</f>
        <v>0</v>
      </c>
      <c r="P1169" s="21">
        <f>IF('Raw Data'!P1169="",ROUND(AVERAGE('Raw Data'!$P$2:$P$1501),1),'Raw Data'!P1169)</f>
        <v>13.6</v>
      </c>
      <c r="Q1169" s="21">
        <f>IF('Raw Data'!Q1169="",ROUND(AVERAGE('Raw Data'!$Q$2:$Q$1501),0),'Raw Data'!Q1169)</f>
        <v>0</v>
      </c>
      <c r="R1169" s="21">
        <f>'Raw Data'!R1169</f>
        <v>6</v>
      </c>
      <c r="S1169" s="21">
        <f>IF('Raw Data'!S1169="",ROUND(AVERAGE('Raw Data'!$S$2:$S$1501),0),'Raw Data'!S1169)</f>
        <v>5</v>
      </c>
      <c r="T1169" s="21">
        <f>'Raw Data'!T1169</f>
        <v>156.88</v>
      </c>
      <c r="U1169" s="21" t="str">
        <f>INDEX('Lookup Tables'!$C$7:$C$9,MATCH(E1169,'Lookup Tables'!$B$7:$B$9,0))</f>
        <v>Tier 3 (Semi-urban/Rural)</v>
      </c>
      <c r="V1169" s="21" t="str">
        <f t="shared" si="54"/>
        <v>7-12 months</v>
      </c>
      <c r="W1169" s="21" t="str">
        <f t="shared" si="55"/>
        <v>Low Risk</v>
      </c>
      <c r="X1169" s="21" t="str">
        <f t="shared" si="56"/>
        <v>No</v>
      </c>
    </row>
    <row r="1170" spans="1:24" x14ac:dyDescent="0.3">
      <c r="A1170" s="21">
        <f>'Raw Data'!A1170</f>
        <v>51169</v>
      </c>
      <c r="B1170" s="21">
        <f>'Raw Data'!B1170</f>
        <v>0</v>
      </c>
      <c r="C1170" s="21">
        <f>'Raw Data'!C1170</f>
        <v>2</v>
      </c>
      <c r="D1170" s="21" t="str">
        <f>'Raw Data'!D1170</f>
        <v>Phone</v>
      </c>
      <c r="E1170" s="21">
        <f>'Raw Data'!E1170</f>
        <v>1</v>
      </c>
      <c r="F1170" s="21">
        <f>IF('Raw Data'!F1170="",ROUND(AVERAGE('Raw Data'!$F$2:$F$1501),1),'Raw Data'!F1170)</f>
        <v>11</v>
      </c>
      <c r="G1170" s="21" t="str">
        <f>'Raw Data'!G1170</f>
        <v>Debit Card</v>
      </c>
      <c r="H1170" s="21" t="str">
        <f>'Raw Data'!H1170</f>
        <v>Female</v>
      </c>
      <c r="I1170" s="21">
        <f>IF('Raw Data'!I1170="",ROUND(AVERAGE('Raw Data'!$I$2:$I$1501),1),'Raw Data'!I1170)</f>
        <v>3.7</v>
      </c>
      <c r="J1170" s="21">
        <f>'Raw Data'!J1170</f>
        <v>2</v>
      </c>
      <c r="K1170" s="21" t="str">
        <f>'Raw Data'!K1170</f>
        <v>Laptop &amp; Accessory</v>
      </c>
      <c r="L1170" s="21">
        <f>'Raw Data'!L1170</f>
        <v>2</v>
      </c>
      <c r="M1170" s="21" t="str">
        <f>'Raw Data'!M1170</f>
        <v>Married</v>
      </c>
      <c r="N1170" s="21">
        <f>'Raw Data'!N1170</f>
        <v>3</v>
      </c>
      <c r="O1170" s="21">
        <f>'Raw Data'!O1170</f>
        <v>0</v>
      </c>
      <c r="P1170" s="21">
        <f>IF('Raw Data'!P1170="",ROUND(AVERAGE('Raw Data'!$P$2:$P$1501),1),'Raw Data'!P1170)</f>
        <v>14.3</v>
      </c>
      <c r="Q1170" s="21">
        <f>IF('Raw Data'!Q1170="",ROUND(AVERAGE('Raw Data'!$Q$2:$Q$1501),0),'Raw Data'!Q1170)</f>
        <v>1</v>
      </c>
      <c r="R1170" s="21">
        <f>'Raw Data'!R1170</f>
        <v>2</v>
      </c>
      <c r="S1170" s="21">
        <f>IF('Raw Data'!S1170="",ROUND(AVERAGE('Raw Data'!$S$2:$S$1501),0),'Raw Data'!S1170)</f>
        <v>0</v>
      </c>
      <c r="T1170" s="21">
        <f>'Raw Data'!T1170</f>
        <v>130.44999999999999</v>
      </c>
      <c r="U1170" s="21" t="str">
        <f>INDEX('Lookup Tables'!$C$7:$C$9,MATCH(E1170,'Lookup Tables'!$B$7:$B$9,0))</f>
        <v>Tier 1 (Metro)</v>
      </c>
      <c r="V1170" s="21" t="str">
        <f t="shared" si="54"/>
        <v>0-6 months</v>
      </c>
      <c r="W1170" s="21" t="str">
        <f t="shared" si="55"/>
        <v>Low Risk</v>
      </c>
      <c r="X1170" s="21" t="str">
        <f t="shared" si="56"/>
        <v>No</v>
      </c>
    </row>
    <row r="1171" spans="1:24" x14ac:dyDescent="0.3">
      <c r="A1171" s="21">
        <f>'Raw Data'!A1171</f>
        <v>51170</v>
      </c>
      <c r="B1171" s="21">
        <f>'Raw Data'!B1171</f>
        <v>1</v>
      </c>
      <c r="C1171" s="21">
        <f>'Raw Data'!C1171</f>
        <v>4</v>
      </c>
      <c r="D1171" s="21" t="str">
        <f>'Raw Data'!D1171</f>
        <v>Mobile Phone</v>
      </c>
      <c r="E1171" s="21">
        <f>'Raw Data'!E1171</f>
        <v>2</v>
      </c>
      <c r="F1171" s="21">
        <f>IF('Raw Data'!F1171="",ROUND(AVERAGE('Raw Data'!$F$2:$F$1501),1),'Raw Data'!F1171)</f>
        <v>21</v>
      </c>
      <c r="G1171" s="21" t="str">
        <f>'Raw Data'!G1171</f>
        <v>Credit Card</v>
      </c>
      <c r="H1171" s="21" t="str">
        <f>'Raw Data'!H1171</f>
        <v>Female</v>
      </c>
      <c r="I1171" s="21">
        <f>IF('Raw Data'!I1171="",ROUND(AVERAGE('Raw Data'!$I$2:$I$1501),1),'Raw Data'!I1171)</f>
        <v>3.3</v>
      </c>
      <c r="J1171" s="21">
        <f>'Raw Data'!J1171</f>
        <v>1</v>
      </c>
      <c r="K1171" s="21" t="str">
        <f>'Raw Data'!K1171</f>
        <v>Laptop &amp; Accessory</v>
      </c>
      <c r="L1171" s="21">
        <f>'Raw Data'!L1171</f>
        <v>2</v>
      </c>
      <c r="M1171" s="21" t="str">
        <f>'Raw Data'!M1171</f>
        <v>Married</v>
      </c>
      <c r="N1171" s="21">
        <f>'Raw Data'!N1171</f>
        <v>3</v>
      </c>
      <c r="O1171" s="21">
        <f>'Raw Data'!O1171</f>
        <v>0</v>
      </c>
      <c r="P1171" s="21">
        <f>IF('Raw Data'!P1171="",ROUND(AVERAGE('Raw Data'!$P$2:$P$1501),1),'Raw Data'!P1171)</f>
        <v>13.7</v>
      </c>
      <c r="Q1171" s="21">
        <f>IF('Raw Data'!Q1171="",ROUND(AVERAGE('Raw Data'!$Q$2:$Q$1501),0),'Raw Data'!Q1171)</f>
        <v>0</v>
      </c>
      <c r="R1171" s="21">
        <f>'Raw Data'!R1171</f>
        <v>4</v>
      </c>
      <c r="S1171" s="21">
        <f>IF('Raw Data'!S1171="",ROUND(AVERAGE('Raw Data'!$S$2:$S$1501),0),'Raw Data'!S1171)</f>
        <v>7</v>
      </c>
      <c r="T1171" s="21">
        <f>'Raw Data'!T1171</f>
        <v>200.95</v>
      </c>
      <c r="U1171" s="21" t="str">
        <f>INDEX('Lookup Tables'!$C$7:$C$9,MATCH(E1171,'Lookup Tables'!$B$7:$B$9,0))</f>
        <v>Tier 2 (Urban)</v>
      </c>
      <c r="V1171" s="21" t="str">
        <f t="shared" si="54"/>
        <v>0-6 months</v>
      </c>
      <c r="W1171" s="21" t="str">
        <f t="shared" si="55"/>
        <v>Low Risk</v>
      </c>
      <c r="X1171" s="21" t="str">
        <f t="shared" si="56"/>
        <v>Yes</v>
      </c>
    </row>
    <row r="1172" spans="1:24" x14ac:dyDescent="0.3">
      <c r="A1172" s="21">
        <f>'Raw Data'!A1172</f>
        <v>51171</v>
      </c>
      <c r="B1172" s="21">
        <f>'Raw Data'!B1172</f>
        <v>0</v>
      </c>
      <c r="C1172" s="21">
        <f>'Raw Data'!C1172</f>
        <v>4</v>
      </c>
      <c r="D1172" s="21" t="str">
        <f>'Raw Data'!D1172</f>
        <v>Mobile Phone</v>
      </c>
      <c r="E1172" s="21">
        <f>'Raw Data'!E1172</f>
        <v>3</v>
      </c>
      <c r="F1172" s="21">
        <f>IF('Raw Data'!F1172="",ROUND(AVERAGE('Raw Data'!$F$2:$F$1501),1),'Raw Data'!F1172)</f>
        <v>12</v>
      </c>
      <c r="G1172" s="21" t="str">
        <f>'Raw Data'!G1172</f>
        <v>Credit Card</v>
      </c>
      <c r="H1172" s="21" t="str">
        <f>'Raw Data'!H1172</f>
        <v>Female</v>
      </c>
      <c r="I1172" s="21">
        <f>IF('Raw Data'!I1172="",ROUND(AVERAGE('Raw Data'!$I$2:$I$1501),1),'Raw Data'!I1172)</f>
        <v>2.5</v>
      </c>
      <c r="J1172" s="21">
        <f>'Raw Data'!J1172</f>
        <v>3</v>
      </c>
      <c r="K1172" s="21" t="str">
        <f>'Raw Data'!K1172</f>
        <v>Laptop &amp; Accessory</v>
      </c>
      <c r="L1172" s="21">
        <f>'Raw Data'!L1172</f>
        <v>4</v>
      </c>
      <c r="M1172" s="21" t="str">
        <f>'Raw Data'!M1172</f>
        <v>Divorced</v>
      </c>
      <c r="N1172" s="21">
        <f>'Raw Data'!N1172</f>
        <v>2</v>
      </c>
      <c r="O1172" s="21">
        <f>'Raw Data'!O1172</f>
        <v>0</v>
      </c>
      <c r="P1172" s="21">
        <f>IF('Raw Data'!P1172="",ROUND(AVERAGE('Raw Data'!$P$2:$P$1501),1),'Raw Data'!P1172)</f>
        <v>14.8</v>
      </c>
      <c r="Q1172" s="21">
        <f>IF('Raw Data'!Q1172="",ROUND(AVERAGE('Raw Data'!$Q$2:$Q$1501),0),'Raw Data'!Q1172)</f>
        <v>1</v>
      </c>
      <c r="R1172" s="21">
        <f>'Raw Data'!R1172</f>
        <v>4</v>
      </c>
      <c r="S1172" s="21">
        <f>IF('Raw Data'!S1172="",ROUND(AVERAGE('Raw Data'!$S$2:$S$1501),0),'Raw Data'!S1172)</f>
        <v>3</v>
      </c>
      <c r="T1172" s="21">
        <f>'Raw Data'!T1172</f>
        <v>189.31</v>
      </c>
      <c r="U1172" s="21" t="str">
        <f>INDEX('Lookup Tables'!$C$7:$C$9,MATCH(E1172,'Lookup Tables'!$B$7:$B$9,0))</f>
        <v>Tier 3 (Semi-urban/Rural)</v>
      </c>
      <c r="V1172" s="21" t="str">
        <f t="shared" si="54"/>
        <v>0-6 months</v>
      </c>
      <c r="W1172" s="21" t="str">
        <f t="shared" si="55"/>
        <v>Low Risk</v>
      </c>
      <c r="X1172" s="21" t="str">
        <f t="shared" si="56"/>
        <v>No</v>
      </c>
    </row>
    <row r="1173" spans="1:24" x14ac:dyDescent="0.3">
      <c r="A1173" s="21">
        <f>'Raw Data'!A1173</f>
        <v>51172</v>
      </c>
      <c r="B1173" s="21">
        <f>'Raw Data'!B1173</f>
        <v>0</v>
      </c>
      <c r="C1173" s="21">
        <f>'Raw Data'!C1173</f>
        <v>0</v>
      </c>
      <c r="D1173" s="21" t="str">
        <f>'Raw Data'!D1173</f>
        <v>Mobile Phone</v>
      </c>
      <c r="E1173" s="21">
        <f>'Raw Data'!E1173</f>
        <v>1</v>
      </c>
      <c r="F1173" s="21">
        <f>IF('Raw Data'!F1173="",ROUND(AVERAGE('Raw Data'!$F$2:$F$1501),1),'Raw Data'!F1173)</f>
        <v>13</v>
      </c>
      <c r="G1173" s="21" t="str">
        <f>'Raw Data'!G1173</f>
        <v>UPI</v>
      </c>
      <c r="H1173" s="21" t="str">
        <f>'Raw Data'!H1173</f>
        <v>Male</v>
      </c>
      <c r="I1173" s="21">
        <f>IF('Raw Data'!I1173="",ROUND(AVERAGE('Raw Data'!$I$2:$I$1501),1),'Raw Data'!I1173)</f>
        <v>3.7</v>
      </c>
      <c r="J1173" s="21">
        <f>'Raw Data'!J1173</f>
        <v>2</v>
      </c>
      <c r="K1173" s="21" t="str">
        <f>'Raw Data'!K1173</f>
        <v>Laptop &amp; Accessory</v>
      </c>
      <c r="L1173" s="21">
        <f>'Raw Data'!L1173</f>
        <v>5</v>
      </c>
      <c r="M1173" s="21" t="str">
        <f>'Raw Data'!M1173</f>
        <v>Married</v>
      </c>
      <c r="N1173" s="21">
        <f>'Raw Data'!N1173</f>
        <v>1</v>
      </c>
      <c r="O1173" s="21">
        <f>'Raw Data'!O1173</f>
        <v>0</v>
      </c>
      <c r="P1173" s="21">
        <f>IF('Raw Data'!P1173="",ROUND(AVERAGE('Raw Data'!$P$2:$P$1501),1),'Raw Data'!P1173)</f>
        <v>21</v>
      </c>
      <c r="Q1173" s="21">
        <f>IF('Raw Data'!Q1173="",ROUND(AVERAGE('Raw Data'!$Q$2:$Q$1501),0),'Raw Data'!Q1173)</f>
        <v>0</v>
      </c>
      <c r="R1173" s="21">
        <f>'Raw Data'!R1173</f>
        <v>3</v>
      </c>
      <c r="S1173" s="21">
        <f>IF('Raw Data'!S1173="",ROUND(AVERAGE('Raw Data'!$S$2:$S$1501),0),'Raw Data'!S1173)</f>
        <v>5</v>
      </c>
      <c r="T1173" s="21">
        <f>'Raw Data'!T1173</f>
        <v>251.03</v>
      </c>
      <c r="U1173" s="21" t="str">
        <f>INDEX('Lookup Tables'!$C$7:$C$9,MATCH(E1173,'Lookup Tables'!$B$7:$B$9,0))</f>
        <v>Tier 1 (Metro)</v>
      </c>
      <c r="V1173" s="21" t="str">
        <f t="shared" si="54"/>
        <v>0-6 months</v>
      </c>
      <c r="W1173" s="21" t="str">
        <f t="shared" si="55"/>
        <v>Low Risk</v>
      </c>
      <c r="X1173" s="21" t="str">
        <f t="shared" si="56"/>
        <v>No</v>
      </c>
    </row>
    <row r="1174" spans="1:24" x14ac:dyDescent="0.3">
      <c r="A1174" s="21">
        <f>'Raw Data'!A1174</f>
        <v>51173</v>
      </c>
      <c r="B1174" s="21">
        <f>'Raw Data'!B1174</f>
        <v>0</v>
      </c>
      <c r="C1174" s="21">
        <f>'Raw Data'!C1174</f>
        <v>0</v>
      </c>
      <c r="D1174" s="21" t="str">
        <f>'Raw Data'!D1174</f>
        <v>Mobile Phone</v>
      </c>
      <c r="E1174" s="21">
        <f>'Raw Data'!E1174</f>
        <v>1</v>
      </c>
      <c r="F1174" s="21">
        <f>IF('Raw Data'!F1174="",ROUND(AVERAGE('Raw Data'!$F$2:$F$1501),1),'Raw Data'!F1174)</f>
        <v>22</v>
      </c>
      <c r="G1174" s="21" t="str">
        <f>'Raw Data'!G1174</f>
        <v>Credit Card</v>
      </c>
      <c r="H1174" s="21" t="str">
        <f>'Raw Data'!H1174</f>
        <v>Male</v>
      </c>
      <c r="I1174" s="21">
        <f>IF('Raw Data'!I1174="",ROUND(AVERAGE('Raw Data'!$I$2:$I$1501),1),'Raw Data'!I1174)</f>
        <v>3.7</v>
      </c>
      <c r="J1174" s="21">
        <f>'Raw Data'!J1174</f>
        <v>3</v>
      </c>
      <c r="K1174" s="21" t="str">
        <f>'Raw Data'!K1174</f>
        <v>Mobile Phone</v>
      </c>
      <c r="L1174" s="21">
        <f>'Raw Data'!L1174</f>
        <v>4</v>
      </c>
      <c r="M1174" s="21" t="str">
        <f>'Raw Data'!M1174</f>
        <v>Single</v>
      </c>
      <c r="N1174" s="21">
        <f>'Raw Data'!N1174</f>
        <v>1</v>
      </c>
      <c r="O1174" s="21">
        <f>'Raw Data'!O1174</f>
        <v>1</v>
      </c>
      <c r="P1174" s="21">
        <f>IF('Raw Data'!P1174="",ROUND(AVERAGE('Raw Data'!$P$2:$P$1501),1),'Raw Data'!P1174)</f>
        <v>18</v>
      </c>
      <c r="Q1174" s="21">
        <f>IF('Raw Data'!Q1174="",ROUND(AVERAGE('Raw Data'!$Q$2:$Q$1501),0),'Raw Data'!Q1174)</f>
        <v>1</v>
      </c>
      <c r="R1174" s="21">
        <f>'Raw Data'!R1174</f>
        <v>3</v>
      </c>
      <c r="S1174" s="21">
        <f>IF('Raw Data'!S1174="",ROUND(AVERAGE('Raw Data'!$S$2:$S$1501),0),'Raw Data'!S1174)</f>
        <v>7</v>
      </c>
      <c r="T1174" s="21">
        <f>'Raw Data'!T1174</f>
        <v>177.03</v>
      </c>
      <c r="U1174" s="21" t="str">
        <f>INDEX('Lookup Tables'!$C$7:$C$9,MATCH(E1174,'Lookup Tables'!$B$7:$B$9,0))</f>
        <v>Tier 1 (Metro)</v>
      </c>
      <c r="V1174" s="21" t="str">
        <f t="shared" si="54"/>
        <v>0-6 months</v>
      </c>
      <c r="W1174" s="21" t="str">
        <f t="shared" si="55"/>
        <v>Low Risk</v>
      </c>
      <c r="X1174" s="21" t="str">
        <f t="shared" si="56"/>
        <v>No</v>
      </c>
    </row>
    <row r="1175" spans="1:24" x14ac:dyDescent="0.3">
      <c r="A1175" s="21">
        <f>'Raw Data'!A1175</f>
        <v>51174</v>
      </c>
      <c r="B1175" s="21">
        <f>'Raw Data'!B1175</f>
        <v>0</v>
      </c>
      <c r="C1175" s="21">
        <f>'Raw Data'!C1175</f>
        <v>17</v>
      </c>
      <c r="D1175" s="21" t="str">
        <f>'Raw Data'!D1175</f>
        <v>Mobile Phone</v>
      </c>
      <c r="E1175" s="21">
        <f>'Raw Data'!E1175</f>
        <v>3</v>
      </c>
      <c r="F1175" s="21">
        <f>IF('Raw Data'!F1175="",ROUND(AVERAGE('Raw Data'!$F$2:$F$1501),1),'Raw Data'!F1175)</f>
        <v>9</v>
      </c>
      <c r="G1175" s="21" t="str">
        <f>'Raw Data'!G1175</f>
        <v>UPI</v>
      </c>
      <c r="H1175" s="21" t="str">
        <f>'Raw Data'!H1175</f>
        <v>Male</v>
      </c>
      <c r="I1175" s="21">
        <f>IF('Raw Data'!I1175="",ROUND(AVERAGE('Raw Data'!$I$2:$I$1501),1),'Raw Data'!I1175)</f>
        <v>3.1</v>
      </c>
      <c r="J1175" s="21">
        <f>'Raw Data'!J1175</f>
        <v>4</v>
      </c>
      <c r="K1175" s="21" t="str">
        <f>'Raw Data'!K1175</f>
        <v>Grocery</v>
      </c>
      <c r="L1175" s="21">
        <f>'Raw Data'!L1175</f>
        <v>3</v>
      </c>
      <c r="M1175" s="21" t="str">
        <f>'Raw Data'!M1175</f>
        <v>Single</v>
      </c>
      <c r="N1175" s="21">
        <f>'Raw Data'!N1175</f>
        <v>6</v>
      </c>
      <c r="O1175" s="21">
        <f>'Raw Data'!O1175</f>
        <v>0</v>
      </c>
      <c r="P1175" s="21">
        <f>IF('Raw Data'!P1175="",ROUND(AVERAGE('Raw Data'!$P$2:$P$1501),1),'Raw Data'!P1175)</f>
        <v>12</v>
      </c>
      <c r="Q1175" s="21">
        <f>IF('Raw Data'!Q1175="",ROUND(AVERAGE('Raw Data'!$Q$2:$Q$1501),0),'Raw Data'!Q1175)</f>
        <v>1</v>
      </c>
      <c r="R1175" s="21">
        <f>'Raw Data'!R1175</f>
        <v>5</v>
      </c>
      <c r="S1175" s="21">
        <f>IF('Raw Data'!S1175="",ROUND(AVERAGE('Raw Data'!$S$2:$S$1501),0),'Raw Data'!S1175)</f>
        <v>10</v>
      </c>
      <c r="T1175" s="21">
        <f>'Raw Data'!T1175</f>
        <v>198.62</v>
      </c>
      <c r="U1175" s="21" t="str">
        <f>INDEX('Lookup Tables'!$C$7:$C$9,MATCH(E1175,'Lookup Tables'!$B$7:$B$9,0))</f>
        <v>Tier 3 (Semi-urban/Rural)</v>
      </c>
      <c r="V1175" s="21" t="str">
        <f t="shared" si="54"/>
        <v>13-24 months</v>
      </c>
      <c r="W1175" s="21" t="str">
        <f t="shared" si="55"/>
        <v>Medium Risk</v>
      </c>
      <c r="X1175" s="21" t="str">
        <f t="shared" si="56"/>
        <v>No</v>
      </c>
    </row>
    <row r="1176" spans="1:24" x14ac:dyDescent="0.3">
      <c r="A1176" s="21">
        <f>'Raw Data'!A1176</f>
        <v>51175</v>
      </c>
      <c r="B1176" s="21">
        <f>'Raw Data'!B1176</f>
        <v>0</v>
      </c>
      <c r="C1176" s="21">
        <f>'Raw Data'!C1176</f>
        <v>3</v>
      </c>
      <c r="D1176" s="21" t="str">
        <f>'Raw Data'!D1176</f>
        <v>Computer</v>
      </c>
      <c r="E1176" s="21">
        <f>'Raw Data'!E1176</f>
        <v>2</v>
      </c>
      <c r="F1176" s="21">
        <f>IF('Raw Data'!F1176="",ROUND(AVERAGE('Raw Data'!$F$2:$F$1501),1),'Raw Data'!F1176)</f>
        <v>5</v>
      </c>
      <c r="G1176" s="21" t="str">
        <f>'Raw Data'!G1176</f>
        <v>E wallet</v>
      </c>
      <c r="H1176" s="21" t="str">
        <f>'Raw Data'!H1176</f>
        <v>Female</v>
      </c>
      <c r="I1176" s="21">
        <f>IF('Raw Data'!I1176="",ROUND(AVERAGE('Raw Data'!$I$2:$I$1501),1),'Raw Data'!I1176)</f>
        <v>2.2999999999999998</v>
      </c>
      <c r="J1176" s="21">
        <f>'Raw Data'!J1176</f>
        <v>5</v>
      </c>
      <c r="K1176" s="21" t="str">
        <f>'Raw Data'!K1176</f>
        <v>Laptop &amp; Accessory</v>
      </c>
      <c r="L1176" s="21">
        <f>'Raw Data'!L1176</f>
        <v>4</v>
      </c>
      <c r="M1176" s="21" t="str">
        <f>'Raw Data'!M1176</f>
        <v>Married</v>
      </c>
      <c r="N1176" s="21">
        <f>'Raw Data'!N1176</f>
        <v>7</v>
      </c>
      <c r="O1176" s="21">
        <f>'Raw Data'!O1176</f>
        <v>1</v>
      </c>
      <c r="P1176" s="21">
        <f>IF('Raw Data'!P1176="",ROUND(AVERAGE('Raw Data'!$P$2:$P$1501),1),'Raw Data'!P1176)</f>
        <v>13.9</v>
      </c>
      <c r="Q1176" s="21">
        <f>IF('Raw Data'!Q1176="",ROUND(AVERAGE('Raw Data'!$Q$2:$Q$1501),0),'Raw Data'!Q1176)</f>
        <v>4</v>
      </c>
      <c r="R1176" s="21">
        <f>'Raw Data'!R1176</f>
        <v>5</v>
      </c>
      <c r="S1176" s="21">
        <f>IF('Raw Data'!S1176="",ROUND(AVERAGE('Raw Data'!$S$2:$S$1501),0),'Raw Data'!S1176)</f>
        <v>2</v>
      </c>
      <c r="T1176" s="21">
        <f>'Raw Data'!T1176</f>
        <v>149.33000000000001</v>
      </c>
      <c r="U1176" s="21" t="str">
        <f>INDEX('Lookup Tables'!$C$7:$C$9,MATCH(E1176,'Lookup Tables'!$B$7:$B$9,0))</f>
        <v>Tier 2 (Urban)</v>
      </c>
      <c r="V1176" s="21" t="str">
        <f t="shared" si="54"/>
        <v>0-6 months</v>
      </c>
      <c r="W1176" s="21" t="str">
        <f t="shared" si="55"/>
        <v>Low Risk</v>
      </c>
      <c r="X1176" s="21" t="str">
        <f t="shared" si="56"/>
        <v>No</v>
      </c>
    </row>
    <row r="1177" spans="1:24" x14ac:dyDescent="0.3">
      <c r="A1177" s="21">
        <f>'Raw Data'!A1177</f>
        <v>51176</v>
      </c>
      <c r="B1177" s="21">
        <f>'Raw Data'!B1177</f>
        <v>0</v>
      </c>
      <c r="C1177" s="21">
        <f>'Raw Data'!C1177</f>
        <v>7</v>
      </c>
      <c r="D1177" s="21" t="str">
        <f>'Raw Data'!D1177</f>
        <v>Phone</v>
      </c>
      <c r="E1177" s="21">
        <f>'Raw Data'!E1177</f>
        <v>2</v>
      </c>
      <c r="F1177" s="21">
        <f>IF('Raw Data'!F1177="",ROUND(AVERAGE('Raw Data'!$F$2:$F$1501),1),'Raw Data'!F1177)</f>
        <v>13</v>
      </c>
      <c r="G1177" s="21" t="str">
        <f>'Raw Data'!G1177</f>
        <v>Debit Card</v>
      </c>
      <c r="H1177" s="21" t="str">
        <f>'Raw Data'!H1177</f>
        <v>Male</v>
      </c>
      <c r="I1177" s="21">
        <f>IF('Raw Data'!I1177="",ROUND(AVERAGE('Raw Data'!$I$2:$I$1501),1),'Raw Data'!I1177)</f>
        <v>2.6</v>
      </c>
      <c r="J1177" s="21">
        <f>'Raw Data'!J1177</f>
        <v>3</v>
      </c>
      <c r="K1177" s="21" t="str">
        <f>'Raw Data'!K1177</f>
        <v>Laptop &amp; Accessory</v>
      </c>
      <c r="L1177" s="21">
        <f>'Raw Data'!L1177</f>
        <v>3</v>
      </c>
      <c r="M1177" s="21" t="str">
        <f>'Raw Data'!M1177</f>
        <v>Divorced</v>
      </c>
      <c r="N1177" s="21">
        <f>'Raw Data'!N1177</f>
        <v>3</v>
      </c>
      <c r="O1177" s="21">
        <f>'Raw Data'!O1177</f>
        <v>0</v>
      </c>
      <c r="P1177" s="21">
        <f>IF('Raw Data'!P1177="",ROUND(AVERAGE('Raw Data'!$P$2:$P$1501),1),'Raw Data'!P1177)</f>
        <v>17.3</v>
      </c>
      <c r="Q1177" s="21">
        <f>IF('Raw Data'!Q1177="",ROUND(AVERAGE('Raw Data'!$Q$2:$Q$1501),0),'Raw Data'!Q1177)</f>
        <v>1</v>
      </c>
      <c r="R1177" s="21">
        <f>'Raw Data'!R1177</f>
        <v>2</v>
      </c>
      <c r="S1177" s="21">
        <f>IF('Raw Data'!S1177="",ROUND(AVERAGE('Raw Data'!$S$2:$S$1501),0),'Raw Data'!S1177)</f>
        <v>8</v>
      </c>
      <c r="T1177" s="21">
        <f>'Raw Data'!T1177</f>
        <v>119.33</v>
      </c>
      <c r="U1177" s="21" t="str">
        <f>INDEX('Lookup Tables'!$C$7:$C$9,MATCH(E1177,'Lookup Tables'!$B$7:$B$9,0))</f>
        <v>Tier 2 (Urban)</v>
      </c>
      <c r="V1177" s="21" t="str">
        <f t="shared" si="54"/>
        <v>7-12 months</v>
      </c>
      <c r="W1177" s="21" t="str">
        <f t="shared" si="55"/>
        <v>Medium Risk</v>
      </c>
      <c r="X1177" s="21" t="str">
        <f t="shared" si="56"/>
        <v>No</v>
      </c>
    </row>
    <row r="1178" spans="1:24" x14ac:dyDescent="0.3">
      <c r="A1178" s="21">
        <f>'Raw Data'!A1178</f>
        <v>51177</v>
      </c>
      <c r="B1178" s="21">
        <f>'Raw Data'!B1178</f>
        <v>0</v>
      </c>
      <c r="C1178" s="21">
        <f>'Raw Data'!C1178</f>
        <v>3</v>
      </c>
      <c r="D1178" s="21" t="str">
        <f>'Raw Data'!D1178</f>
        <v>Mobile Phone</v>
      </c>
      <c r="E1178" s="21">
        <f>'Raw Data'!E1178</f>
        <v>3</v>
      </c>
      <c r="F1178" s="21">
        <f>IF('Raw Data'!F1178="",ROUND(AVERAGE('Raw Data'!$F$2:$F$1501),1),'Raw Data'!F1178)</f>
        <v>11</v>
      </c>
      <c r="G1178" s="21" t="str">
        <f>'Raw Data'!G1178</f>
        <v>Debit Card</v>
      </c>
      <c r="H1178" s="21" t="str">
        <f>'Raw Data'!H1178</f>
        <v>Male</v>
      </c>
      <c r="I1178" s="21">
        <f>IF('Raw Data'!I1178="",ROUND(AVERAGE('Raw Data'!$I$2:$I$1501),1),'Raw Data'!I1178)</f>
        <v>3.1</v>
      </c>
      <c r="J1178" s="21">
        <f>'Raw Data'!J1178</f>
        <v>3</v>
      </c>
      <c r="K1178" s="21" t="str">
        <f>'Raw Data'!K1178</f>
        <v>Fashion</v>
      </c>
      <c r="L1178" s="21">
        <f>'Raw Data'!L1178</f>
        <v>5</v>
      </c>
      <c r="M1178" s="21" t="str">
        <f>'Raw Data'!M1178</f>
        <v>Single</v>
      </c>
      <c r="N1178" s="21">
        <f>'Raw Data'!N1178</f>
        <v>3</v>
      </c>
      <c r="O1178" s="21">
        <f>'Raw Data'!O1178</f>
        <v>0</v>
      </c>
      <c r="P1178" s="21">
        <f>IF('Raw Data'!P1178="",ROUND(AVERAGE('Raw Data'!$P$2:$P$1501),1),'Raw Data'!P1178)</f>
        <v>12.8</v>
      </c>
      <c r="Q1178" s="21">
        <f>IF('Raw Data'!Q1178="",ROUND(AVERAGE('Raw Data'!$Q$2:$Q$1501),0),'Raw Data'!Q1178)</f>
        <v>0</v>
      </c>
      <c r="R1178" s="21">
        <f>'Raw Data'!R1178</f>
        <v>3</v>
      </c>
      <c r="S1178" s="21">
        <f>IF('Raw Data'!S1178="",ROUND(AVERAGE('Raw Data'!$S$2:$S$1501),0),'Raw Data'!S1178)</f>
        <v>1</v>
      </c>
      <c r="T1178" s="21">
        <f>'Raw Data'!T1178</f>
        <v>225.91</v>
      </c>
      <c r="U1178" s="21" t="str">
        <f>INDEX('Lookup Tables'!$C$7:$C$9,MATCH(E1178,'Lookup Tables'!$B$7:$B$9,0))</f>
        <v>Tier 3 (Semi-urban/Rural)</v>
      </c>
      <c r="V1178" s="21" t="str">
        <f t="shared" si="54"/>
        <v>0-6 months</v>
      </c>
      <c r="W1178" s="21" t="str">
        <f t="shared" si="55"/>
        <v>Low Risk</v>
      </c>
      <c r="X1178" s="21" t="str">
        <f t="shared" si="56"/>
        <v>No</v>
      </c>
    </row>
    <row r="1179" spans="1:24" x14ac:dyDescent="0.3">
      <c r="A1179" s="21">
        <f>'Raw Data'!A1179</f>
        <v>51178</v>
      </c>
      <c r="B1179" s="21">
        <f>'Raw Data'!B1179</f>
        <v>0</v>
      </c>
      <c r="C1179" s="21">
        <f>'Raw Data'!C1179</f>
        <v>28</v>
      </c>
      <c r="D1179" s="21" t="str">
        <f>'Raw Data'!D1179</f>
        <v>Mobile Phone</v>
      </c>
      <c r="E1179" s="21">
        <f>'Raw Data'!E1179</f>
        <v>3</v>
      </c>
      <c r="F1179" s="21">
        <f>IF('Raw Data'!F1179="",ROUND(AVERAGE('Raw Data'!$F$2:$F$1501),1),'Raw Data'!F1179)</f>
        <v>7</v>
      </c>
      <c r="G1179" s="21" t="str">
        <f>'Raw Data'!G1179</f>
        <v>Credit Card</v>
      </c>
      <c r="H1179" s="21" t="str">
        <f>'Raw Data'!H1179</f>
        <v>Male</v>
      </c>
      <c r="I1179" s="21">
        <f>IF('Raw Data'!I1179="",ROUND(AVERAGE('Raw Data'!$I$2:$I$1501),1),'Raw Data'!I1179)</f>
        <v>2.8</v>
      </c>
      <c r="J1179" s="21">
        <f>'Raw Data'!J1179</f>
        <v>1</v>
      </c>
      <c r="K1179" s="21" t="str">
        <f>'Raw Data'!K1179</f>
        <v>Laptop &amp; Accessory</v>
      </c>
      <c r="L1179" s="21">
        <f>'Raw Data'!L1179</f>
        <v>4</v>
      </c>
      <c r="M1179" s="21" t="str">
        <f>'Raw Data'!M1179</f>
        <v>Single</v>
      </c>
      <c r="N1179" s="21">
        <f>'Raw Data'!N1179</f>
        <v>3</v>
      </c>
      <c r="O1179" s="21">
        <f>'Raw Data'!O1179</f>
        <v>0</v>
      </c>
      <c r="P1179" s="21">
        <f>IF('Raw Data'!P1179="",ROUND(AVERAGE('Raw Data'!$P$2:$P$1501),1),'Raw Data'!P1179)</f>
        <v>13.5</v>
      </c>
      <c r="Q1179" s="21">
        <f>IF('Raw Data'!Q1179="",ROUND(AVERAGE('Raw Data'!$Q$2:$Q$1501),0),'Raw Data'!Q1179)</f>
        <v>2</v>
      </c>
      <c r="R1179" s="21">
        <f>'Raw Data'!R1179</f>
        <v>4</v>
      </c>
      <c r="S1179" s="21">
        <f>IF('Raw Data'!S1179="",ROUND(AVERAGE('Raw Data'!$S$2:$S$1501),0),'Raw Data'!S1179)</f>
        <v>5</v>
      </c>
      <c r="T1179" s="21">
        <f>'Raw Data'!T1179</f>
        <v>248.38</v>
      </c>
      <c r="U1179" s="21" t="str">
        <f>INDEX('Lookup Tables'!$C$7:$C$9,MATCH(E1179,'Lookup Tables'!$B$7:$B$9,0))</f>
        <v>Tier 3 (Semi-urban/Rural)</v>
      </c>
      <c r="V1179" s="21" t="str">
        <f t="shared" si="54"/>
        <v>25+ months</v>
      </c>
      <c r="W1179" s="21" t="str">
        <f t="shared" si="55"/>
        <v>Low Risk</v>
      </c>
      <c r="X1179" s="21" t="str">
        <f t="shared" si="56"/>
        <v>No</v>
      </c>
    </row>
    <row r="1180" spans="1:24" x14ac:dyDescent="0.3">
      <c r="A1180" s="21">
        <f>'Raw Data'!A1180</f>
        <v>51179</v>
      </c>
      <c r="B1180" s="21">
        <f>'Raw Data'!B1180</f>
        <v>0</v>
      </c>
      <c r="C1180" s="21">
        <f>'Raw Data'!C1180</f>
        <v>3</v>
      </c>
      <c r="D1180" s="21" t="str">
        <f>'Raw Data'!D1180</f>
        <v>Computer</v>
      </c>
      <c r="E1180" s="21">
        <f>'Raw Data'!E1180</f>
        <v>3</v>
      </c>
      <c r="F1180" s="21">
        <f>IF('Raw Data'!F1180="",ROUND(AVERAGE('Raw Data'!$F$2:$F$1501),1),'Raw Data'!F1180)</f>
        <v>13</v>
      </c>
      <c r="G1180" s="21" t="str">
        <f>'Raw Data'!G1180</f>
        <v>Credit Card</v>
      </c>
      <c r="H1180" s="21" t="str">
        <f>'Raw Data'!H1180</f>
        <v>Male</v>
      </c>
      <c r="I1180" s="21">
        <f>IF('Raw Data'!I1180="",ROUND(AVERAGE('Raw Data'!$I$2:$I$1501),1),'Raw Data'!I1180)</f>
        <v>3.6</v>
      </c>
      <c r="J1180" s="21">
        <f>'Raw Data'!J1180</f>
        <v>3</v>
      </c>
      <c r="K1180" s="21" t="str">
        <f>'Raw Data'!K1180</f>
        <v>Others</v>
      </c>
      <c r="L1180" s="21">
        <f>'Raw Data'!L1180</f>
        <v>4</v>
      </c>
      <c r="M1180" s="21" t="str">
        <f>'Raw Data'!M1180</f>
        <v>Divorced</v>
      </c>
      <c r="N1180" s="21">
        <f>'Raw Data'!N1180</f>
        <v>1</v>
      </c>
      <c r="O1180" s="21">
        <f>'Raw Data'!O1180</f>
        <v>1</v>
      </c>
      <c r="P1180" s="21">
        <f>IF('Raw Data'!P1180="",ROUND(AVERAGE('Raw Data'!$P$2:$P$1501),1),'Raw Data'!P1180)</f>
        <v>20.7</v>
      </c>
      <c r="Q1180" s="21">
        <f>IF('Raw Data'!Q1180="",ROUND(AVERAGE('Raw Data'!$Q$2:$Q$1501),0),'Raw Data'!Q1180)</f>
        <v>2</v>
      </c>
      <c r="R1180" s="21">
        <f>'Raw Data'!R1180</f>
        <v>1</v>
      </c>
      <c r="S1180" s="21">
        <f>IF('Raw Data'!S1180="",ROUND(AVERAGE('Raw Data'!$S$2:$S$1501),0),'Raw Data'!S1180)</f>
        <v>0</v>
      </c>
      <c r="T1180" s="21">
        <f>'Raw Data'!T1180</f>
        <v>218.81</v>
      </c>
      <c r="U1180" s="21" t="str">
        <f>INDEX('Lookup Tables'!$C$7:$C$9,MATCH(E1180,'Lookup Tables'!$B$7:$B$9,0))</f>
        <v>Tier 3 (Semi-urban/Rural)</v>
      </c>
      <c r="V1180" s="21" t="str">
        <f t="shared" si="54"/>
        <v>0-6 months</v>
      </c>
      <c r="W1180" s="21" t="str">
        <f t="shared" si="55"/>
        <v>Low Risk</v>
      </c>
      <c r="X1180" s="21" t="str">
        <f t="shared" si="56"/>
        <v>No</v>
      </c>
    </row>
    <row r="1181" spans="1:24" x14ac:dyDescent="0.3">
      <c r="A1181" s="21">
        <f>'Raw Data'!A1181</f>
        <v>51180</v>
      </c>
      <c r="B1181" s="21">
        <f>'Raw Data'!B1181</f>
        <v>0</v>
      </c>
      <c r="C1181" s="21">
        <f>'Raw Data'!C1181</f>
        <v>5</v>
      </c>
      <c r="D1181" s="21" t="str">
        <f>'Raw Data'!D1181</f>
        <v>Mobile Phone</v>
      </c>
      <c r="E1181" s="21">
        <f>'Raw Data'!E1181</f>
        <v>2</v>
      </c>
      <c r="F1181" s="21">
        <f>IF('Raw Data'!F1181="",ROUND(AVERAGE('Raw Data'!$F$2:$F$1501),1),'Raw Data'!F1181)</f>
        <v>18</v>
      </c>
      <c r="G1181" s="21" t="str">
        <f>'Raw Data'!G1181</f>
        <v>E wallet</v>
      </c>
      <c r="H1181" s="21" t="str">
        <f>'Raw Data'!H1181</f>
        <v>Male</v>
      </c>
      <c r="I1181" s="21">
        <f>IF('Raw Data'!I1181="",ROUND(AVERAGE('Raw Data'!$I$2:$I$1501),1),'Raw Data'!I1181)</f>
        <v>1.8</v>
      </c>
      <c r="J1181" s="21">
        <f>'Raw Data'!J1181</f>
        <v>3</v>
      </c>
      <c r="K1181" s="21" t="str">
        <f>'Raw Data'!K1181</f>
        <v>Fashion</v>
      </c>
      <c r="L1181" s="21">
        <f>'Raw Data'!L1181</f>
        <v>3</v>
      </c>
      <c r="M1181" s="21" t="str">
        <f>'Raw Data'!M1181</f>
        <v>Divorced</v>
      </c>
      <c r="N1181" s="21">
        <f>'Raw Data'!N1181</f>
        <v>1</v>
      </c>
      <c r="O1181" s="21">
        <f>'Raw Data'!O1181</f>
        <v>1</v>
      </c>
      <c r="P1181" s="21">
        <f>IF('Raw Data'!P1181="",ROUND(AVERAGE('Raw Data'!$P$2:$P$1501),1),'Raw Data'!P1181)</f>
        <v>16.3</v>
      </c>
      <c r="Q1181" s="21">
        <f>IF('Raw Data'!Q1181="",ROUND(AVERAGE('Raw Data'!$Q$2:$Q$1501),0),'Raw Data'!Q1181)</f>
        <v>2</v>
      </c>
      <c r="R1181" s="21">
        <f>'Raw Data'!R1181</f>
        <v>2</v>
      </c>
      <c r="S1181" s="21">
        <f>IF('Raw Data'!S1181="",ROUND(AVERAGE('Raw Data'!$S$2:$S$1501),0),'Raw Data'!S1181)</f>
        <v>0</v>
      </c>
      <c r="T1181" s="21">
        <f>'Raw Data'!T1181</f>
        <v>187.22</v>
      </c>
      <c r="U1181" s="21" t="str">
        <f>INDEX('Lookup Tables'!$C$7:$C$9,MATCH(E1181,'Lookup Tables'!$B$7:$B$9,0))</f>
        <v>Tier 2 (Urban)</v>
      </c>
      <c r="V1181" s="21" t="str">
        <f t="shared" si="54"/>
        <v>0-6 months</v>
      </c>
      <c r="W1181" s="21" t="str">
        <f t="shared" si="55"/>
        <v>Medium Risk</v>
      </c>
      <c r="X1181" s="21" t="str">
        <f t="shared" si="56"/>
        <v>No</v>
      </c>
    </row>
    <row r="1182" spans="1:24" x14ac:dyDescent="0.3">
      <c r="A1182" s="21">
        <f>'Raw Data'!A1182</f>
        <v>51181</v>
      </c>
      <c r="B1182" s="21">
        <f>'Raw Data'!B1182</f>
        <v>1</v>
      </c>
      <c r="C1182" s="21">
        <f>'Raw Data'!C1182</f>
        <v>20</v>
      </c>
      <c r="D1182" s="21" t="str">
        <f>'Raw Data'!D1182</f>
        <v>Phone</v>
      </c>
      <c r="E1182" s="21">
        <f>'Raw Data'!E1182</f>
        <v>1</v>
      </c>
      <c r="F1182" s="21">
        <f>IF('Raw Data'!F1182="",ROUND(AVERAGE('Raw Data'!$F$2:$F$1501),1),'Raw Data'!F1182)</f>
        <v>14</v>
      </c>
      <c r="G1182" s="21" t="str">
        <f>'Raw Data'!G1182</f>
        <v>Credit Card</v>
      </c>
      <c r="H1182" s="21" t="str">
        <f>'Raw Data'!H1182</f>
        <v>Male</v>
      </c>
      <c r="I1182" s="21">
        <f>IF('Raw Data'!I1182="",ROUND(AVERAGE('Raw Data'!$I$2:$I$1501),1),'Raw Data'!I1182)</f>
        <v>1.9</v>
      </c>
      <c r="J1182" s="21">
        <f>'Raw Data'!J1182</f>
        <v>4</v>
      </c>
      <c r="K1182" s="21" t="str">
        <f>'Raw Data'!K1182</f>
        <v>Mobile Phone</v>
      </c>
      <c r="L1182" s="21">
        <f>'Raw Data'!L1182</f>
        <v>4</v>
      </c>
      <c r="M1182" s="21" t="str">
        <f>'Raw Data'!M1182</f>
        <v>Single</v>
      </c>
      <c r="N1182" s="21">
        <f>'Raw Data'!N1182</f>
        <v>4</v>
      </c>
      <c r="O1182" s="21">
        <f>'Raw Data'!O1182</f>
        <v>0</v>
      </c>
      <c r="P1182" s="21">
        <f>IF('Raw Data'!P1182="",ROUND(AVERAGE('Raw Data'!$P$2:$P$1501),1),'Raw Data'!P1182)</f>
        <v>19.3</v>
      </c>
      <c r="Q1182" s="21">
        <f>IF('Raw Data'!Q1182="",ROUND(AVERAGE('Raw Data'!$Q$2:$Q$1501),0),'Raw Data'!Q1182)</f>
        <v>4</v>
      </c>
      <c r="R1182" s="21">
        <f>'Raw Data'!R1182</f>
        <v>8</v>
      </c>
      <c r="S1182" s="21">
        <f>IF('Raw Data'!S1182="",ROUND(AVERAGE('Raw Data'!$S$2:$S$1501),0),'Raw Data'!S1182)</f>
        <v>0</v>
      </c>
      <c r="T1182" s="21">
        <f>'Raw Data'!T1182</f>
        <v>126.42</v>
      </c>
      <c r="U1182" s="21" t="str">
        <f>INDEX('Lookup Tables'!$C$7:$C$9,MATCH(E1182,'Lookup Tables'!$B$7:$B$9,0))</f>
        <v>Tier 1 (Metro)</v>
      </c>
      <c r="V1182" s="21" t="str">
        <f t="shared" si="54"/>
        <v>13-24 months</v>
      </c>
      <c r="W1182" s="21" t="str">
        <f t="shared" si="55"/>
        <v>Low Risk</v>
      </c>
      <c r="X1182" s="21" t="str">
        <f t="shared" si="56"/>
        <v>Yes</v>
      </c>
    </row>
    <row r="1183" spans="1:24" x14ac:dyDescent="0.3">
      <c r="A1183" s="21">
        <f>'Raw Data'!A1183</f>
        <v>51182</v>
      </c>
      <c r="B1183" s="21">
        <f>'Raw Data'!B1183</f>
        <v>0</v>
      </c>
      <c r="C1183" s="21">
        <f>'Raw Data'!C1183</f>
        <v>18</v>
      </c>
      <c r="D1183" s="21" t="str">
        <f>'Raw Data'!D1183</f>
        <v>Mobile Phone</v>
      </c>
      <c r="E1183" s="21">
        <f>'Raw Data'!E1183</f>
        <v>1</v>
      </c>
      <c r="F1183" s="21">
        <f>IF('Raw Data'!F1183="",ROUND(AVERAGE('Raw Data'!$F$2:$F$1501),1),'Raw Data'!F1183)</f>
        <v>17</v>
      </c>
      <c r="G1183" s="21" t="str">
        <f>'Raw Data'!G1183</f>
        <v>Credit Card</v>
      </c>
      <c r="H1183" s="21" t="str">
        <f>'Raw Data'!H1183</f>
        <v>Male</v>
      </c>
      <c r="I1183" s="21">
        <f>IF('Raw Data'!I1183="",ROUND(AVERAGE('Raw Data'!$I$2:$I$1501),1),'Raw Data'!I1183)</f>
        <v>3</v>
      </c>
      <c r="J1183" s="21">
        <f>'Raw Data'!J1183</f>
        <v>2</v>
      </c>
      <c r="K1183" s="21" t="str">
        <f>'Raw Data'!K1183</f>
        <v>Laptop &amp; Accessory</v>
      </c>
      <c r="L1183" s="21">
        <f>'Raw Data'!L1183</f>
        <v>3</v>
      </c>
      <c r="M1183" s="21" t="str">
        <f>'Raw Data'!M1183</f>
        <v>Single</v>
      </c>
      <c r="N1183" s="21">
        <f>'Raw Data'!N1183</f>
        <v>2</v>
      </c>
      <c r="O1183" s="21">
        <f>'Raw Data'!O1183</f>
        <v>0</v>
      </c>
      <c r="P1183" s="21">
        <f>IF('Raw Data'!P1183="",ROUND(AVERAGE('Raw Data'!$P$2:$P$1501),1),'Raw Data'!P1183)</f>
        <v>20.399999999999999</v>
      </c>
      <c r="Q1183" s="21">
        <f>IF('Raw Data'!Q1183="",ROUND(AVERAGE('Raw Data'!$Q$2:$Q$1501),0),'Raw Data'!Q1183)</f>
        <v>3</v>
      </c>
      <c r="R1183" s="21">
        <f>'Raw Data'!R1183</f>
        <v>4</v>
      </c>
      <c r="S1183" s="21">
        <f>IF('Raw Data'!S1183="",ROUND(AVERAGE('Raw Data'!$S$2:$S$1501),0),'Raw Data'!S1183)</f>
        <v>1</v>
      </c>
      <c r="T1183" s="21">
        <f>'Raw Data'!T1183</f>
        <v>242.79</v>
      </c>
      <c r="U1183" s="21" t="str">
        <f>INDEX('Lookup Tables'!$C$7:$C$9,MATCH(E1183,'Lookup Tables'!$B$7:$B$9,0))</f>
        <v>Tier 1 (Metro)</v>
      </c>
      <c r="V1183" s="21" t="str">
        <f t="shared" si="54"/>
        <v>13-24 months</v>
      </c>
      <c r="W1183" s="21" t="str">
        <f t="shared" si="55"/>
        <v>Medium Risk</v>
      </c>
      <c r="X1183" s="21" t="str">
        <f t="shared" si="56"/>
        <v>No</v>
      </c>
    </row>
    <row r="1184" spans="1:24" x14ac:dyDescent="0.3">
      <c r="A1184" s="21">
        <f>'Raw Data'!A1184</f>
        <v>51183</v>
      </c>
      <c r="B1184" s="21">
        <f>'Raw Data'!B1184</f>
        <v>0</v>
      </c>
      <c r="C1184" s="21">
        <f>'Raw Data'!C1184</f>
        <v>2</v>
      </c>
      <c r="D1184" s="21" t="str">
        <f>'Raw Data'!D1184</f>
        <v>Mobile Phone</v>
      </c>
      <c r="E1184" s="21">
        <f>'Raw Data'!E1184</f>
        <v>1</v>
      </c>
      <c r="F1184" s="21">
        <f>IF('Raw Data'!F1184="",ROUND(AVERAGE('Raw Data'!$F$2:$F$1501),1),'Raw Data'!F1184)</f>
        <v>29</v>
      </c>
      <c r="G1184" s="21" t="str">
        <f>'Raw Data'!G1184</f>
        <v>Debit Card</v>
      </c>
      <c r="H1184" s="21" t="str">
        <f>'Raw Data'!H1184</f>
        <v>Male</v>
      </c>
      <c r="I1184" s="21">
        <f>IF('Raw Data'!I1184="",ROUND(AVERAGE('Raw Data'!$I$2:$I$1501),1),'Raw Data'!I1184)</f>
        <v>2.6</v>
      </c>
      <c r="J1184" s="21">
        <f>'Raw Data'!J1184</f>
        <v>3</v>
      </c>
      <c r="K1184" s="21" t="str">
        <f>'Raw Data'!K1184</f>
        <v>Mobile Phone</v>
      </c>
      <c r="L1184" s="21">
        <f>'Raw Data'!L1184</f>
        <v>1</v>
      </c>
      <c r="M1184" s="21" t="str">
        <f>'Raw Data'!M1184</f>
        <v>Married</v>
      </c>
      <c r="N1184" s="21">
        <f>'Raw Data'!N1184</f>
        <v>1</v>
      </c>
      <c r="O1184" s="21">
        <f>'Raw Data'!O1184</f>
        <v>0</v>
      </c>
      <c r="P1184" s="21">
        <f>IF('Raw Data'!P1184="",ROUND(AVERAGE('Raw Data'!$P$2:$P$1501),1),'Raw Data'!P1184)</f>
        <v>13.4</v>
      </c>
      <c r="Q1184" s="21">
        <f>IF('Raw Data'!Q1184="",ROUND(AVERAGE('Raw Data'!$Q$2:$Q$1501),0),'Raw Data'!Q1184)</f>
        <v>3</v>
      </c>
      <c r="R1184" s="21">
        <f>'Raw Data'!R1184</f>
        <v>3</v>
      </c>
      <c r="S1184" s="21">
        <f>IF('Raw Data'!S1184="",ROUND(AVERAGE('Raw Data'!$S$2:$S$1501),0),'Raw Data'!S1184)</f>
        <v>0</v>
      </c>
      <c r="T1184" s="21">
        <f>'Raw Data'!T1184</f>
        <v>211.87</v>
      </c>
      <c r="U1184" s="21" t="str">
        <f>INDEX('Lookup Tables'!$C$7:$C$9,MATCH(E1184,'Lookup Tables'!$B$7:$B$9,0))</f>
        <v>Tier 1 (Metro)</v>
      </c>
      <c r="V1184" s="21" t="str">
        <f t="shared" si="54"/>
        <v>0-6 months</v>
      </c>
      <c r="W1184" s="21" t="str">
        <f t="shared" si="55"/>
        <v>Low Risk</v>
      </c>
      <c r="X1184" s="21" t="str">
        <f t="shared" si="56"/>
        <v>No</v>
      </c>
    </row>
    <row r="1185" spans="1:24" x14ac:dyDescent="0.3">
      <c r="A1185" s="21">
        <f>'Raw Data'!A1185</f>
        <v>51184</v>
      </c>
      <c r="B1185" s="21">
        <f>'Raw Data'!B1185</f>
        <v>1</v>
      </c>
      <c r="C1185" s="21">
        <f>'Raw Data'!C1185</f>
        <v>16</v>
      </c>
      <c r="D1185" s="21" t="str">
        <f>'Raw Data'!D1185</f>
        <v>Mobile Phone</v>
      </c>
      <c r="E1185" s="21">
        <f>'Raw Data'!E1185</f>
        <v>2</v>
      </c>
      <c r="F1185" s="21">
        <f>IF('Raw Data'!F1185="",ROUND(AVERAGE('Raw Data'!$F$2:$F$1501),1),'Raw Data'!F1185)</f>
        <v>12</v>
      </c>
      <c r="G1185" s="21" t="str">
        <f>'Raw Data'!G1185</f>
        <v>Debit Card</v>
      </c>
      <c r="H1185" s="21" t="str">
        <f>'Raw Data'!H1185</f>
        <v>Male</v>
      </c>
      <c r="I1185" s="21">
        <f>IF('Raw Data'!I1185="",ROUND(AVERAGE('Raw Data'!$I$2:$I$1501),1),'Raw Data'!I1185)</f>
        <v>2.5</v>
      </c>
      <c r="J1185" s="21">
        <f>'Raw Data'!J1185</f>
        <v>2</v>
      </c>
      <c r="K1185" s="21" t="str">
        <f>'Raw Data'!K1185</f>
        <v>Laptop &amp; Accessory</v>
      </c>
      <c r="L1185" s="21">
        <f>'Raw Data'!L1185</f>
        <v>3</v>
      </c>
      <c r="M1185" s="21" t="str">
        <f>'Raw Data'!M1185</f>
        <v>Single</v>
      </c>
      <c r="N1185" s="21">
        <f>'Raw Data'!N1185</f>
        <v>10</v>
      </c>
      <c r="O1185" s="21">
        <f>'Raw Data'!O1185</f>
        <v>0</v>
      </c>
      <c r="P1185" s="21">
        <f>IF('Raw Data'!P1185="",ROUND(AVERAGE('Raw Data'!$P$2:$P$1501),1),'Raw Data'!P1185)</f>
        <v>12.9</v>
      </c>
      <c r="Q1185" s="21">
        <f>IF('Raw Data'!Q1185="",ROUND(AVERAGE('Raw Data'!$Q$2:$Q$1501),0),'Raw Data'!Q1185)</f>
        <v>2</v>
      </c>
      <c r="R1185" s="21">
        <f>'Raw Data'!R1185</f>
        <v>8</v>
      </c>
      <c r="S1185" s="21">
        <f>IF('Raw Data'!S1185="",ROUND(AVERAGE('Raw Data'!$S$2:$S$1501),0),'Raw Data'!S1185)</f>
        <v>4</v>
      </c>
      <c r="T1185" s="21">
        <f>'Raw Data'!T1185</f>
        <v>291.37</v>
      </c>
      <c r="U1185" s="21" t="str">
        <f>INDEX('Lookup Tables'!$C$7:$C$9,MATCH(E1185,'Lookup Tables'!$B$7:$B$9,0))</f>
        <v>Tier 2 (Urban)</v>
      </c>
      <c r="V1185" s="21" t="str">
        <f t="shared" si="54"/>
        <v>13-24 months</v>
      </c>
      <c r="W1185" s="21" t="str">
        <f t="shared" si="55"/>
        <v>Medium Risk</v>
      </c>
      <c r="X1185" s="21" t="str">
        <f t="shared" si="56"/>
        <v>Yes</v>
      </c>
    </row>
    <row r="1186" spans="1:24" x14ac:dyDescent="0.3">
      <c r="A1186" s="21">
        <f>'Raw Data'!A1186</f>
        <v>51185</v>
      </c>
      <c r="B1186" s="21">
        <f>'Raw Data'!B1186</f>
        <v>0</v>
      </c>
      <c r="C1186" s="21">
        <f>'Raw Data'!C1186</f>
        <v>6</v>
      </c>
      <c r="D1186" s="21" t="str">
        <f>'Raw Data'!D1186</f>
        <v>Computer</v>
      </c>
      <c r="E1186" s="21">
        <f>'Raw Data'!E1186</f>
        <v>1</v>
      </c>
      <c r="F1186" s="21">
        <f>IF('Raw Data'!F1186="",ROUND(AVERAGE('Raw Data'!$F$2:$F$1501),1),'Raw Data'!F1186)</f>
        <v>17</v>
      </c>
      <c r="G1186" s="21" t="str">
        <f>'Raw Data'!G1186</f>
        <v>Credit Card</v>
      </c>
      <c r="H1186" s="21" t="str">
        <f>'Raw Data'!H1186</f>
        <v>Female</v>
      </c>
      <c r="I1186" s="21">
        <f>IF('Raw Data'!I1186="",ROUND(AVERAGE('Raw Data'!$I$2:$I$1501),1),'Raw Data'!I1186)</f>
        <v>1.7</v>
      </c>
      <c r="J1186" s="21">
        <f>'Raw Data'!J1186</f>
        <v>1</v>
      </c>
      <c r="K1186" s="21" t="str">
        <f>'Raw Data'!K1186</f>
        <v>Laptop &amp; Accessory</v>
      </c>
      <c r="L1186" s="21">
        <f>'Raw Data'!L1186</f>
        <v>5</v>
      </c>
      <c r="M1186" s="21" t="str">
        <f>'Raw Data'!M1186</f>
        <v>Married</v>
      </c>
      <c r="N1186" s="21">
        <f>'Raw Data'!N1186</f>
        <v>6</v>
      </c>
      <c r="O1186" s="21">
        <f>'Raw Data'!O1186</f>
        <v>0</v>
      </c>
      <c r="P1186" s="21">
        <f>IF('Raw Data'!P1186="",ROUND(AVERAGE('Raw Data'!$P$2:$P$1501),1),'Raw Data'!P1186)</f>
        <v>15</v>
      </c>
      <c r="Q1186" s="21">
        <f>IF('Raw Data'!Q1186="",ROUND(AVERAGE('Raw Data'!$Q$2:$Q$1501),0),'Raw Data'!Q1186)</f>
        <v>3</v>
      </c>
      <c r="R1186" s="21">
        <f>'Raw Data'!R1186</f>
        <v>5</v>
      </c>
      <c r="S1186" s="21">
        <f>IF('Raw Data'!S1186="",ROUND(AVERAGE('Raw Data'!$S$2:$S$1501),0),'Raw Data'!S1186)</f>
        <v>1</v>
      </c>
      <c r="T1186" s="21">
        <f>'Raw Data'!T1186</f>
        <v>116.51</v>
      </c>
      <c r="U1186" s="21" t="str">
        <f>INDEX('Lookup Tables'!$C$7:$C$9,MATCH(E1186,'Lookup Tables'!$B$7:$B$9,0))</f>
        <v>Tier 1 (Metro)</v>
      </c>
      <c r="V1186" s="21" t="str">
        <f t="shared" si="54"/>
        <v>0-6 months</v>
      </c>
      <c r="W1186" s="21" t="str">
        <f t="shared" si="55"/>
        <v>Low Risk</v>
      </c>
      <c r="X1186" s="21" t="str">
        <f t="shared" si="56"/>
        <v>No</v>
      </c>
    </row>
    <row r="1187" spans="1:24" x14ac:dyDescent="0.3">
      <c r="A1187" s="21">
        <f>'Raw Data'!A1187</f>
        <v>51186</v>
      </c>
      <c r="B1187" s="21">
        <f>'Raw Data'!B1187</f>
        <v>0</v>
      </c>
      <c r="C1187" s="21">
        <f>'Raw Data'!C1187</f>
        <v>6</v>
      </c>
      <c r="D1187" s="21" t="str">
        <f>'Raw Data'!D1187</f>
        <v>Mobile Phone</v>
      </c>
      <c r="E1187" s="21">
        <f>'Raw Data'!E1187</f>
        <v>3</v>
      </c>
      <c r="F1187" s="21">
        <f>IF('Raw Data'!F1187="",ROUND(AVERAGE('Raw Data'!$F$2:$F$1501),1),'Raw Data'!F1187)</f>
        <v>10</v>
      </c>
      <c r="G1187" s="21" t="str">
        <f>'Raw Data'!G1187</f>
        <v>Credit Card</v>
      </c>
      <c r="H1187" s="21" t="str">
        <f>'Raw Data'!H1187</f>
        <v>Male</v>
      </c>
      <c r="I1187" s="21">
        <f>IF('Raw Data'!I1187="",ROUND(AVERAGE('Raw Data'!$I$2:$I$1501),1),'Raw Data'!I1187)</f>
        <v>2.9</v>
      </c>
      <c r="J1187" s="21">
        <f>'Raw Data'!J1187</f>
        <v>2</v>
      </c>
      <c r="K1187" s="21" t="str">
        <f>'Raw Data'!K1187</f>
        <v>Laptop &amp; Accessory</v>
      </c>
      <c r="L1187" s="21">
        <f>'Raw Data'!L1187</f>
        <v>4</v>
      </c>
      <c r="M1187" s="21" t="str">
        <f>'Raw Data'!M1187</f>
        <v>Single</v>
      </c>
      <c r="N1187" s="21">
        <f>'Raw Data'!N1187</f>
        <v>1</v>
      </c>
      <c r="O1187" s="21">
        <f>'Raw Data'!O1187</f>
        <v>1</v>
      </c>
      <c r="P1187" s="21">
        <f>IF('Raw Data'!P1187="",ROUND(AVERAGE('Raw Data'!$P$2:$P$1501),1),'Raw Data'!P1187)</f>
        <v>12.2</v>
      </c>
      <c r="Q1187" s="21">
        <f>IF('Raw Data'!Q1187="",ROUND(AVERAGE('Raw Data'!$Q$2:$Q$1501),0),'Raw Data'!Q1187)</f>
        <v>2</v>
      </c>
      <c r="R1187" s="21">
        <f>'Raw Data'!R1187</f>
        <v>2</v>
      </c>
      <c r="S1187" s="21">
        <f>IF('Raw Data'!S1187="",ROUND(AVERAGE('Raw Data'!$S$2:$S$1501),0),'Raw Data'!S1187)</f>
        <v>6</v>
      </c>
      <c r="T1187" s="21">
        <f>'Raw Data'!T1187</f>
        <v>227.44</v>
      </c>
      <c r="U1187" s="21" t="str">
        <f>INDEX('Lookup Tables'!$C$7:$C$9,MATCH(E1187,'Lookup Tables'!$B$7:$B$9,0))</f>
        <v>Tier 3 (Semi-urban/Rural)</v>
      </c>
      <c r="V1187" s="21" t="str">
        <f t="shared" si="54"/>
        <v>0-6 months</v>
      </c>
      <c r="W1187" s="21" t="str">
        <f t="shared" si="55"/>
        <v>Low Risk</v>
      </c>
      <c r="X1187" s="21" t="str">
        <f t="shared" si="56"/>
        <v>No</v>
      </c>
    </row>
    <row r="1188" spans="1:24" x14ac:dyDescent="0.3">
      <c r="A1188" s="21">
        <f>'Raw Data'!A1188</f>
        <v>51187</v>
      </c>
      <c r="B1188" s="21">
        <f>'Raw Data'!B1188</f>
        <v>0</v>
      </c>
      <c r="C1188" s="21">
        <f>'Raw Data'!C1188</f>
        <v>1</v>
      </c>
      <c r="D1188" s="21" t="str">
        <f>'Raw Data'!D1188</f>
        <v>Computer</v>
      </c>
      <c r="E1188" s="21">
        <f>'Raw Data'!E1188</f>
        <v>2</v>
      </c>
      <c r="F1188" s="21">
        <f>IF('Raw Data'!F1188="",ROUND(AVERAGE('Raw Data'!$F$2:$F$1501),1),'Raw Data'!F1188)</f>
        <v>8</v>
      </c>
      <c r="G1188" s="21" t="str">
        <f>'Raw Data'!G1188</f>
        <v>Credit Card</v>
      </c>
      <c r="H1188" s="21" t="str">
        <f>'Raw Data'!H1188</f>
        <v>Male</v>
      </c>
      <c r="I1188" s="21">
        <f>IF('Raw Data'!I1188="",ROUND(AVERAGE('Raw Data'!$I$2:$I$1501),1),'Raw Data'!I1188)</f>
        <v>2.9</v>
      </c>
      <c r="J1188" s="21">
        <f>'Raw Data'!J1188</f>
        <v>2</v>
      </c>
      <c r="K1188" s="21" t="str">
        <f>'Raw Data'!K1188</f>
        <v>Fashion</v>
      </c>
      <c r="L1188" s="21">
        <f>'Raw Data'!L1188</f>
        <v>1</v>
      </c>
      <c r="M1188" s="21" t="str">
        <f>'Raw Data'!M1188</f>
        <v>Single</v>
      </c>
      <c r="N1188" s="21">
        <f>'Raw Data'!N1188</f>
        <v>3</v>
      </c>
      <c r="O1188" s="21">
        <f>'Raw Data'!O1188</f>
        <v>0</v>
      </c>
      <c r="P1188" s="21">
        <f>IF('Raw Data'!P1188="",ROUND(AVERAGE('Raw Data'!$P$2:$P$1501),1),'Raw Data'!P1188)</f>
        <v>16.399999999999999</v>
      </c>
      <c r="Q1188" s="21">
        <f>IF('Raw Data'!Q1188="",ROUND(AVERAGE('Raw Data'!$Q$2:$Q$1501),0),'Raw Data'!Q1188)</f>
        <v>0</v>
      </c>
      <c r="R1188" s="21">
        <f>'Raw Data'!R1188</f>
        <v>4</v>
      </c>
      <c r="S1188" s="21">
        <f>IF('Raw Data'!S1188="",ROUND(AVERAGE('Raw Data'!$S$2:$S$1501),0),'Raw Data'!S1188)</f>
        <v>0</v>
      </c>
      <c r="T1188" s="21">
        <f>'Raw Data'!T1188</f>
        <v>210.2</v>
      </c>
      <c r="U1188" s="21" t="str">
        <f>INDEX('Lookup Tables'!$C$7:$C$9,MATCH(E1188,'Lookup Tables'!$B$7:$B$9,0))</f>
        <v>Tier 2 (Urban)</v>
      </c>
      <c r="V1188" s="21" t="str">
        <f t="shared" si="54"/>
        <v>0-6 months</v>
      </c>
      <c r="W1188" s="21" t="str">
        <f t="shared" si="55"/>
        <v>Low Risk</v>
      </c>
      <c r="X1188" s="21" t="str">
        <f t="shared" si="56"/>
        <v>No</v>
      </c>
    </row>
    <row r="1189" spans="1:24" x14ac:dyDescent="0.3">
      <c r="A1189" s="21">
        <f>'Raw Data'!A1189</f>
        <v>51188</v>
      </c>
      <c r="B1189" s="21">
        <f>'Raw Data'!B1189</f>
        <v>0</v>
      </c>
      <c r="C1189" s="21">
        <f>'Raw Data'!C1189</f>
        <v>0</v>
      </c>
      <c r="D1189" s="21" t="str">
        <f>'Raw Data'!D1189</f>
        <v>Mobile Phone</v>
      </c>
      <c r="E1189" s="21">
        <f>'Raw Data'!E1189</f>
        <v>2</v>
      </c>
      <c r="F1189" s="21">
        <f>IF('Raw Data'!F1189="",ROUND(AVERAGE('Raw Data'!$F$2:$F$1501),1),'Raw Data'!F1189)</f>
        <v>10</v>
      </c>
      <c r="G1189" s="21" t="str">
        <f>'Raw Data'!G1189</f>
        <v>Debit Card</v>
      </c>
      <c r="H1189" s="21" t="str">
        <f>'Raw Data'!H1189</f>
        <v>Male</v>
      </c>
      <c r="I1189" s="21">
        <f>IF('Raw Data'!I1189="",ROUND(AVERAGE('Raw Data'!$I$2:$I$1501),1),'Raw Data'!I1189)</f>
        <v>3.4</v>
      </c>
      <c r="J1189" s="21">
        <f>'Raw Data'!J1189</f>
        <v>4</v>
      </c>
      <c r="K1189" s="21" t="str">
        <f>'Raw Data'!K1189</f>
        <v>Mobile Phone</v>
      </c>
      <c r="L1189" s="21">
        <f>'Raw Data'!L1189</f>
        <v>5</v>
      </c>
      <c r="M1189" s="21" t="str">
        <f>'Raw Data'!M1189</f>
        <v>Single</v>
      </c>
      <c r="N1189" s="21">
        <f>'Raw Data'!N1189</f>
        <v>8</v>
      </c>
      <c r="O1189" s="21">
        <f>'Raw Data'!O1189</f>
        <v>0</v>
      </c>
      <c r="P1189" s="21">
        <f>IF('Raw Data'!P1189="",ROUND(AVERAGE('Raw Data'!$P$2:$P$1501),1),'Raw Data'!P1189)</f>
        <v>15.3</v>
      </c>
      <c r="Q1189" s="21">
        <f>IF('Raw Data'!Q1189="",ROUND(AVERAGE('Raw Data'!$Q$2:$Q$1501),0),'Raw Data'!Q1189)</f>
        <v>2</v>
      </c>
      <c r="R1189" s="21">
        <f>'Raw Data'!R1189</f>
        <v>3</v>
      </c>
      <c r="S1189" s="21">
        <f>IF('Raw Data'!S1189="",ROUND(AVERAGE('Raw Data'!$S$2:$S$1501),0),'Raw Data'!S1189)</f>
        <v>1</v>
      </c>
      <c r="T1189" s="21">
        <f>'Raw Data'!T1189</f>
        <v>161.19</v>
      </c>
      <c r="U1189" s="21" t="str">
        <f>INDEX('Lookup Tables'!$C$7:$C$9,MATCH(E1189,'Lookup Tables'!$B$7:$B$9,0))</f>
        <v>Tier 2 (Urban)</v>
      </c>
      <c r="V1189" s="21" t="str">
        <f t="shared" si="54"/>
        <v>0-6 months</v>
      </c>
      <c r="W1189" s="21" t="str">
        <f t="shared" si="55"/>
        <v>Low Risk</v>
      </c>
      <c r="X1189" s="21" t="str">
        <f t="shared" si="56"/>
        <v>No</v>
      </c>
    </row>
    <row r="1190" spans="1:24" x14ac:dyDescent="0.3">
      <c r="A1190" s="21">
        <f>'Raw Data'!A1190</f>
        <v>51189</v>
      </c>
      <c r="B1190" s="21">
        <f>'Raw Data'!B1190</f>
        <v>0</v>
      </c>
      <c r="C1190" s="21">
        <f>'Raw Data'!C1190</f>
        <v>13</v>
      </c>
      <c r="D1190" s="21" t="str">
        <f>'Raw Data'!D1190</f>
        <v>Mobile Phone</v>
      </c>
      <c r="E1190" s="21">
        <f>'Raw Data'!E1190</f>
        <v>1</v>
      </c>
      <c r="F1190" s="21">
        <f>IF('Raw Data'!F1190="",ROUND(AVERAGE('Raw Data'!$F$2:$F$1501),1),'Raw Data'!F1190)</f>
        <v>11</v>
      </c>
      <c r="G1190" s="21" t="str">
        <f>'Raw Data'!G1190</f>
        <v>E wallet</v>
      </c>
      <c r="H1190" s="21" t="str">
        <f>'Raw Data'!H1190</f>
        <v>Male</v>
      </c>
      <c r="I1190" s="21">
        <f>IF('Raw Data'!I1190="",ROUND(AVERAGE('Raw Data'!$I$2:$I$1501),1),'Raw Data'!I1190)</f>
        <v>2.9</v>
      </c>
      <c r="J1190" s="21">
        <f>'Raw Data'!J1190</f>
        <v>3</v>
      </c>
      <c r="K1190" s="21" t="str">
        <f>'Raw Data'!K1190</f>
        <v>Laptop &amp; Accessory</v>
      </c>
      <c r="L1190" s="21">
        <f>'Raw Data'!L1190</f>
        <v>3</v>
      </c>
      <c r="M1190" s="21" t="str">
        <f>'Raw Data'!M1190</f>
        <v>Single</v>
      </c>
      <c r="N1190" s="21">
        <f>'Raw Data'!N1190</f>
        <v>1</v>
      </c>
      <c r="O1190" s="21">
        <f>'Raw Data'!O1190</f>
        <v>0</v>
      </c>
      <c r="P1190" s="21">
        <f>IF('Raw Data'!P1190="",ROUND(AVERAGE('Raw Data'!$P$2:$P$1501),1),'Raw Data'!P1190)</f>
        <v>17.3</v>
      </c>
      <c r="Q1190" s="21">
        <f>IF('Raw Data'!Q1190="",ROUND(AVERAGE('Raw Data'!$Q$2:$Q$1501),0),'Raw Data'!Q1190)</f>
        <v>1</v>
      </c>
      <c r="R1190" s="21">
        <f>'Raw Data'!R1190</f>
        <v>4</v>
      </c>
      <c r="S1190" s="21">
        <f>IF('Raw Data'!S1190="",ROUND(AVERAGE('Raw Data'!$S$2:$S$1501),0),'Raw Data'!S1190)</f>
        <v>2</v>
      </c>
      <c r="T1190" s="21">
        <f>'Raw Data'!T1190</f>
        <v>255.01</v>
      </c>
      <c r="U1190" s="21" t="str">
        <f>INDEX('Lookup Tables'!$C$7:$C$9,MATCH(E1190,'Lookup Tables'!$B$7:$B$9,0))</f>
        <v>Tier 1 (Metro)</v>
      </c>
      <c r="V1190" s="21" t="str">
        <f t="shared" si="54"/>
        <v>13-24 months</v>
      </c>
      <c r="W1190" s="21" t="str">
        <f t="shared" si="55"/>
        <v>Medium Risk</v>
      </c>
      <c r="X1190" s="21" t="str">
        <f t="shared" si="56"/>
        <v>No</v>
      </c>
    </row>
    <row r="1191" spans="1:24" x14ac:dyDescent="0.3">
      <c r="A1191" s="21">
        <f>'Raw Data'!A1191</f>
        <v>51190</v>
      </c>
      <c r="B1191" s="21">
        <f>'Raw Data'!B1191</f>
        <v>0</v>
      </c>
      <c r="C1191" s="21">
        <f>'Raw Data'!C1191</f>
        <v>6</v>
      </c>
      <c r="D1191" s="21" t="str">
        <f>'Raw Data'!D1191</f>
        <v>Mobile Phone</v>
      </c>
      <c r="E1191" s="21">
        <f>'Raw Data'!E1191</f>
        <v>1</v>
      </c>
      <c r="F1191" s="21">
        <f>IF('Raw Data'!F1191="",ROUND(AVERAGE('Raw Data'!$F$2:$F$1501),1),'Raw Data'!F1191)</f>
        <v>17</v>
      </c>
      <c r="G1191" s="21" t="str">
        <f>'Raw Data'!G1191</f>
        <v>UPI</v>
      </c>
      <c r="H1191" s="21" t="str">
        <f>'Raw Data'!H1191</f>
        <v>Female</v>
      </c>
      <c r="I1191" s="21">
        <f>IF('Raw Data'!I1191="",ROUND(AVERAGE('Raw Data'!$I$2:$I$1501),1),'Raw Data'!I1191)</f>
        <v>2.8</v>
      </c>
      <c r="J1191" s="21">
        <f>'Raw Data'!J1191</f>
        <v>3</v>
      </c>
      <c r="K1191" s="21" t="str">
        <f>'Raw Data'!K1191</f>
        <v>Fashion</v>
      </c>
      <c r="L1191" s="21">
        <f>'Raw Data'!L1191</f>
        <v>2</v>
      </c>
      <c r="M1191" s="21" t="str">
        <f>'Raw Data'!M1191</f>
        <v>Single</v>
      </c>
      <c r="N1191" s="21">
        <f>'Raw Data'!N1191</f>
        <v>2</v>
      </c>
      <c r="O1191" s="21">
        <f>'Raw Data'!O1191</f>
        <v>0</v>
      </c>
      <c r="P1191" s="21">
        <f>IF('Raw Data'!P1191="",ROUND(AVERAGE('Raw Data'!$P$2:$P$1501),1),'Raw Data'!P1191)</f>
        <v>20.9</v>
      </c>
      <c r="Q1191" s="21">
        <f>IF('Raw Data'!Q1191="",ROUND(AVERAGE('Raw Data'!$Q$2:$Q$1501),0),'Raw Data'!Q1191)</f>
        <v>3</v>
      </c>
      <c r="R1191" s="21">
        <f>'Raw Data'!R1191</f>
        <v>12</v>
      </c>
      <c r="S1191" s="21">
        <f>IF('Raw Data'!S1191="",ROUND(AVERAGE('Raw Data'!$S$2:$S$1501),0),'Raw Data'!S1191)</f>
        <v>2</v>
      </c>
      <c r="T1191" s="21">
        <f>'Raw Data'!T1191</f>
        <v>202.13</v>
      </c>
      <c r="U1191" s="21" t="str">
        <f>INDEX('Lookup Tables'!$C$7:$C$9,MATCH(E1191,'Lookup Tables'!$B$7:$B$9,0))</f>
        <v>Tier 1 (Metro)</v>
      </c>
      <c r="V1191" s="21" t="str">
        <f t="shared" si="54"/>
        <v>0-6 months</v>
      </c>
      <c r="W1191" s="21" t="str">
        <f t="shared" si="55"/>
        <v>Low Risk</v>
      </c>
      <c r="X1191" s="21" t="str">
        <f t="shared" si="56"/>
        <v>No</v>
      </c>
    </row>
    <row r="1192" spans="1:24" x14ac:dyDescent="0.3">
      <c r="A1192" s="21">
        <f>'Raw Data'!A1192</f>
        <v>51191</v>
      </c>
      <c r="B1192" s="21">
        <f>'Raw Data'!B1192</f>
        <v>0</v>
      </c>
      <c r="C1192" s="21">
        <f>'Raw Data'!C1192</f>
        <v>5</v>
      </c>
      <c r="D1192" s="21" t="str">
        <f>'Raw Data'!D1192</f>
        <v>Phone</v>
      </c>
      <c r="E1192" s="21">
        <f>'Raw Data'!E1192</f>
        <v>1</v>
      </c>
      <c r="F1192" s="21">
        <f>IF('Raw Data'!F1192="",ROUND(AVERAGE('Raw Data'!$F$2:$F$1501),1),'Raw Data'!F1192)</f>
        <v>33</v>
      </c>
      <c r="G1192" s="21" t="str">
        <f>'Raw Data'!G1192</f>
        <v>Debit Card</v>
      </c>
      <c r="H1192" s="21" t="str">
        <f>'Raw Data'!H1192</f>
        <v>Male</v>
      </c>
      <c r="I1192" s="21">
        <f>IF('Raw Data'!I1192="",ROUND(AVERAGE('Raw Data'!$I$2:$I$1501),1),'Raw Data'!I1192)</f>
        <v>3.7</v>
      </c>
      <c r="J1192" s="21">
        <f>'Raw Data'!J1192</f>
        <v>2</v>
      </c>
      <c r="K1192" s="21" t="str">
        <f>'Raw Data'!K1192</f>
        <v>Mobile Phone</v>
      </c>
      <c r="L1192" s="21">
        <f>'Raw Data'!L1192</f>
        <v>3</v>
      </c>
      <c r="M1192" s="21" t="str">
        <f>'Raw Data'!M1192</f>
        <v>Single</v>
      </c>
      <c r="N1192" s="21">
        <f>'Raw Data'!N1192</f>
        <v>2</v>
      </c>
      <c r="O1192" s="21">
        <f>'Raw Data'!O1192</f>
        <v>0</v>
      </c>
      <c r="P1192" s="21">
        <f>IF('Raw Data'!P1192="",ROUND(AVERAGE('Raw Data'!$P$2:$P$1501),1),'Raw Data'!P1192)</f>
        <v>18.899999999999999</v>
      </c>
      <c r="Q1192" s="21">
        <f>IF('Raw Data'!Q1192="",ROUND(AVERAGE('Raw Data'!$Q$2:$Q$1501),0),'Raw Data'!Q1192)</f>
        <v>2</v>
      </c>
      <c r="R1192" s="21">
        <f>'Raw Data'!R1192</f>
        <v>5</v>
      </c>
      <c r="S1192" s="21">
        <f>IF('Raw Data'!S1192="",ROUND(AVERAGE('Raw Data'!$S$2:$S$1501),0),'Raw Data'!S1192)</f>
        <v>0</v>
      </c>
      <c r="T1192" s="21">
        <f>'Raw Data'!T1192</f>
        <v>128.47</v>
      </c>
      <c r="U1192" s="21" t="str">
        <f>INDEX('Lookup Tables'!$C$7:$C$9,MATCH(E1192,'Lookup Tables'!$B$7:$B$9,0))</f>
        <v>Tier 1 (Metro)</v>
      </c>
      <c r="V1192" s="21" t="str">
        <f t="shared" si="54"/>
        <v>0-6 months</v>
      </c>
      <c r="W1192" s="21" t="str">
        <f t="shared" si="55"/>
        <v>Medium Risk</v>
      </c>
      <c r="X1192" s="21" t="str">
        <f t="shared" si="56"/>
        <v>No</v>
      </c>
    </row>
    <row r="1193" spans="1:24" x14ac:dyDescent="0.3">
      <c r="A1193" s="21">
        <f>'Raw Data'!A1193</f>
        <v>51192</v>
      </c>
      <c r="B1193" s="21">
        <f>'Raw Data'!B1193</f>
        <v>0</v>
      </c>
      <c r="C1193" s="21">
        <f>'Raw Data'!C1193</f>
        <v>13</v>
      </c>
      <c r="D1193" s="21" t="str">
        <f>'Raw Data'!D1193</f>
        <v>Phone</v>
      </c>
      <c r="E1193" s="21">
        <f>'Raw Data'!E1193</f>
        <v>1</v>
      </c>
      <c r="F1193" s="21">
        <f>IF('Raw Data'!F1193="",ROUND(AVERAGE('Raw Data'!$F$2:$F$1501),1),'Raw Data'!F1193)</f>
        <v>14.8</v>
      </c>
      <c r="G1193" s="21" t="str">
        <f>'Raw Data'!G1193</f>
        <v>Credit Card</v>
      </c>
      <c r="H1193" s="21" t="str">
        <f>'Raw Data'!H1193</f>
        <v>Female</v>
      </c>
      <c r="I1193" s="21">
        <f>IF('Raw Data'!I1193="",ROUND(AVERAGE('Raw Data'!$I$2:$I$1501),1),'Raw Data'!I1193)</f>
        <v>2</v>
      </c>
      <c r="J1193" s="21">
        <f>'Raw Data'!J1193</f>
        <v>1</v>
      </c>
      <c r="K1193" s="21" t="str">
        <f>'Raw Data'!K1193</f>
        <v>Mobile Phone</v>
      </c>
      <c r="L1193" s="21">
        <f>'Raw Data'!L1193</f>
        <v>4</v>
      </c>
      <c r="M1193" s="21" t="str">
        <f>'Raw Data'!M1193</f>
        <v>Married</v>
      </c>
      <c r="N1193" s="21">
        <f>'Raw Data'!N1193</f>
        <v>1</v>
      </c>
      <c r="O1193" s="21">
        <f>'Raw Data'!O1193</f>
        <v>0</v>
      </c>
      <c r="P1193" s="21">
        <f>IF('Raw Data'!P1193="",ROUND(AVERAGE('Raw Data'!$P$2:$P$1501),1),'Raw Data'!P1193)</f>
        <v>17.7</v>
      </c>
      <c r="Q1193" s="21">
        <f>IF('Raw Data'!Q1193="",ROUND(AVERAGE('Raw Data'!$Q$2:$Q$1501),0),'Raw Data'!Q1193)</f>
        <v>3</v>
      </c>
      <c r="R1193" s="21">
        <f>'Raw Data'!R1193</f>
        <v>2</v>
      </c>
      <c r="S1193" s="21">
        <f>IF('Raw Data'!S1193="",ROUND(AVERAGE('Raw Data'!$S$2:$S$1501),0),'Raw Data'!S1193)</f>
        <v>25</v>
      </c>
      <c r="T1193" s="21">
        <f>'Raw Data'!T1193</f>
        <v>173.49</v>
      </c>
      <c r="U1193" s="21" t="str">
        <f>INDEX('Lookup Tables'!$C$7:$C$9,MATCH(E1193,'Lookup Tables'!$B$7:$B$9,0))</f>
        <v>Tier 1 (Metro)</v>
      </c>
      <c r="V1193" s="21" t="str">
        <f t="shared" si="54"/>
        <v>13-24 months</v>
      </c>
      <c r="W1193" s="21" t="str">
        <f t="shared" si="55"/>
        <v>Medium Risk</v>
      </c>
      <c r="X1193" s="21" t="str">
        <f t="shared" si="56"/>
        <v>No</v>
      </c>
    </row>
    <row r="1194" spans="1:24" x14ac:dyDescent="0.3">
      <c r="A1194" s="21">
        <f>'Raw Data'!A1194</f>
        <v>51193</v>
      </c>
      <c r="B1194" s="21">
        <f>'Raw Data'!B1194</f>
        <v>0</v>
      </c>
      <c r="C1194" s="21">
        <f>'Raw Data'!C1194</f>
        <v>14</v>
      </c>
      <c r="D1194" s="21" t="str">
        <f>'Raw Data'!D1194</f>
        <v>Mobile Phone</v>
      </c>
      <c r="E1194" s="21">
        <f>'Raw Data'!E1194</f>
        <v>1</v>
      </c>
      <c r="F1194" s="21">
        <f>IF('Raw Data'!F1194="",ROUND(AVERAGE('Raw Data'!$F$2:$F$1501),1),'Raw Data'!F1194)</f>
        <v>11</v>
      </c>
      <c r="G1194" s="21" t="str">
        <f>'Raw Data'!G1194</f>
        <v>Cash on Delivery</v>
      </c>
      <c r="H1194" s="21" t="str">
        <f>'Raw Data'!H1194</f>
        <v>Female</v>
      </c>
      <c r="I1194" s="21">
        <f>IF('Raw Data'!I1194="",ROUND(AVERAGE('Raw Data'!$I$2:$I$1501),1),'Raw Data'!I1194)</f>
        <v>3.3</v>
      </c>
      <c r="J1194" s="21">
        <f>'Raw Data'!J1194</f>
        <v>5</v>
      </c>
      <c r="K1194" s="21" t="str">
        <f>'Raw Data'!K1194</f>
        <v>Laptop &amp; Accessory</v>
      </c>
      <c r="L1194" s="21">
        <f>'Raw Data'!L1194</f>
        <v>3</v>
      </c>
      <c r="M1194" s="21" t="str">
        <f>'Raw Data'!M1194</f>
        <v>Single</v>
      </c>
      <c r="N1194" s="21">
        <f>'Raw Data'!N1194</f>
        <v>6</v>
      </c>
      <c r="O1194" s="21">
        <f>'Raw Data'!O1194</f>
        <v>0</v>
      </c>
      <c r="P1194" s="21">
        <f>IF('Raw Data'!P1194="",ROUND(AVERAGE('Raw Data'!$P$2:$P$1501),1),'Raw Data'!P1194)</f>
        <v>11</v>
      </c>
      <c r="Q1194" s="21">
        <f>IF('Raw Data'!Q1194="",ROUND(AVERAGE('Raw Data'!$Q$2:$Q$1501),0),'Raw Data'!Q1194)</f>
        <v>1</v>
      </c>
      <c r="R1194" s="21">
        <f>'Raw Data'!R1194</f>
        <v>3</v>
      </c>
      <c r="S1194" s="21">
        <f>IF('Raw Data'!S1194="",ROUND(AVERAGE('Raw Data'!$S$2:$S$1501),0),'Raw Data'!S1194)</f>
        <v>1</v>
      </c>
      <c r="T1194" s="21">
        <f>'Raw Data'!T1194</f>
        <v>127.81</v>
      </c>
      <c r="U1194" s="21" t="str">
        <f>INDEX('Lookup Tables'!$C$7:$C$9,MATCH(E1194,'Lookup Tables'!$B$7:$B$9,0))</f>
        <v>Tier 1 (Metro)</v>
      </c>
      <c r="V1194" s="21" t="str">
        <f t="shared" si="54"/>
        <v>13-24 months</v>
      </c>
      <c r="W1194" s="21" t="str">
        <f t="shared" si="55"/>
        <v>Medium Risk</v>
      </c>
      <c r="X1194" s="21" t="str">
        <f t="shared" si="56"/>
        <v>No</v>
      </c>
    </row>
    <row r="1195" spans="1:24" x14ac:dyDescent="0.3">
      <c r="A1195" s="21">
        <f>'Raw Data'!A1195</f>
        <v>51194</v>
      </c>
      <c r="B1195" s="21">
        <f>'Raw Data'!B1195</f>
        <v>0</v>
      </c>
      <c r="C1195" s="21">
        <f>'Raw Data'!C1195</f>
        <v>1</v>
      </c>
      <c r="D1195" s="21" t="str">
        <f>'Raw Data'!D1195</f>
        <v>Mobile Phone</v>
      </c>
      <c r="E1195" s="21">
        <f>'Raw Data'!E1195</f>
        <v>2</v>
      </c>
      <c r="F1195" s="21">
        <f>IF('Raw Data'!F1195="",ROUND(AVERAGE('Raw Data'!$F$2:$F$1501),1),'Raw Data'!F1195)</f>
        <v>14</v>
      </c>
      <c r="G1195" s="21" t="str">
        <f>'Raw Data'!G1195</f>
        <v>Debit Card</v>
      </c>
      <c r="H1195" s="21" t="str">
        <f>'Raw Data'!H1195</f>
        <v>Female</v>
      </c>
      <c r="I1195" s="21">
        <f>IF('Raw Data'!I1195="",ROUND(AVERAGE('Raw Data'!$I$2:$I$1501),1),'Raw Data'!I1195)</f>
        <v>1.7</v>
      </c>
      <c r="J1195" s="21">
        <f>'Raw Data'!J1195</f>
        <v>2</v>
      </c>
      <c r="K1195" s="21" t="str">
        <f>'Raw Data'!K1195</f>
        <v>Mobile Phone</v>
      </c>
      <c r="L1195" s="21">
        <f>'Raw Data'!L1195</f>
        <v>3</v>
      </c>
      <c r="M1195" s="21" t="str">
        <f>'Raw Data'!M1195</f>
        <v>Divorced</v>
      </c>
      <c r="N1195" s="21">
        <f>'Raw Data'!N1195</f>
        <v>1</v>
      </c>
      <c r="O1195" s="21">
        <f>'Raw Data'!O1195</f>
        <v>1</v>
      </c>
      <c r="P1195" s="21">
        <f>IF('Raw Data'!P1195="",ROUND(AVERAGE('Raw Data'!$P$2:$P$1501),1),'Raw Data'!P1195)</f>
        <v>17.600000000000001</v>
      </c>
      <c r="Q1195" s="21">
        <f>IF('Raw Data'!Q1195="",ROUND(AVERAGE('Raw Data'!$Q$2:$Q$1501),0),'Raw Data'!Q1195)</f>
        <v>2</v>
      </c>
      <c r="R1195" s="21">
        <f>'Raw Data'!R1195</f>
        <v>4</v>
      </c>
      <c r="S1195" s="21">
        <f>IF('Raw Data'!S1195="",ROUND(AVERAGE('Raw Data'!$S$2:$S$1501),0),'Raw Data'!S1195)</f>
        <v>6</v>
      </c>
      <c r="T1195" s="21">
        <f>'Raw Data'!T1195</f>
        <v>154.22999999999999</v>
      </c>
      <c r="U1195" s="21" t="str">
        <f>INDEX('Lookup Tables'!$C$7:$C$9,MATCH(E1195,'Lookup Tables'!$B$7:$B$9,0))</f>
        <v>Tier 2 (Urban)</v>
      </c>
      <c r="V1195" s="21" t="str">
        <f t="shared" si="54"/>
        <v>0-6 months</v>
      </c>
      <c r="W1195" s="21" t="str">
        <f t="shared" si="55"/>
        <v>Medium Risk</v>
      </c>
      <c r="X1195" s="21" t="str">
        <f t="shared" si="56"/>
        <v>No</v>
      </c>
    </row>
    <row r="1196" spans="1:24" x14ac:dyDescent="0.3">
      <c r="A1196" s="21">
        <f>'Raw Data'!A1196</f>
        <v>51195</v>
      </c>
      <c r="B1196" s="21">
        <f>'Raw Data'!B1196</f>
        <v>0</v>
      </c>
      <c r="C1196" s="21">
        <f>'Raw Data'!C1196</f>
        <v>9</v>
      </c>
      <c r="D1196" s="21" t="str">
        <f>'Raw Data'!D1196</f>
        <v>Mobile Phone</v>
      </c>
      <c r="E1196" s="21">
        <f>'Raw Data'!E1196</f>
        <v>3</v>
      </c>
      <c r="F1196" s="21">
        <f>IF('Raw Data'!F1196="",ROUND(AVERAGE('Raw Data'!$F$2:$F$1501),1),'Raw Data'!F1196)</f>
        <v>18</v>
      </c>
      <c r="G1196" s="21" t="str">
        <f>'Raw Data'!G1196</f>
        <v>Credit Card</v>
      </c>
      <c r="H1196" s="21" t="str">
        <f>'Raw Data'!H1196</f>
        <v>Male</v>
      </c>
      <c r="I1196" s="21">
        <f>IF('Raw Data'!I1196="",ROUND(AVERAGE('Raw Data'!$I$2:$I$1501),1),'Raw Data'!I1196)</f>
        <v>2.2999999999999998</v>
      </c>
      <c r="J1196" s="21">
        <f>'Raw Data'!J1196</f>
        <v>3</v>
      </c>
      <c r="K1196" s="21" t="str">
        <f>'Raw Data'!K1196</f>
        <v>Others</v>
      </c>
      <c r="L1196" s="21">
        <f>'Raw Data'!L1196</f>
        <v>4</v>
      </c>
      <c r="M1196" s="21" t="str">
        <f>'Raw Data'!M1196</f>
        <v>Single</v>
      </c>
      <c r="N1196" s="21">
        <f>'Raw Data'!N1196</f>
        <v>1</v>
      </c>
      <c r="O1196" s="21">
        <f>'Raw Data'!O1196</f>
        <v>0</v>
      </c>
      <c r="P1196" s="21">
        <f>IF('Raw Data'!P1196="",ROUND(AVERAGE('Raw Data'!$P$2:$P$1501),1),'Raw Data'!P1196)</f>
        <v>22</v>
      </c>
      <c r="Q1196" s="21">
        <f>IF('Raw Data'!Q1196="",ROUND(AVERAGE('Raw Data'!$Q$2:$Q$1501),0),'Raw Data'!Q1196)</f>
        <v>2</v>
      </c>
      <c r="R1196" s="21">
        <f>'Raw Data'!R1196</f>
        <v>3</v>
      </c>
      <c r="S1196" s="21">
        <f>IF('Raw Data'!S1196="",ROUND(AVERAGE('Raw Data'!$S$2:$S$1501),0),'Raw Data'!S1196)</f>
        <v>1</v>
      </c>
      <c r="T1196" s="21">
        <f>'Raw Data'!T1196</f>
        <v>218.71</v>
      </c>
      <c r="U1196" s="21" t="str">
        <f>INDEX('Lookup Tables'!$C$7:$C$9,MATCH(E1196,'Lookup Tables'!$B$7:$B$9,0))</f>
        <v>Tier 3 (Semi-urban/Rural)</v>
      </c>
      <c r="V1196" s="21" t="str">
        <f t="shared" si="54"/>
        <v>7-12 months</v>
      </c>
      <c r="W1196" s="21" t="str">
        <f t="shared" si="55"/>
        <v>Low Risk</v>
      </c>
      <c r="X1196" s="21" t="str">
        <f t="shared" si="56"/>
        <v>No</v>
      </c>
    </row>
    <row r="1197" spans="1:24" x14ac:dyDescent="0.3">
      <c r="A1197" s="21">
        <f>'Raw Data'!A1197</f>
        <v>51196</v>
      </c>
      <c r="B1197" s="21">
        <f>'Raw Data'!B1197</f>
        <v>0</v>
      </c>
      <c r="C1197" s="21">
        <f>'Raw Data'!C1197</f>
        <v>1</v>
      </c>
      <c r="D1197" s="21" t="str">
        <f>'Raw Data'!D1197</f>
        <v>Mobile Phone</v>
      </c>
      <c r="E1197" s="21">
        <f>'Raw Data'!E1197</f>
        <v>3</v>
      </c>
      <c r="F1197" s="21">
        <f>IF('Raw Data'!F1197="",ROUND(AVERAGE('Raw Data'!$F$2:$F$1501),1),'Raw Data'!F1197)</f>
        <v>17</v>
      </c>
      <c r="G1197" s="21" t="str">
        <f>'Raw Data'!G1197</f>
        <v>Debit Card</v>
      </c>
      <c r="H1197" s="21" t="str">
        <f>'Raw Data'!H1197</f>
        <v>Male</v>
      </c>
      <c r="I1197" s="21">
        <f>IF('Raw Data'!I1197="",ROUND(AVERAGE('Raw Data'!$I$2:$I$1501),1),'Raw Data'!I1197)</f>
        <v>2.1</v>
      </c>
      <c r="J1197" s="21">
        <f>'Raw Data'!J1197</f>
        <v>2</v>
      </c>
      <c r="K1197" s="21" t="str">
        <f>'Raw Data'!K1197</f>
        <v>Laptop &amp; Accessory</v>
      </c>
      <c r="L1197" s="21">
        <f>'Raw Data'!L1197</f>
        <v>3</v>
      </c>
      <c r="M1197" s="21" t="str">
        <f>'Raw Data'!M1197</f>
        <v>Married</v>
      </c>
      <c r="N1197" s="21">
        <f>'Raw Data'!N1197</f>
        <v>1</v>
      </c>
      <c r="O1197" s="21">
        <f>'Raw Data'!O1197</f>
        <v>0</v>
      </c>
      <c r="P1197" s="21">
        <f>IF('Raw Data'!P1197="",ROUND(AVERAGE('Raw Data'!$P$2:$P$1501),1),'Raw Data'!P1197)</f>
        <v>11</v>
      </c>
      <c r="Q1197" s="21">
        <f>IF('Raw Data'!Q1197="",ROUND(AVERAGE('Raw Data'!$Q$2:$Q$1501),0),'Raw Data'!Q1197)</f>
        <v>3</v>
      </c>
      <c r="R1197" s="21">
        <f>'Raw Data'!R1197</f>
        <v>3</v>
      </c>
      <c r="S1197" s="21">
        <f>IF('Raw Data'!S1197="",ROUND(AVERAGE('Raw Data'!$S$2:$S$1501),0),'Raw Data'!S1197)</f>
        <v>10</v>
      </c>
      <c r="T1197" s="21">
        <f>'Raw Data'!T1197</f>
        <v>234.41</v>
      </c>
      <c r="U1197" s="21" t="str">
        <f>INDEX('Lookup Tables'!$C$7:$C$9,MATCH(E1197,'Lookup Tables'!$B$7:$B$9,0))</f>
        <v>Tier 3 (Semi-urban/Rural)</v>
      </c>
      <c r="V1197" s="21" t="str">
        <f t="shared" si="54"/>
        <v>0-6 months</v>
      </c>
      <c r="W1197" s="21" t="str">
        <f t="shared" si="55"/>
        <v>Medium Risk</v>
      </c>
      <c r="X1197" s="21" t="str">
        <f t="shared" si="56"/>
        <v>No</v>
      </c>
    </row>
    <row r="1198" spans="1:24" x14ac:dyDescent="0.3">
      <c r="A1198" s="21">
        <f>'Raw Data'!A1198</f>
        <v>51197</v>
      </c>
      <c r="B1198" s="21">
        <f>'Raw Data'!B1198</f>
        <v>0</v>
      </c>
      <c r="C1198" s="21">
        <f>'Raw Data'!C1198</f>
        <v>13</v>
      </c>
      <c r="D1198" s="21" t="str">
        <f>'Raw Data'!D1198</f>
        <v>Mobile Phone</v>
      </c>
      <c r="E1198" s="21">
        <f>'Raw Data'!E1198</f>
        <v>2</v>
      </c>
      <c r="F1198" s="21">
        <f>IF('Raw Data'!F1198="",ROUND(AVERAGE('Raw Data'!$F$2:$F$1501),1),'Raw Data'!F1198)</f>
        <v>25</v>
      </c>
      <c r="G1198" s="21" t="str">
        <f>'Raw Data'!G1198</f>
        <v>E wallet</v>
      </c>
      <c r="H1198" s="21" t="str">
        <f>'Raw Data'!H1198</f>
        <v>Female</v>
      </c>
      <c r="I1198" s="21">
        <f>IF('Raw Data'!I1198="",ROUND(AVERAGE('Raw Data'!$I$2:$I$1501),1),'Raw Data'!I1198)</f>
        <v>3.4</v>
      </c>
      <c r="J1198" s="21">
        <f>'Raw Data'!J1198</f>
        <v>4</v>
      </c>
      <c r="K1198" s="21" t="str">
        <f>'Raw Data'!K1198</f>
        <v>Laptop &amp; Accessory</v>
      </c>
      <c r="L1198" s="21">
        <f>'Raw Data'!L1198</f>
        <v>4</v>
      </c>
      <c r="M1198" s="21" t="str">
        <f>'Raw Data'!M1198</f>
        <v>Single</v>
      </c>
      <c r="N1198" s="21">
        <f>'Raw Data'!N1198</f>
        <v>1</v>
      </c>
      <c r="O1198" s="21">
        <f>'Raw Data'!O1198</f>
        <v>0</v>
      </c>
      <c r="P1198" s="21">
        <f>IF('Raw Data'!P1198="",ROUND(AVERAGE('Raw Data'!$P$2:$P$1501),1),'Raw Data'!P1198)</f>
        <v>18.399999999999999</v>
      </c>
      <c r="Q1198" s="21">
        <f>IF('Raw Data'!Q1198="",ROUND(AVERAGE('Raw Data'!$Q$2:$Q$1501),0),'Raw Data'!Q1198)</f>
        <v>2</v>
      </c>
      <c r="R1198" s="21">
        <f>'Raw Data'!R1198</f>
        <v>3</v>
      </c>
      <c r="S1198" s="21">
        <f>IF('Raw Data'!S1198="",ROUND(AVERAGE('Raw Data'!$S$2:$S$1501),0),'Raw Data'!S1198)</f>
        <v>2</v>
      </c>
      <c r="T1198" s="21">
        <f>'Raw Data'!T1198</f>
        <v>192.17</v>
      </c>
      <c r="U1198" s="21" t="str">
        <f>INDEX('Lookup Tables'!$C$7:$C$9,MATCH(E1198,'Lookup Tables'!$B$7:$B$9,0))</f>
        <v>Tier 2 (Urban)</v>
      </c>
      <c r="V1198" s="21" t="str">
        <f t="shared" si="54"/>
        <v>13-24 months</v>
      </c>
      <c r="W1198" s="21" t="str">
        <f t="shared" si="55"/>
        <v>Low Risk</v>
      </c>
      <c r="X1198" s="21" t="str">
        <f t="shared" si="56"/>
        <v>No</v>
      </c>
    </row>
    <row r="1199" spans="1:24" x14ac:dyDescent="0.3">
      <c r="A1199" s="21">
        <f>'Raw Data'!A1199</f>
        <v>51198</v>
      </c>
      <c r="B1199" s="21">
        <f>'Raw Data'!B1199</f>
        <v>0</v>
      </c>
      <c r="C1199" s="21">
        <f>'Raw Data'!C1199</f>
        <v>10</v>
      </c>
      <c r="D1199" s="21" t="str">
        <f>'Raw Data'!D1199</f>
        <v>Phone</v>
      </c>
      <c r="E1199" s="21">
        <f>'Raw Data'!E1199</f>
        <v>1</v>
      </c>
      <c r="F1199" s="21">
        <f>IF('Raw Data'!F1199="",ROUND(AVERAGE('Raw Data'!$F$2:$F$1501),1),'Raw Data'!F1199)</f>
        <v>5</v>
      </c>
      <c r="G1199" s="21" t="str">
        <f>'Raw Data'!G1199</f>
        <v>Debit Card</v>
      </c>
      <c r="H1199" s="21" t="str">
        <f>'Raw Data'!H1199</f>
        <v>Male</v>
      </c>
      <c r="I1199" s="21">
        <f>IF('Raw Data'!I1199="",ROUND(AVERAGE('Raw Data'!$I$2:$I$1501),1),'Raw Data'!I1199)</f>
        <v>2.9</v>
      </c>
      <c r="J1199" s="21">
        <f>'Raw Data'!J1199</f>
        <v>3</v>
      </c>
      <c r="K1199" s="21" t="str">
        <f>'Raw Data'!K1199</f>
        <v>Laptop &amp; Accessory</v>
      </c>
      <c r="L1199" s="21">
        <f>'Raw Data'!L1199</f>
        <v>2</v>
      </c>
      <c r="M1199" s="21" t="str">
        <f>'Raw Data'!M1199</f>
        <v>Single</v>
      </c>
      <c r="N1199" s="21">
        <f>'Raw Data'!N1199</f>
        <v>1</v>
      </c>
      <c r="O1199" s="21">
        <f>'Raw Data'!O1199</f>
        <v>0</v>
      </c>
      <c r="P1199" s="21">
        <f>IF('Raw Data'!P1199="",ROUND(AVERAGE('Raw Data'!$P$2:$P$1501),1),'Raw Data'!P1199)</f>
        <v>15.4</v>
      </c>
      <c r="Q1199" s="21">
        <f>IF('Raw Data'!Q1199="",ROUND(AVERAGE('Raw Data'!$Q$2:$Q$1501),0),'Raw Data'!Q1199)</f>
        <v>1</v>
      </c>
      <c r="R1199" s="21">
        <f>'Raw Data'!R1199</f>
        <v>3</v>
      </c>
      <c r="S1199" s="21">
        <f>IF('Raw Data'!S1199="",ROUND(AVERAGE('Raw Data'!$S$2:$S$1501),0),'Raw Data'!S1199)</f>
        <v>11</v>
      </c>
      <c r="T1199" s="21">
        <f>'Raw Data'!T1199</f>
        <v>138.75</v>
      </c>
      <c r="U1199" s="21" t="str">
        <f>INDEX('Lookup Tables'!$C$7:$C$9,MATCH(E1199,'Lookup Tables'!$B$7:$B$9,0))</f>
        <v>Tier 1 (Metro)</v>
      </c>
      <c r="V1199" s="21" t="str">
        <f t="shared" si="54"/>
        <v>7-12 months</v>
      </c>
      <c r="W1199" s="21" t="str">
        <f t="shared" si="55"/>
        <v>Low Risk</v>
      </c>
      <c r="X1199" s="21" t="str">
        <f t="shared" si="56"/>
        <v>No</v>
      </c>
    </row>
    <row r="1200" spans="1:24" x14ac:dyDescent="0.3">
      <c r="A1200" s="21">
        <f>'Raw Data'!A1200</f>
        <v>51199</v>
      </c>
      <c r="B1200" s="21">
        <f>'Raw Data'!B1200</f>
        <v>0</v>
      </c>
      <c r="C1200" s="21">
        <f>'Raw Data'!C1200</f>
        <v>31</v>
      </c>
      <c r="D1200" s="21" t="str">
        <f>'Raw Data'!D1200</f>
        <v>Phone</v>
      </c>
      <c r="E1200" s="21">
        <f>'Raw Data'!E1200</f>
        <v>3</v>
      </c>
      <c r="F1200" s="21">
        <f>IF('Raw Data'!F1200="",ROUND(AVERAGE('Raw Data'!$F$2:$F$1501),1),'Raw Data'!F1200)</f>
        <v>5</v>
      </c>
      <c r="G1200" s="21" t="str">
        <f>'Raw Data'!G1200</f>
        <v>Cash on Delivery</v>
      </c>
      <c r="H1200" s="21" t="str">
        <f>'Raw Data'!H1200</f>
        <v>Female</v>
      </c>
      <c r="I1200" s="21">
        <f>IF('Raw Data'!I1200="",ROUND(AVERAGE('Raw Data'!$I$2:$I$1501),1),'Raw Data'!I1200)</f>
        <v>2.9</v>
      </c>
      <c r="J1200" s="21">
        <f>'Raw Data'!J1200</f>
        <v>2</v>
      </c>
      <c r="K1200" s="21" t="str">
        <f>'Raw Data'!K1200</f>
        <v>Laptop &amp; Accessory</v>
      </c>
      <c r="L1200" s="21">
        <f>'Raw Data'!L1200</f>
        <v>4</v>
      </c>
      <c r="M1200" s="21" t="str">
        <f>'Raw Data'!M1200</f>
        <v>Married</v>
      </c>
      <c r="N1200" s="21">
        <f>'Raw Data'!N1200</f>
        <v>4</v>
      </c>
      <c r="O1200" s="21">
        <f>'Raw Data'!O1200</f>
        <v>1</v>
      </c>
      <c r="P1200" s="21">
        <f>IF('Raw Data'!P1200="",ROUND(AVERAGE('Raw Data'!$P$2:$P$1501),1),'Raw Data'!P1200)</f>
        <v>13</v>
      </c>
      <c r="Q1200" s="21">
        <f>IF('Raw Data'!Q1200="",ROUND(AVERAGE('Raw Data'!$Q$2:$Q$1501),0),'Raw Data'!Q1200)</f>
        <v>1</v>
      </c>
      <c r="R1200" s="21">
        <f>'Raw Data'!R1200</f>
        <v>3</v>
      </c>
      <c r="S1200" s="21">
        <f>IF('Raw Data'!S1200="",ROUND(AVERAGE('Raw Data'!$S$2:$S$1501),0),'Raw Data'!S1200)</f>
        <v>2</v>
      </c>
      <c r="T1200" s="21">
        <f>'Raw Data'!T1200</f>
        <v>200.99</v>
      </c>
      <c r="U1200" s="21" t="str">
        <f>INDEX('Lookup Tables'!$C$7:$C$9,MATCH(E1200,'Lookup Tables'!$B$7:$B$9,0))</f>
        <v>Tier 3 (Semi-urban/Rural)</v>
      </c>
      <c r="V1200" s="21" t="str">
        <f t="shared" si="54"/>
        <v>25+ months</v>
      </c>
      <c r="W1200" s="21" t="str">
        <f t="shared" si="55"/>
        <v>Low Risk</v>
      </c>
      <c r="X1200" s="21" t="str">
        <f t="shared" si="56"/>
        <v>No</v>
      </c>
    </row>
    <row r="1201" spans="1:24" x14ac:dyDescent="0.3">
      <c r="A1201" s="21">
        <f>'Raw Data'!A1201</f>
        <v>51200</v>
      </c>
      <c r="B1201" s="21">
        <f>'Raw Data'!B1201</f>
        <v>0</v>
      </c>
      <c r="C1201" s="21">
        <f>'Raw Data'!C1201</f>
        <v>0</v>
      </c>
      <c r="D1201" s="21" t="str">
        <f>'Raw Data'!D1201</f>
        <v>Mobile Phone</v>
      </c>
      <c r="E1201" s="21">
        <f>'Raw Data'!E1201</f>
        <v>3</v>
      </c>
      <c r="F1201" s="21">
        <f>IF('Raw Data'!F1201="",ROUND(AVERAGE('Raw Data'!$F$2:$F$1501),1),'Raw Data'!F1201)</f>
        <v>11</v>
      </c>
      <c r="G1201" s="21" t="str">
        <f>'Raw Data'!G1201</f>
        <v>E wallet</v>
      </c>
      <c r="H1201" s="21" t="str">
        <f>'Raw Data'!H1201</f>
        <v>Female</v>
      </c>
      <c r="I1201" s="21">
        <f>IF('Raw Data'!I1201="",ROUND(AVERAGE('Raw Data'!$I$2:$I$1501),1),'Raw Data'!I1201)</f>
        <v>2.1</v>
      </c>
      <c r="J1201" s="21">
        <f>'Raw Data'!J1201</f>
        <v>3</v>
      </c>
      <c r="K1201" s="21" t="str">
        <f>'Raw Data'!K1201</f>
        <v>Mobile Phone</v>
      </c>
      <c r="L1201" s="21">
        <f>'Raw Data'!L1201</f>
        <v>4</v>
      </c>
      <c r="M1201" s="21" t="str">
        <f>'Raw Data'!M1201</f>
        <v>Married</v>
      </c>
      <c r="N1201" s="21">
        <f>'Raw Data'!N1201</f>
        <v>1</v>
      </c>
      <c r="O1201" s="21">
        <f>'Raw Data'!O1201</f>
        <v>0</v>
      </c>
      <c r="P1201" s="21">
        <f>IF('Raw Data'!P1201="",ROUND(AVERAGE('Raw Data'!$P$2:$P$1501),1),'Raw Data'!P1201)</f>
        <v>18.8</v>
      </c>
      <c r="Q1201" s="21">
        <f>IF('Raw Data'!Q1201="",ROUND(AVERAGE('Raw Data'!$Q$2:$Q$1501),0),'Raw Data'!Q1201)</f>
        <v>2</v>
      </c>
      <c r="R1201" s="21">
        <f>'Raw Data'!R1201</f>
        <v>8</v>
      </c>
      <c r="S1201" s="21">
        <f>IF('Raw Data'!S1201="",ROUND(AVERAGE('Raw Data'!$S$2:$S$1501),0),'Raw Data'!S1201)</f>
        <v>0</v>
      </c>
      <c r="T1201" s="21">
        <f>'Raw Data'!T1201</f>
        <v>219.79</v>
      </c>
      <c r="U1201" s="21" t="str">
        <f>INDEX('Lookup Tables'!$C$7:$C$9,MATCH(E1201,'Lookup Tables'!$B$7:$B$9,0))</f>
        <v>Tier 3 (Semi-urban/Rural)</v>
      </c>
      <c r="V1201" s="21" t="str">
        <f t="shared" si="54"/>
        <v>0-6 months</v>
      </c>
      <c r="W1201" s="21" t="str">
        <f t="shared" si="55"/>
        <v>Low Risk</v>
      </c>
      <c r="X1201" s="21" t="str">
        <f t="shared" si="56"/>
        <v>No</v>
      </c>
    </row>
    <row r="1202" spans="1:24" x14ac:dyDescent="0.3">
      <c r="A1202" s="21">
        <f>'Raw Data'!A1202</f>
        <v>51201</v>
      </c>
      <c r="B1202" s="21">
        <f>'Raw Data'!B1202</f>
        <v>1</v>
      </c>
      <c r="C1202" s="21">
        <f>'Raw Data'!C1202</f>
        <v>0</v>
      </c>
      <c r="D1202" s="21" t="str">
        <f>'Raw Data'!D1202</f>
        <v>Mobile Phone</v>
      </c>
      <c r="E1202" s="21">
        <f>'Raw Data'!E1202</f>
        <v>1</v>
      </c>
      <c r="F1202" s="21">
        <f>IF('Raw Data'!F1202="",ROUND(AVERAGE('Raw Data'!$F$2:$F$1501),1),'Raw Data'!F1202)</f>
        <v>23</v>
      </c>
      <c r="G1202" s="21" t="str">
        <f>'Raw Data'!G1202</f>
        <v>UPI</v>
      </c>
      <c r="H1202" s="21" t="str">
        <f>'Raw Data'!H1202</f>
        <v>Female</v>
      </c>
      <c r="I1202" s="21">
        <f>IF('Raw Data'!I1202="",ROUND(AVERAGE('Raw Data'!$I$2:$I$1501),1),'Raw Data'!I1202)</f>
        <v>2.7</v>
      </c>
      <c r="J1202" s="21">
        <f>'Raw Data'!J1202</f>
        <v>5</v>
      </c>
      <c r="K1202" s="21" t="str">
        <f>'Raw Data'!K1202</f>
        <v>Grocery</v>
      </c>
      <c r="L1202" s="21">
        <f>'Raw Data'!L1202</f>
        <v>4</v>
      </c>
      <c r="M1202" s="21" t="str">
        <f>'Raw Data'!M1202</f>
        <v>Married</v>
      </c>
      <c r="N1202" s="21">
        <f>'Raw Data'!N1202</f>
        <v>3</v>
      </c>
      <c r="O1202" s="21">
        <f>'Raw Data'!O1202</f>
        <v>1</v>
      </c>
      <c r="P1202" s="21">
        <f>IF('Raw Data'!P1202="",ROUND(AVERAGE('Raw Data'!$P$2:$P$1501),1),'Raw Data'!P1202)</f>
        <v>22</v>
      </c>
      <c r="Q1202" s="21">
        <f>IF('Raw Data'!Q1202="",ROUND(AVERAGE('Raw Data'!$Q$2:$Q$1501),0),'Raw Data'!Q1202)</f>
        <v>2</v>
      </c>
      <c r="R1202" s="21">
        <f>'Raw Data'!R1202</f>
        <v>4</v>
      </c>
      <c r="S1202" s="21">
        <f>IF('Raw Data'!S1202="",ROUND(AVERAGE('Raw Data'!$S$2:$S$1501),0),'Raw Data'!S1202)</f>
        <v>3</v>
      </c>
      <c r="T1202" s="21">
        <f>'Raw Data'!T1202</f>
        <v>71.53</v>
      </c>
      <c r="U1202" s="21" t="str">
        <f>INDEX('Lookup Tables'!$C$7:$C$9,MATCH(E1202,'Lookup Tables'!$B$7:$B$9,0))</f>
        <v>Tier 1 (Metro)</v>
      </c>
      <c r="V1202" s="21" t="str">
        <f t="shared" si="54"/>
        <v>0-6 months</v>
      </c>
      <c r="W1202" s="21" t="str">
        <f t="shared" si="55"/>
        <v>Low Risk</v>
      </c>
      <c r="X1202" s="21" t="str">
        <f t="shared" si="56"/>
        <v>Yes</v>
      </c>
    </row>
    <row r="1203" spans="1:24" x14ac:dyDescent="0.3">
      <c r="A1203" s="21">
        <f>'Raw Data'!A1203</f>
        <v>51202</v>
      </c>
      <c r="B1203" s="21">
        <f>'Raw Data'!B1203</f>
        <v>0</v>
      </c>
      <c r="C1203" s="21">
        <f>'Raw Data'!C1203</f>
        <v>3</v>
      </c>
      <c r="D1203" s="21" t="str">
        <f>'Raw Data'!D1203</f>
        <v>Phone</v>
      </c>
      <c r="E1203" s="21">
        <f>'Raw Data'!E1203</f>
        <v>3</v>
      </c>
      <c r="F1203" s="21">
        <f>IF('Raw Data'!F1203="",ROUND(AVERAGE('Raw Data'!$F$2:$F$1501),1),'Raw Data'!F1203)</f>
        <v>5</v>
      </c>
      <c r="G1203" s="21" t="str">
        <f>'Raw Data'!G1203</f>
        <v>E wallet</v>
      </c>
      <c r="H1203" s="21" t="str">
        <f>'Raw Data'!H1203</f>
        <v>Male</v>
      </c>
      <c r="I1203" s="21">
        <f>IF('Raw Data'!I1203="",ROUND(AVERAGE('Raw Data'!$I$2:$I$1501),1),'Raw Data'!I1203)</f>
        <v>2.4</v>
      </c>
      <c r="J1203" s="21">
        <f>'Raw Data'!J1203</f>
        <v>3</v>
      </c>
      <c r="K1203" s="21" t="str">
        <f>'Raw Data'!K1203</f>
        <v>Others</v>
      </c>
      <c r="L1203" s="21">
        <f>'Raw Data'!L1203</f>
        <v>3</v>
      </c>
      <c r="M1203" s="21" t="str">
        <f>'Raw Data'!M1203</f>
        <v>Married</v>
      </c>
      <c r="N1203" s="21">
        <f>'Raw Data'!N1203</f>
        <v>4</v>
      </c>
      <c r="O1203" s="21">
        <f>'Raw Data'!O1203</f>
        <v>1</v>
      </c>
      <c r="P1203" s="21">
        <f>IF('Raw Data'!P1203="",ROUND(AVERAGE('Raw Data'!$P$2:$P$1501),1),'Raw Data'!P1203)</f>
        <v>18.7</v>
      </c>
      <c r="Q1203" s="21">
        <f>IF('Raw Data'!Q1203="",ROUND(AVERAGE('Raw Data'!$Q$2:$Q$1501),0),'Raw Data'!Q1203)</f>
        <v>0</v>
      </c>
      <c r="R1203" s="21">
        <f>'Raw Data'!R1203</f>
        <v>1</v>
      </c>
      <c r="S1203" s="21">
        <f>IF('Raw Data'!S1203="",ROUND(AVERAGE('Raw Data'!$S$2:$S$1501),0),'Raw Data'!S1203)</f>
        <v>3</v>
      </c>
      <c r="T1203" s="21">
        <f>'Raw Data'!T1203</f>
        <v>186.41</v>
      </c>
      <c r="U1203" s="21" t="str">
        <f>INDEX('Lookup Tables'!$C$7:$C$9,MATCH(E1203,'Lookup Tables'!$B$7:$B$9,0))</f>
        <v>Tier 3 (Semi-urban/Rural)</v>
      </c>
      <c r="V1203" s="21" t="str">
        <f t="shared" si="54"/>
        <v>0-6 months</v>
      </c>
      <c r="W1203" s="21" t="str">
        <f t="shared" si="55"/>
        <v>Medium Risk</v>
      </c>
      <c r="X1203" s="21" t="str">
        <f t="shared" si="56"/>
        <v>No</v>
      </c>
    </row>
    <row r="1204" spans="1:24" x14ac:dyDescent="0.3">
      <c r="A1204" s="21">
        <f>'Raw Data'!A1204</f>
        <v>51203</v>
      </c>
      <c r="B1204" s="21">
        <f>'Raw Data'!B1204</f>
        <v>0</v>
      </c>
      <c r="C1204" s="21">
        <f>'Raw Data'!C1204</f>
        <v>3</v>
      </c>
      <c r="D1204" s="21" t="str">
        <f>'Raw Data'!D1204</f>
        <v>Phone</v>
      </c>
      <c r="E1204" s="21">
        <f>'Raw Data'!E1204</f>
        <v>1</v>
      </c>
      <c r="F1204" s="21">
        <f>IF('Raw Data'!F1204="",ROUND(AVERAGE('Raw Data'!$F$2:$F$1501),1),'Raw Data'!F1204)</f>
        <v>5</v>
      </c>
      <c r="G1204" s="21" t="str">
        <f>'Raw Data'!G1204</f>
        <v>Credit Card</v>
      </c>
      <c r="H1204" s="21" t="str">
        <f>'Raw Data'!H1204</f>
        <v>Female</v>
      </c>
      <c r="I1204" s="21">
        <f>IF('Raw Data'!I1204="",ROUND(AVERAGE('Raw Data'!$I$2:$I$1501),1),'Raw Data'!I1204)</f>
        <v>3.2</v>
      </c>
      <c r="J1204" s="21">
        <f>'Raw Data'!J1204</f>
        <v>3</v>
      </c>
      <c r="K1204" s="21" t="str">
        <f>'Raw Data'!K1204</f>
        <v>Laptop &amp; Accessory</v>
      </c>
      <c r="L1204" s="21">
        <f>'Raw Data'!L1204</f>
        <v>4</v>
      </c>
      <c r="M1204" s="21" t="str">
        <f>'Raw Data'!M1204</f>
        <v>Married</v>
      </c>
      <c r="N1204" s="21">
        <f>'Raw Data'!N1204</f>
        <v>1</v>
      </c>
      <c r="O1204" s="21">
        <f>'Raw Data'!O1204</f>
        <v>1</v>
      </c>
      <c r="P1204" s="21">
        <f>IF('Raw Data'!P1204="",ROUND(AVERAGE('Raw Data'!$P$2:$P$1501),1),'Raw Data'!P1204)</f>
        <v>14.7</v>
      </c>
      <c r="Q1204" s="21">
        <f>IF('Raw Data'!Q1204="",ROUND(AVERAGE('Raw Data'!$Q$2:$Q$1501),0),'Raw Data'!Q1204)</f>
        <v>1</v>
      </c>
      <c r="R1204" s="21">
        <f>'Raw Data'!R1204</f>
        <v>6</v>
      </c>
      <c r="S1204" s="21">
        <f>IF('Raw Data'!S1204="",ROUND(AVERAGE('Raw Data'!$S$2:$S$1501),0),'Raw Data'!S1204)</f>
        <v>0</v>
      </c>
      <c r="T1204" s="21">
        <f>'Raw Data'!T1204</f>
        <v>169.54</v>
      </c>
      <c r="U1204" s="21" t="str">
        <f>INDEX('Lookup Tables'!$C$7:$C$9,MATCH(E1204,'Lookup Tables'!$B$7:$B$9,0))</f>
        <v>Tier 1 (Metro)</v>
      </c>
      <c r="V1204" s="21" t="str">
        <f t="shared" si="54"/>
        <v>0-6 months</v>
      </c>
      <c r="W1204" s="21" t="str">
        <f t="shared" si="55"/>
        <v>Low Risk</v>
      </c>
      <c r="X1204" s="21" t="str">
        <f t="shared" si="56"/>
        <v>No</v>
      </c>
    </row>
    <row r="1205" spans="1:24" x14ac:dyDescent="0.3">
      <c r="A1205" s="21">
        <f>'Raw Data'!A1205</f>
        <v>51204</v>
      </c>
      <c r="B1205" s="21">
        <f>'Raw Data'!B1205</f>
        <v>0</v>
      </c>
      <c r="C1205" s="21">
        <f>'Raw Data'!C1205</f>
        <v>2</v>
      </c>
      <c r="D1205" s="21" t="str">
        <f>'Raw Data'!D1205</f>
        <v>Mobile Phone</v>
      </c>
      <c r="E1205" s="21">
        <f>'Raw Data'!E1205</f>
        <v>3</v>
      </c>
      <c r="F1205" s="21">
        <f>IF('Raw Data'!F1205="",ROUND(AVERAGE('Raw Data'!$F$2:$F$1501),1),'Raw Data'!F1205)</f>
        <v>19</v>
      </c>
      <c r="G1205" s="21" t="str">
        <f>'Raw Data'!G1205</f>
        <v>Credit Card</v>
      </c>
      <c r="H1205" s="21" t="str">
        <f>'Raw Data'!H1205</f>
        <v>Female</v>
      </c>
      <c r="I1205" s="21">
        <f>IF('Raw Data'!I1205="",ROUND(AVERAGE('Raw Data'!$I$2:$I$1501),1),'Raw Data'!I1205)</f>
        <v>2.2000000000000002</v>
      </c>
      <c r="J1205" s="21">
        <f>'Raw Data'!J1205</f>
        <v>2</v>
      </c>
      <c r="K1205" s="21" t="str">
        <f>'Raw Data'!K1205</f>
        <v>Mobile Phone</v>
      </c>
      <c r="L1205" s="21">
        <f>'Raw Data'!L1205</f>
        <v>1</v>
      </c>
      <c r="M1205" s="21" t="str">
        <f>'Raw Data'!M1205</f>
        <v>Married</v>
      </c>
      <c r="N1205" s="21">
        <f>'Raw Data'!N1205</f>
        <v>3</v>
      </c>
      <c r="O1205" s="21">
        <f>'Raw Data'!O1205</f>
        <v>0</v>
      </c>
      <c r="P1205" s="21">
        <f>IF('Raw Data'!P1205="",ROUND(AVERAGE('Raw Data'!$P$2:$P$1501),1),'Raw Data'!P1205)</f>
        <v>12.7</v>
      </c>
      <c r="Q1205" s="21">
        <f>IF('Raw Data'!Q1205="",ROUND(AVERAGE('Raw Data'!$Q$2:$Q$1501),0),'Raw Data'!Q1205)</f>
        <v>1</v>
      </c>
      <c r="R1205" s="21">
        <f>'Raw Data'!R1205</f>
        <v>3</v>
      </c>
      <c r="S1205" s="21">
        <f>IF('Raw Data'!S1205="",ROUND(AVERAGE('Raw Data'!$S$2:$S$1501),0),'Raw Data'!S1205)</f>
        <v>1</v>
      </c>
      <c r="T1205" s="21">
        <f>'Raw Data'!T1205</f>
        <v>232.45</v>
      </c>
      <c r="U1205" s="21" t="str">
        <f>INDEX('Lookup Tables'!$C$7:$C$9,MATCH(E1205,'Lookup Tables'!$B$7:$B$9,0))</f>
        <v>Tier 3 (Semi-urban/Rural)</v>
      </c>
      <c r="V1205" s="21" t="str">
        <f t="shared" si="54"/>
        <v>0-6 months</v>
      </c>
      <c r="W1205" s="21" t="str">
        <f t="shared" si="55"/>
        <v>Low Risk</v>
      </c>
      <c r="X1205" s="21" t="str">
        <f t="shared" si="56"/>
        <v>No</v>
      </c>
    </row>
    <row r="1206" spans="1:24" x14ac:dyDescent="0.3">
      <c r="A1206" s="21">
        <f>'Raw Data'!A1206</f>
        <v>51205</v>
      </c>
      <c r="B1206" s="21">
        <f>'Raw Data'!B1206</f>
        <v>0</v>
      </c>
      <c r="C1206" s="21">
        <f>'Raw Data'!C1206</f>
        <v>23</v>
      </c>
      <c r="D1206" s="21" t="str">
        <f>'Raw Data'!D1206</f>
        <v>Mobile Phone</v>
      </c>
      <c r="E1206" s="21">
        <f>'Raw Data'!E1206</f>
        <v>3</v>
      </c>
      <c r="F1206" s="21">
        <f>IF('Raw Data'!F1206="",ROUND(AVERAGE('Raw Data'!$F$2:$F$1501),1),'Raw Data'!F1206)</f>
        <v>16</v>
      </c>
      <c r="G1206" s="21" t="str">
        <f>'Raw Data'!G1206</f>
        <v>UPI</v>
      </c>
      <c r="H1206" s="21" t="str">
        <f>'Raw Data'!H1206</f>
        <v>Female</v>
      </c>
      <c r="I1206" s="21">
        <f>IF('Raw Data'!I1206="",ROUND(AVERAGE('Raw Data'!$I$2:$I$1501),1),'Raw Data'!I1206)</f>
        <v>3.8</v>
      </c>
      <c r="J1206" s="21">
        <f>'Raw Data'!J1206</f>
        <v>1</v>
      </c>
      <c r="K1206" s="21" t="str">
        <f>'Raw Data'!K1206</f>
        <v>Fashion</v>
      </c>
      <c r="L1206" s="21">
        <f>'Raw Data'!L1206</f>
        <v>5</v>
      </c>
      <c r="M1206" s="21" t="str">
        <f>'Raw Data'!M1206</f>
        <v>Divorced</v>
      </c>
      <c r="N1206" s="21">
        <f>'Raw Data'!N1206</f>
        <v>4</v>
      </c>
      <c r="O1206" s="21">
        <f>'Raw Data'!O1206</f>
        <v>0</v>
      </c>
      <c r="P1206" s="21">
        <f>IF('Raw Data'!P1206="",ROUND(AVERAGE('Raw Data'!$P$2:$P$1501),1),'Raw Data'!P1206)</f>
        <v>16.5</v>
      </c>
      <c r="Q1206" s="21">
        <f>IF('Raw Data'!Q1206="",ROUND(AVERAGE('Raw Data'!$Q$2:$Q$1501),0),'Raw Data'!Q1206)</f>
        <v>0</v>
      </c>
      <c r="R1206" s="21">
        <f>'Raw Data'!R1206</f>
        <v>5</v>
      </c>
      <c r="S1206" s="21">
        <f>IF('Raw Data'!S1206="",ROUND(AVERAGE('Raw Data'!$S$2:$S$1501),0),'Raw Data'!S1206)</f>
        <v>7</v>
      </c>
      <c r="T1206" s="21">
        <f>'Raw Data'!T1206</f>
        <v>201.21</v>
      </c>
      <c r="U1206" s="21" t="str">
        <f>INDEX('Lookup Tables'!$C$7:$C$9,MATCH(E1206,'Lookup Tables'!$B$7:$B$9,0))</f>
        <v>Tier 3 (Semi-urban/Rural)</v>
      </c>
      <c r="V1206" s="21" t="str">
        <f t="shared" si="54"/>
        <v>13-24 months</v>
      </c>
      <c r="W1206" s="21" t="str">
        <f t="shared" si="55"/>
        <v>Low Risk</v>
      </c>
      <c r="X1206" s="21" t="str">
        <f t="shared" si="56"/>
        <v>No</v>
      </c>
    </row>
    <row r="1207" spans="1:24" x14ac:dyDescent="0.3">
      <c r="A1207" s="21">
        <f>'Raw Data'!A1207</f>
        <v>51206</v>
      </c>
      <c r="B1207" s="21">
        <f>'Raw Data'!B1207</f>
        <v>1</v>
      </c>
      <c r="C1207" s="21">
        <f>'Raw Data'!C1207</f>
        <v>2</v>
      </c>
      <c r="D1207" s="21" t="str">
        <f>'Raw Data'!D1207</f>
        <v>Mobile Phone</v>
      </c>
      <c r="E1207" s="21">
        <f>'Raw Data'!E1207</f>
        <v>1</v>
      </c>
      <c r="F1207" s="21">
        <f>IF('Raw Data'!F1207="",ROUND(AVERAGE('Raw Data'!$F$2:$F$1501),1),'Raw Data'!F1207)</f>
        <v>6</v>
      </c>
      <c r="G1207" s="21" t="str">
        <f>'Raw Data'!G1207</f>
        <v>Cash on Delivery</v>
      </c>
      <c r="H1207" s="21" t="str">
        <f>'Raw Data'!H1207</f>
        <v>Male</v>
      </c>
      <c r="I1207" s="21">
        <f>IF('Raw Data'!I1207="",ROUND(AVERAGE('Raw Data'!$I$2:$I$1501),1),'Raw Data'!I1207)</f>
        <v>1.7</v>
      </c>
      <c r="J1207" s="21">
        <f>'Raw Data'!J1207</f>
        <v>3</v>
      </c>
      <c r="K1207" s="21" t="str">
        <f>'Raw Data'!K1207</f>
        <v>Mobile Phone</v>
      </c>
      <c r="L1207" s="21">
        <f>'Raw Data'!L1207</f>
        <v>1</v>
      </c>
      <c r="M1207" s="21" t="str">
        <f>'Raw Data'!M1207</f>
        <v>Married</v>
      </c>
      <c r="N1207" s="21">
        <f>'Raw Data'!N1207</f>
        <v>2</v>
      </c>
      <c r="O1207" s="21">
        <f>'Raw Data'!O1207</f>
        <v>0</v>
      </c>
      <c r="P1207" s="21">
        <f>IF('Raw Data'!P1207="",ROUND(AVERAGE('Raw Data'!$P$2:$P$1501),1),'Raw Data'!P1207)</f>
        <v>19.100000000000001</v>
      </c>
      <c r="Q1207" s="21">
        <f>IF('Raw Data'!Q1207="",ROUND(AVERAGE('Raw Data'!$Q$2:$Q$1501),0),'Raw Data'!Q1207)</f>
        <v>1</v>
      </c>
      <c r="R1207" s="21">
        <f>'Raw Data'!R1207</f>
        <v>3</v>
      </c>
      <c r="S1207" s="21">
        <f>IF('Raw Data'!S1207="",ROUND(AVERAGE('Raw Data'!$S$2:$S$1501),0),'Raw Data'!S1207)</f>
        <v>0</v>
      </c>
      <c r="T1207" s="21">
        <f>'Raw Data'!T1207</f>
        <v>206.64</v>
      </c>
      <c r="U1207" s="21" t="str">
        <f>INDEX('Lookup Tables'!$C$7:$C$9,MATCH(E1207,'Lookup Tables'!$B$7:$B$9,0))</f>
        <v>Tier 1 (Metro)</v>
      </c>
      <c r="V1207" s="21" t="str">
        <f t="shared" si="54"/>
        <v>0-6 months</v>
      </c>
      <c r="W1207" s="21" t="str">
        <f t="shared" si="55"/>
        <v>Low Risk</v>
      </c>
      <c r="X1207" s="21" t="str">
        <f t="shared" si="56"/>
        <v>Yes</v>
      </c>
    </row>
    <row r="1208" spans="1:24" x14ac:dyDescent="0.3">
      <c r="A1208" s="21">
        <f>'Raw Data'!A1208</f>
        <v>51207</v>
      </c>
      <c r="B1208" s="21">
        <f>'Raw Data'!B1208</f>
        <v>1</v>
      </c>
      <c r="C1208" s="21">
        <f>'Raw Data'!C1208</f>
        <v>3</v>
      </c>
      <c r="D1208" s="21" t="str">
        <f>'Raw Data'!D1208</f>
        <v>Mobile Phone</v>
      </c>
      <c r="E1208" s="21">
        <f>'Raw Data'!E1208</f>
        <v>3</v>
      </c>
      <c r="F1208" s="21">
        <f>IF('Raw Data'!F1208="",ROUND(AVERAGE('Raw Data'!$F$2:$F$1501),1),'Raw Data'!F1208)</f>
        <v>7</v>
      </c>
      <c r="G1208" s="21" t="str">
        <f>'Raw Data'!G1208</f>
        <v>Credit Card</v>
      </c>
      <c r="H1208" s="21" t="str">
        <f>'Raw Data'!H1208</f>
        <v>Male</v>
      </c>
      <c r="I1208" s="21">
        <f>IF('Raw Data'!I1208="",ROUND(AVERAGE('Raw Data'!$I$2:$I$1501),1),'Raw Data'!I1208)</f>
        <v>2.2999999999999998</v>
      </c>
      <c r="J1208" s="21">
        <f>'Raw Data'!J1208</f>
        <v>4</v>
      </c>
      <c r="K1208" s="21" t="str">
        <f>'Raw Data'!K1208</f>
        <v>Mobile Phone</v>
      </c>
      <c r="L1208" s="21">
        <f>'Raw Data'!L1208</f>
        <v>2</v>
      </c>
      <c r="M1208" s="21" t="str">
        <f>'Raw Data'!M1208</f>
        <v>Divorced</v>
      </c>
      <c r="N1208" s="21">
        <f>'Raw Data'!N1208</f>
        <v>1</v>
      </c>
      <c r="O1208" s="21">
        <f>'Raw Data'!O1208</f>
        <v>1</v>
      </c>
      <c r="P1208" s="21">
        <f>IF('Raw Data'!P1208="",ROUND(AVERAGE('Raw Data'!$P$2:$P$1501),1),'Raw Data'!P1208)</f>
        <v>14.6</v>
      </c>
      <c r="Q1208" s="21">
        <f>IF('Raw Data'!Q1208="",ROUND(AVERAGE('Raw Data'!$Q$2:$Q$1501),0),'Raw Data'!Q1208)</f>
        <v>6</v>
      </c>
      <c r="R1208" s="21">
        <f>'Raw Data'!R1208</f>
        <v>4</v>
      </c>
      <c r="S1208" s="21">
        <f>IF('Raw Data'!S1208="",ROUND(AVERAGE('Raw Data'!$S$2:$S$1501),0),'Raw Data'!S1208)</f>
        <v>3</v>
      </c>
      <c r="T1208" s="21">
        <f>'Raw Data'!T1208</f>
        <v>153.49</v>
      </c>
      <c r="U1208" s="21" t="str">
        <f>INDEX('Lookup Tables'!$C$7:$C$9,MATCH(E1208,'Lookup Tables'!$B$7:$B$9,0))</f>
        <v>Tier 3 (Semi-urban/Rural)</v>
      </c>
      <c r="V1208" s="21" t="str">
        <f t="shared" si="54"/>
        <v>0-6 months</v>
      </c>
      <c r="W1208" s="21" t="str">
        <f t="shared" si="55"/>
        <v>High Risk</v>
      </c>
      <c r="X1208" s="21" t="str">
        <f t="shared" si="56"/>
        <v>Yes</v>
      </c>
    </row>
    <row r="1209" spans="1:24" x14ac:dyDescent="0.3">
      <c r="A1209" s="21">
        <f>'Raw Data'!A1209</f>
        <v>51208</v>
      </c>
      <c r="B1209" s="21">
        <f>'Raw Data'!B1209</f>
        <v>0</v>
      </c>
      <c r="C1209" s="21">
        <f>'Raw Data'!C1209</f>
        <v>14</v>
      </c>
      <c r="D1209" s="21" t="str">
        <f>'Raw Data'!D1209</f>
        <v>Mobile Phone</v>
      </c>
      <c r="E1209" s="21">
        <f>'Raw Data'!E1209</f>
        <v>2</v>
      </c>
      <c r="F1209" s="21">
        <f>IF('Raw Data'!F1209="",ROUND(AVERAGE('Raw Data'!$F$2:$F$1501),1),'Raw Data'!F1209)</f>
        <v>7</v>
      </c>
      <c r="G1209" s="21" t="str">
        <f>'Raw Data'!G1209</f>
        <v>Cash on Delivery</v>
      </c>
      <c r="H1209" s="21" t="str">
        <f>'Raw Data'!H1209</f>
        <v>Male</v>
      </c>
      <c r="I1209" s="21">
        <f>IF('Raw Data'!I1209="",ROUND(AVERAGE('Raw Data'!$I$2:$I$1501),1),'Raw Data'!I1209)</f>
        <v>4.0999999999999996</v>
      </c>
      <c r="J1209" s="21">
        <f>'Raw Data'!J1209</f>
        <v>4</v>
      </c>
      <c r="K1209" s="21" t="str">
        <f>'Raw Data'!K1209</f>
        <v>Laptop &amp; Accessory</v>
      </c>
      <c r="L1209" s="21">
        <f>'Raw Data'!L1209</f>
        <v>4</v>
      </c>
      <c r="M1209" s="21" t="str">
        <f>'Raw Data'!M1209</f>
        <v>Married</v>
      </c>
      <c r="N1209" s="21">
        <f>'Raw Data'!N1209</f>
        <v>3</v>
      </c>
      <c r="O1209" s="21">
        <f>'Raw Data'!O1209</f>
        <v>0</v>
      </c>
      <c r="P1209" s="21">
        <f>IF('Raw Data'!P1209="",ROUND(AVERAGE('Raw Data'!$P$2:$P$1501),1),'Raw Data'!P1209)</f>
        <v>15</v>
      </c>
      <c r="Q1209" s="21">
        <f>IF('Raw Data'!Q1209="",ROUND(AVERAGE('Raw Data'!$Q$2:$Q$1501),0),'Raw Data'!Q1209)</f>
        <v>1</v>
      </c>
      <c r="R1209" s="21">
        <f>'Raw Data'!R1209</f>
        <v>4</v>
      </c>
      <c r="S1209" s="21">
        <f>IF('Raw Data'!S1209="",ROUND(AVERAGE('Raw Data'!$S$2:$S$1501),0),'Raw Data'!S1209)</f>
        <v>3</v>
      </c>
      <c r="T1209" s="21">
        <f>'Raw Data'!T1209</f>
        <v>180.09</v>
      </c>
      <c r="U1209" s="21" t="str">
        <f>INDEX('Lookup Tables'!$C$7:$C$9,MATCH(E1209,'Lookup Tables'!$B$7:$B$9,0))</f>
        <v>Tier 2 (Urban)</v>
      </c>
      <c r="V1209" s="21" t="str">
        <f t="shared" si="54"/>
        <v>13-24 months</v>
      </c>
      <c r="W1209" s="21" t="str">
        <f t="shared" si="55"/>
        <v>Low Risk</v>
      </c>
      <c r="X1209" s="21" t="str">
        <f t="shared" si="56"/>
        <v>No</v>
      </c>
    </row>
    <row r="1210" spans="1:24" x14ac:dyDescent="0.3">
      <c r="A1210" s="21">
        <f>'Raw Data'!A1210</f>
        <v>51209</v>
      </c>
      <c r="B1210" s="21">
        <f>'Raw Data'!B1210</f>
        <v>0</v>
      </c>
      <c r="C1210" s="21">
        <f>'Raw Data'!C1210</f>
        <v>5</v>
      </c>
      <c r="D1210" s="21" t="str">
        <f>'Raw Data'!D1210</f>
        <v>Mobile Phone</v>
      </c>
      <c r="E1210" s="21">
        <f>'Raw Data'!E1210</f>
        <v>3</v>
      </c>
      <c r="F1210" s="21">
        <f>IF('Raw Data'!F1210="",ROUND(AVERAGE('Raw Data'!$F$2:$F$1501),1),'Raw Data'!F1210)</f>
        <v>15</v>
      </c>
      <c r="G1210" s="21" t="str">
        <f>'Raw Data'!G1210</f>
        <v>Credit Card</v>
      </c>
      <c r="H1210" s="21" t="str">
        <f>'Raw Data'!H1210</f>
        <v>Male</v>
      </c>
      <c r="I1210" s="21">
        <f>IF('Raw Data'!I1210="",ROUND(AVERAGE('Raw Data'!$I$2:$I$1501),1),'Raw Data'!I1210)</f>
        <v>2.6</v>
      </c>
      <c r="J1210" s="21">
        <f>'Raw Data'!J1210</f>
        <v>1</v>
      </c>
      <c r="K1210" s="21" t="str">
        <f>'Raw Data'!K1210</f>
        <v>Mobile Phone</v>
      </c>
      <c r="L1210" s="21">
        <f>'Raw Data'!L1210</f>
        <v>4</v>
      </c>
      <c r="M1210" s="21" t="str">
        <f>'Raw Data'!M1210</f>
        <v>Single</v>
      </c>
      <c r="N1210" s="21">
        <f>'Raw Data'!N1210</f>
        <v>13</v>
      </c>
      <c r="O1210" s="21">
        <f>'Raw Data'!O1210</f>
        <v>0</v>
      </c>
      <c r="P1210" s="21">
        <f>IF('Raw Data'!P1210="",ROUND(AVERAGE('Raw Data'!$P$2:$P$1501),1),'Raw Data'!P1210)</f>
        <v>25.9</v>
      </c>
      <c r="Q1210" s="21">
        <f>IF('Raw Data'!Q1210="",ROUND(AVERAGE('Raw Data'!$Q$2:$Q$1501),0),'Raw Data'!Q1210)</f>
        <v>2</v>
      </c>
      <c r="R1210" s="21">
        <f>'Raw Data'!R1210</f>
        <v>9</v>
      </c>
      <c r="S1210" s="21">
        <f>IF('Raw Data'!S1210="",ROUND(AVERAGE('Raw Data'!$S$2:$S$1501),0),'Raw Data'!S1210)</f>
        <v>5</v>
      </c>
      <c r="T1210" s="21">
        <f>'Raw Data'!T1210</f>
        <v>231.9</v>
      </c>
      <c r="U1210" s="21" t="str">
        <f>INDEX('Lookup Tables'!$C$7:$C$9,MATCH(E1210,'Lookup Tables'!$B$7:$B$9,0))</f>
        <v>Tier 3 (Semi-urban/Rural)</v>
      </c>
      <c r="V1210" s="21" t="str">
        <f t="shared" si="54"/>
        <v>0-6 months</v>
      </c>
      <c r="W1210" s="21" t="str">
        <f t="shared" si="55"/>
        <v>Low Risk</v>
      </c>
      <c r="X1210" s="21" t="str">
        <f t="shared" si="56"/>
        <v>No</v>
      </c>
    </row>
    <row r="1211" spans="1:24" x14ac:dyDescent="0.3">
      <c r="A1211" s="21">
        <f>'Raw Data'!A1211</f>
        <v>51210</v>
      </c>
      <c r="B1211" s="21">
        <f>'Raw Data'!B1211</f>
        <v>0</v>
      </c>
      <c r="C1211" s="21">
        <f>'Raw Data'!C1211</f>
        <v>14</v>
      </c>
      <c r="D1211" s="21" t="str">
        <f>'Raw Data'!D1211</f>
        <v>Computer</v>
      </c>
      <c r="E1211" s="21">
        <f>'Raw Data'!E1211</f>
        <v>1</v>
      </c>
      <c r="F1211" s="21">
        <f>IF('Raw Data'!F1211="",ROUND(AVERAGE('Raw Data'!$F$2:$F$1501),1),'Raw Data'!F1211)</f>
        <v>9</v>
      </c>
      <c r="G1211" s="21" t="str">
        <f>'Raw Data'!G1211</f>
        <v>Credit Card</v>
      </c>
      <c r="H1211" s="21" t="str">
        <f>'Raw Data'!H1211</f>
        <v>Male</v>
      </c>
      <c r="I1211" s="21">
        <f>IF('Raw Data'!I1211="",ROUND(AVERAGE('Raw Data'!$I$2:$I$1501),1),'Raw Data'!I1211)</f>
        <v>2</v>
      </c>
      <c r="J1211" s="21">
        <f>'Raw Data'!J1211</f>
        <v>2</v>
      </c>
      <c r="K1211" s="21" t="str">
        <f>'Raw Data'!K1211</f>
        <v>Mobile Phone</v>
      </c>
      <c r="L1211" s="21">
        <f>'Raw Data'!L1211</f>
        <v>1</v>
      </c>
      <c r="M1211" s="21" t="str">
        <f>'Raw Data'!M1211</f>
        <v>Single</v>
      </c>
      <c r="N1211" s="21">
        <f>'Raw Data'!N1211</f>
        <v>1</v>
      </c>
      <c r="O1211" s="21">
        <f>'Raw Data'!O1211</f>
        <v>0</v>
      </c>
      <c r="P1211" s="21">
        <f>IF('Raw Data'!P1211="",ROUND(AVERAGE('Raw Data'!$P$2:$P$1501),1),'Raw Data'!P1211)</f>
        <v>19.8</v>
      </c>
      <c r="Q1211" s="21">
        <f>IF('Raw Data'!Q1211="",ROUND(AVERAGE('Raw Data'!$Q$2:$Q$1501),0),'Raw Data'!Q1211)</f>
        <v>1</v>
      </c>
      <c r="R1211" s="21">
        <f>'Raw Data'!R1211</f>
        <v>6</v>
      </c>
      <c r="S1211" s="21">
        <f>IF('Raw Data'!S1211="",ROUND(AVERAGE('Raw Data'!$S$2:$S$1501),0),'Raw Data'!S1211)</f>
        <v>0</v>
      </c>
      <c r="T1211" s="21">
        <f>'Raw Data'!T1211</f>
        <v>176.43</v>
      </c>
      <c r="U1211" s="21" t="str">
        <f>INDEX('Lookup Tables'!$C$7:$C$9,MATCH(E1211,'Lookup Tables'!$B$7:$B$9,0))</f>
        <v>Tier 1 (Metro)</v>
      </c>
      <c r="V1211" s="21" t="str">
        <f t="shared" si="54"/>
        <v>13-24 months</v>
      </c>
      <c r="W1211" s="21" t="str">
        <f t="shared" si="55"/>
        <v>Low Risk</v>
      </c>
      <c r="X1211" s="21" t="str">
        <f t="shared" si="56"/>
        <v>No</v>
      </c>
    </row>
    <row r="1212" spans="1:24" x14ac:dyDescent="0.3">
      <c r="A1212" s="21">
        <f>'Raw Data'!A1212</f>
        <v>51211</v>
      </c>
      <c r="B1212" s="21">
        <f>'Raw Data'!B1212</f>
        <v>0</v>
      </c>
      <c r="C1212" s="21">
        <f>'Raw Data'!C1212</f>
        <v>0</v>
      </c>
      <c r="D1212" s="21" t="str">
        <f>'Raw Data'!D1212</f>
        <v>Mobile Phone</v>
      </c>
      <c r="E1212" s="21">
        <f>'Raw Data'!E1212</f>
        <v>3</v>
      </c>
      <c r="F1212" s="21">
        <f>IF('Raw Data'!F1212="",ROUND(AVERAGE('Raw Data'!$F$2:$F$1501),1),'Raw Data'!F1212)</f>
        <v>18</v>
      </c>
      <c r="G1212" s="21" t="str">
        <f>'Raw Data'!G1212</f>
        <v>Credit Card</v>
      </c>
      <c r="H1212" s="21" t="str">
        <f>'Raw Data'!H1212</f>
        <v>Female</v>
      </c>
      <c r="I1212" s="21">
        <f>IF('Raw Data'!I1212="",ROUND(AVERAGE('Raw Data'!$I$2:$I$1501),1),'Raw Data'!I1212)</f>
        <v>3.1</v>
      </c>
      <c r="J1212" s="21">
        <f>'Raw Data'!J1212</f>
        <v>3</v>
      </c>
      <c r="K1212" s="21" t="str">
        <f>'Raw Data'!K1212</f>
        <v>Grocery</v>
      </c>
      <c r="L1212" s="21">
        <f>'Raw Data'!L1212</f>
        <v>5</v>
      </c>
      <c r="M1212" s="21" t="str">
        <f>'Raw Data'!M1212</f>
        <v>Married</v>
      </c>
      <c r="N1212" s="21">
        <f>'Raw Data'!N1212</f>
        <v>1</v>
      </c>
      <c r="O1212" s="21">
        <f>'Raw Data'!O1212</f>
        <v>0</v>
      </c>
      <c r="P1212" s="21">
        <f>IF('Raw Data'!P1212="",ROUND(AVERAGE('Raw Data'!$P$2:$P$1501),1),'Raw Data'!P1212)</f>
        <v>20</v>
      </c>
      <c r="Q1212" s="21">
        <f>IF('Raw Data'!Q1212="",ROUND(AVERAGE('Raw Data'!$Q$2:$Q$1501),0),'Raw Data'!Q1212)</f>
        <v>1</v>
      </c>
      <c r="R1212" s="21">
        <f>'Raw Data'!R1212</f>
        <v>8</v>
      </c>
      <c r="S1212" s="21">
        <f>IF('Raw Data'!S1212="",ROUND(AVERAGE('Raw Data'!$S$2:$S$1501),0),'Raw Data'!S1212)</f>
        <v>4</v>
      </c>
      <c r="T1212" s="21">
        <f>'Raw Data'!T1212</f>
        <v>189.61</v>
      </c>
      <c r="U1212" s="21" t="str">
        <f>INDEX('Lookup Tables'!$C$7:$C$9,MATCH(E1212,'Lookup Tables'!$B$7:$B$9,0))</f>
        <v>Tier 3 (Semi-urban/Rural)</v>
      </c>
      <c r="V1212" s="21" t="str">
        <f t="shared" si="54"/>
        <v>0-6 months</v>
      </c>
      <c r="W1212" s="21" t="str">
        <f t="shared" si="55"/>
        <v>Low Risk</v>
      </c>
      <c r="X1212" s="21" t="str">
        <f t="shared" si="56"/>
        <v>No</v>
      </c>
    </row>
    <row r="1213" spans="1:24" x14ac:dyDescent="0.3">
      <c r="A1213" s="21">
        <f>'Raw Data'!A1213</f>
        <v>51212</v>
      </c>
      <c r="B1213" s="21">
        <f>'Raw Data'!B1213</f>
        <v>0</v>
      </c>
      <c r="C1213" s="21">
        <f>'Raw Data'!C1213</f>
        <v>6</v>
      </c>
      <c r="D1213" s="21" t="str">
        <f>'Raw Data'!D1213</f>
        <v>Mobile Phone</v>
      </c>
      <c r="E1213" s="21">
        <f>'Raw Data'!E1213</f>
        <v>1</v>
      </c>
      <c r="F1213" s="21">
        <f>IF('Raw Data'!F1213="",ROUND(AVERAGE('Raw Data'!$F$2:$F$1501),1),'Raw Data'!F1213)</f>
        <v>5</v>
      </c>
      <c r="G1213" s="21" t="str">
        <f>'Raw Data'!G1213</f>
        <v>Debit Card</v>
      </c>
      <c r="H1213" s="21" t="str">
        <f>'Raw Data'!H1213</f>
        <v>Male</v>
      </c>
      <c r="I1213" s="21">
        <f>IF('Raw Data'!I1213="",ROUND(AVERAGE('Raw Data'!$I$2:$I$1501),1),'Raw Data'!I1213)</f>
        <v>2.6</v>
      </c>
      <c r="J1213" s="21">
        <f>'Raw Data'!J1213</f>
        <v>3</v>
      </c>
      <c r="K1213" s="21" t="str">
        <f>'Raw Data'!K1213</f>
        <v>Fashion</v>
      </c>
      <c r="L1213" s="21">
        <f>'Raw Data'!L1213</f>
        <v>5</v>
      </c>
      <c r="M1213" s="21" t="str">
        <f>'Raw Data'!M1213</f>
        <v>Married</v>
      </c>
      <c r="N1213" s="21">
        <f>'Raw Data'!N1213</f>
        <v>2</v>
      </c>
      <c r="O1213" s="21">
        <f>'Raw Data'!O1213</f>
        <v>1</v>
      </c>
      <c r="P1213" s="21">
        <f>IF('Raw Data'!P1213="",ROUND(AVERAGE('Raw Data'!$P$2:$P$1501),1),'Raw Data'!P1213)</f>
        <v>11</v>
      </c>
      <c r="Q1213" s="21">
        <f>IF('Raw Data'!Q1213="",ROUND(AVERAGE('Raw Data'!$Q$2:$Q$1501),0),'Raw Data'!Q1213)</f>
        <v>1</v>
      </c>
      <c r="R1213" s="21">
        <f>'Raw Data'!R1213</f>
        <v>4</v>
      </c>
      <c r="S1213" s="21">
        <f>IF('Raw Data'!S1213="",ROUND(AVERAGE('Raw Data'!$S$2:$S$1501),0),'Raw Data'!S1213)</f>
        <v>0</v>
      </c>
      <c r="T1213" s="21">
        <f>'Raw Data'!T1213</f>
        <v>95.52</v>
      </c>
      <c r="U1213" s="21" t="str">
        <f>INDEX('Lookup Tables'!$C$7:$C$9,MATCH(E1213,'Lookup Tables'!$B$7:$B$9,0))</f>
        <v>Tier 1 (Metro)</v>
      </c>
      <c r="V1213" s="21" t="str">
        <f t="shared" si="54"/>
        <v>0-6 months</v>
      </c>
      <c r="W1213" s="21" t="str">
        <f t="shared" si="55"/>
        <v>Low Risk</v>
      </c>
      <c r="X1213" s="21" t="str">
        <f t="shared" si="56"/>
        <v>No</v>
      </c>
    </row>
    <row r="1214" spans="1:24" x14ac:dyDescent="0.3">
      <c r="A1214" s="21">
        <f>'Raw Data'!A1214</f>
        <v>51213</v>
      </c>
      <c r="B1214" s="21">
        <f>'Raw Data'!B1214</f>
        <v>0</v>
      </c>
      <c r="C1214" s="21">
        <f>'Raw Data'!C1214</f>
        <v>0</v>
      </c>
      <c r="D1214" s="21" t="str">
        <f>'Raw Data'!D1214</f>
        <v>Mobile Phone</v>
      </c>
      <c r="E1214" s="21">
        <f>'Raw Data'!E1214</f>
        <v>1</v>
      </c>
      <c r="F1214" s="21">
        <f>IF('Raw Data'!F1214="",ROUND(AVERAGE('Raw Data'!$F$2:$F$1501),1),'Raw Data'!F1214)</f>
        <v>8</v>
      </c>
      <c r="G1214" s="21" t="str">
        <f>'Raw Data'!G1214</f>
        <v>Debit Card</v>
      </c>
      <c r="H1214" s="21" t="str">
        <f>'Raw Data'!H1214</f>
        <v>Female</v>
      </c>
      <c r="I1214" s="21">
        <f>IF('Raw Data'!I1214="",ROUND(AVERAGE('Raw Data'!$I$2:$I$1501),1),'Raw Data'!I1214)</f>
        <v>2.2999999999999998</v>
      </c>
      <c r="J1214" s="21">
        <f>'Raw Data'!J1214</f>
        <v>3</v>
      </c>
      <c r="K1214" s="21" t="str">
        <f>'Raw Data'!K1214</f>
        <v>Laptop &amp; Accessory</v>
      </c>
      <c r="L1214" s="21">
        <f>'Raw Data'!L1214</f>
        <v>4</v>
      </c>
      <c r="M1214" s="21" t="str">
        <f>'Raw Data'!M1214</f>
        <v>Married</v>
      </c>
      <c r="N1214" s="21">
        <f>'Raw Data'!N1214</f>
        <v>1</v>
      </c>
      <c r="O1214" s="21">
        <f>'Raw Data'!O1214</f>
        <v>0</v>
      </c>
      <c r="P1214" s="21">
        <f>IF('Raw Data'!P1214="",ROUND(AVERAGE('Raw Data'!$P$2:$P$1501),1),'Raw Data'!P1214)</f>
        <v>13.5</v>
      </c>
      <c r="Q1214" s="21">
        <f>IF('Raw Data'!Q1214="",ROUND(AVERAGE('Raw Data'!$Q$2:$Q$1501),0),'Raw Data'!Q1214)</f>
        <v>2</v>
      </c>
      <c r="R1214" s="21">
        <f>'Raw Data'!R1214</f>
        <v>3</v>
      </c>
      <c r="S1214" s="21">
        <f>IF('Raw Data'!S1214="",ROUND(AVERAGE('Raw Data'!$S$2:$S$1501),0),'Raw Data'!S1214)</f>
        <v>1</v>
      </c>
      <c r="T1214" s="21">
        <f>'Raw Data'!T1214</f>
        <v>176.23</v>
      </c>
      <c r="U1214" s="21" t="str">
        <f>INDEX('Lookup Tables'!$C$7:$C$9,MATCH(E1214,'Lookup Tables'!$B$7:$B$9,0))</f>
        <v>Tier 1 (Metro)</v>
      </c>
      <c r="V1214" s="21" t="str">
        <f t="shared" si="54"/>
        <v>0-6 months</v>
      </c>
      <c r="W1214" s="21" t="str">
        <f t="shared" si="55"/>
        <v>Low Risk</v>
      </c>
      <c r="X1214" s="21" t="str">
        <f t="shared" si="56"/>
        <v>No</v>
      </c>
    </row>
    <row r="1215" spans="1:24" x14ac:dyDescent="0.3">
      <c r="A1215" s="21">
        <f>'Raw Data'!A1215</f>
        <v>51214</v>
      </c>
      <c r="B1215" s="21">
        <f>'Raw Data'!B1215</f>
        <v>1</v>
      </c>
      <c r="C1215" s="21">
        <f>'Raw Data'!C1215</f>
        <v>0</v>
      </c>
      <c r="D1215" s="21" t="str">
        <f>'Raw Data'!D1215</f>
        <v>Phone</v>
      </c>
      <c r="E1215" s="21">
        <f>'Raw Data'!E1215</f>
        <v>1</v>
      </c>
      <c r="F1215" s="21">
        <f>IF('Raw Data'!F1215="",ROUND(AVERAGE('Raw Data'!$F$2:$F$1501),1),'Raw Data'!F1215)</f>
        <v>5</v>
      </c>
      <c r="G1215" s="21" t="str">
        <f>'Raw Data'!G1215</f>
        <v>Debit Card</v>
      </c>
      <c r="H1215" s="21" t="str">
        <f>'Raw Data'!H1215</f>
        <v>Male</v>
      </c>
      <c r="I1215" s="21">
        <f>IF('Raw Data'!I1215="",ROUND(AVERAGE('Raw Data'!$I$2:$I$1501),1),'Raw Data'!I1215)</f>
        <v>2.1</v>
      </c>
      <c r="J1215" s="21">
        <f>'Raw Data'!J1215</f>
        <v>3</v>
      </c>
      <c r="K1215" s="21" t="str">
        <f>'Raw Data'!K1215</f>
        <v>Laptop &amp; Accessory</v>
      </c>
      <c r="L1215" s="21">
        <f>'Raw Data'!L1215</f>
        <v>3</v>
      </c>
      <c r="M1215" s="21" t="str">
        <f>'Raw Data'!M1215</f>
        <v>Married</v>
      </c>
      <c r="N1215" s="21">
        <f>'Raw Data'!N1215</f>
        <v>2</v>
      </c>
      <c r="O1215" s="21">
        <f>'Raw Data'!O1215</f>
        <v>0</v>
      </c>
      <c r="P1215" s="21">
        <f>IF('Raw Data'!P1215="",ROUND(AVERAGE('Raw Data'!$P$2:$P$1501),1),'Raw Data'!P1215)</f>
        <v>16.3</v>
      </c>
      <c r="Q1215" s="21">
        <f>IF('Raw Data'!Q1215="",ROUND(AVERAGE('Raw Data'!$Q$2:$Q$1501),0),'Raw Data'!Q1215)</f>
        <v>2</v>
      </c>
      <c r="R1215" s="21">
        <f>'Raw Data'!R1215</f>
        <v>5</v>
      </c>
      <c r="S1215" s="21">
        <f>IF('Raw Data'!S1215="",ROUND(AVERAGE('Raw Data'!$S$2:$S$1501),0),'Raw Data'!S1215)</f>
        <v>3</v>
      </c>
      <c r="T1215" s="21">
        <f>'Raw Data'!T1215</f>
        <v>69.34</v>
      </c>
      <c r="U1215" s="21" t="str">
        <f>INDEX('Lookup Tables'!$C$7:$C$9,MATCH(E1215,'Lookup Tables'!$B$7:$B$9,0))</f>
        <v>Tier 1 (Metro)</v>
      </c>
      <c r="V1215" s="21" t="str">
        <f t="shared" si="54"/>
        <v>0-6 months</v>
      </c>
      <c r="W1215" s="21" t="str">
        <f t="shared" si="55"/>
        <v>Medium Risk</v>
      </c>
      <c r="X1215" s="21" t="str">
        <f t="shared" si="56"/>
        <v>Yes</v>
      </c>
    </row>
    <row r="1216" spans="1:24" x14ac:dyDescent="0.3">
      <c r="A1216" s="21">
        <f>'Raw Data'!A1216</f>
        <v>51215</v>
      </c>
      <c r="B1216" s="21">
        <f>'Raw Data'!B1216</f>
        <v>0</v>
      </c>
      <c r="C1216" s="21">
        <f>'Raw Data'!C1216</f>
        <v>23</v>
      </c>
      <c r="D1216" s="21" t="str">
        <f>'Raw Data'!D1216</f>
        <v>Phone</v>
      </c>
      <c r="E1216" s="21">
        <f>'Raw Data'!E1216</f>
        <v>3</v>
      </c>
      <c r="F1216" s="21">
        <f>IF('Raw Data'!F1216="",ROUND(AVERAGE('Raw Data'!$F$2:$F$1501),1),'Raw Data'!F1216)</f>
        <v>12</v>
      </c>
      <c r="G1216" s="21" t="str">
        <f>'Raw Data'!G1216</f>
        <v>Credit Card</v>
      </c>
      <c r="H1216" s="21" t="str">
        <f>'Raw Data'!H1216</f>
        <v>Male</v>
      </c>
      <c r="I1216" s="21">
        <f>IF('Raw Data'!I1216="",ROUND(AVERAGE('Raw Data'!$I$2:$I$1501),1),'Raw Data'!I1216)</f>
        <v>4.8</v>
      </c>
      <c r="J1216" s="21">
        <f>'Raw Data'!J1216</f>
        <v>4</v>
      </c>
      <c r="K1216" s="21" t="str">
        <f>'Raw Data'!K1216</f>
        <v>Others</v>
      </c>
      <c r="L1216" s="21">
        <f>'Raw Data'!L1216</f>
        <v>4</v>
      </c>
      <c r="M1216" s="21" t="str">
        <f>'Raw Data'!M1216</f>
        <v>Single</v>
      </c>
      <c r="N1216" s="21">
        <f>'Raw Data'!N1216</f>
        <v>1</v>
      </c>
      <c r="O1216" s="21">
        <f>'Raw Data'!O1216</f>
        <v>0</v>
      </c>
      <c r="P1216" s="21">
        <f>IF('Raw Data'!P1216="",ROUND(AVERAGE('Raw Data'!$P$2:$P$1501),1),'Raw Data'!P1216)</f>
        <v>12.5</v>
      </c>
      <c r="Q1216" s="21">
        <f>IF('Raw Data'!Q1216="",ROUND(AVERAGE('Raw Data'!$Q$2:$Q$1501),0),'Raw Data'!Q1216)</f>
        <v>1</v>
      </c>
      <c r="R1216" s="21">
        <f>'Raw Data'!R1216</f>
        <v>5</v>
      </c>
      <c r="S1216" s="21">
        <f>IF('Raw Data'!S1216="",ROUND(AVERAGE('Raw Data'!$S$2:$S$1501),0),'Raw Data'!S1216)</f>
        <v>12</v>
      </c>
      <c r="T1216" s="21">
        <f>'Raw Data'!T1216</f>
        <v>151.61000000000001</v>
      </c>
      <c r="U1216" s="21" t="str">
        <f>INDEX('Lookup Tables'!$C$7:$C$9,MATCH(E1216,'Lookup Tables'!$B$7:$B$9,0))</f>
        <v>Tier 3 (Semi-urban/Rural)</v>
      </c>
      <c r="V1216" s="21" t="str">
        <f t="shared" si="54"/>
        <v>13-24 months</v>
      </c>
      <c r="W1216" s="21" t="str">
        <f t="shared" si="55"/>
        <v>Low Risk</v>
      </c>
      <c r="X1216" s="21" t="str">
        <f t="shared" si="56"/>
        <v>No</v>
      </c>
    </row>
    <row r="1217" spans="1:24" x14ac:dyDescent="0.3">
      <c r="A1217" s="21">
        <f>'Raw Data'!A1217</f>
        <v>51216</v>
      </c>
      <c r="B1217" s="21">
        <f>'Raw Data'!B1217</f>
        <v>0</v>
      </c>
      <c r="C1217" s="21">
        <f>'Raw Data'!C1217</f>
        <v>1</v>
      </c>
      <c r="D1217" s="21" t="str">
        <f>'Raw Data'!D1217</f>
        <v>Mobile Phone</v>
      </c>
      <c r="E1217" s="21">
        <f>'Raw Data'!E1217</f>
        <v>3</v>
      </c>
      <c r="F1217" s="21">
        <f>IF('Raw Data'!F1217="",ROUND(AVERAGE('Raw Data'!$F$2:$F$1501),1),'Raw Data'!F1217)</f>
        <v>10</v>
      </c>
      <c r="G1217" s="21" t="str">
        <f>'Raw Data'!G1217</f>
        <v>Credit Card</v>
      </c>
      <c r="H1217" s="21" t="str">
        <f>'Raw Data'!H1217</f>
        <v>Male</v>
      </c>
      <c r="I1217" s="21">
        <f>IF('Raw Data'!I1217="",ROUND(AVERAGE('Raw Data'!$I$2:$I$1501),1),'Raw Data'!I1217)</f>
        <v>2.7</v>
      </c>
      <c r="J1217" s="21">
        <f>'Raw Data'!J1217</f>
        <v>2</v>
      </c>
      <c r="K1217" s="21" t="str">
        <f>'Raw Data'!K1217</f>
        <v>Mobile Phone</v>
      </c>
      <c r="L1217" s="21">
        <f>'Raw Data'!L1217</f>
        <v>3</v>
      </c>
      <c r="M1217" s="21" t="str">
        <f>'Raw Data'!M1217</f>
        <v>Single</v>
      </c>
      <c r="N1217" s="21">
        <f>'Raw Data'!N1217</f>
        <v>1</v>
      </c>
      <c r="O1217" s="21">
        <f>'Raw Data'!O1217</f>
        <v>0</v>
      </c>
      <c r="P1217" s="21">
        <f>IF('Raw Data'!P1217="",ROUND(AVERAGE('Raw Data'!$P$2:$P$1501),1),'Raw Data'!P1217)</f>
        <v>21.6</v>
      </c>
      <c r="Q1217" s="21">
        <f>IF('Raw Data'!Q1217="",ROUND(AVERAGE('Raw Data'!$Q$2:$Q$1501),0),'Raw Data'!Q1217)</f>
        <v>0</v>
      </c>
      <c r="R1217" s="21">
        <f>'Raw Data'!R1217</f>
        <v>4</v>
      </c>
      <c r="S1217" s="21">
        <f>IF('Raw Data'!S1217="",ROUND(AVERAGE('Raw Data'!$S$2:$S$1501),0),'Raw Data'!S1217)</f>
        <v>0</v>
      </c>
      <c r="T1217" s="21">
        <f>'Raw Data'!T1217</f>
        <v>183.49</v>
      </c>
      <c r="U1217" s="21" t="str">
        <f>INDEX('Lookup Tables'!$C$7:$C$9,MATCH(E1217,'Lookup Tables'!$B$7:$B$9,0))</f>
        <v>Tier 3 (Semi-urban/Rural)</v>
      </c>
      <c r="V1217" s="21" t="str">
        <f t="shared" si="54"/>
        <v>0-6 months</v>
      </c>
      <c r="W1217" s="21" t="str">
        <f t="shared" si="55"/>
        <v>Medium Risk</v>
      </c>
      <c r="X1217" s="21" t="str">
        <f t="shared" si="56"/>
        <v>No</v>
      </c>
    </row>
    <row r="1218" spans="1:24" x14ac:dyDescent="0.3">
      <c r="A1218" s="21">
        <f>'Raw Data'!A1218</f>
        <v>51217</v>
      </c>
      <c r="B1218" s="21">
        <f>'Raw Data'!B1218</f>
        <v>0</v>
      </c>
      <c r="C1218" s="21">
        <f>'Raw Data'!C1218</f>
        <v>7</v>
      </c>
      <c r="D1218" s="21" t="str">
        <f>'Raw Data'!D1218</f>
        <v>Mobile Phone</v>
      </c>
      <c r="E1218" s="21">
        <f>'Raw Data'!E1218</f>
        <v>3</v>
      </c>
      <c r="F1218" s="21">
        <f>IF('Raw Data'!F1218="",ROUND(AVERAGE('Raw Data'!$F$2:$F$1501),1),'Raw Data'!F1218)</f>
        <v>21</v>
      </c>
      <c r="G1218" s="21" t="str">
        <f>'Raw Data'!G1218</f>
        <v>Credit Card</v>
      </c>
      <c r="H1218" s="21" t="str">
        <f>'Raw Data'!H1218</f>
        <v>Male</v>
      </c>
      <c r="I1218" s="21">
        <f>IF('Raw Data'!I1218="",ROUND(AVERAGE('Raw Data'!$I$2:$I$1501),1),'Raw Data'!I1218)</f>
        <v>1.6</v>
      </c>
      <c r="J1218" s="21">
        <f>'Raw Data'!J1218</f>
        <v>4</v>
      </c>
      <c r="K1218" s="21" t="str">
        <f>'Raw Data'!K1218</f>
        <v>Grocery</v>
      </c>
      <c r="L1218" s="21">
        <f>'Raw Data'!L1218</f>
        <v>3</v>
      </c>
      <c r="M1218" s="21" t="str">
        <f>'Raw Data'!M1218</f>
        <v>Single</v>
      </c>
      <c r="N1218" s="21">
        <f>'Raw Data'!N1218</f>
        <v>2</v>
      </c>
      <c r="O1218" s="21">
        <f>'Raw Data'!O1218</f>
        <v>0</v>
      </c>
      <c r="P1218" s="21">
        <f>IF('Raw Data'!P1218="",ROUND(AVERAGE('Raw Data'!$P$2:$P$1501),1),'Raw Data'!P1218)</f>
        <v>20.9</v>
      </c>
      <c r="Q1218" s="21">
        <f>IF('Raw Data'!Q1218="",ROUND(AVERAGE('Raw Data'!$Q$2:$Q$1501),0),'Raw Data'!Q1218)</f>
        <v>0</v>
      </c>
      <c r="R1218" s="21">
        <f>'Raw Data'!R1218</f>
        <v>4</v>
      </c>
      <c r="S1218" s="21">
        <f>IF('Raw Data'!S1218="",ROUND(AVERAGE('Raw Data'!$S$2:$S$1501),0),'Raw Data'!S1218)</f>
        <v>0</v>
      </c>
      <c r="T1218" s="21">
        <f>'Raw Data'!T1218</f>
        <v>222.19</v>
      </c>
      <c r="U1218" s="21" t="str">
        <f>INDEX('Lookup Tables'!$C$7:$C$9,MATCH(E1218,'Lookup Tables'!$B$7:$B$9,0))</f>
        <v>Tier 3 (Semi-urban/Rural)</v>
      </c>
      <c r="V1218" s="21" t="str">
        <f t="shared" ref="V1218:V1281" si="57">IF(C1218&lt;=6,"0-6 months",IF(C1218&lt;=12,"7-12 months",IF(C1218&lt;=24,"13-24 months","25+ months")))</f>
        <v>7-12 months</v>
      </c>
      <c r="W1218" s="21" t="str">
        <f t="shared" ref="W1218:W1281" si="58">IF(AND(O1218=1,L1218&lt;=2),"High Risk",IF(OR(L1218=3,S1218&gt;15),"Medium Risk","Low Risk"))</f>
        <v>Medium Risk</v>
      </c>
      <c r="X1218" s="21" t="str">
        <f t="shared" ref="X1218:X1281" si="59">IF(B1218=1,"Yes","No")</f>
        <v>No</v>
      </c>
    </row>
    <row r="1219" spans="1:24" x14ac:dyDescent="0.3">
      <c r="A1219" s="21">
        <f>'Raw Data'!A1219</f>
        <v>51218</v>
      </c>
      <c r="B1219" s="21">
        <f>'Raw Data'!B1219</f>
        <v>0</v>
      </c>
      <c r="C1219" s="21">
        <f>'Raw Data'!C1219</f>
        <v>5</v>
      </c>
      <c r="D1219" s="21" t="str">
        <f>'Raw Data'!D1219</f>
        <v>Phone</v>
      </c>
      <c r="E1219" s="21">
        <f>'Raw Data'!E1219</f>
        <v>3</v>
      </c>
      <c r="F1219" s="21">
        <f>IF('Raw Data'!F1219="",ROUND(AVERAGE('Raw Data'!$F$2:$F$1501),1),'Raw Data'!F1219)</f>
        <v>5</v>
      </c>
      <c r="G1219" s="21" t="str">
        <f>'Raw Data'!G1219</f>
        <v>Cash on Delivery</v>
      </c>
      <c r="H1219" s="21" t="str">
        <f>'Raw Data'!H1219</f>
        <v>Female</v>
      </c>
      <c r="I1219" s="21">
        <f>IF('Raw Data'!I1219="",ROUND(AVERAGE('Raw Data'!$I$2:$I$1501),1),'Raw Data'!I1219)</f>
        <v>3.9</v>
      </c>
      <c r="J1219" s="21">
        <f>'Raw Data'!J1219</f>
        <v>4</v>
      </c>
      <c r="K1219" s="21" t="str">
        <f>'Raw Data'!K1219</f>
        <v>Laptop &amp; Accessory</v>
      </c>
      <c r="L1219" s="21">
        <f>'Raw Data'!L1219</f>
        <v>5</v>
      </c>
      <c r="M1219" s="21" t="str">
        <f>'Raw Data'!M1219</f>
        <v>Married</v>
      </c>
      <c r="N1219" s="21">
        <f>'Raw Data'!N1219</f>
        <v>1</v>
      </c>
      <c r="O1219" s="21">
        <f>'Raw Data'!O1219</f>
        <v>1</v>
      </c>
      <c r="P1219" s="21">
        <f>IF('Raw Data'!P1219="",ROUND(AVERAGE('Raw Data'!$P$2:$P$1501),1),'Raw Data'!P1219)</f>
        <v>14.1</v>
      </c>
      <c r="Q1219" s="21">
        <f>IF('Raw Data'!Q1219="",ROUND(AVERAGE('Raw Data'!$Q$2:$Q$1501),0),'Raw Data'!Q1219)</f>
        <v>2</v>
      </c>
      <c r="R1219" s="21">
        <f>'Raw Data'!R1219</f>
        <v>1</v>
      </c>
      <c r="S1219" s="21">
        <f>IF('Raw Data'!S1219="",ROUND(AVERAGE('Raw Data'!$S$2:$S$1501),0),'Raw Data'!S1219)</f>
        <v>5</v>
      </c>
      <c r="T1219" s="21">
        <f>'Raw Data'!T1219</f>
        <v>125.05</v>
      </c>
      <c r="U1219" s="21" t="str">
        <f>INDEX('Lookup Tables'!$C$7:$C$9,MATCH(E1219,'Lookup Tables'!$B$7:$B$9,0))</f>
        <v>Tier 3 (Semi-urban/Rural)</v>
      </c>
      <c r="V1219" s="21" t="str">
        <f t="shared" si="57"/>
        <v>0-6 months</v>
      </c>
      <c r="W1219" s="21" t="str">
        <f t="shared" si="58"/>
        <v>Low Risk</v>
      </c>
      <c r="X1219" s="21" t="str">
        <f t="shared" si="59"/>
        <v>No</v>
      </c>
    </row>
    <row r="1220" spans="1:24" x14ac:dyDescent="0.3">
      <c r="A1220" s="21">
        <f>'Raw Data'!A1220</f>
        <v>51219</v>
      </c>
      <c r="B1220" s="21">
        <f>'Raw Data'!B1220</f>
        <v>0</v>
      </c>
      <c r="C1220" s="21">
        <f>'Raw Data'!C1220</f>
        <v>4</v>
      </c>
      <c r="D1220" s="21" t="str">
        <f>'Raw Data'!D1220</f>
        <v>Mobile Phone</v>
      </c>
      <c r="E1220" s="21">
        <f>'Raw Data'!E1220</f>
        <v>1</v>
      </c>
      <c r="F1220" s="21">
        <f>IF('Raw Data'!F1220="",ROUND(AVERAGE('Raw Data'!$F$2:$F$1501),1),'Raw Data'!F1220)</f>
        <v>15</v>
      </c>
      <c r="G1220" s="21" t="str">
        <f>'Raw Data'!G1220</f>
        <v>Credit Card</v>
      </c>
      <c r="H1220" s="21" t="str">
        <f>'Raw Data'!H1220</f>
        <v>Male</v>
      </c>
      <c r="I1220" s="21">
        <f>IF('Raw Data'!I1220="",ROUND(AVERAGE('Raw Data'!$I$2:$I$1501),1),'Raw Data'!I1220)</f>
        <v>3.3</v>
      </c>
      <c r="J1220" s="21">
        <f>'Raw Data'!J1220</f>
        <v>3</v>
      </c>
      <c r="K1220" s="21" t="str">
        <f>'Raw Data'!K1220</f>
        <v>Mobile Phone</v>
      </c>
      <c r="L1220" s="21">
        <f>'Raw Data'!L1220</f>
        <v>5</v>
      </c>
      <c r="M1220" s="21" t="str">
        <f>'Raw Data'!M1220</f>
        <v>Married</v>
      </c>
      <c r="N1220" s="21">
        <f>'Raw Data'!N1220</f>
        <v>1</v>
      </c>
      <c r="O1220" s="21">
        <f>'Raw Data'!O1220</f>
        <v>0</v>
      </c>
      <c r="P1220" s="21">
        <f>IF('Raw Data'!P1220="",ROUND(AVERAGE('Raw Data'!$P$2:$P$1501),1),'Raw Data'!P1220)</f>
        <v>22.2</v>
      </c>
      <c r="Q1220" s="21">
        <f>IF('Raw Data'!Q1220="",ROUND(AVERAGE('Raw Data'!$Q$2:$Q$1501),0),'Raw Data'!Q1220)</f>
        <v>4</v>
      </c>
      <c r="R1220" s="21">
        <f>'Raw Data'!R1220</f>
        <v>4</v>
      </c>
      <c r="S1220" s="21">
        <f>IF('Raw Data'!S1220="",ROUND(AVERAGE('Raw Data'!$S$2:$S$1501),0),'Raw Data'!S1220)</f>
        <v>4</v>
      </c>
      <c r="T1220" s="21">
        <f>'Raw Data'!T1220</f>
        <v>200.55</v>
      </c>
      <c r="U1220" s="21" t="str">
        <f>INDEX('Lookup Tables'!$C$7:$C$9,MATCH(E1220,'Lookup Tables'!$B$7:$B$9,0))</f>
        <v>Tier 1 (Metro)</v>
      </c>
      <c r="V1220" s="21" t="str">
        <f t="shared" si="57"/>
        <v>0-6 months</v>
      </c>
      <c r="W1220" s="21" t="str">
        <f t="shared" si="58"/>
        <v>Low Risk</v>
      </c>
      <c r="X1220" s="21" t="str">
        <f t="shared" si="59"/>
        <v>No</v>
      </c>
    </row>
    <row r="1221" spans="1:24" x14ac:dyDescent="0.3">
      <c r="A1221" s="21">
        <f>'Raw Data'!A1221</f>
        <v>51220</v>
      </c>
      <c r="B1221" s="21">
        <f>'Raw Data'!B1221</f>
        <v>0</v>
      </c>
      <c r="C1221" s="21">
        <f>'Raw Data'!C1221</f>
        <v>23</v>
      </c>
      <c r="D1221" s="21" t="str">
        <f>'Raw Data'!D1221</f>
        <v>Mobile Phone</v>
      </c>
      <c r="E1221" s="21">
        <f>'Raw Data'!E1221</f>
        <v>1</v>
      </c>
      <c r="F1221" s="21">
        <f>IF('Raw Data'!F1221="",ROUND(AVERAGE('Raw Data'!$F$2:$F$1501),1),'Raw Data'!F1221)</f>
        <v>19</v>
      </c>
      <c r="G1221" s="21" t="str">
        <f>'Raw Data'!G1221</f>
        <v>Credit Card</v>
      </c>
      <c r="H1221" s="21" t="str">
        <f>'Raw Data'!H1221</f>
        <v>Female</v>
      </c>
      <c r="I1221" s="21">
        <f>IF('Raw Data'!I1221="",ROUND(AVERAGE('Raw Data'!$I$2:$I$1501),1),'Raw Data'!I1221)</f>
        <v>2.4</v>
      </c>
      <c r="J1221" s="21">
        <f>'Raw Data'!J1221</f>
        <v>5</v>
      </c>
      <c r="K1221" s="21" t="str">
        <f>'Raw Data'!K1221</f>
        <v>Mobile Phone</v>
      </c>
      <c r="L1221" s="21">
        <f>'Raw Data'!L1221</f>
        <v>5</v>
      </c>
      <c r="M1221" s="21" t="str">
        <f>'Raw Data'!M1221</f>
        <v>Single</v>
      </c>
      <c r="N1221" s="21">
        <f>'Raw Data'!N1221</f>
        <v>1</v>
      </c>
      <c r="O1221" s="21">
        <f>'Raw Data'!O1221</f>
        <v>0</v>
      </c>
      <c r="P1221" s="21">
        <f>IF('Raw Data'!P1221="",ROUND(AVERAGE('Raw Data'!$P$2:$P$1501),1),'Raw Data'!P1221)</f>
        <v>16</v>
      </c>
      <c r="Q1221" s="21">
        <f>IF('Raw Data'!Q1221="",ROUND(AVERAGE('Raw Data'!$Q$2:$Q$1501),0),'Raw Data'!Q1221)</f>
        <v>0</v>
      </c>
      <c r="R1221" s="21">
        <f>'Raw Data'!R1221</f>
        <v>2</v>
      </c>
      <c r="S1221" s="21">
        <f>IF('Raw Data'!S1221="",ROUND(AVERAGE('Raw Data'!$S$2:$S$1501),0),'Raw Data'!S1221)</f>
        <v>4</v>
      </c>
      <c r="T1221" s="21">
        <f>'Raw Data'!T1221</f>
        <v>260.77</v>
      </c>
      <c r="U1221" s="21" t="str">
        <f>INDEX('Lookup Tables'!$C$7:$C$9,MATCH(E1221,'Lookup Tables'!$B$7:$B$9,0))</f>
        <v>Tier 1 (Metro)</v>
      </c>
      <c r="V1221" s="21" t="str">
        <f t="shared" si="57"/>
        <v>13-24 months</v>
      </c>
      <c r="W1221" s="21" t="str">
        <f t="shared" si="58"/>
        <v>Low Risk</v>
      </c>
      <c r="X1221" s="21" t="str">
        <f t="shared" si="59"/>
        <v>No</v>
      </c>
    </row>
    <row r="1222" spans="1:24" x14ac:dyDescent="0.3">
      <c r="A1222" s="21">
        <f>'Raw Data'!A1222</f>
        <v>51221</v>
      </c>
      <c r="B1222" s="21">
        <f>'Raw Data'!B1222</f>
        <v>1</v>
      </c>
      <c r="C1222" s="21">
        <f>'Raw Data'!C1222</f>
        <v>0</v>
      </c>
      <c r="D1222" s="21" t="str">
        <f>'Raw Data'!D1222</f>
        <v>Mobile Phone</v>
      </c>
      <c r="E1222" s="21">
        <f>'Raw Data'!E1222</f>
        <v>1</v>
      </c>
      <c r="F1222" s="21">
        <f>IF('Raw Data'!F1222="",ROUND(AVERAGE('Raw Data'!$F$2:$F$1501),1),'Raw Data'!F1222)</f>
        <v>29</v>
      </c>
      <c r="G1222" s="21" t="str">
        <f>'Raw Data'!G1222</f>
        <v>Debit Card</v>
      </c>
      <c r="H1222" s="21" t="str">
        <f>'Raw Data'!H1222</f>
        <v>Male</v>
      </c>
      <c r="I1222" s="21">
        <f>IF('Raw Data'!I1222="",ROUND(AVERAGE('Raw Data'!$I$2:$I$1501),1),'Raw Data'!I1222)</f>
        <v>2.2000000000000002</v>
      </c>
      <c r="J1222" s="21">
        <f>'Raw Data'!J1222</f>
        <v>5</v>
      </c>
      <c r="K1222" s="21" t="str">
        <f>'Raw Data'!K1222</f>
        <v>Grocery</v>
      </c>
      <c r="L1222" s="21">
        <f>'Raw Data'!L1222</f>
        <v>3</v>
      </c>
      <c r="M1222" s="21" t="str">
        <f>'Raw Data'!M1222</f>
        <v>Married</v>
      </c>
      <c r="N1222" s="21">
        <f>'Raw Data'!N1222</f>
        <v>1</v>
      </c>
      <c r="O1222" s="21">
        <f>'Raw Data'!O1222</f>
        <v>0</v>
      </c>
      <c r="P1222" s="21">
        <f>IF('Raw Data'!P1222="",ROUND(AVERAGE('Raw Data'!$P$2:$P$1501),1),'Raw Data'!P1222)</f>
        <v>25.1</v>
      </c>
      <c r="Q1222" s="21">
        <f>IF('Raw Data'!Q1222="",ROUND(AVERAGE('Raw Data'!$Q$2:$Q$1501),0),'Raw Data'!Q1222)</f>
        <v>3</v>
      </c>
      <c r="R1222" s="21">
        <f>'Raw Data'!R1222</f>
        <v>2</v>
      </c>
      <c r="S1222" s="21">
        <f>IF('Raw Data'!S1222="",ROUND(AVERAGE('Raw Data'!$S$2:$S$1501),0),'Raw Data'!S1222)</f>
        <v>29</v>
      </c>
      <c r="T1222" s="21">
        <f>'Raw Data'!T1222</f>
        <v>144.76</v>
      </c>
      <c r="U1222" s="21" t="str">
        <f>INDEX('Lookup Tables'!$C$7:$C$9,MATCH(E1222,'Lookup Tables'!$B$7:$B$9,0))</f>
        <v>Tier 1 (Metro)</v>
      </c>
      <c r="V1222" s="21" t="str">
        <f t="shared" si="57"/>
        <v>0-6 months</v>
      </c>
      <c r="W1222" s="21" t="str">
        <f t="shared" si="58"/>
        <v>Medium Risk</v>
      </c>
      <c r="X1222" s="21" t="str">
        <f t="shared" si="59"/>
        <v>Yes</v>
      </c>
    </row>
    <row r="1223" spans="1:24" x14ac:dyDescent="0.3">
      <c r="A1223" s="21">
        <f>'Raw Data'!A1223</f>
        <v>51222</v>
      </c>
      <c r="B1223" s="21">
        <f>'Raw Data'!B1223</f>
        <v>1</v>
      </c>
      <c r="C1223" s="21">
        <f>'Raw Data'!C1223</f>
        <v>10</v>
      </c>
      <c r="D1223" s="21" t="str">
        <f>'Raw Data'!D1223</f>
        <v>Mobile Phone</v>
      </c>
      <c r="E1223" s="21">
        <f>'Raw Data'!E1223</f>
        <v>1</v>
      </c>
      <c r="F1223" s="21">
        <f>IF('Raw Data'!F1223="",ROUND(AVERAGE('Raw Data'!$F$2:$F$1501),1),'Raw Data'!F1223)</f>
        <v>11</v>
      </c>
      <c r="G1223" s="21" t="str">
        <f>'Raw Data'!G1223</f>
        <v>Debit Card</v>
      </c>
      <c r="H1223" s="21" t="str">
        <f>'Raw Data'!H1223</f>
        <v>Female</v>
      </c>
      <c r="I1223" s="21">
        <f>IF('Raw Data'!I1223="",ROUND(AVERAGE('Raw Data'!$I$2:$I$1501),1),'Raw Data'!I1223)</f>
        <v>3.4</v>
      </c>
      <c r="J1223" s="21">
        <f>'Raw Data'!J1223</f>
        <v>4</v>
      </c>
      <c r="K1223" s="21" t="str">
        <f>'Raw Data'!K1223</f>
        <v>Laptop &amp; Accessory</v>
      </c>
      <c r="L1223" s="21">
        <f>'Raw Data'!L1223</f>
        <v>2</v>
      </c>
      <c r="M1223" s="21" t="str">
        <f>'Raw Data'!M1223</f>
        <v>Single</v>
      </c>
      <c r="N1223" s="21">
        <f>'Raw Data'!N1223</f>
        <v>6</v>
      </c>
      <c r="O1223" s="21">
        <f>'Raw Data'!O1223</f>
        <v>1</v>
      </c>
      <c r="P1223" s="21">
        <f>IF('Raw Data'!P1223="",ROUND(AVERAGE('Raw Data'!$P$2:$P$1501),1),'Raw Data'!P1223)</f>
        <v>16.5</v>
      </c>
      <c r="Q1223" s="21">
        <f>IF('Raw Data'!Q1223="",ROUND(AVERAGE('Raw Data'!$Q$2:$Q$1501),0),'Raw Data'!Q1223)</f>
        <v>1</v>
      </c>
      <c r="R1223" s="21">
        <f>'Raw Data'!R1223</f>
        <v>4</v>
      </c>
      <c r="S1223" s="21">
        <f>IF('Raw Data'!S1223="",ROUND(AVERAGE('Raw Data'!$S$2:$S$1501),0),'Raw Data'!S1223)</f>
        <v>21</v>
      </c>
      <c r="T1223" s="21">
        <f>'Raw Data'!T1223</f>
        <v>94.91</v>
      </c>
      <c r="U1223" s="21" t="str">
        <f>INDEX('Lookup Tables'!$C$7:$C$9,MATCH(E1223,'Lookup Tables'!$B$7:$B$9,0))</f>
        <v>Tier 1 (Metro)</v>
      </c>
      <c r="V1223" s="21" t="str">
        <f t="shared" si="57"/>
        <v>7-12 months</v>
      </c>
      <c r="W1223" s="21" t="str">
        <f t="shared" si="58"/>
        <v>High Risk</v>
      </c>
      <c r="X1223" s="21" t="str">
        <f t="shared" si="59"/>
        <v>Yes</v>
      </c>
    </row>
    <row r="1224" spans="1:24" x14ac:dyDescent="0.3">
      <c r="A1224" s="21">
        <f>'Raw Data'!A1224</f>
        <v>51223</v>
      </c>
      <c r="B1224" s="21">
        <f>'Raw Data'!B1224</f>
        <v>0</v>
      </c>
      <c r="C1224" s="21">
        <f>'Raw Data'!C1224</f>
        <v>33</v>
      </c>
      <c r="D1224" s="21" t="str">
        <f>'Raw Data'!D1224</f>
        <v>Mobile Phone</v>
      </c>
      <c r="E1224" s="21">
        <f>'Raw Data'!E1224</f>
        <v>1</v>
      </c>
      <c r="F1224" s="21">
        <f>IF('Raw Data'!F1224="",ROUND(AVERAGE('Raw Data'!$F$2:$F$1501),1),'Raw Data'!F1224)</f>
        <v>17</v>
      </c>
      <c r="G1224" s="21" t="str">
        <f>'Raw Data'!G1224</f>
        <v>UPI</v>
      </c>
      <c r="H1224" s="21" t="str">
        <f>'Raw Data'!H1224</f>
        <v>Male</v>
      </c>
      <c r="I1224" s="21">
        <f>IF('Raw Data'!I1224="",ROUND(AVERAGE('Raw Data'!$I$2:$I$1501),1),'Raw Data'!I1224)</f>
        <v>2.7</v>
      </c>
      <c r="J1224" s="21">
        <f>'Raw Data'!J1224</f>
        <v>1</v>
      </c>
      <c r="K1224" s="21" t="str">
        <f>'Raw Data'!K1224</f>
        <v>Laptop &amp; Accessory</v>
      </c>
      <c r="L1224" s="21">
        <f>'Raw Data'!L1224</f>
        <v>3</v>
      </c>
      <c r="M1224" s="21" t="str">
        <f>'Raw Data'!M1224</f>
        <v>Single</v>
      </c>
      <c r="N1224" s="21">
        <f>'Raw Data'!N1224</f>
        <v>8</v>
      </c>
      <c r="O1224" s="21">
        <f>'Raw Data'!O1224</f>
        <v>1</v>
      </c>
      <c r="P1224" s="21">
        <f>IF('Raw Data'!P1224="",ROUND(AVERAGE('Raw Data'!$P$2:$P$1501),1),'Raw Data'!P1224)</f>
        <v>18</v>
      </c>
      <c r="Q1224" s="21">
        <f>IF('Raw Data'!Q1224="",ROUND(AVERAGE('Raw Data'!$Q$2:$Q$1501),0),'Raw Data'!Q1224)</f>
        <v>0</v>
      </c>
      <c r="R1224" s="21">
        <f>'Raw Data'!R1224</f>
        <v>3</v>
      </c>
      <c r="S1224" s="21">
        <f>IF('Raw Data'!S1224="",ROUND(AVERAGE('Raw Data'!$S$2:$S$1501),0),'Raw Data'!S1224)</f>
        <v>2</v>
      </c>
      <c r="T1224" s="21">
        <f>'Raw Data'!T1224</f>
        <v>195.94</v>
      </c>
      <c r="U1224" s="21" t="str">
        <f>INDEX('Lookup Tables'!$C$7:$C$9,MATCH(E1224,'Lookup Tables'!$B$7:$B$9,0))</f>
        <v>Tier 1 (Metro)</v>
      </c>
      <c r="V1224" s="21" t="str">
        <f t="shared" si="57"/>
        <v>25+ months</v>
      </c>
      <c r="W1224" s="21" t="str">
        <f t="shared" si="58"/>
        <v>Medium Risk</v>
      </c>
      <c r="X1224" s="21" t="str">
        <f t="shared" si="59"/>
        <v>No</v>
      </c>
    </row>
    <row r="1225" spans="1:24" x14ac:dyDescent="0.3">
      <c r="A1225" s="21">
        <f>'Raw Data'!A1225</f>
        <v>51224</v>
      </c>
      <c r="B1225" s="21">
        <f>'Raw Data'!B1225</f>
        <v>0</v>
      </c>
      <c r="C1225" s="21">
        <f>'Raw Data'!C1225</f>
        <v>8</v>
      </c>
      <c r="D1225" s="21" t="str">
        <f>'Raw Data'!D1225</f>
        <v>Phone</v>
      </c>
      <c r="E1225" s="21">
        <f>'Raw Data'!E1225</f>
        <v>1</v>
      </c>
      <c r="F1225" s="21">
        <f>IF('Raw Data'!F1225="",ROUND(AVERAGE('Raw Data'!$F$2:$F$1501),1),'Raw Data'!F1225)</f>
        <v>5</v>
      </c>
      <c r="G1225" s="21" t="str">
        <f>'Raw Data'!G1225</f>
        <v>Credit Card</v>
      </c>
      <c r="H1225" s="21" t="str">
        <f>'Raw Data'!H1225</f>
        <v>Male</v>
      </c>
      <c r="I1225" s="21">
        <f>IF('Raw Data'!I1225="",ROUND(AVERAGE('Raw Data'!$I$2:$I$1501),1),'Raw Data'!I1225)</f>
        <v>1.6</v>
      </c>
      <c r="J1225" s="21">
        <f>'Raw Data'!J1225</f>
        <v>5</v>
      </c>
      <c r="K1225" s="21" t="str">
        <f>'Raw Data'!K1225</f>
        <v>Mobile Phone</v>
      </c>
      <c r="L1225" s="21">
        <f>'Raw Data'!L1225</f>
        <v>3</v>
      </c>
      <c r="M1225" s="21" t="str">
        <f>'Raw Data'!M1225</f>
        <v>Married</v>
      </c>
      <c r="N1225" s="21">
        <f>'Raw Data'!N1225</f>
        <v>1</v>
      </c>
      <c r="O1225" s="21">
        <f>'Raw Data'!O1225</f>
        <v>1</v>
      </c>
      <c r="P1225" s="21">
        <f>IF('Raw Data'!P1225="",ROUND(AVERAGE('Raw Data'!$P$2:$P$1501),1),'Raw Data'!P1225)</f>
        <v>20.9</v>
      </c>
      <c r="Q1225" s="21">
        <f>IF('Raw Data'!Q1225="",ROUND(AVERAGE('Raw Data'!$Q$2:$Q$1501),0),'Raw Data'!Q1225)</f>
        <v>1</v>
      </c>
      <c r="R1225" s="21">
        <f>'Raw Data'!R1225</f>
        <v>4</v>
      </c>
      <c r="S1225" s="21">
        <f>IF('Raw Data'!S1225="",ROUND(AVERAGE('Raw Data'!$S$2:$S$1501),0),'Raw Data'!S1225)</f>
        <v>3</v>
      </c>
      <c r="T1225" s="21">
        <f>'Raw Data'!T1225</f>
        <v>114.44</v>
      </c>
      <c r="U1225" s="21" t="str">
        <f>INDEX('Lookup Tables'!$C$7:$C$9,MATCH(E1225,'Lookup Tables'!$B$7:$B$9,0))</f>
        <v>Tier 1 (Metro)</v>
      </c>
      <c r="V1225" s="21" t="str">
        <f t="shared" si="57"/>
        <v>7-12 months</v>
      </c>
      <c r="W1225" s="21" t="str">
        <f t="shared" si="58"/>
        <v>Medium Risk</v>
      </c>
      <c r="X1225" s="21" t="str">
        <f t="shared" si="59"/>
        <v>No</v>
      </c>
    </row>
    <row r="1226" spans="1:24" x14ac:dyDescent="0.3">
      <c r="A1226" s="21">
        <f>'Raw Data'!A1226</f>
        <v>51225</v>
      </c>
      <c r="B1226" s="21">
        <f>'Raw Data'!B1226</f>
        <v>0</v>
      </c>
      <c r="C1226" s="21">
        <f>'Raw Data'!C1226</f>
        <v>27</v>
      </c>
      <c r="D1226" s="21" t="str">
        <f>'Raw Data'!D1226</f>
        <v>Computer</v>
      </c>
      <c r="E1226" s="21">
        <f>'Raw Data'!E1226</f>
        <v>1</v>
      </c>
      <c r="F1226" s="21">
        <f>IF('Raw Data'!F1226="",ROUND(AVERAGE('Raw Data'!$F$2:$F$1501),1),'Raw Data'!F1226)</f>
        <v>5</v>
      </c>
      <c r="G1226" s="21" t="str">
        <f>'Raw Data'!G1226</f>
        <v>UPI</v>
      </c>
      <c r="H1226" s="21" t="str">
        <f>'Raw Data'!H1226</f>
        <v>Male</v>
      </c>
      <c r="I1226" s="21">
        <f>IF('Raw Data'!I1226="",ROUND(AVERAGE('Raw Data'!$I$2:$I$1501),1),'Raw Data'!I1226)</f>
        <v>4.2</v>
      </c>
      <c r="J1226" s="21">
        <f>'Raw Data'!J1226</f>
        <v>4</v>
      </c>
      <c r="K1226" s="21" t="str">
        <f>'Raw Data'!K1226</f>
        <v>Grocery</v>
      </c>
      <c r="L1226" s="21">
        <f>'Raw Data'!L1226</f>
        <v>3</v>
      </c>
      <c r="M1226" s="21" t="str">
        <f>'Raw Data'!M1226</f>
        <v>Single</v>
      </c>
      <c r="N1226" s="21">
        <f>'Raw Data'!N1226</f>
        <v>2</v>
      </c>
      <c r="O1226" s="21">
        <f>'Raw Data'!O1226</f>
        <v>0</v>
      </c>
      <c r="P1226" s="21">
        <f>IF('Raw Data'!P1226="",ROUND(AVERAGE('Raw Data'!$P$2:$P$1501),1),'Raw Data'!P1226)</f>
        <v>20.5</v>
      </c>
      <c r="Q1226" s="21">
        <f>IF('Raw Data'!Q1226="",ROUND(AVERAGE('Raw Data'!$Q$2:$Q$1501),0),'Raw Data'!Q1226)</f>
        <v>3</v>
      </c>
      <c r="R1226" s="21">
        <f>'Raw Data'!R1226</f>
        <v>4</v>
      </c>
      <c r="S1226" s="21">
        <f>IF('Raw Data'!S1226="",ROUND(AVERAGE('Raw Data'!$S$2:$S$1501),0),'Raw Data'!S1226)</f>
        <v>4</v>
      </c>
      <c r="T1226" s="21">
        <f>'Raw Data'!T1226</f>
        <v>134.96</v>
      </c>
      <c r="U1226" s="21" t="str">
        <f>INDEX('Lookup Tables'!$C$7:$C$9,MATCH(E1226,'Lookup Tables'!$B$7:$B$9,0))</f>
        <v>Tier 1 (Metro)</v>
      </c>
      <c r="V1226" s="21" t="str">
        <f t="shared" si="57"/>
        <v>25+ months</v>
      </c>
      <c r="W1226" s="21" t="str">
        <f t="shared" si="58"/>
        <v>Medium Risk</v>
      </c>
      <c r="X1226" s="21" t="str">
        <f t="shared" si="59"/>
        <v>No</v>
      </c>
    </row>
    <row r="1227" spans="1:24" x14ac:dyDescent="0.3">
      <c r="A1227" s="21">
        <f>'Raw Data'!A1227</f>
        <v>51226</v>
      </c>
      <c r="B1227" s="21">
        <f>'Raw Data'!B1227</f>
        <v>0</v>
      </c>
      <c r="C1227" s="21">
        <f>'Raw Data'!C1227</f>
        <v>0</v>
      </c>
      <c r="D1227" s="21" t="str">
        <f>'Raw Data'!D1227</f>
        <v>Mobile Phone</v>
      </c>
      <c r="E1227" s="21">
        <f>'Raw Data'!E1227</f>
        <v>1</v>
      </c>
      <c r="F1227" s="21">
        <f>IF('Raw Data'!F1227="",ROUND(AVERAGE('Raw Data'!$F$2:$F$1501),1),'Raw Data'!F1227)</f>
        <v>21</v>
      </c>
      <c r="G1227" s="21" t="str">
        <f>'Raw Data'!G1227</f>
        <v>Debit Card</v>
      </c>
      <c r="H1227" s="21" t="str">
        <f>'Raw Data'!H1227</f>
        <v>Male</v>
      </c>
      <c r="I1227" s="21">
        <f>IF('Raw Data'!I1227="",ROUND(AVERAGE('Raw Data'!$I$2:$I$1501),1),'Raw Data'!I1227)</f>
        <v>2.6</v>
      </c>
      <c r="J1227" s="21">
        <f>'Raw Data'!J1227</f>
        <v>5</v>
      </c>
      <c r="K1227" s="21" t="str">
        <f>'Raw Data'!K1227</f>
        <v>Others</v>
      </c>
      <c r="L1227" s="21">
        <f>'Raw Data'!L1227</f>
        <v>3</v>
      </c>
      <c r="M1227" s="21" t="str">
        <f>'Raw Data'!M1227</f>
        <v>Married</v>
      </c>
      <c r="N1227" s="21">
        <f>'Raw Data'!N1227</f>
        <v>1</v>
      </c>
      <c r="O1227" s="21">
        <f>'Raw Data'!O1227</f>
        <v>1</v>
      </c>
      <c r="P1227" s="21">
        <f>IF('Raw Data'!P1227="",ROUND(AVERAGE('Raw Data'!$P$2:$P$1501),1),'Raw Data'!P1227)</f>
        <v>17.8</v>
      </c>
      <c r="Q1227" s="21">
        <f>IF('Raw Data'!Q1227="",ROUND(AVERAGE('Raw Data'!$Q$2:$Q$1501),0),'Raw Data'!Q1227)</f>
        <v>1</v>
      </c>
      <c r="R1227" s="21">
        <f>'Raw Data'!R1227</f>
        <v>2</v>
      </c>
      <c r="S1227" s="21">
        <f>IF('Raw Data'!S1227="",ROUND(AVERAGE('Raw Data'!$S$2:$S$1501),0),'Raw Data'!S1227)</f>
        <v>0</v>
      </c>
      <c r="T1227" s="21">
        <f>'Raw Data'!T1227</f>
        <v>230.78</v>
      </c>
      <c r="U1227" s="21" t="str">
        <f>INDEX('Lookup Tables'!$C$7:$C$9,MATCH(E1227,'Lookup Tables'!$B$7:$B$9,0))</f>
        <v>Tier 1 (Metro)</v>
      </c>
      <c r="V1227" s="21" t="str">
        <f t="shared" si="57"/>
        <v>0-6 months</v>
      </c>
      <c r="W1227" s="21" t="str">
        <f t="shared" si="58"/>
        <v>Medium Risk</v>
      </c>
      <c r="X1227" s="21" t="str">
        <f t="shared" si="59"/>
        <v>No</v>
      </c>
    </row>
    <row r="1228" spans="1:24" x14ac:dyDescent="0.3">
      <c r="A1228" s="21">
        <f>'Raw Data'!A1228</f>
        <v>51227</v>
      </c>
      <c r="B1228" s="21">
        <f>'Raw Data'!B1228</f>
        <v>0</v>
      </c>
      <c r="C1228" s="21">
        <f>'Raw Data'!C1228</f>
        <v>5</v>
      </c>
      <c r="D1228" s="21" t="str">
        <f>'Raw Data'!D1228</f>
        <v>Phone</v>
      </c>
      <c r="E1228" s="21">
        <f>'Raw Data'!E1228</f>
        <v>1</v>
      </c>
      <c r="F1228" s="21">
        <f>IF('Raw Data'!F1228="",ROUND(AVERAGE('Raw Data'!$F$2:$F$1501),1),'Raw Data'!F1228)</f>
        <v>14</v>
      </c>
      <c r="G1228" s="21" t="str">
        <f>'Raw Data'!G1228</f>
        <v>Credit Card</v>
      </c>
      <c r="H1228" s="21" t="str">
        <f>'Raw Data'!H1228</f>
        <v>Male</v>
      </c>
      <c r="I1228" s="21">
        <f>IF('Raw Data'!I1228="",ROUND(AVERAGE('Raw Data'!$I$2:$I$1501),1),'Raw Data'!I1228)</f>
        <v>3.9</v>
      </c>
      <c r="J1228" s="21">
        <f>'Raw Data'!J1228</f>
        <v>4</v>
      </c>
      <c r="K1228" s="21" t="str">
        <f>'Raw Data'!K1228</f>
        <v>Others</v>
      </c>
      <c r="L1228" s="21">
        <f>'Raw Data'!L1228</f>
        <v>4</v>
      </c>
      <c r="M1228" s="21" t="str">
        <f>'Raw Data'!M1228</f>
        <v>Married</v>
      </c>
      <c r="N1228" s="21">
        <f>'Raw Data'!N1228</f>
        <v>2</v>
      </c>
      <c r="O1228" s="21">
        <f>'Raw Data'!O1228</f>
        <v>1</v>
      </c>
      <c r="P1228" s="21">
        <f>IF('Raw Data'!P1228="",ROUND(AVERAGE('Raw Data'!$P$2:$P$1501),1),'Raw Data'!P1228)</f>
        <v>15.5</v>
      </c>
      <c r="Q1228" s="21">
        <f>IF('Raw Data'!Q1228="",ROUND(AVERAGE('Raw Data'!$Q$2:$Q$1501),0),'Raw Data'!Q1228)</f>
        <v>2</v>
      </c>
      <c r="R1228" s="21">
        <f>'Raw Data'!R1228</f>
        <v>4</v>
      </c>
      <c r="S1228" s="21">
        <f>IF('Raw Data'!S1228="",ROUND(AVERAGE('Raw Data'!$S$2:$S$1501),0),'Raw Data'!S1228)</f>
        <v>3</v>
      </c>
      <c r="T1228" s="21">
        <f>'Raw Data'!T1228</f>
        <v>283.23</v>
      </c>
      <c r="U1228" s="21" t="str">
        <f>INDEX('Lookup Tables'!$C$7:$C$9,MATCH(E1228,'Lookup Tables'!$B$7:$B$9,0))</f>
        <v>Tier 1 (Metro)</v>
      </c>
      <c r="V1228" s="21" t="str">
        <f t="shared" si="57"/>
        <v>0-6 months</v>
      </c>
      <c r="W1228" s="21" t="str">
        <f t="shared" si="58"/>
        <v>Low Risk</v>
      </c>
      <c r="X1228" s="21" t="str">
        <f t="shared" si="59"/>
        <v>No</v>
      </c>
    </row>
    <row r="1229" spans="1:24" x14ac:dyDescent="0.3">
      <c r="A1229" s="21">
        <f>'Raw Data'!A1229</f>
        <v>51228</v>
      </c>
      <c r="B1229" s="21">
        <f>'Raw Data'!B1229</f>
        <v>0</v>
      </c>
      <c r="C1229" s="21">
        <f>'Raw Data'!C1229</f>
        <v>3</v>
      </c>
      <c r="D1229" s="21" t="str">
        <f>'Raw Data'!D1229</f>
        <v>Mobile Phone</v>
      </c>
      <c r="E1229" s="21">
        <f>'Raw Data'!E1229</f>
        <v>1</v>
      </c>
      <c r="F1229" s="21">
        <f>IF('Raw Data'!F1229="",ROUND(AVERAGE('Raw Data'!$F$2:$F$1501),1),'Raw Data'!F1229)</f>
        <v>24</v>
      </c>
      <c r="G1229" s="21" t="str">
        <f>'Raw Data'!G1229</f>
        <v>Debit Card</v>
      </c>
      <c r="H1229" s="21" t="str">
        <f>'Raw Data'!H1229</f>
        <v>Female</v>
      </c>
      <c r="I1229" s="21">
        <f>IF('Raw Data'!I1229="",ROUND(AVERAGE('Raw Data'!$I$2:$I$1501),1),'Raw Data'!I1229)</f>
        <v>3.8</v>
      </c>
      <c r="J1229" s="21">
        <f>'Raw Data'!J1229</f>
        <v>5</v>
      </c>
      <c r="K1229" s="21" t="str">
        <f>'Raw Data'!K1229</f>
        <v>Others</v>
      </c>
      <c r="L1229" s="21">
        <f>'Raw Data'!L1229</f>
        <v>4</v>
      </c>
      <c r="M1229" s="21" t="str">
        <f>'Raw Data'!M1229</f>
        <v>Married</v>
      </c>
      <c r="N1229" s="21">
        <f>'Raw Data'!N1229</f>
        <v>2</v>
      </c>
      <c r="O1229" s="21">
        <f>'Raw Data'!O1229</f>
        <v>0</v>
      </c>
      <c r="P1229" s="21">
        <f>IF('Raw Data'!P1229="",ROUND(AVERAGE('Raw Data'!$P$2:$P$1501),1),'Raw Data'!P1229)</f>
        <v>17.8</v>
      </c>
      <c r="Q1229" s="21">
        <f>IF('Raw Data'!Q1229="",ROUND(AVERAGE('Raw Data'!$Q$2:$Q$1501),0),'Raw Data'!Q1229)</f>
        <v>3</v>
      </c>
      <c r="R1229" s="21">
        <f>'Raw Data'!R1229</f>
        <v>4</v>
      </c>
      <c r="S1229" s="21">
        <f>IF('Raw Data'!S1229="",ROUND(AVERAGE('Raw Data'!$S$2:$S$1501),0),'Raw Data'!S1229)</f>
        <v>2</v>
      </c>
      <c r="T1229" s="21">
        <f>'Raw Data'!T1229</f>
        <v>124.96</v>
      </c>
      <c r="U1229" s="21" t="str">
        <f>INDEX('Lookup Tables'!$C$7:$C$9,MATCH(E1229,'Lookup Tables'!$B$7:$B$9,0))</f>
        <v>Tier 1 (Metro)</v>
      </c>
      <c r="V1229" s="21" t="str">
        <f t="shared" si="57"/>
        <v>0-6 months</v>
      </c>
      <c r="W1229" s="21" t="str">
        <f t="shared" si="58"/>
        <v>Low Risk</v>
      </c>
      <c r="X1229" s="21" t="str">
        <f t="shared" si="59"/>
        <v>No</v>
      </c>
    </row>
    <row r="1230" spans="1:24" x14ac:dyDescent="0.3">
      <c r="A1230" s="21">
        <f>'Raw Data'!A1230</f>
        <v>51229</v>
      </c>
      <c r="B1230" s="21">
        <f>'Raw Data'!B1230</f>
        <v>0</v>
      </c>
      <c r="C1230" s="21">
        <f>'Raw Data'!C1230</f>
        <v>13</v>
      </c>
      <c r="D1230" s="21" t="str">
        <f>'Raw Data'!D1230</f>
        <v>Mobile Phone</v>
      </c>
      <c r="E1230" s="21">
        <f>'Raw Data'!E1230</f>
        <v>3</v>
      </c>
      <c r="F1230" s="21">
        <f>IF('Raw Data'!F1230="",ROUND(AVERAGE('Raw Data'!$F$2:$F$1501),1),'Raw Data'!F1230)</f>
        <v>5</v>
      </c>
      <c r="G1230" s="21" t="str">
        <f>'Raw Data'!G1230</f>
        <v>Debit Card</v>
      </c>
      <c r="H1230" s="21" t="str">
        <f>'Raw Data'!H1230</f>
        <v>Female</v>
      </c>
      <c r="I1230" s="21">
        <f>IF('Raw Data'!I1230="",ROUND(AVERAGE('Raw Data'!$I$2:$I$1501),1),'Raw Data'!I1230)</f>
        <v>2.2000000000000002</v>
      </c>
      <c r="J1230" s="21">
        <f>'Raw Data'!J1230</f>
        <v>4</v>
      </c>
      <c r="K1230" s="21" t="str">
        <f>'Raw Data'!K1230</f>
        <v>Laptop &amp; Accessory</v>
      </c>
      <c r="L1230" s="21">
        <f>'Raw Data'!L1230</f>
        <v>4</v>
      </c>
      <c r="M1230" s="21" t="str">
        <f>'Raw Data'!M1230</f>
        <v>Single</v>
      </c>
      <c r="N1230" s="21">
        <f>'Raw Data'!N1230</f>
        <v>1</v>
      </c>
      <c r="O1230" s="21">
        <f>'Raw Data'!O1230</f>
        <v>0</v>
      </c>
      <c r="P1230" s="21">
        <f>IF('Raw Data'!P1230="",ROUND(AVERAGE('Raw Data'!$P$2:$P$1501),1),'Raw Data'!P1230)</f>
        <v>13.1</v>
      </c>
      <c r="Q1230" s="21">
        <f>IF('Raw Data'!Q1230="",ROUND(AVERAGE('Raw Data'!$Q$2:$Q$1501),0),'Raw Data'!Q1230)</f>
        <v>3</v>
      </c>
      <c r="R1230" s="21">
        <f>'Raw Data'!R1230</f>
        <v>5</v>
      </c>
      <c r="S1230" s="21">
        <f>IF('Raw Data'!S1230="",ROUND(AVERAGE('Raw Data'!$S$2:$S$1501),0),'Raw Data'!S1230)</f>
        <v>1</v>
      </c>
      <c r="T1230" s="21">
        <f>'Raw Data'!T1230</f>
        <v>139.44</v>
      </c>
      <c r="U1230" s="21" t="str">
        <f>INDEX('Lookup Tables'!$C$7:$C$9,MATCH(E1230,'Lookup Tables'!$B$7:$B$9,0))</f>
        <v>Tier 3 (Semi-urban/Rural)</v>
      </c>
      <c r="V1230" s="21" t="str">
        <f t="shared" si="57"/>
        <v>13-24 months</v>
      </c>
      <c r="W1230" s="21" t="str">
        <f t="shared" si="58"/>
        <v>Low Risk</v>
      </c>
      <c r="X1230" s="21" t="str">
        <f t="shared" si="59"/>
        <v>No</v>
      </c>
    </row>
    <row r="1231" spans="1:24" x14ac:dyDescent="0.3">
      <c r="A1231" s="21">
        <f>'Raw Data'!A1231</f>
        <v>51230</v>
      </c>
      <c r="B1231" s="21">
        <f>'Raw Data'!B1231</f>
        <v>0</v>
      </c>
      <c r="C1231" s="21">
        <f>'Raw Data'!C1231</f>
        <v>39</v>
      </c>
      <c r="D1231" s="21" t="str">
        <f>'Raw Data'!D1231</f>
        <v>Computer</v>
      </c>
      <c r="E1231" s="21">
        <f>'Raw Data'!E1231</f>
        <v>3</v>
      </c>
      <c r="F1231" s="21">
        <f>IF('Raw Data'!F1231="",ROUND(AVERAGE('Raw Data'!$F$2:$F$1501),1),'Raw Data'!F1231)</f>
        <v>19</v>
      </c>
      <c r="G1231" s="21" t="str">
        <f>'Raw Data'!G1231</f>
        <v>Debit Card</v>
      </c>
      <c r="H1231" s="21" t="str">
        <f>'Raw Data'!H1231</f>
        <v>Female</v>
      </c>
      <c r="I1231" s="21">
        <f>IF('Raw Data'!I1231="",ROUND(AVERAGE('Raw Data'!$I$2:$I$1501),1),'Raw Data'!I1231)</f>
        <v>3.6</v>
      </c>
      <c r="J1231" s="21">
        <f>'Raw Data'!J1231</f>
        <v>5</v>
      </c>
      <c r="K1231" s="21" t="str">
        <f>'Raw Data'!K1231</f>
        <v>Laptop &amp; Accessory</v>
      </c>
      <c r="L1231" s="21">
        <f>'Raw Data'!L1231</f>
        <v>4</v>
      </c>
      <c r="M1231" s="21" t="str">
        <f>'Raw Data'!M1231</f>
        <v>Married</v>
      </c>
      <c r="N1231" s="21">
        <f>'Raw Data'!N1231</f>
        <v>4</v>
      </c>
      <c r="O1231" s="21">
        <f>'Raw Data'!O1231</f>
        <v>1</v>
      </c>
      <c r="P1231" s="21">
        <f>IF('Raw Data'!P1231="",ROUND(AVERAGE('Raw Data'!$P$2:$P$1501),1),'Raw Data'!P1231)</f>
        <v>16.5</v>
      </c>
      <c r="Q1231" s="21">
        <f>IF('Raw Data'!Q1231="",ROUND(AVERAGE('Raw Data'!$Q$2:$Q$1501),0),'Raw Data'!Q1231)</f>
        <v>0</v>
      </c>
      <c r="R1231" s="21">
        <f>'Raw Data'!R1231</f>
        <v>2</v>
      </c>
      <c r="S1231" s="21">
        <f>IF('Raw Data'!S1231="",ROUND(AVERAGE('Raw Data'!$S$2:$S$1501),0),'Raw Data'!S1231)</f>
        <v>25</v>
      </c>
      <c r="T1231" s="21">
        <f>'Raw Data'!T1231</f>
        <v>155.81</v>
      </c>
      <c r="U1231" s="21" t="str">
        <f>INDEX('Lookup Tables'!$C$7:$C$9,MATCH(E1231,'Lookup Tables'!$B$7:$B$9,0))</f>
        <v>Tier 3 (Semi-urban/Rural)</v>
      </c>
      <c r="V1231" s="21" t="str">
        <f t="shared" si="57"/>
        <v>25+ months</v>
      </c>
      <c r="W1231" s="21" t="str">
        <f t="shared" si="58"/>
        <v>Medium Risk</v>
      </c>
      <c r="X1231" s="21" t="str">
        <f t="shared" si="59"/>
        <v>No</v>
      </c>
    </row>
    <row r="1232" spans="1:24" x14ac:dyDescent="0.3">
      <c r="A1232" s="21">
        <f>'Raw Data'!A1232</f>
        <v>51231</v>
      </c>
      <c r="B1232" s="21">
        <f>'Raw Data'!B1232</f>
        <v>1</v>
      </c>
      <c r="C1232" s="21">
        <f>'Raw Data'!C1232</f>
        <v>2</v>
      </c>
      <c r="D1232" s="21" t="str">
        <f>'Raw Data'!D1232</f>
        <v>Computer</v>
      </c>
      <c r="E1232" s="21">
        <f>'Raw Data'!E1232</f>
        <v>3</v>
      </c>
      <c r="F1232" s="21">
        <f>IF('Raw Data'!F1232="",ROUND(AVERAGE('Raw Data'!$F$2:$F$1501),1),'Raw Data'!F1232)</f>
        <v>29</v>
      </c>
      <c r="G1232" s="21" t="str">
        <f>'Raw Data'!G1232</f>
        <v>Debit Card</v>
      </c>
      <c r="H1232" s="21" t="str">
        <f>'Raw Data'!H1232</f>
        <v>Male</v>
      </c>
      <c r="I1232" s="21">
        <f>IF('Raw Data'!I1232="",ROUND(AVERAGE('Raw Data'!$I$2:$I$1501),1),'Raw Data'!I1232)</f>
        <v>2.4</v>
      </c>
      <c r="J1232" s="21">
        <f>'Raw Data'!J1232</f>
        <v>5</v>
      </c>
      <c r="K1232" s="21" t="str">
        <f>'Raw Data'!K1232</f>
        <v>Laptop &amp; Accessory</v>
      </c>
      <c r="L1232" s="21">
        <f>'Raw Data'!L1232</f>
        <v>1</v>
      </c>
      <c r="M1232" s="21" t="str">
        <f>'Raw Data'!M1232</f>
        <v>Married</v>
      </c>
      <c r="N1232" s="21">
        <f>'Raw Data'!N1232</f>
        <v>1</v>
      </c>
      <c r="O1232" s="21">
        <f>'Raw Data'!O1232</f>
        <v>0</v>
      </c>
      <c r="P1232" s="21">
        <f>IF('Raw Data'!P1232="",ROUND(AVERAGE('Raw Data'!$P$2:$P$1501),1),'Raw Data'!P1232)</f>
        <v>12.1</v>
      </c>
      <c r="Q1232" s="21">
        <f>IF('Raw Data'!Q1232="",ROUND(AVERAGE('Raw Data'!$Q$2:$Q$1501),0),'Raw Data'!Q1232)</f>
        <v>3</v>
      </c>
      <c r="R1232" s="21">
        <f>'Raw Data'!R1232</f>
        <v>2</v>
      </c>
      <c r="S1232" s="21">
        <f>IF('Raw Data'!S1232="",ROUND(AVERAGE('Raw Data'!$S$2:$S$1501),0),'Raw Data'!S1232)</f>
        <v>4</v>
      </c>
      <c r="T1232" s="21">
        <f>'Raw Data'!T1232</f>
        <v>149.87</v>
      </c>
      <c r="U1232" s="21" t="str">
        <f>INDEX('Lookup Tables'!$C$7:$C$9,MATCH(E1232,'Lookup Tables'!$B$7:$B$9,0))</f>
        <v>Tier 3 (Semi-urban/Rural)</v>
      </c>
      <c r="V1232" s="21" t="str">
        <f t="shared" si="57"/>
        <v>0-6 months</v>
      </c>
      <c r="W1232" s="21" t="str">
        <f t="shared" si="58"/>
        <v>Low Risk</v>
      </c>
      <c r="X1232" s="21" t="str">
        <f t="shared" si="59"/>
        <v>Yes</v>
      </c>
    </row>
    <row r="1233" spans="1:24" x14ac:dyDescent="0.3">
      <c r="A1233" s="21">
        <f>'Raw Data'!A1233</f>
        <v>51232</v>
      </c>
      <c r="B1233" s="21">
        <f>'Raw Data'!B1233</f>
        <v>1</v>
      </c>
      <c r="C1233" s="21">
        <f>'Raw Data'!C1233</f>
        <v>10</v>
      </c>
      <c r="D1233" s="21" t="str">
        <f>'Raw Data'!D1233</f>
        <v>Mobile Phone</v>
      </c>
      <c r="E1233" s="21">
        <f>'Raw Data'!E1233</f>
        <v>1</v>
      </c>
      <c r="F1233" s="21">
        <f>IF('Raw Data'!F1233="",ROUND(AVERAGE('Raw Data'!$F$2:$F$1501),1),'Raw Data'!F1233)</f>
        <v>18</v>
      </c>
      <c r="G1233" s="21" t="str">
        <f>'Raw Data'!G1233</f>
        <v>Debit Card</v>
      </c>
      <c r="H1233" s="21" t="str">
        <f>'Raw Data'!H1233</f>
        <v>Male</v>
      </c>
      <c r="I1233" s="21">
        <f>IF('Raw Data'!I1233="",ROUND(AVERAGE('Raw Data'!$I$2:$I$1501),1),'Raw Data'!I1233)</f>
        <v>1.6</v>
      </c>
      <c r="J1233" s="21">
        <f>'Raw Data'!J1233</f>
        <v>3</v>
      </c>
      <c r="K1233" s="21" t="str">
        <f>'Raw Data'!K1233</f>
        <v>Mobile Phone</v>
      </c>
      <c r="L1233" s="21">
        <f>'Raw Data'!L1233</f>
        <v>1</v>
      </c>
      <c r="M1233" s="21" t="str">
        <f>'Raw Data'!M1233</f>
        <v>Married</v>
      </c>
      <c r="N1233" s="21">
        <f>'Raw Data'!N1233</f>
        <v>1</v>
      </c>
      <c r="O1233" s="21">
        <f>'Raw Data'!O1233</f>
        <v>0</v>
      </c>
      <c r="P1233" s="21">
        <f>IF('Raw Data'!P1233="",ROUND(AVERAGE('Raw Data'!$P$2:$P$1501),1),'Raw Data'!P1233)</f>
        <v>11</v>
      </c>
      <c r="Q1233" s="21">
        <f>IF('Raw Data'!Q1233="",ROUND(AVERAGE('Raw Data'!$Q$2:$Q$1501),0),'Raw Data'!Q1233)</f>
        <v>3</v>
      </c>
      <c r="R1233" s="21">
        <f>'Raw Data'!R1233</f>
        <v>3</v>
      </c>
      <c r="S1233" s="21">
        <f>IF('Raw Data'!S1233="",ROUND(AVERAGE('Raw Data'!$S$2:$S$1501),0),'Raw Data'!S1233)</f>
        <v>2</v>
      </c>
      <c r="T1233" s="21">
        <f>'Raw Data'!T1233</f>
        <v>286.33</v>
      </c>
      <c r="U1233" s="21" t="str">
        <f>INDEX('Lookup Tables'!$C$7:$C$9,MATCH(E1233,'Lookup Tables'!$B$7:$B$9,0))</f>
        <v>Tier 1 (Metro)</v>
      </c>
      <c r="V1233" s="21" t="str">
        <f t="shared" si="57"/>
        <v>7-12 months</v>
      </c>
      <c r="W1233" s="21" t="str">
        <f t="shared" si="58"/>
        <v>Low Risk</v>
      </c>
      <c r="X1233" s="21" t="str">
        <f t="shared" si="59"/>
        <v>Yes</v>
      </c>
    </row>
    <row r="1234" spans="1:24" x14ac:dyDescent="0.3">
      <c r="A1234" s="21">
        <f>'Raw Data'!A1234</f>
        <v>51233</v>
      </c>
      <c r="B1234" s="21">
        <f>'Raw Data'!B1234</f>
        <v>1</v>
      </c>
      <c r="C1234" s="21">
        <f>'Raw Data'!C1234</f>
        <v>2</v>
      </c>
      <c r="D1234" s="21" t="str">
        <f>'Raw Data'!D1234</f>
        <v>Mobile Phone</v>
      </c>
      <c r="E1234" s="21">
        <f>'Raw Data'!E1234</f>
        <v>1</v>
      </c>
      <c r="F1234" s="21">
        <f>IF('Raw Data'!F1234="",ROUND(AVERAGE('Raw Data'!$F$2:$F$1501),1),'Raw Data'!F1234)</f>
        <v>17</v>
      </c>
      <c r="G1234" s="21" t="str">
        <f>'Raw Data'!G1234</f>
        <v>Debit Card</v>
      </c>
      <c r="H1234" s="21" t="str">
        <f>'Raw Data'!H1234</f>
        <v>Male</v>
      </c>
      <c r="I1234" s="21">
        <f>IF('Raw Data'!I1234="",ROUND(AVERAGE('Raw Data'!$I$2:$I$1501),1),'Raw Data'!I1234)</f>
        <v>2.6</v>
      </c>
      <c r="J1234" s="21">
        <f>'Raw Data'!J1234</f>
        <v>2</v>
      </c>
      <c r="K1234" s="21" t="str">
        <f>'Raw Data'!K1234</f>
        <v>Grocery</v>
      </c>
      <c r="L1234" s="21">
        <f>'Raw Data'!L1234</f>
        <v>4</v>
      </c>
      <c r="M1234" s="21" t="str">
        <f>'Raw Data'!M1234</f>
        <v>Married</v>
      </c>
      <c r="N1234" s="21">
        <f>'Raw Data'!N1234</f>
        <v>5</v>
      </c>
      <c r="O1234" s="21">
        <f>'Raw Data'!O1234</f>
        <v>0</v>
      </c>
      <c r="P1234" s="21">
        <f>IF('Raw Data'!P1234="",ROUND(AVERAGE('Raw Data'!$P$2:$P$1501),1),'Raw Data'!P1234)</f>
        <v>16.2</v>
      </c>
      <c r="Q1234" s="21">
        <f>IF('Raw Data'!Q1234="",ROUND(AVERAGE('Raw Data'!$Q$2:$Q$1501),0),'Raw Data'!Q1234)</f>
        <v>2</v>
      </c>
      <c r="R1234" s="21">
        <f>'Raw Data'!R1234</f>
        <v>3</v>
      </c>
      <c r="S1234" s="21">
        <f>IF('Raw Data'!S1234="",ROUND(AVERAGE('Raw Data'!$S$2:$S$1501),0),'Raw Data'!S1234)</f>
        <v>8</v>
      </c>
      <c r="T1234" s="21">
        <f>'Raw Data'!T1234</f>
        <v>150.82</v>
      </c>
      <c r="U1234" s="21" t="str">
        <f>INDEX('Lookup Tables'!$C$7:$C$9,MATCH(E1234,'Lookup Tables'!$B$7:$B$9,0))</f>
        <v>Tier 1 (Metro)</v>
      </c>
      <c r="V1234" s="21" t="str">
        <f t="shared" si="57"/>
        <v>0-6 months</v>
      </c>
      <c r="W1234" s="21" t="str">
        <f t="shared" si="58"/>
        <v>Low Risk</v>
      </c>
      <c r="X1234" s="21" t="str">
        <f t="shared" si="59"/>
        <v>Yes</v>
      </c>
    </row>
    <row r="1235" spans="1:24" x14ac:dyDescent="0.3">
      <c r="A1235" s="21">
        <f>'Raw Data'!A1235</f>
        <v>51234</v>
      </c>
      <c r="B1235" s="21">
        <f>'Raw Data'!B1235</f>
        <v>0</v>
      </c>
      <c r="C1235" s="21">
        <f>'Raw Data'!C1235</f>
        <v>8</v>
      </c>
      <c r="D1235" s="21" t="str">
        <f>'Raw Data'!D1235</f>
        <v>Computer</v>
      </c>
      <c r="E1235" s="21">
        <f>'Raw Data'!E1235</f>
        <v>3</v>
      </c>
      <c r="F1235" s="21">
        <f>IF('Raw Data'!F1235="",ROUND(AVERAGE('Raw Data'!$F$2:$F$1501),1),'Raw Data'!F1235)</f>
        <v>15</v>
      </c>
      <c r="G1235" s="21" t="str">
        <f>'Raw Data'!G1235</f>
        <v>Cash on Delivery</v>
      </c>
      <c r="H1235" s="21" t="str">
        <f>'Raw Data'!H1235</f>
        <v>Female</v>
      </c>
      <c r="I1235" s="21">
        <f>IF('Raw Data'!I1235="",ROUND(AVERAGE('Raw Data'!$I$2:$I$1501),1),'Raw Data'!I1235)</f>
        <v>3.2</v>
      </c>
      <c r="J1235" s="21">
        <f>'Raw Data'!J1235</f>
        <v>3</v>
      </c>
      <c r="K1235" s="21" t="str">
        <f>'Raw Data'!K1235</f>
        <v>Grocery</v>
      </c>
      <c r="L1235" s="21">
        <f>'Raw Data'!L1235</f>
        <v>3</v>
      </c>
      <c r="M1235" s="21" t="str">
        <f>'Raw Data'!M1235</f>
        <v>Single</v>
      </c>
      <c r="N1235" s="21">
        <f>'Raw Data'!N1235</f>
        <v>3</v>
      </c>
      <c r="O1235" s="21">
        <f>'Raw Data'!O1235</f>
        <v>0</v>
      </c>
      <c r="P1235" s="21">
        <f>IF('Raw Data'!P1235="",ROUND(AVERAGE('Raw Data'!$P$2:$P$1501),1),'Raw Data'!P1235)</f>
        <v>20.399999999999999</v>
      </c>
      <c r="Q1235" s="21">
        <f>IF('Raw Data'!Q1235="",ROUND(AVERAGE('Raw Data'!$Q$2:$Q$1501),0),'Raw Data'!Q1235)</f>
        <v>3</v>
      </c>
      <c r="R1235" s="21">
        <f>'Raw Data'!R1235</f>
        <v>3</v>
      </c>
      <c r="S1235" s="21">
        <f>IF('Raw Data'!S1235="",ROUND(AVERAGE('Raw Data'!$S$2:$S$1501),0),'Raw Data'!S1235)</f>
        <v>3</v>
      </c>
      <c r="T1235" s="21">
        <f>'Raw Data'!T1235</f>
        <v>158.66999999999999</v>
      </c>
      <c r="U1235" s="21" t="str">
        <f>INDEX('Lookup Tables'!$C$7:$C$9,MATCH(E1235,'Lookup Tables'!$B$7:$B$9,0))</f>
        <v>Tier 3 (Semi-urban/Rural)</v>
      </c>
      <c r="V1235" s="21" t="str">
        <f t="shared" si="57"/>
        <v>7-12 months</v>
      </c>
      <c r="W1235" s="21" t="str">
        <f t="shared" si="58"/>
        <v>Medium Risk</v>
      </c>
      <c r="X1235" s="21" t="str">
        <f t="shared" si="59"/>
        <v>No</v>
      </c>
    </row>
    <row r="1236" spans="1:24" x14ac:dyDescent="0.3">
      <c r="A1236" s="21">
        <f>'Raw Data'!A1236</f>
        <v>51235</v>
      </c>
      <c r="B1236" s="21">
        <f>'Raw Data'!B1236</f>
        <v>1</v>
      </c>
      <c r="C1236" s="21">
        <f>'Raw Data'!C1236</f>
        <v>6</v>
      </c>
      <c r="D1236" s="21" t="str">
        <f>'Raw Data'!D1236</f>
        <v>Computer</v>
      </c>
      <c r="E1236" s="21">
        <f>'Raw Data'!E1236</f>
        <v>1</v>
      </c>
      <c r="F1236" s="21">
        <f>IF('Raw Data'!F1236="",ROUND(AVERAGE('Raw Data'!$F$2:$F$1501),1),'Raw Data'!F1236)</f>
        <v>5</v>
      </c>
      <c r="G1236" s="21" t="str">
        <f>'Raw Data'!G1236</f>
        <v>Debit Card</v>
      </c>
      <c r="H1236" s="21" t="str">
        <f>'Raw Data'!H1236</f>
        <v>Female</v>
      </c>
      <c r="I1236" s="21">
        <f>IF('Raw Data'!I1236="",ROUND(AVERAGE('Raw Data'!$I$2:$I$1501),1),'Raw Data'!I1236)</f>
        <v>2.6</v>
      </c>
      <c r="J1236" s="21">
        <f>'Raw Data'!J1236</f>
        <v>4</v>
      </c>
      <c r="K1236" s="21" t="str">
        <f>'Raw Data'!K1236</f>
        <v>Laptop &amp; Accessory</v>
      </c>
      <c r="L1236" s="21">
        <f>'Raw Data'!L1236</f>
        <v>4</v>
      </c>
      <c r="M1236" s="21" t="str">
        <f>'Raw Data'!M1236</f>
        <v>Single</v>
      </c>
      <c r="N1236" s="21">
        <f>'Raw Data'!N1236</f>
        <v>2</v>
      </c>
      <c r="O1236" s="21">
        <f>'Raw Data'!O1236</f>
        <v>0</v>
      </c>
      <c r="P1236" s="21">
        <f>IF('Raw Data'!P1236="",ROUND(AVERAGE('Raw Data'!$P$2:$P$1501),1),'Raw Data'!P1236)</f>
        <v>19.2</v>
      </c>
      <c r="Q1236" s="21">
        <f>IF('Raw Data'!Q1236="",ROUND(AVERAGE('Raw Data'!$Q$2:$Q$1501),0),'Raw Data'!Q1236)</f>
        <v>1</v>
      </c>
      <c r="R1236" s="21">
        <f>'Raw Data'!R1236</f>
        <v>4</v>
      </c>
      <c r="S1236" s="21">
        <f>IF('Raw Data'!S1236="",ROUND(AVERAGE('Raw Data'!$S$2:$S$1501),0),'Raw Data'!S1236)</f>
        <v>10</v>
      </c>
      <c r="T1236" s="21">
        <f>'Raw Data'!T1236</f>
        <v>268.89</v>
      </c>
      <c r="U1236" s="21" t="str">
        <f>INDEX('Lookup Tables'!$C$7:$C$9,MATCH(E1236,'Lookup Tables'!$B$7:$B$9,0))</f>
        <v>Tier 1 (Metro)</v>
      </c>
      <c r="V1236" s="21" t="str">
        <f t="shared" si="57"/>
        <v>0-6 months</v>
      </c>
      <c r="W1236" s="21" t="str">
        <f t="shared" si="58"/>
        <v>Low Risk</v>
      </c>
      <c r="X1236" s="21" t="str">
        <f t="shared" si="59"/>
        <v>Yes</v>
      </c>
    </row>
    <row r="1237" spans="1:24" x14ac:dyDescent="0.3">
      <c r="A1237" s="21">
        <f>'Raw Data'!A1237</f>
        <v>51236</v>
      </c>
      <c r="B1237" s="21">
        <f>'Raw Data'!B1237</f>
        <v>0</v>
      </c>
      <c r="C1237" s="21">
        <f>'Raw Data'!C1237</f>
        <v>35</v>
      </c>
      <c r="D1237" s="21" t="str">
        <f>'Raw Data'!D1237</f>
        <v>Computer</v>
      </c>
      <c r="E1237" s="21">
        <f>'Raw Data'!E1237</f>
        <v>1</v>
      </c>
      <c r="F1237" s="21">
        <f>IF('Raw Data'!F1237="",ROUND(AVERAGE('Raw Data'!$F$2:$F$1501),1),'Raw Data'!F1237)</f>
        <v>25</v>
      </c>
      <c r="G1237" s="21" t="str">
        <f>'Raw Data'!G1237</f>
        <v>Debit Card</v>
      </c>
      <c r="H1237" s="21" t="str">
        <f>'Raw Data'!H1237</f>
        <v>Female</v>
      </c>
      <c r="I1237" s="21">
        <f>IF('Raw Data'!I1237="",ROUND(AVERAGE('Raw Data'!$I$2:$I$1501),1),'Raw Data'!I1237)</f>
        <v>2.7</v>
      </c>
      <c r="J1237" s="21">
        <f>'Raw Data'!J1237</f>
        <v>3</v>
      </c>
      <c r="K1237" s="21" t="str">
        <f>'Raw Data'!K1237</f>
        <v>Fashion</v>
      </c>
      <c r="L1237" s="21">
        <f>'Raw Data'!L1237</f>
        <v>1</v>
      </c>
      <c r="M1237" s="21" t="str">
        <f>'Raw Data'!M1237</f>
        <v>Married</v>
      </c>
      <c r="N1237" s="21">
        <f>'Raw Data'!N1237</f>
        <v>2</v>
      </c>
      <c r="O1237" s="21">
        <f>'Raw Data'!O1237</f>
        <v>0</v>
      </c>
      <c r="P1237" s="21">
        <f>IF('Raw Data'!P1237="",ROUND(AVERAGE('Raw Data'!$P$2:$P$1501),1),'Raw Data'!P1237)</f>
        <v>15.7</v>
      </c>
      <c r="Q1237" s="21">
        <f>IF('Raw Data'!Q1237="",ROUND(AVERAGE('Raw Data'!$Q$2:$Q$1501),0),'Raw Data'!Q1237)</f>
        <v>1</v>
      </c>
      <c r="R1237" s="21">
        <f>'Raw Data'!R1237</f>
        <v>1</v>
      </c>
      <c r="S1237" s="21">
        <f>IF('Raw Data'!S1237="",ROUND(AVERAGE('Raw Data'!$S$2:$S$1501),0),'Raw Data'!S1237)</f>
        <v>1</v>
      </c>
      <c r="T1237" s="21">
        <f>'Raw Data'!T1237</f>
        <v>211.72</v>
      </c>
      <c r="U1237" s="21" t="str">
        <f>INDEX('Lookup Tables'!$C$7:$C$9,MATCH(E1237,'Lookup Tables'!$B$7:$B$9,0))</f>
        <v>Tier 1 (Metro)</v>
      </c>
      <c r="V1237" s="21" t="str">
        <f t="shared" si="57"/>
        <v>25+ months</v>
      </c>
      <c r="W1237" s="21" t="str">
        <f t="shared" si="58"/>
        <v>Low Risk</v>
      </c>
      <c r="X1237" s="21" t="str">
        <f t="shared" si="59"/>
        <v>No</v>
      </c>
    </row>
    <row r="1238" spans="1:24" x14ac:dyDescent="0.3">
      <c r="A1238" s="21">
        <f>'Raw Data'!A1238</f>
        <v>51237</v>
      </c>
      <c r="B1238" s="21">
        <f>'Raw Data'!B1238</f>
        <v>0</v>
      </c>
      <c r="C1238" s="21">
        <f>'Raw Data'!C1238</f>
        <v>9</v>
      </c>
      <c r="D1238" s="21" t="str">
        <f>'Raw Data'!D1238</f>
        <v>Mobile Phone</v>
      </c>
      <c r="E1238" s="21">
        <f>'Raw Data'!E1238</f>
        <v>1</v>
      </c>
      <c r="F1238" s="21">
        <f>IF('Raw Data'!F1238="",ROUND(AVERAGE('Raw Data'!$F$2:$F$1501),1),'Raw Data'!F1238)</f>
        <v>10</v>
      </c>
      <c r="G1238" s="21" t="str">
        <f>'Raw Data'!G1238</f>
        <v>Debit Card</v>
      </c>
      <c r="H1238" s="21" t="str">
        <f>'Raw Data'!H1238</f>
        <v>Female</v>
      </c>
      <c r="I1238" s="21">
        <f>IF('Raw Data'!I1238="",ROUND(AVERAGE('Raw Data'!$I$2:$I$1501),1),'Raw Data'!I1238)</f>
        <v>3.7</v>
      </c>
      <c r="J1238" s="21">
        <f>'Raw Data'!J1238</f>
        <v>2</v>
      </c>
      <c r="K1238" s="21" t="str">
        <f>'Raw Data'!K1238</f>
        <v>Others</v>
      </c>
      <c r="L1238" s="21">
        <f>'Raw Data'!L1238</f>
        <v>3</v>
      </c>
      <c r="M1238" s="21" t="str">
        <f>'Raw Data'!M1238</f>
        <v>Married</v>
      </c>
      <c r="N1238" s="21">
        <f>'Raw Data'!N1238</f>
        <v>2</v>
      </c>
      <c r="O1238" s="21">
        <f>'Raw Data'!O1238</f>
        <v>1</v>
      </c>
      <c r="P1238" s="21">
        <f>IF('Raw Data'!P1238="",ROUND(AVERAGE('Raw Data'!$P$2:$P$1501),1),'Raw Data'!P1238)</f>
        <v>22.1</v>
      </c>
      <c r="Q1238" s="21">
        <f>IF('Raw Data'!Q1238="",ROUND(AVERAGE('Raw Data'!$Q$2:$Q$1501),0),'Raw Data'!Q1238)</f>
        <v>0</v>
      </c>
      <c r="R1238" s="21">
        <f>'Raw Data'!R1238</f>
        <v>7</v>
      </c>
      <c r="S1238" s="21">
        <f>IF('Raw Data'!S1238="",ROUND(AVERAGE('Raw Data'!$S$2:$S$1501),0),'Raw Data'!S1238)</f>
        <v>1</v>
      </c>
      <c r="T1238" s="21">
        <f>'Raw Data'!T1238</f>
        <v>234.22</v>
      </c>
      <c r="U1238" s="21" t="str">
        <f>INDEX('Lookup Tables'!$C$7:$C$9,MATCH(E1238,'Lookup Tables'!$B$7:$B$9,0))</f>
        <v>Tier 1 (Metro)</v>
      </c>
      <c r="V1238" s="21" t="str">
        <f t="shared" si="57"/>
        <v>7-12 months</v>
      </c>
      <c r="W1238" s="21" t="str">
        <f t="shared" si="58"/>
        <v>Medium Risk</v>
      </c>
      <c r="X1238" s="21" t="str">
        <f t="shared" si="59"/>
        <v>No</v>
      </c>
    </row>
    <row r="1239" spans="1:24" x14ac:dyDescent="0.3">
      <c r="A1239" s="21">
        <f>'Raw Data'!A1239</f>
        <v>51238</v>
      </c>
      <c r="B1239" s="21">
        <f>'Raw Data'!B1239</f>
        <v>0</v>
      </c>
      <c r="C1239" s="21">
        <f>'Raw Data'!C1239</f>
        <v>4</v>
      </c>
      <c r="D1239" s="21" t="str">
        <f>'Raw Data'!D1239</f>
        <v>Mobile Phone</v>
      </c>
      <c r="E1239" s="21">
        <f>'Raw Data'!E1239</f>
        <v>1</v>
      </c>
      <c r="F1239" s="21">
        <f>IF('Raw Data'!F1239="",ROUND(AVERAGE('Raw Data'!$F$2:$F$1501),1),'Raw Data'!F1239)</f>
        <v>19</v>
      </c>
      <c r="G1239" s="21" t="str">
        <f>'Raw Data'!G1239</f>
        <v>Credit Card</v>
      </c>
      <c r="H1239" s="21" t="str">
        <f>'Raw Data'!H1239</f>
        <v>Male</v>
      </c>
      <c r="I1239" s="21">
        <f>IF('Raw Data'!I1239="",ROUND(AVERAGE('Raw Data'!$I$2:$I$1501),1),'Raw Data'!I1239)</f>
        <v>3</v>
      </c>
      <c r="J1239" s="21">
        <f>'Raw Data'!J1239</f>
        <v>2</v>
      </c>
      <c r="K1239" s="21" t="str">
        <f>'Raw Data'!K1239</f>
        <v>Mobile Phone</v>
      </c>
      <c r="L1239" s="21">
        <f>'Raw Data'!L1239</f>
        <v>4</v>
      </c>
      <c r="M1239" s="21" t="str">
        <f>'Raw Data'!M1239</f>
        <v>Single</v>
      </c>
      <c r="N1239" s="21">
        <f>'Raw Data'!N1239</f>
        <v>2</v>
      </c>
      <c r="O1239" s="21">
        <f>'Raw Data'!O1239</f>
        <v>1</v>
      </c>
      <c r="P1239" s="21">
        <f>IF('Raw Data'!P1239="",ROUND(AVERAGE('Raw Data'!$P$2:$P$1501),1),'Raw Data'!P1239)</f>
        <v>14</v>
      </c>
      <c r="Q1239" s="21">
        <f>IF('Raw Data'!Q1239="",ROUND(AVERAGE('Raw Data'!$Q$2:$Q$1501),0),'Raw Data'!Q1239)</f>
        <v>2</v>
      </c>
      <c r="R1239" s="21">
        <f>'Raw Data'!R1239</f>
        <v>3</v>
      </c>
      <c r="S1239" s="21">
        <f>IF('Raw Data'!S1239="",ROUND(AVERAGE('Raw Data'!$S$2:$S$1501),0),'Raw Data'!S1239)</f>
        <v>1</v>
      </c>
      <c r="T1239" s="21">
        <f>'Raw Data'!T1239</f>
        <v>130.16</v>
      </c>
      <c r="U1239" s="21" t="str">
        <f>INDEX('Lookup Tables'!$C$7:$C$9,MATCH(E1239,'Lookup Tables'!$B$7:$B$9,0))</f>
        <v>Tier 1 (Metro)</v>
      </c>
      <c r="V1239" s="21" t="str">
        <f t="shared" si="57"/>
        <v>0-6 months</v>
      </c>
      <c r="W1239" s="21" t="str">
        <f t="shared" si="58"/>
        <v>Low Risk</v>
      </c>
      <c r="X1239" s="21" t="str">
        <f t="shared" si="59"/>
        <v>No</v>
      </c>
    </row>
    <row r="1240" spans="1:24" x14ac:dyDescent="0.3">
      <c r="A1240" s="21">
        <f>'Raw Data'!A1240</f>
        <v>51239</v>
      </c>
      <c r="B1240" s="21">
        <f>'Raw Data'!B1240</f>
        <v>0</v>
      </c>
      <c r="C1240" s="21">
        <f>'Raw Data'!C1240</f>
        <v>1</v>
      </c>
      <c r="D1240" s="21" t="str">
        <f>'Raw Data'!D1240</f>
        <v>Mobile Phone</v>
      </c>
      <c r="E1240" s="21">
        <f>'Raw Data'!E1240</f>
        <v>1</v>
      </c>
      <c r="F1240" s="21">
        <f>IF('Raw Data'!F1240="",ROUND(AVERAGE('Raw Data'!$F$2:$F$1501),1),'Raw Data'!F1240)</f>
        <v>5</v>
      </c>
      <c r="G1240" s="21" t="str">
        <f>'Raw Data'!G1240</f>
        <v>Debit Card</v>
      </c>
      <c r="H1240" s="21" t="str">
        <f>'Raw Data'!H1240</f>
        <v>Male</v>
      </c>
      <c r="I1240" s="21">
        <f>IF('Raw Data'!I1240="",ROUND(AVERAGE('Raw Data'!$I$2:$I$1501),1),'Raw Data'!I1240)</f>
        <v>2.2999999999999998</v>
      </c>
      <c r="J1240" s="21">
        <f>'Raw Data'!J1240</f>
        <v>2</v>
      </c>
      <c r="K1240" s="21" t="str">
        <f>'Raw Data'!K1240</f>
        <v>Laptop &amp; Accessory</v>
      </c>
      <c r="L1240" s="21">
        <f>'Raw Data'!L1240</f>
        <v>5</v>
      </c>
      <c r="M1240" s="21" t="str">
        <f>'Raw Data'!M1240</f>
        <v>Single</v>
      </c>
      <c r="N1240" s="21">
        <f>'Raw Data'!N1240</f>
        <v>1</v>
      </c>
      <c r="O1240" s="21">
        <f>'Raw Data'!O1240</f>
        <v>1</v>
      </c>
      <c r="P1240" s="21">
        <f>IF('Raw Data'!P1240="",ROUND(AVERAGE('Raw Data'!$P$2:$P$1501),1),'Raw Data'!P1240)</f>
        <v>11</v>
      </c>
      <c r="Q1240" s="21">
        <f>IF('Raw Data'!Q1240="",ROUND(AVERAGE('Raw Data'!$Q$2:$Q$1501),0),'Raw Data'!Q1240)</f>
        <v>2</v>
      </c>
      <c r="R1240" s="21">
        <f>'Raw Data'!R1240</f>
        <v>6</v>
      </c>
      <c r="S1240" s="21">
        <f>IF('Raw Data'!S1240="",ROUND(AVERAGE('Raw Data'!$S$2:$S$1501),0),'Raw Data'!S1240)</f>
        <v>3</v>
      </c>
      <c r="T1240" s="21">
        <f>'Raw Data'!T1240</f>
        <v>150.84</v>
      </c>
      <c r="U1240" s="21" t="str">
        <f>INDEX('Lookup Tables'!$C$7:$C$9,MATCH(E1240,'Lookup Tables'!$B$7:$B$9,0))</f>
        <v>Tier 1 (Metro)</v>
      </c>
      <c r="V1240" s="21" t="str">
        <f t="shared" si="57"/>
        <v>0-6 months</v>
      </c>
      <c r="W1240" s="21" t="str">
        <f t="shared" si="58"/>
        <v>Low Risk</v>
      </c>
      <c r="X1240" s="21" t="str">
        <f t="shared" si="59"/>
        <v>No</v>
      </c>
    </row>
    <row r="1241" spans="1:24" x14ac:dyDescent="0.3">
      <c r="A1241" s="21">
        <f>'Raw Data'!A1241</f>
        <v>51240</v>
      </c>
      <c r="B1241" s="21">
        <f>'Raw Data'!B1241</f>
        <v>0</v>
      </c>
      <c r="C1241" s="21">
        <f>'Raw Data'!C1241</f>
        <v>1</v>
      </c>
      <c r="D1241" s="21" t="str">
        <f>'Raw Data'!D1241</f>
        <v>Mobile Phone</v>
      </c>
      <c r="E1241" s="21">
        <f>'Raw Data'!E1241</f>
        <v>1</v>
      </c>
      <c r="F1241" s="21">
        <f>IF('Raw Data'!F1241="",ROUND(AVERAGE('Raw Data'!$F$2:$F$1501),1),'Raw Data'!F1241)</f>
        <v>5</v>
      </c>
      <c r="G1241" s="21" t="str">
        <f>'Raw Data'!G1241</f>
        <v>UPI</v>
      </c>
      <c r="H1241" s="21" t="str">
        <f>'Raw Data'!H1241</f>
        <v>Male</v>
      </c>
      <c r="I1241" s="21">
        <f>IF('Raw Data'!I1241="",ROUND(AVERAGE('Raw Data'!$I$2:$I$1501),1),'Raw Data'!I1241)</f>
        <v>3.4</v>
      </c>
      <c r="J1241" s="21">
        <f>'Raw Data'!J1241</f>
        <v>4</v>
      </c>
      <c r="K1241" s="21" t="str">
        <f>'Raw Data'!K1241</f>
        <v>Mobile Phone</v>
      </c>
      <c r="L1241" s="21">
        <f>'Raw Data'!L1241</f>
        <v>5</v>
      </c>
      <c r="M1241" s="21" t="str">
        <f>'Raw Data'!M1241</f>
        <v>Married</v>
      </c>
      <c r="N1241" s="21">
        <f>'Raw Data'!N1241</f>
        <v>2</v>
      </c>
      <c r="O1241" s="21">
        <f>'Raw Data'!O1241</f>
        <v>0</v>
      </c>
      <c r="P1241" s="21">
        <f>IF('Raw Data'!P1241="",ROUND(AVERAGE('Raw Data'!$P$2:$P$1501),1),'Raw Data'!P1241)</f>
        <v>11</v>
      </c>
      <c r="Q1241" s="21">
        <f>IF('Raw Data'!Q1241="",ROUND(AVERAGE('Raw Data'!$Q$2:$Q$1501),0),'Raw Data'!Q1241)</f>
        <v>2</v>
      </c>
      <c r="R1241" s="21">
        <f>'Raw Data'!R1241</f>
        <v>1</v>
      </c>
      <c r="S1241" s="21">
        <f>IF('Raw Data'!S1241="",ROUND(AVERAGE('Raw Data'!$S$2:$S$1501),0),'Raw Data'!S1241)</f>
        <v>1</v>
      </c>
      <c r="T1241" s="21">
        <f>'Raw Data'!T1241</f>
        <v>122.82</v>
      </c>
      <c r="U1241" s="21" t="str">
        <f>INDEX('Lookup Tables'!$C$7:$C$9,MATCH(E1241,'Lookup Tables'!$B$7:$B$9,0))</f>
        <v>Tier 1 (Metro)</v>
      </c>
      <c r="V1241" s="21" t="str">
        <f t="shared" si="57"/>
        <v>0-6 months</v>
      </c>
      <c r="W1241" s="21" t="str">
        <f t="shared" si="58"/>
        <v>Low Risk</v>
      </c>
      <c r="X1241" s="21" t="str">
        <f t="shared" si="59"/>
        <v>No</v>
      </c>
    </row>
    <row r="1242" spans="1:24" x14ac:dyDescent="0.3">
      <c r="A1242" s="21">
        <f>'Raw Data'!A1242</f>
        <v>51241</v>
      </c>
      <c r="B1242" s="21">
        <f>'Raw Data'!B1242</f>
        <v>0</v>
      </c>
      <c r="C1242" s="21">
        <f>'Raw Data'!C1242</f>
        <v>2</v>
      </c>
      <c r="D1242" s="21" t="str">
        <f>'Raw Data'!D1242</f>
        <v>Phone</v>
      </c>
      <c r="E1242" s="21">
        <f>'Raw Data'!E1242</f>
        <v>2</v>
      </c>
      <c r="F1242" s="21">
        <f>IF('Raw Data'!F1242="",ROUND(AVERAGE('Raw Data'!$F$2:$F$1501),1),'Raw Data'!F1242)</f>
        <v>26</v>
      </c>
      <c r="G1242" s="21" t="str">
        <f>'Raw Data'!G1242</f>
        <v>Cash on Delivery</v>
      </c>
      <c r="H1242" s="21" t="str">
        <f>'Raw Data'!H1242</f>
        <v>Male</v>
      </c>
      <c r="I1242" s="21">
        <f>IF('Raw Data'!I1242="",ROUND(AVERAGE('Raw Data'!$I$2:$I$1501),1),'Raw Data'!I1242)</f>
        <v>3</v>
      </c>
      <c r="J1242" s="21">
        <f>'Raw Data'!J1242</f>
        <v>5</v>
      </c>
      <c r="K1242" s="21" t="str">
        <f>'Raw Data'!K1242</f>
        <v>Mobile Phone</v>
      </c>
      <c r="L1242" s="21">
        <f>'Raw Data'!L1242</f>
        <v>3</v>
      </c>
      <c r="M1242" s="21" t="str">
        <f>'Raw Data'!M1242</f>
        <v>Single</v>
      </c>
      <c r="N1242" s="21">
        <f>'Raw Data'!N1242</f>
        <v>2</v>
      </c>
      <c r="O1242" s="21">
        <f>'Raw Data'!O1242</f>
        <v>0</v>
      </c>
      <c r="P1242" s="21">
        <f>IF('Raw Data'!P1242="",ROUND(AVERAGE('Raw Data'!$P$2:$P$1501),1),'Raw Data'!P1242)</f>
        <v>11.9</v>
      </c>
      <c r="Q1242" s="21">
        <f>IF('Raw Data'!Q1242="",ROUND(AVERAGE('Raw Data'!$Q$2:$Q$1501),0),'Raw Data'!Q1242)</f>
        <v>0</v>
      </c>
      <c r="R1242" s="21">
        <f>'Raw Data'!R1242</f>
        <v>3</v>
      </c>
      <c r="S1242" s="21">
        <f>IF('Raw Data'!S1242="",ROUND(AVERAGE('Raw Data'!$S$2:$S$1501),0),'Raw Data'!S1242)</f>
        <v>0</v>
      </c>
      <c r="T1242" s="21">
        <f>'Raw Data'!T1242</f>
        <v>224.07</v>
      </c>
      <c r="U1242" s="21" t="str">
        <f>INDEX('Lookup Tables'!$C$7:$C$9,MATCH(E1242,'Lookup Tables'!$B$7:$B$9,0))</f>
        <v>Tier 2 (Urban)</v>
      </c>
      <c r="V1242" s="21" t="str">
        <f t="shared" si="57"/>
        <v>0-6 months</v>
      </c>
      <c r="W1242" s="21" t="str">
        <f t="shared" si="58"/>
        <v>Medium Risk</v>
      </c>
      <c r="X1242" s="21" t="str">
        <f t="shared" si="59"/>
        <v>No</v>
      </c>
    </row>
    <row r="1243" spans="1:24" x14ac:dyDescent="0.3">
      <c r="A1243" s="21">
        <f>'Raw Data'!A1243</f>
        <v>51242</v>
      </c>
      <c r="B1243" s="21">
        <f>'Raw Data'!B1243</f>
        <v>1</v>
      </c>
      <c r="C1243" s="21">
        <f>'Raw Data'!C1243</f>
        <v>2</v>
      </c>
      <c r="D1243" s="21" t="str">
        <f>'Raw Data'!D1243</f>
        <v>Mobile Phone</v>
      </c>
      <c r="E1243" s="21">
        <f>'Raw Data'!E1243</f>
        <v>1</v>
      </c>
      <c r="F1243" s="21">
        <f>IF('Raw Data'!F1243="",ROUND(AVERAGE('Raw Data'!$F$2:$F$1501),1),'Raw Data'!F1243)</f>
        <v>12</v>
      </c>
      <c r="G1243" s="21" t="str">
        <f>'Raw Data'!G1243</f>
        <v>Debit Card</v>
      </c>
      <c r="H1243" s="21" t="str">
        <f>'Raw Data'!H1243</f>
        <v>Male</v>
      </c>
      <c r="I1243" s="21">
        <f>IF('Raw Data'!I1243="",ROUND(AVERAGE('Raw Data'!$I$2:$I$1501),1),'Raw Data'!I1243)</f>
        <v>1.1000000000000001</v>
      </c>
      <c r="J1243" s="21">
        <f>'Raw Data'!J1243</f>
        <v>4</v>
      </c>
      <c r="K1243" s="21" t="str">
        <f>'Raw Data'!K1243</f>
        <v>Mobile Phone</v>
      </c>
      <c r="L1243" s="21">
        <f>'Raw Data'!L1243</f>
        <v>3</v>
      </c>
      <c r="M1243" s="21" t="str">
        <f>'Raw Data'!M1243</f>
        <v>Single</v>
      </c>
      <c r="N1243" s="21">
        <f>'Raw Data'!N1243</f>
        <v>4</v>
      </c>
      <c r="O1243" s="21">
        <f>'Raw Data'!O1243</f>
        <v>0</v>
      </c>
      <c r="P1243" s="21">
        <f>IF('Raw Data'!P1243="",ROUND(AVERAGE('Raw Data'!$P$2:$P$1501),1),'Raw Data'!P1243)</f>
        <v>18.899999999999999</v>
      </c>
      <c r="Q1243" s="21">
        <f>IF('Raw Data'!Q1243="",ROUND(AVERAGE('Raw Data'!$Q$2:$Q$1501),0),'Raw Data'!Q1243)</f>
        <v>0</v>
      </c>
      <c r="R1243" s="21">
        <f>'Raw Data'!R1243</f>
        <v>6</v>
      </c>
      <c r="S1243" s="21">
        <f>IF('Raw Data'!S1243="",ROUND(AVERAGE('Raw Data'!$S$2:$S$1501),0),'Raw Data'!S1243)</f>
        <v>4</v>
      </c>
      <c r="T1243" s="21">
        <f>'Raw Data'!T1243</f>
        <v>247.39</v>
      </c>
      <c r="U1243" s="21" t="str">
        <f>INDEX('Lookup Tables'!$C$7:$C$9,MATCH(E1243,'Lookup Tables'!$B$7:$B$9,0))</f>
        <v>Tier 1 (Metro)</v>
      </c>
      <c r="V1243" s="21" t="str">
        <f t="shared" si="57"/>
        <v>0-6 months</v>
      </c>
      <c r="W1243" s="21" t="str">
        <f t="shared" si="58"/>
        <v>Medium Risk</v>
      </c>
      <c r="X1243" s="21" t="str">
        <f t="shared" si="59"/>
        <v>Yes</v>
      </c>
    </row>
    <row r="1244" spans="1:24" x14ac:dyDescent="0.3">
      <c r="A1244" s="21">
        <f>'Raw Data'!A1244</f>
        <v>51243</v>
      </c>
      <c r="B1244" s="21">
        <f>'Raw Data'!B1244</f>
        <v>0</v>
      </c>
      <c r="C1244" s="21">
        <f>'Raw Data'!C1244</f>
        <v>19</v>
      </c>
      <c r="D1244" s="21" t="str">
        <f>'Raw Data'!D1244</f>
        <v>Mobile Phone</v>
      </c>
      <c r="E1244" s="21">
        <f>'Raw Data'!E1244</f>
        <v>1</v>
      </c>
      <c r="F1244" s="21">
        <f>IF('Raw Data'!F1244="",ROUND(AVERAGE('Raw Data'!$F$2:$F$1501),1),'Raw Data'!F1244)</f>
        <v>26</v>
      </c>
      <c r="G1244" s="21" t="str">
        <f>'Raw Data'!G1244</f>
        <v>Credit Card</v>
      </c>
      <c r="H1244" s="21" t="str">
        <f>'Raw Data'!H1244</f>
        <v>Male</v>
      </c>
      <c r="I1244" s="21">
        <f>IF('Raw Data'!I1244="",ROUND(AVERAGE('Raw Data'!$I$2:$I$1501),1),'Raw Data'!I1244)</f>
        <v>3.2</v>
      </c>
      <c r="J1244" s="21">
        <f>'Raw Data'!J1244</f>
        <v>4</v>
      </c>
      <c r="K1244" s="21" t="str">
        <f>'Raw Data'!K1244</f>
        <v>Mobile Phone</v>
      </c>
      <c r="L1244" s="21">
        <f>'Raw Data'!L1244</f>
        <v>5</v>
      </c>
      <c r="M1244" s="21" t="str">
        <f>'Raw Data'!M1244</f>
        <v>Single</v>
      </c>
      <c r="N1244" s="21">
        <f>'Raw Data'!N1244</f>
        <v>4</v>
      </c>
      <c r="O1244" s="21">
        <f>'Raw Data'!O1244</f>
        <v>0</v>
      </c>
      <c r="P1244" s="21">
        <f>IF('Raw Data'!P1244="",ROUND(AVERAGE('Raw Data'!$P$2:$P$1501),1),'Raw Data'!P1244)</f>
        <v>13.8</v>
      </c>
      <c r="Q1244" s="21">
        <f>IF('Raw Data'!Q1244="",ROUND(AVERAGE('Raw Data'!$Q$2:$Q$1501),0),'Raw Data'!Q1244)</f>
        <v>0</v>
      </c>
      <c r="R1244" s="21">
        <f>'Raw Data'!R1244</f>
        <v>5</v>
      </c>
      <c r="S1244" s="21">
        <f>IF('Raw Data'!S1244="",ROUND(AVERAGE('Raw Data'!$S$2:$S$1501),0),'Raw Data'!S1244)</f>
        <v>11</v>
      </c>
      <c r="T1244" s="21">
        <f>'Raw Data'!T1244</f>
        <v>147.01</v>
      </c>
      <c r="U1244" s="21" t="str">
        <f>INDEX('Lookup Tables'!$C$7:$C$9,MATCH(E1244,'Lookup Tables'!$B$7:$B$9,0))</f>
        <v>Tier 1 (Metro)</v>
      </c>
      <c r="V1244" s="21" t="str">
        <f t="shared" si="57"/>
        <v>13-24 months</v>
      </c>
      <c r="W1244" s="21" t="str">
        <f t="shared" si="58"/>
        <v>Low Risk</v>
      </c>
      <c r="X1244" s="21" t="str">
        <f t="shared" si="59"/>
        <v>No</v>
      </c>
    </row>
    <row r="1245" spans="1:24" x14ac:dyDescent="0.3">
      <c r="A1245" s="21">
        <f>'Raw Data'!A1245</f>
        <v>51244</v>
      </c>
      <c r="B1245" s="21">
        <f>'Raw Data'!B1245</f>
        <v>0</v>
      </c>
      <c r="C1245" s="21">
        <f>'Raw Data'!C1245</f>
        <v>8</v>
      </c>
      <c r="D1245" s="21" t="str">
        <f>'Raw Data'!D1245</f>
        <v>Computer</v>
      </c>
      <c r="E1245" s="21">
        <f>'Raw Data'!E1245</f>
        <v>3</v>
      </c>
      <c r="F1245" s="21">
        <f>IF('Raw Data'!F1245="",ROUND(AVERAGE('Raw Data'!$F$2:$F$1501),1),'Raw Data'!F1245)</f>
        <v>14</v>
      </c>
      <c r="G1245" s="21" t="str">
        <f>'Raw Data'!G1245</f>
        <v>Debit Card</v>
      </c>
      <c r="H1245" s="21" t="str">
        <f>'Raw Data'!H1245</f>
        <v>Female</v>
      </c>
      <c r="I1245" s="21">
        <f>IF('Raw Data'!I1245="",ROUND(AVERAGE('Raw Data'!$I$2:$I$1501),1),'Raw Data'!I1245)</f>
        <v>3.2</v>
      </c>
      <c r="J1245" s="21">
        <f>'Raw Data'!J1245</f>
        <v>3</v>
      </c>
      <c r="K1245" s="21" t="str">
        <f>'Raw Data'!K1245</f>
        <v>Laptop &amp; Accessory</v>
      </c>
      <c r="L1245" s="21">
        <f>'Raw Data'!L1245</f>
        <v>3</v>
      </c>
      <c r="M1245" s="21" t="str">
        <f>'Raw Data'!M1245</f>
        <v>Single</v>
      </c>
      <c r="N1245" s="21">
        <f>'Raw Data'!N1245</f>
        <v>1</v>
      </c>
      <c r="O1245" s="21">
        <f>'Raw Data'!O1245</f>
        <v>0</v>
      </c>
      <c r="P1245" s="21">
        <f>IF('Raw Data'!P1245="",ROUND(AVERAGE('Raw Data'!$P$2:$P$1501),1),'Raw Data'!P1245)</f>
        <v>17.600000000000001</v>
      </c>
      <c r="Q1245" s="21">
        <f>IF('Raw Data'!Q1245="",ROUND(AVERAGE('Raw Data'!$Q$2:$Q$1501),0),'Raw Data'!Q1245)</f>
        <v>2</v>
      </c>
      <c r="R1245" s="21">
        <f>'Raw Data'!R1245</f>
        <v>3</v>
      </c>
      <c r="S1245" s="21">
        <f>IF('Raw Data'!S1245="",ROUND(AVERAGE('Raw Data'!$S$2:$S$1501),0),'Raw Data'!S1245)</f>
        <v>5</v>
      </c>
      <c r="T1245" s="21">
        <f>'Raw Data'!T1245</f>
        <v>159.97</v>
      </c>
      <c r="U1245" s="21" t="str">
        <f>INDEX('Lookup Tables'!$C$7:$C$9,MATCH(E1245,'Lookup Tables'!$B$7:$B$9,0))</f>
        <v>Tier 3 (Semi-urban/Rural)</v>
      </c>
      <c r="V1245" s="21" t="str">
        <f t="shared" si="57"/>
        <v>7-12 months</v>
      </c>
      <c r="W1245" s="21" t="str">
        <f t="shared" si="58"/>
        <v>Medium Risk</v>
      </c>
      <c r="X1245" s="21" t="str">
        <f t="shared" si="59"/>
        <v>No</v>
      </c>
    </row>
    <row r="1246" spans="1:24" x14ac:dyDescent="0.3">
      <c r="A1246" s="21">
        <f>'Raw Data'!A1246</f>
        <v>51245</v>
      </c>
      <c r="B1246" s="21">
        <f>'Raw Data'!B1246</f>
        <v>1</v>
      </c>
      <c r="C1246" s="21">
        <f>'Raw Data'!C1246</f>
        <v>7</v>
      </c>
      <c r="D1246" s="21" t="str">
        <f>'Raw Data'!D1246</f>
        <v>Mobile Phone</v>
      </c>
      <c r="E1246" s="21">
        <f>'Raw Data'!E1246</f>
        <v>1</v>
      </c>
      <c r="F1246" s="21">
        <f>IF('Raw Data'!F1246="",ROUND(AVERAGE('Raw Data'!$F$2:$F$1501),1),'Raw Data'!F1246)</f>
        <v>5</v>
      </c>
      <c r="G1246" s="21" t="str">
        <f>'Raw Data'!G1246</f>
        <v>E wallet</v>
      </c>
      <c r="H1246" s="21" t="str">
        <f>'Raw Data'!H1246</f>
        <v>Female</v>
      </c>
      <c r="I1246" s="21">
        <f>IF('Raw Data'!I1246="",ROUND(AVERAGE('Raw Data'!$I$2:$I$1501),1),'Raw Data'!I1246)</f>
        <v>2.9</v>
      </c>
      <c r="J1246" s="21">
        <f>'Raw Data'!J1246</f>
        <v>1</v>
      </c>
      <c r="K1246" s="21" t="str">
        <f>'Raw Data'!K1246</f>
        <v>Others</v>
      </c>
      <c r="L1246" s="21">
        <f>'Raw Data'!L1246</f>
        <v>3</v>
      </c>
      <c r="M1246" s="21" t="str">
        <f>'Raw Data'!M1246</f>
        <v>Married</v>
      </c>
      <c r="N1246" s="21">
        <f>'Raw Data'!N1246</f>
        <v>1</v>
      </c>
      <c r="O1246" s="21">
        <f>'Raw Data'!O1246</f>
        <v>1</v>
      </c>
      <c r="P1246" s="21">
        <f>IF('Raw Data'!P1246="",ROUND(AVERAGE('Raw Data'!$P$2:$P$1501),1),'Raw Data'!P1246)</f>
        <v>21.8</v>
      </c>
      <c r="Q1246" s="21">
        <f>IF('Raw Data'!Q1246="",ROUND(AVERAGE('Raw Data'!$Q$2:$Q$1501),0),'Raw Data'!Q1246)</f>
        <v>1</v>
      </c>
      <c r="R1246" s="21">
        <f>'Raw Data'!R1246</f>
        <v>3</v>
      </c>
      <c r="S1246" s="21">
        <f>IF('Raw Data'!S1246="",ROUND(AVERAGE('Raw Data'!$S$2:$S$1501),0),'Raw Data'!S1246)</f>
        <v>11</v>
      </c>
      <c r="T1246" s="21">
        <f>'Raw Data'!T1246</f>
        <v>162.37</v>
      </c>
      <c r="U1246" s="21" t="str">
        <f>INDEX('Lookup Tables'!$C$7:$C$9,MATCH(E1246,'Lookup Tables'!$B$7:$B$9,0))</f>
        <v>Tier 1 (Metro)</v>
      </c>
      <c r="V1246" s="21" t="str">
        <f t="shared" si="57"/>
        <v>7-12 months</v>
      </c>
      <c r="W1246" s="21" t="str">
        <f t="shared" si="58"/>
        <v>Medium Risk</v>
      </c>
      <c r="X1246" s="21" t="str">
        <f t="shared" si="59"/>
        <v>Yes</v>
      </c>
    </row>
    <row r="1247" spans="1:24" x14ac:dyDescent="0.3">
      <c r="A1247" s="21">
        <f>'Raw Data'!A1247</f>
        <v>51246</v>
      </c>
      <c r="B1247" s="21">
        <f>'Raw Data'!B1247</f>
        <v>0</v>
      </c>
      <c r="C1247" s="21">
        <f>'Raw Data'!C1247</f>
        <v>1</v>
      </c>
      <c r="D1247" s="21" t="str">
        <f>'Raw Data'!D1247</f>
        <v>Mobile Phone</v>
      </c>
      <c r="E1247" s="21">
        <f>'Raw Data'!E1247</f>
        <v>1</v>
      </c>
      <c r="F1247" s="21">
        <f>IF('Raw Data'!F1247="",ROUND(AVERAGE('Raw Data'!$F$2:$F$1501),1),'Raw Data'!F1247)</f>
        <v>22</v>
      </c>
      <c r="G1247" s="21" t="str">
        <f>'Raw Data'!G1247</f>
        <v>Credit Card</v>
      </c>
      <c r="H1247" s="21" t="str">
        <f>'Raw Data'!H1247</f>
        <v>Female</v>
      </c>
      <c r="I1247" s="21">
        <f>IF('Raw Data'!I1247="",ROUND(AVERAGE('Raw Data'!$I$2:$I$1501),1),'Raw Data'!I1247)</f>
        <v>3.5</v>
      </c>
      <c r="J1247" s="21">
        <f>'Raw Data'!J1247</f>
        <v>3</v>
      </c>
      <c r="K1247" s="21" t="str">
        <f>'Raw Data'!K1247</f>
        <v>Mobile Phone</v>
      </c>
      <c r="L1247" s="21">
        <f>'Raw Data'!L1247</f>
        <v>5</v>
      </c>
      <c r="M1247" s="21" t="str">
        <f>'Raw Data'!M1247</f>
        <v>Single</v>
      </c>
      <c r="N1247" s="21">
        <f>'Raw Data'!N1247</f>
        <v>1</v>
      </c>
      <c r="O1247" s="21">
        <f>'Raw Data'!O1247</f>
        <v>0</v>
      </c>
      <c r="P1247" s="21">
        <f>IF('Raw Data'!P1247="",ROUND(AVERAGE('Raw Data'!$P$2:$P$1501),1),'Raw Data'!P1247)</f>
        <v>12.1</v>
      </c>
      <c r="Q1247" s="21">
        <f>IF('Raw Data'!Q1247="",ROUND(AVERAGE('Raw Data'!$Q$2:$Q$1501),0),'Raw Data'!Q1247)</f>
        <v>1</v>
      </c>
      <c r="R1247" s="21">
        <f>'Raw Data'!R1247</f>
        <v>4</v>
      </c>
      <c r="S1247" s="21">
        <f>IF('Raw Data'!S1247="",ROUND(AVERAGE('Raw Data'!$S$2:$S$1501),0),'Raw Data'!S1247)</f>
        <v>13</v>
      </c>
      <c r="T1247" s="21">
        <f>'Raw Data'!T1247</f>
        <v>94.9</v>
      </c>
      <c r="U1247" s="21" t="str">
        <f>INDEX('Lookup Tables'!$C$7:$C$9,MATCH(E1247,'Lookup Tables'!$B$7:$B$9,0))</f>
        <v>Tier 1 (Metro)</v>
      </c>
      <c r="V1247" s="21" t="str">
        <f t="shared" si="57"/>
        <v>0-6 months</v>
      </c>
      <c r="W1247" s="21" t="str">
        <f t="shared" si="58"/>
        <v>Low Risk</v>
      </c>
      <c r="X1247" s="21" t="str">
        <f t="shared" si="59"/>
        <v>No</v>
      </c>
    </row>
    <row r="1248" spans="1:24" x14ac:dyDescent="0.3">
      <c r="A1248" s="21">
        <f>'Raw Data'!A1248</f>
        <v>51247</v>
      </c>
      <c r="B1248" s="21">
        <f>'Raw Data'!B1248</f>
        <v>0</v>
      </c>
      <c r="C1248" s="21">
        <f>'Raw Data'!C1248</f>
        <v>19</v>
      </c>
      <c r="D1248" s="21" t="str">
        <f>'Raw Data'!D1248</f>
        <v>Phone</v>
      </c>
      <c r="E1248" s="21">
        <f>'Raw Data'!E1248</f>
        <v>3</v>
      </c>
      <c r="F1248" s="21">
        <f>IF('Raw Data'!F1248="",ROUND(AVERAGE('Raw Data'!$F$2:$F$1501),1),'Raw Data'!F1248)</f>
        <v>10</v>
      </c>
      <c r="G1248" s="21" t="str">
        <f>'Raw Data'!G1248</f>
        <v>Debit Card</v>
      </c>
      <c r="H1248" s="21" t="str">
        <f>'Raw Data'!H1248</f>
        <v>Female</v>
      </c>
      <c r="I1248" s="21">
        <f>IF('Raw Data'!I1248="",ROUND(AVERAGE('Raw Data'!$I$2:$I$1501),1),'Raw Data'!I1248)</f>
        <v>2.4</v>
      </c>
      <c r="J1248" s="21">
        <f>'Raw Data'!J1248</f>
        <v>3</v>
      </c>
      <c r="K1248" s="21" t="str">
        <f>'Raw Data'!K1248</f>
        <v>Mobile Phone</v>
      </c>
      <c r="L1248" s="21">
        <f>'Raw Data'!L1248</f>
        <v>4</v>
      </c>
      <c r="M1248" s="21" t="str">
        <f>'Raw Data'!M1248</f>
        <v>Single</v>
      </c>
      <c r="N1248" s="21">
        <f>'Raw Data'!N1248</f>
        <v>2</v>
      </c>
      <c r="O1248" s="21">
        <f>'Raw Data'!O1248</f>
        <v>0</v>
      </c>
      <c r="P1248" s="21">
        <f>IF('Raw Data'!P1248="",ROUND(AVERAGE('Raw Data'!$P$2:$P$1501),1),'Raw Data'!P1248)</f>
        <v>17.7</v>
      </c>
      <c r="Q1248" s="21">
        <f>IF('Raw Data'!Q1248="",ROUND(AVERAGE('Raw Data'!$Q$2:$Q$1501),0),'Raw Data'!Q1248)</f>
        <v>2</v>
      </c>
      <c r="R1248" s="21">
        <f>'Raw Data'!R1248</f>
        <v>2</v>
      </c>
      <c r="S1248" s="21">
        <f>IF('Raw Data'!S1248="",ROUND(AVERAGE('Raw Data'!$S$2:$S$1501),0),'Raw Data'!S1248)</f>
        <v>5</v>
      </c>
      <c r="T1248" s="21">
        <f>'Raw Data'!T1248</f>
        <v>142.94</v>
      </c>
      <c r="U1248" s="21" t="str">
        <f>INDEX('Lookup Tables'!$C$7:$C$9,MATCH(E1248,'Lookup Tables'!$B$7:$B$9,0))</f>
        <v>Tier 3 (Semi-urban/Rural)</v>
      </c>
      <c r="V1248" s="21" t="str">
        <f t="shared" si="57"/>
        <v>13-24 months</v>
      </c>
      <c r="W1248" s="21" t="str">
        <f t="shared" si="58"/>
        <v>Low Risk</v>
      </c>
      <c r="X1248" s="21" t="str">
        <f t="shared" si="59"/>
        <v>No</v>
      </c>
    </row>
    <row r="1249" spans="1:24" x14ac:dyDescent="0.3">
      <c r="A1249" s="21">
        <f>'Raw Data'!A1249</f>
        <v>51248</v>
      </c>
      <c r="B1249" s="21">
        <f>'Raw Data'!B1249</f>
        <v>0</v>
      </c>
      <c r="C1249" s="21">
        <f>'Raw Data'!C1249</f>
        <v>12</v>
      </c>
      <c r="D1249" s="21" t="str">
        <f>'Raw Data'!D1249</f>
        <v>Phone</v>
      </c>
      <c r="E1249" s="21">
        <f>'Raw Data'!E1249</f>
        <v>1</v>
      </c>
      <c r="F1249" s="21">
        <f>IF('Raw Data'!F1249="",ROUND(AVERAGE('Raw Data'!$F$2:$F$1501),1),'Raw Data'!F1249)</f>
        <v>20</v>
      </c>
      <c r="G1249" s="21" t="str">
        <f>'Raw Data'!G1249</f>
        <v>Debit Card</v>
      </c>
      <c r="H1249" s="21" t="str">
        <f>'Raw Data'!H1249</f>
        <v>Male</v>
      </c>
      <c r="I1249" s="21">
        <f>IF('Raw Data'!I1249="",ROUND(AVERAGE('Raw Data'!$I$2:$I$1501),1),'Raw Data'!I1249)</f>
        <v>3.1</v>
      </c>
      <c r="J1249" s="21">
        <f>'Raw Data'!J1249</f>
        <v>3</v>
      </c>
      <c r="K1249" s="21" t="str">
        <f>'Raw Data'!K1249</f>
        <v>Others</v>
      </c>
      <c r="L1249" s="21">
        <f>'Raw Data'!L1249</f>
        <v>5</v>
      </c>
      <c r="M1249" s="21" t="str">
        <f>'Raw Data'!M1249</f>
        <v>Single</v>
      </c>
      <c r="N1249" s="21">
        <f>'Raw Data'!N1249</f>
        <v>2</v>
      </c>
      <c r="O1249" s="21">
        <f>'Raw Data'!O1249</f>
        <v>0</v>
      </c>
      <c r="P1249" s="21">
        <f>IF('Raw Data'!P1249="",ROUND(AVERAGE('Raw Data'!$P$2:$P$1501),1),'Raw Data'!P1249)</f>
        <v>17.899999999999999</v>
      </c>
      <c r="Q1249" s="21">
        <f>IF('Raw Data'!Q1249="",ROUND(AVERAGE('Raw Data'!$Q$2:$Q$1501),0),'Raw Data'!Q1249)</f>
        <v>2</v>
      </c>
      <c r="R1249" s="21">
        <f>'Raw Data'!R1249</f>
        <v>4</v>
      </c>
      <c r="S1249" s="21">
        <f>IF('Raw Data'!S1249="",ROUND(AVERAGE('Raw Data'!$S$2:$S$1501),0),'Raw Data'!S1249)</f>
        <v>3</v>
      </c>
      <c r="T1249" s="21">
        <f>'Raw Data'!T1249</f>
        <v>222.53</v>
      </c>
      <c r="U1249" s="21" t="str">
        <f>INDEX('Lookup Tables'!$C$7:$C$9,MATCH(E1249,'Lookup Tables'!$B$7:$B$9,0))</f>
        <v>Tier 1 (Metro)</v>
      </c>
      <c r="V1249" s="21" t="str">
        <f t="shared" si="57"/>
        <v>7-12 months</v>
      </c>
      <c r="W1249" s="21" t="str">
        <f t="shared" si="58"/>
        <v>Low Risk</v>
      </c>
      <c r="X1249" s="21" t="str">
        <f t="shared" si="59"/>
        <v>No</v>
      </c>
    </row>
    <row r="1250" spans="1:24" x14ac:dyDescent="0.3">
      <c r="A1250" s="21">
        <f>'Raw Data'!A1250</f>
        <v>51249</v>
      </c>
      <c r="B1250" s="21">
        <f>'Raw Data'!B1250</f>
        <v>0</v>
      </c>
      <c r="C1250" s="21">
        <f>'Raw Data'!C1250</f>
        <v>0</v>
      </c>
      <c r="D1250" s="21" t="str">
        <f>'Raw Data'!D1250</f>
        <v>Computer</v>
      </c>
      <c r="E1250" s="21">
        <f>'Raw Data'!E1250</f>
        <v>1</v>
      </c>
      <c r="F1250" s="21">
        <f>IF('Raw Data'!F1250="",ROUND(AVERAGE('Raw Data'!$F$2:$F$1501),1),'Raw Data'!F1250)</f>
        <v>15</v>
      </c>
      <c r="G1250" s="21" t="str">
        <f>'Raw Data'!G1250</f>
        <v>E wallet</v>
      </c>
      <c r="H1250" s="21" t="str">
        <f>'Raw Data'!H1250</f>
        <v>Male</v>
      </c>
      <c r="I1250" s="21">
        <f>IF('Raw Data'!I1250="",ROUND(AVERAGE('Raw Data'!$I$2:$I$1501),1),'Raw Data'!I1250)</f>
        <v>1.8</v>
      </c>
      <c r="J1250" s="21">
        <f>'Raw Data'!J1250</f>
        <v>3</v>
      </c>
      <c r="K1250" s="21" t="str">
        <f>'Raw Data'!K1250</f>
        <v>Laptop &amp; Accessory</v>
      </c>
      <c r="L1250" s="21">
        <f>'Raw Data'!L1250</f>
        <v>2</v>
      </c>
      <c r="M1250" s="21" t="str">
        <f>'Raw Data'!M1250</f>
        <v>Single</v>
      </c>
      <c r="N1250" s="21">
        <f>'Raw Data'!N1250</f>
        <v>7</v>
      </c>
      <c r="O1250" s="21">
        <f>'Raw Data'!O1250</f>
        <v>0</v>
      </c>
      <c r="P1250" s="21">
        <f>IF('Raw Data'!P1250="",ROUND(AVERAGE('Raw Data'!$P$2:$P$1501),1),'Raw Data'!P1250)</f>
        <v>13</v>
      </c>
      <c r="Q1250" s="21">
        <f>IF('Raw Data'!Q1250="",ROUND(AVERAGE('Raw Data'!$Q$2:$Q$1501),0),'Raw Data'!Q1250)</f>
        <v>3</v>
      </c>
      <c r="R1250" s="21">
        <f>'Raw Data'!R1250</f>
        <v>7</v>
      </c>
      <c r="S1250" s="21">
        <f>IF('Raw Data'!S1250="",ROUND(AVERAGE('Raw Data'!$S$2:$S$1501),0),'Raw Data'!S1250)</f>
        <v>10</v>
      </c>
      <c r="T1250" s="21">
        <f>'Raw Data'!T1250</f>
        <v>131.85</v>
      </c>
      <c r="U1250" s="21" t="str">
        <f>INDEX('Lookup Tables'!$C$7:$C$9,MATCH(E1250,'Lookup Tables'!$B$7:$B$9,0))</f>
        <v>Tier 1 (Metro)</v>
      </c>
      <c r="V1250" s="21" t="str">
        <f t="shared" si="57"/>
        <v>0-6 months</v>
      </c>
      <c r="W1250" s="21" t="str">
        <f t="shared" si="58"/>
        <v>Low Risk</v>
      </c>
      <c r="X1250" s="21" t="str">
        <f t="shared" si="59"/>
        <v>No</v>
      </c>
    </row>
    <row r="1251" spans="1:24" x14ac:dyDescent="0.3">
      <c r="A1251" s="21">
        <f>'Raw Data'!A1251</f>
        <v>51250</v>
      </c>
      <c r="B1251" s="21">
        <f>'Raw Data'!B1251</f>
        <v>0</v>
      </c>
      <c r="C1251" s="21">
        <f>'Raw Data'!C1251</f>
        <v>12</v>
      </c>
      <c r="D1251" s="21" t="str">
        <f>'Raw Data'!D1251</f>
        <v>Mobile Phone</v>
      </c>
      <c r="E1251" s="21">
        <f>'Raw Data'!E1251</f>
        <v>1</v>
      </c>
      <c r="F1251" s="21">
        <f>IF('Raw Data'!F1251="",ROUND(AVERAGE('Raw Data'!$F$2:$F$1501),1),'Raw Data'!F1251)</f>
        <v>5</v>
      </c>
      <c r="G1251" s="21" t="str">
        <f>'Raw Data'!G1251</f>
        <v>Credit Card</v>
      </c>
      <c r="H1251" s="21" t="str">
        <f>'Raw Data'!H1251</f>
        <v>Female</v>
      </c>
      <c r="I1251" s="21">
        <f>IF('Raw Data'!I1251="",ROUND(AVERAGE('Raw Data'!$I$2:$I$1501),1),'Raw Data'!I1251)</f>
        <v>3.2</v>
      </c>
      <c r="J1251" s="21">
        <f>'Raw Data'!J1251</f>
        <v>4</v>
      </c>
      <c r="K1251" s="21" t="str">
        <f>'Raw Data'!K1251</f>
        <v>Laptop &amp; Accessory</v>
      </c>
      <c r="L1251" s="21">
        <f>'Raw Data'!L1251</f>
        <v>3</v>
      </c>
      <c r="M1251" s="21" t="str">
        <f>'Raw Data'!M1251</f>
        <v>Married</v>
      </c>
      <c r="N1251" s="21">
        <f>'Raw Data'!N1251</f>
        <v>4</v>
      </c>
      <c r="O1251" s="21">
        <f>'Raw Data'!O1251</f>
        <v>1</v>
      </c>
      <c r="P1251" s="21">
        <f>IF('Raw Data'!P1251="",ROUND(AVERAGE('Raw Data'!$P$2:$P$1501),1),'Raw Data'!P1251)</f>
        <v>20.7</v>
      </c>
      <c r="Q1251" s="21">
        <f>IF('Raw Data'!Q1251="",ROUND(AVERAGE('Raw Data'!$Q$2:$Q$1501),0),'Raw Data'!Q1251)</f>
        <v>0</v>
      </c>
      <c r="R1251" s="21">
        <f>'Raw Data'!R1251</f>
        <v>3</v>
      </c>
      <c r="S1251" s="21">
        <f>IF('Raw Data'!S1251="",ROUND(AVERAGE('Raw Data'!$S$2:$S$1501),0),'Raw Data'!S1251)</f>
        <v>4</v>
      </c>
      <c r="T1251" s="21">
        <f>'Raw Data'!T1251</f>
        <v>185.11</v>
      </c>
      <c r="U1251" s="21" t="str">
        <f>INDEX('Lookup Tables'!$C$7:$C$9,MATCH(E1251,'Lookup Tables'!$B$7:$B$9,0))</f>
        <v>Tier 1 (Metro)</v>
      </c>
      <c r="V1251" s="21" t="str">
        <f t="shared" si="57"/>
        <v>7-12 months</v>
      </c>
      <c r="W1251" s="21" t="str">
        <f t="shared" si="58"/>
        <v>Medium Risk</v>
      </c>
      <c r="X1251" s="21" t="str">
        <f t="shared" si="59"/>
        <v>No</v>
      </c>
    </row>
    <row r="1252" spans="1:24" x14ac:dyDescent="0.3">
      <c r="A1252" s="21">
        <f>'Raw Data'!A1252</f>
        <v>51251</v>
      </c>
      <c r="B1252" s="21">
        <f>'Raw Data'!B1252</f>
        <v>0</v>
      </c>
      <c r="C1252" s="21">
        <f>'Raw Data'!C1252</f>
        <v>7</v>
      </c>
      <c r="D1252" s="21" t="str">
        <f>'Raw Data'!D1252</f>
        <v>Computer</v>
      </c>
      <c r="E1252" s="21">
        <f>'Raw Data'!E1252</f>
        <v>1</v>
      </c>
      <c r="F1252" s="21">
        <f>IF('Raw Data'!F1252="",ROUND(AVERAGE('Raw Data'!$F$2:$F$1501),1),'Raw Data'!F1252)</f>
        <v>16</v>
      </c>
      <c r="G1252" s="21" t="str">
        <f>'Raw Data'!G1252</f>
        <v>Debit Card</v>
      </c>
      <c r="H1252" s="21" t="str">
        <f>'Raw Data'!H1252</f>
        <v>Male</v>
      </c>
      <c r="I1252" s="21">
        <f>IF('Raw Data'!I1252="",ROUND(AVERAGE('Raw Data'!$I$2:$I$1501),1),'Raw Data'!I1252)</f>
        <v>4.3</v>
      </c>
      <c r="J1252" s="21">
        <f>'Raw Data'!J1252</f>
        <v>4</v>
      </c>
      <c r="K1252" s="21" t="str">
        <f>'Raw Data'!K1252</f>
        <v>Grocery</v>
      </c>
      <c r="L1252" s="21">
        <f>'Raw Data'!L1252</f>
        <v>5</v>
      </c>
      <c r="M1252" s="21" t="str">
        <f>'Raw Data'!M1252</f>
        <v>Single</v>
      </c>
      <c r="N1252" s="21">
        <f>'Raw Data'!N1252</f>
        <v>8</v>
      </c>
      <c r="O1252" s="21">
        <f>'Raw Data'!O1252</f>
        <v>1</v>
      </c>
      <c r="P1252" s="21">
        <f>IF('Raw Data'!P1252="",ROUND(AVERAGE('Raw Data'!$P$2:$P$1501),1),'Raw Data'!P1252)</f>
        <v>15</v>
      </c>
      <c r="Q1252" s="21">
        <f>IF('Raw Data'!Q1252="",ROUND(AVERAGE('Raw Data'!$Q$2:$Q$1501),0),'Raw Data'!Q1252)</f>
        <v>3</v>
      </c>
      <c r="R1252" s="21">
        <f>'Raw Data'!R1252</f>
        <v>4</v>
      </c>
      <c r="S1252" s="21">
        <f>IF('Raw Data'!S1252="",ROUND(AVERAGE('Raw Data'!$S$2:$S$1501),0),'Raw Data'!S1252)</f>
        <v>0</v>
      </c>
      <c r="T1252" s="21">
        <f>'Raw Data'!T1252</f>
        <v>108.06</v>
      </c>
      <c r="U1252" s="21" t="str">
        <f>INDEX('Lookup Tables'!$C$7:$C$9,MATCH(E1252,'Lookup Tables'!$B$7:$B$9,0))</f>
        <v>Tier 1 (Metro)</v>
      </c>
      <c r="V1252" s="21" t="str">
        <f t="shared" si="57"/>
        <v>7-12 months</v>
      </c>
      <c r="W1252" s="21" t="str">
        <f t="shared" si="58"/>
        <v>Low Risk</v>
      </c>
      <c r="X1252" s="21" t="str">
        <f t="shared" si="59"/>
        <v>No</v>
      </c>
    </row>
    <row r="1253" spans="1:24" x14ac:dyDescent="0.3">
      <c r="A1253" s="21">
        <f>'Raw Data'!A1253</f>
        <v>51252</v>
      </c>
      <c r="B1253" s="21">
        <f>'Raw Data'!B1253</f>
        <v>0</v>
      </c>
      <c r="C1253" s="21">
        <f>'Raw Data'!C1253</f>
        <v>0</v>
      </c>
      <c r="D1253" s="21" t="str">
        <f>'Raw Data'!D1253</f>
        <v>Computer</v>
      </c>
      <c r="E1253" s="21">
        <f>'Raw Data'!E1253</f>
        <v>2</v>
      </c>
      <c r="F1253" s="21">
        <f>IF('Raw Data'!F1253="",ROUND(AVERAGE('Raw Data'!$F$2:$F$1501),1),'Raw Data'!F1253)</f>
        <v>32</v>
      </c>
      <c r="G1253" s="21" t="str">
        <f>'Raw Data'!G1253</f>
        <v>E wallet</v>
      </c>
      <c r="H1253" s="21" t="str">
        <f>'Raw Data'!H1253</f>
        <v>Male</v>
      </c>
      <c r="I1253" s="21">
        <f>IF('Raw Data'!I1253="",ROUND(AVERAGE('Raw Data'!$I$2:$I$1501),1),'Raw Data'!I1253)</f>
        <v>2.2000000000000002</v>
      </c>
      <c r="J1253" s="21">
        <f>'Raw Data'!J1253</f>
        <v>3</v>
      </c>
      <c r="K1253" s="21" t="str">
        <f>'Raw Data'!K1253</f>
        <v>Laptop &amp; Accessory</v>
      </c>
      <c r="L1253" s="21">
        <f>'Raw Data'!L1253</f>
        <v>2</v>
      </c>
      <c r="M1253" s="21" t="str">
        <f>'Raw Data'!M1253</f>
        <v>Married</v>
      </c>
      <c r="N1253" s="21">
        <f>'Raw Data'!N1253</f>
        <v>4</v>
      </c>
      <c r="O1253" s="21">
        <f>'Raw Data'!O1253</f>
        <v>0</v>
      </c>
      <c r="P1253" s="21">
        <f>IF('Raw Data'!P1253="",ROUND(AVERAGE('Raw Data'!$P$2:$P$1501),1),'Raw Data'!P1253)</f>
        <v>14.7</v>
      </c>
      <c r="Q1253" s="21">
        <f>IF('Raw Data'!Q1253="",ROUND(AVERAGE('Raw Data'!$Q$2:$Q$1501),0),'Raw Data'!Q1253)</f>
        <v>1</v>
      </c>
      <c r="R1253" s="21">
        <f>'Raw Data'!R1253</f>
        <v>2</v>
      </c>
      <c r="S1253" s="21">
        <f>IF('Raw Data'!S1253="",ROUND(AVERAGE('Raw Data'!$S$2:$S$1501),0),'Raw Data'!S1253)</f>
        <v>2</v>
      </c>
      <c r="T1253" s="21">
        <f>'Raw Data'!T1253</f>
        <v>172.08</v>
      </c>
      <c r="U1253" s="21" t="str">
        <f>INDEX('Lookup Tables'!$C$7:$C$9,MATCH(E1253,'Lookup Tables'!$B$7:$B$9,0))</f>
        <v>Tier 2 (Urban)</v>
      </c>
      <c r="V1253" s="21" t="str">
        <f t="shared" si="57"/>
        <v>0-6 months</v>
      </c>
      <c r="W1253" s="21" t="str">
        <f t="shared" si="58"/>
        <v>Low Risk</v>
      </c>
      <c r="X1253" s="21" t="str">
        <f t="shared" si="59"/>
        <v>No</v>
      </c>
    </row>
    <row r="1254" spans="1:24" x14ac:dyDescent="0.3">
      <c r="A1254" s="21">
        <f>'Raw Data'!A1254</f>
        <v>51253</v>
      </c>
      <c r="B1254" s="21">
        <f>'Raw Data'!B1254</f>
        <v>0</v>
      </c>
      <c r="C1254" s="21">
        <f>'Raw Data'!C1254</f>
        <v>6</v>
      </c>
      <c r="D1254" s="21" t="str">
        <f>'Raw Data'!D1254</f>
        <v>Mobile Phone</v>
      </c>
      <c r="E1254" s="21">
        <f>'Raw Data'!E1254</f>
        <v>3</v>
      </c>
      <c r="F1254" s="21">
        <f>IF('Raw Data'!F1254="",ROUND(AVERAGE('Raw Data'!$F$2:$F$1501),1),'Raw Data'!F1254)</f>
        <v>18</v>
      </c>
      <c r="G1254" s="21" t="str">
        <f>'Raw Data'!G1254</f>
        <v>Credit Card</v>
      </c>
      <c r="H1254" s="21" t="str">
        <f>'Raw Data'!H1254</f>
        <v>Male</v>
      </c>
      <c r="I1254" s="21">
        <f>IF('Raw Data'!I1254="",ROUND(AVERAGE('Raw Data'!$I$2:$I$1501),1),'Raw Data'!I1254)</f>
        <v>2.4</v>
      </c>
      <c r="J1254" s="21">
        <f>'Raw Data'!J1254</f>
        <v>1</v>
      </c>
      <c r="K1254" s="21" t="str">
        <f>'Raw Data'!K1254</f>
        <v>Grocery</v>
      </c>
      <c r="L1254" s="21">
        <f>'Raw Data'!L1254</f>
        <v>4</v>
      </c>
      <c r="M1254" s="21" t="str">
        <f>'Raw Data'!M1254</f>
        <v>Single</v>
      </c>
      <c r="N1254" s="21">
        <f>'Raw Data'!N1254</f>
        <v>12</v>
      </c>
      <c r="O1254" s="21">
        <f>'Raw Data'!O1254</f>
        <v>0</v>
      </c>
      <c r="P1254" s="21">
        <f>IF('Raw Data'!P1254="",ROUND(AVERAGE('Raw Data'!$P$2:$P$1501),1),'Raw Data'!P1254)</f>
        <v>23.4</v>
      </c>
      <c r="Q1254" s="21">
        <f>IF('Raw Data'!Q1254="",ROUND(AVERAGE('Raw Data'!$Q$2:$Q$1501),0),'Raw Data'!Q1254)</f>
        <v>1</v>
      </c>
      <c r="R1254" s="21">
        <f>'Raw Data'!R1254</f>
        <v>1</v>
      </c>
      <c r="S1254" s="21">
        <f>IF('Raw Data'!S1254="",ROUND(AVERAGE('Raw Data'!$S$2:$S$1501),0),'Raw Data'!S1254)</f>
        <v>2</v>
      </c>
      <c r="T1254" s="21">
        <f>'Raw Data'!T1254</f>
        <v>149.02000000000001</v>
      </c>
      <c r="U1254" s="21" t="str">
        <f>INDEX('Lookup Tables'!$C$7:$C$9,MATCH(E1254,'Lookup Tables'!$B$7:$B$9,0))</f>
        <v>Tier 3 (Semi-urban/Rural)</v>
      </c>
      <c r="V1254" s="21" t="str">
        <f t="shared" si="57"/>
        <v>0-6 months</v>
      </c>
      <c r="W1254" s="21" t="str">
        <f t="shared" si="58"/>
        <v>Low Risk</v>
      </c>
      <c r="X1254" s="21" t="str">
        <f t="shared" si="59"/>
        <v>No</v>
      </c>
    </row>
    <row r="1255" spans="1:24" x14ac:dyDescent="0.3">
      <c r="A1255" s="21">
        <f>'Raw Data'!A1255</f>
        <v>51254</v>
      </c>
      <c r="B1255" s="21">
        <f>'Raw Data'!B1255</f>
        <v>1</v>
      </c>
      <c r="C1255" s="21">
        <f>'Raw Data'!C1255</f>
        <v>6</v>
      </c>
      <c r="D1255" s="21" t="str">
        <f>'Raw Data'!D1255</f>
        <v>Mobile Phone</v>
      </c>
      <c r="E1255" s="21">
        <f>'Raw Data'!E1255</f>
        <v>1</v>
      </c>
      <c r="F1255" s="21">
        <f>IF('Raw Data'!F1255="",ROUND(AVERAGE('Raw Data'!$F$2:$F$1501),1),'Raw Data'!F1255)</f>
        <v>14</v>
      </c>
      <c r="G1255" s="21" t="str">
        <f>'Raw Data'!G1255</f>
        <v>UPI</v>
      </c>
      <c r="H1255" s="21" t="str">
        <f>'Raw Data'!H1255</f>
        <v>Male</v>
      </c>
      <c r="I1255" s="21">
        <f>IF('Raw Data'!I1255="",ROUND(AVERAGE('Raw Data'!$I$2:$I$1501),1),'Raw Data'!I1255)</f>
        <v>2.4</v>
      </c>
      <c r="J1255" s="21">
        <f>'Raw Data'!J1255</f>
        <v>3</v>
      </c>
      <c r="K1255" s="21" t="str">
        <f>'Raw Data'!K1255</f>
        <v>Laptop &amp; Accessory</v>
      </c>
      <c r="L1255" s="21">
        <f>'Raw Data'!L1255</f>
        <v>2</v>
      </c>
      <c r="M1255" s="21" t="str">
        <f>'Raw Data'!M1255</f>
        <v>Single</v>
      </c>
      <c r="N1255" s="21">
        <f>'Raw Data'!N1255</f>
        <v>3</v>
      </c>
      <c r="O1255" s="21">
        <f>'Raw Data'!O1255</f>
        <v>0</v>
      </c>
      <c r="P1255" s="21">
        <f>IF('Raw Data'!P1255="",ROUND(AVERAGE('Raw Data'!$P$2:$P$1501),1),'Raw Data'!P1255)</f>
        <v>17.8</v>
      </c>
      <c r="Q1255" s="21">
        <f>IF('Raw Data'!Q1255="",ROUND(AVERAGE('Raw Data'!$Q$2:$Q$1501),0),'Raw Data'!Q1255)</f>
        <v>1</v>
      </c>
      <c r="R1255" s="21">
        <f>'Raw Data'!R1255</f>
        <v>3</v>
      </c>
      <c r="S1255" s="21">
        <f>IF('Raw Data'!S1255="",ROUND(AVERAGE('Raw Data'!$S$2:$S$1501),0),'Raw Data'!S1255)</f>
        <v>13</v>
      </c>
      <c r="T1255" s="21">
        <f>'Raw Data'!T1255</f>
        <v>112.81</v>
      </c>
      <c r="U1255" s="21" t="str">
        <f>INDEX('Lookup Tables'!$C$7:$C$9,MATCH(E1255,'Lookup Tables'!$B$7:$B$9,0))</f>
        <v>Tier 1 (Metro)</v>
      </c>
      <c r="V1255" s="21" t="str">
        <f t="shared" si="57"/>
        <v>0-6 months</v>
      </c>
      <c r="W1255" s="21" t="str">
        <f t="shared" si="58"/>
        <v>Low Risk</v>
      </c>
      <c r="X1255" s="21" t="str">
        <f t="shared" si="59"/>
        <v>Yes</v>
      </c>
    </row>
    <row r="1256" spans="1:24" x14ac:dyDescent="0.3">
      <c r="A1256" s="21">
        <f>'Raw Data'!A1256</f>
        <v>51255</v>
      </c>
      <c r="B1256" s="21">
        <f>'Raw Data'!B1256</f>
        <v>0</v>
      </c>
      <c r="C1256" s="21">
        <f>'Raw Data'!C1256</f>
        <v>1</v>
      </c>
      <c r="D1256" s="21" t="str">
        <f>'Raw Data'!D1256</f>
        <v>Phone</v>
      </c>
      <c r="E1256" s="21">
        <f>'Raw Data'!E1256</f>
        <v>2</v>
      </c>
      <c r="F1256" s="21">
        <f>IF('Raw Data'!F1256="",ROUND(AVERAGE('Raw Data'!$F$2:$F$1501),1),'Raw Data'!F1256)</f>
        <v>23</v>
      </c>
      <c r="G1256" s="21" t="str">
        <f>'Raw Data'!G1256</f>
        <v>Debit Card</v>
      </c>
      <c r="H1256" s="21" t="str">
        <f>'Raw Data'!H1256</f>
        <v>Male</v>
      </c>
      <c r="I1256" s="21">
        <f>IF('Raw Data'!I1256="",ROUND(AVERAGE('Raw Data'!$I$2:$I$1501),1),'Raw Data'!I1256)</f>
        <v>3</v>
      </c>
      <c r="J1256" s="21">
        <f>'Raw Data'!J1256</f>
        <v>3</v>
      </c>
      <c r="K1256" s="21" t="str">
        <f>'Raw Data'!K1256</f>
        <v>Laptop &amp; Accessory</v>
      </c>
      <c r="L1256" s="21">
        <f>'Raw Data'!L1256</f>
        <v>4</v>
      </c>
      <c r="M1256" s="21" t="str">
        <f>'Raw Data'!M1256</f>
        <v>Single</v>
      </c>
      <c r="N1256" s="21">
        <f>'Raw Data'!N1256</f>
        <v>11</v>
      </c>
      <c r="O1256" s="21">
        <f>'Raw Data'!O1256</f>
        <v>1</v>
      </c>
      <c r="P1256" s="21">
        <f>IF('Raw Data'!P1256="",ROUND(AVERAGE('Raw Data'!$P$2:$P$1501),1),'Raw Data'!P1256)</f>
        <v>19.2</v>
      </c>
      <c r="Q1256" s="21">
        <f>IF('Raw Data'!Q1256="",ROUND(AVERAGE('Raw Data'!$Q$2:$Q$1501),0),'Raw Data'!Q1256)</f>
        <v>2</v>
      </c>
      <c r="R1256" s="21">
        <f>'Raw Data'!R1256</f>
        <v>4</v>
      </c>
      <c r="S1256" s="21">
        <f>IF('Raw Data'!S1256="",ROUND(AVERAGE('Raw Data'!$S$2:$S$1501),0),'Raw Data'!S1256)</f>
        <v>5</v>
      </c>
      <c r="T1256" s="21">
        <f>'Raw Data'!T1256</f>
        <v>223.47</v>
      </c>
      <c r="U1256" s="21" t="str">
        <f>INDEX('Lookup Tables'!$C$7:$C$9,MATCH(E1256,'Lookup Tables'!$B$7:$B$9,0))</f>
        <v>Tier 2 (Urban)</v>
      </c>
      <c r="V1256" s="21" t="str">
        <f t="shared" si="57"/>
        <v>0-6 months</v>
      </c>
      <c r="W1256" s="21" t="str">
        <f t="shared" si="58"/>
        <v>Low Risk</v>
      </c>
      <c r="X1256" s="21" t="str">
        <f t="shared" si="59"/>
        <v>No</v>
      </c>
    </row>
    <row r="1257" spans="1:24" x14ac:dyDescent="0.3">
      <c r="A1257" s="21">
        <f>'Raw Data'!A1257</f>
        <v>51256</v>
      </c>
      <c r="B1257" s="21">
        <f>'Raw Data'!B1257</f>
        <v>0</v>
      </c>
      <c r="C1257" s="21">
        <f>'Raw Data'!C1257</f>
        <v>29</v>
      </c>
      <c r="D1257" s="21" t="str">
        <f>'Raw Data'!D1257</f>
        <v>Mobile Phone</v>
      </c>
      <c r="E1257" s="21">
        <f>'Raw Data'!E1257</f>
        <v>2</v>
      </c>
      <c r="F1257" s="21">
        <f>IF('Raw Data'!F1257="",ROUND(AVERAGE('Raw Data'!$F$2:$F$1501),1),'Raw Data'!F1257)</f>
        <v>16</v>
      </c>
      <c r="G1257" s="21" t="str">
        <f>'Raw Data'!G1257</f>
        <v>UPI</v>
      </c>
      <c r="H1257" s="21" t="str">
        <f>'Raw Data'!H1257</f>
        <v>Male</v>
      </c>
      <c r="I1257" s="21">
        <f>IF('Raw Data'!I1257="",ROUND(AVERAGE('Raw Data'!$I$2:$I$1501),1),'Raw Data'!I1257)</f>
        <v>2.2000000000000002</v>
      </c>
      <c r="J1257" s="21">
        <f>'Raw Data'!J1257</f>
        <v>4</v>
      </c>
      <c r="K1257" s="21" t="str">
        <f>'Raw Data'!K1257</f>
        <v>Mobile Phone</v>
      </c>
      <c r="L1257" s="21">
        <f>'Raw Data'!L1257</f>
        <v>4</v>
      </c>
      <c r="M1257" s="21" t="str">
        <f>'Raw Data'!M1257</f>
        <v>Single</v>
      </c>
      <c r="N1257" s="21">
        <f>'Raw Data'!N1257</f>
        <v>1</v>
      </c>
      <c r="O1257" s="21">
        <f>'Raw Data'!O1257</f>
        <v>0</v>
      </c>
      <c r="P1257" s="21">
        <f>IF('Raw Data'!P1257="",ROUND(AVERAGE('Raw Data'!$P$2:$P$1501),1),'Raw Data'!P1257)</f>
        <v>20.7</v>
      </c>
      <c r="Q1257" s="21">
        <f>IF('Raw Data'!Q1257="",ROUND(AVERAGE('Raw Data'!$Q$2:$Q$1501),0),'Raw Data'!Q1257)</f>
        <v>0</v>
      </c>
      <c r="R1257" s="21">
        <f>'Raw Data'!R1257</f>
        <v>7</v>
      </c>
      <c r="S1257" s="21">
        <f>IF('Raw Data'!S1257="",ROUND(AVERAGE('Raw Data'!$S$2:$S$1501),0),'Raw Data'!S1257)</f>
        <v>10</v>
      </c>
      <c r="T1257" s="21">
        <f>'Raw Data'!T1257</f>
        <v>226.56</v>
      </c>
      <c r="U1257" s="21" t="str">
        <f>INDEX('Lookup Tables'!$C$7:$C$9,MATCH(E1257,'Lookup Tables'!$B$7:$B$9,0))</f>
        <v>Tier 2 (Urban)</v>
      </c>
      <c r="V1257" s="21" t="str">
        <f t="shared" si="57"/>
        <v>25+ months</v>
      </c>
      <c r="W1257" s="21" t="str">
        <f t="shared" si="58"/>
        <v>Low Risk</v>
      </c>
      <c r="X1257" s="21" t="str">
        <f t="shared" si="59"/>
        <v>No</v>
      </c>
    </row>
    <row r="1258" spans="1:24" x14ac:dyDescent="0.3">
      <c r="A1258" s="21">
        <f>'Raw Data'!A1258</f>
        <v>51257</v>
      </c>
      <c r="B1258" s="21">
        <f>'Raw Data'!B1258</f>
        <v>0</v>
      </c>
      <c r="C1258" s="21">
        <f>'Raw Data'!C1258</f>
        <v>18</v>
      </c>
      <c r="D1258" s="21" t="str">
        <f>'Raw Data'!D1258</f>
        <v>Computer</v>
      </c>
      <c r="E1258" s="21">
        <f>'Raw Data'!E1258</f>
        <v>1</v>
      </c>
      <c r="F1258" s="21">
        <f>IF('Raw Data'!F1258="",ROUND(AVERAGE('Raw Data'!$F$2:$F$1501),1),'Raw Data'!F1258)</f>
        <v>16</v>
      </c>
      <c r="G1258" s="21" t="str">
        <f>'Raw Data'!G1258</f>
        <v>E wallet</v>
      </c>
      <c r="H1258" s="21" t="str">
        <f>'Raw Data'!H1258</f>
        <v>Male</v>
      </c>
      <c r="I1258" s="21">
        <f>IF('Raw Data'!I1258="",ROUND(AVERAGE('Raw Data'!$I$2:$I$1501),1),'Raw Data'!I1258)</f>
        <v>3.2</v>
      </c>
      <c r="J1258" s="21">
        <f>'Raw Data'!J1258</f>
        <v>3</v>
      </c>
      <c r="K1258" s="21" t="str">
        <f>'Raw Data'!K1258</f>
        <v>Laptop &amp; Accessory</v>
      </c>
      <c r="L1258" s="21">
        <f>'Raw Data'!L1258</f>
        <v>2</v>
      </c>
      <c r="M1258" s="21" t="str">
        <f>'Raw Data'!M1258</f>
        <v>Married</v>
      </c>
      <c r="N1258" s="21">
        <f>'Raw Data'!N1258</f>
        <v>1</v>
      </c>
      <c r="O1258" s="21">
        <f>'Raw Data'!O1258</f>
        <v>0</v>
      </c>
      <c r="P1258" s="21">
        <f>IF('Raw Data'!P1258="",ROUND(AVERAGE('Raw Data'!$P$2:$P$1501),1),'Raw Data'!P1258)</f>
        <v>13.7</v>
      </c>
      <c r="Q1258" s="21">
        <f>IF('Raw Data'!Q1258="",ROUND(AVERAGE('Raw Data'!$Q$2:$Q$1501),0),'Raw Data'!Q1258)</f>
        <v>1</v>
      </c>
      <c r="R1258" s="21">
        <f>'Raw Data'!R1258</f>
        <v>2</v>
      </c>
      <c r="S1258" s="21">
        <f>IF('Raw Data'!S1258="",ROUND(AVERAGE('Raw Data'!$S$2:$S$1501),0),'Raw Data'!S1258)</f>
        <v>7</v>
      </c>
      <c r="T1258" s="21">
        <f>'Raw Data'!T1258</f>
        <v>126.68</v>
      </c>
      <c r="U1258" s="21" t="str">
        <f>INDEX('Lookup Tables'!$C$7:$C$9,MATCH(E1258,'Lookup Tables'!$B$7:$B$9,0))</f>
        <v>Tier 1 (Metro)</v>
      </c>
      <c r="V1258" s="21" t="str">
        <f t="shared" si="57"/>
        <v>13-24 months</v>
      </c>
      <c r="W1258" s="21" t="str">
        <f t="shared" si="58"/>
        <v>Low Risk</v>
      </c>
      <c r="X1258" s="21" t="str">
        <f t="shared" si="59"/>
        <v>No</v>
      </c>
    </row>
    <row r="1259" spans="1:24" x14ac:dyDescent="0.3">
      <c r="A1259" s="21">
        <f>'Raw Data'!A1259</f>
        <v>51258</v>
      </c>
      <c r="B1259" s="21">
        <f>'Raw Data'!B1259</f>
        <v>0</v>
      </c>
      <c r="C1259" s="21">
        <f>'Raw Data'!C1259</f>
        <v>11</v>
      </c>
      <c r="D1259" s="21" t="str">
        <f>'Raw Data'!D1259</f>
        <v>Mobile Phone</v>
      </c>
      <c r="E1259" s="21">
        <f>'Raw Data'!E1259</f>
        <v>2</v>
      </c>
      <c r="F1259" s="21">
        <f>IF('Raw Data'!F1259="",ROUND(AVERAGE('Raw Data'!$F$2:$F$1501),1),'Raw Data'!F1259)</f>
        <v>6</v>
      </c>
      <c r="G1259" s="21" t="str">
        <f>'Raw Data'!G1259</f>
        <v>Debit Card</v>
      </c>
      <c r="H1259" s="21" t="str">
        <f>'Raw Data'!H1259</f>
        <v>Female</v>
      </c>
      <c r="I1259" s="21">
        <f>IF('Raw Data'!I1259="",ROUND(AVERAGE('Raw Data'!$I$2:$I$1501),1),'Raw Data'!I1259)</f>
        <v>3.5</v>
      </c>
      <c r="J1259" s="21">
        <f>'Raw Data'!J1259</f>
        <v>4</v>
      </c>
      <c r="K1259" s="21" t="str">
        <f>'Raw Data'!K1259</f>
        <v>Fashion</v>
      </c>
      <c r="L1259" s="21">
        <f>'Raw Data'!L1259</f>
        <v>3</v>
      </c>
      <c r="M1259" s="21" t="str">
        <f>'Raw Data'!M1259</f>
        <v>Married</v>
      </c>
      <c r="N1259" s="21">
        <f>'Raw Data'!N1259</f>
        <v>3</v>
      </c>
      <c r="O1259" s="21">
        <f>'Raw Data'!O1259</f>
        <v>0</v>
      </c>
      <c r="P1259" s="21">
        <f>IF('Raw Data'!P1259="",ROUND(AVERAGE('Raw Data'!$P$2:$P$1501),1),'Raw Data'!P1259)</f>
        <v>20.399999999999999</v>
      </c>
      <c r="Q1259" s="21">
        <f>IF('Raw Data'!Q1259="",ROUND(AVERAGE('Raw Data'!$Q$2:$Q$1501),0),'Raw Data'!Q1259)</f>
        <v>0</v>
      </c>
      <c r="R1259" s="21">
        <f>'Raw Data'!R1259</f>
        <v>3</v>
      </c>
      <c r="S1259" s="21">
        <f>IF('Raw Data'!S1259="",ROUND(AVERAGE('Raw Data'!$S$2:$S$1501),0),'Raw Data'!S1259)</f>
        <v>1</v>
      </c>
      <c r="T1259" s="21">
        <f>'Raw Data'!T1259</f>
        <v>168.11</v>
      </c>
      <c r="U1259" s="21" t="str">
        <f>INDEX('Lookup Tables'!$C$7:$C$9,MATCH(E1259,'Lookup Tables'!$B$7:$B$9,0))</f>
        <v>Tier 2 (Urban)</v>
      </c>
      <c r="V1259" s="21" t="str">
        <f t="shared" si="57"/>
        <v>7-12 months</v>
      </c>
      <c r="W1259" s="21" t="str">
        <f t="shared" si="58"/>
        <v>Medium Risk</v>
      </c>
      <c r="X1259" s="21" t="str">
        <f t="shared" si="59"/>
        <v>No</v>
      </c>
    </row>
    <row r="1260" spans="1:24" x14ac:dyDescent="0.3">
      <c r="A1260" s="21">
        <f>'Raw Data'!A1260</f>
        <v>51259</v>
      </c>
      <c r="B1260" s="21">
        <f>'Raw Data'!B1260</f>
        <v>0</v>
      </c>
      <c r="C1260" s="21">
        <f>'Raw Data'!C1260</f>
        <v>6</v>
      </c>
      <c r="D1260" s="21" t="str">
        <f>'Raw Data'!D1260</f>
        <v>Mobile Phone</v>
      </c>
      <c r="E1260" s="21">
        <f>'Raw Data'!E1260</f>
        <v>1</v>
      </c>
      <c r="F1260" s="21">
        <f>IF('Raw Data'!F1260="",ROUND(AVERAGE('Raw Data'!$F$2:$F$1501),1),'Raw Data'!F1260)</f>
        <v>16</v>
      </c>
      <c r="G1260" s="21" t="str">
        <f>'Raw Data'!G1260</f>
        <v>E wallet</v>
      </c>
      <c r="H1260" s="21" t="str">
        <f>'Raw Data'!H1260</f>
        <v>Male</v>
      </c>
      <c r="I1260" s="21">
        <f>IF('Raw Data'!I1260="",ROUND(AVERAGE('Raw Data'!$I$2:$I$1501),1),'Raw Data'!I1260)</f>
        <v>3.3</v>
      </c>
      <c r="J1260" s="21">
        <f>'Raw Data'!J1260</f>
        <v>3</v>
      </c>
      <c r="K1260" s="21" t="str">
        <f>'Raw Data'!K1260</f>
        <v>Fashion</v>
      </c>
      <c r="L1260" s="21">
        <f>'Raw Data'!L1260</f>
        <v>4</v>
      </c>
      <c r="M1260" s="21" t="str">
        <f>'Raw Data'!M1260</f>
        <v>Married</v>
      </c>
      <c r="N1260" s="21">
        <f>'Raw Data'!N1260</f>
        <v>14</v>
      </c>
      <c r="O1260" s="21">
        <f>'Raw Data'!O1260</f>
        <v>0</v>
      </c>
      <c r="P1260" s="21">
        <f>IF('Raw Data'!P1260="",ROUND(AVERAGE('Raw Data'!$P$2:$P$1501),1),'Raw Data'!P1260)</f>
        <v>14.2</v>
      </c>
      <c r="Q1260" s="21">
        <f>IF('Raw Data'!Q1260="",ROUND(AVERAGE('Raw Data'!$Q$2:$Q$1501),0),'Raw Data'!Q1260)</f>
        <v>5</v>
      </c>
      <c r="R1260" s="21">
        <f>'Raw Data'!R1260</f>
        <v>5</v>
      </c>
      <c r="S1260" s="21">
        <f>IF('Raw Data'!S1260="",ROUND(AVERAGE('Raw Data'!$S$2:$S$1501),0),'Raw Data'!S1260)</f>
        <v>6</v>
      </c>
      <c r="T1260" s="21">
        <f>'Raw Data'!T1260</f>
        <v>182.44</v>
      </c>
      <c r="U1260" s="21" t="str">
        <f>INDEX('Lookup Tables'!$C$7:$C$9,MATCH(E1260,'Lookup Tables'!$B$7:$B$9,0))</f>
        <v>Tier 1 (Metro)</v>
      </c>
      <c r="V1260" s="21" t="str">
        <f t="shared" si="57"/>
        <v>0-6 months</v>
      </c>
      <c r="W1260" s="21" t="str">
        <f t="shared" si="58"/>
        <v>Low Risk</v>
      </c>
      <c r="X1260" s="21" t="str">
        <f t="shared" si="59"/>
        <v>No</v>
      </c>
    </row>
    <row r="1261" spans="1:24" x14ac:dyDescent="0.3">
      <c r="A1261" s="21">
        <f>'Raw Data'!A1261</f>
        <v>51260</v>
      </c>
      <c r="B1261" s="21">
        <f>'Raw Data'!B1261</f>
        <v>0</v>
      </c>
      <c r="C1261" s="21">
        <f>'Raw Data'!C1261</f>
        <v>5</v>
      </c>
      <c r="D1261" s="21" t="str">
        <f>'Raw Data'!D1261</f>
        <v>Mobile Phone</v>
      </c>
      <c r="E1261" s="21">
        <f>'Raw Data'!E1261</f>
        <v>1</v>
      </c>
      <c r="F1261" s="21">
        <f>IF('Raw Data'!F1261="",ROUND(AVERAGE('Raw Data'!$F$2:$F$1501),1),'Raw Data'!F1261)</f>
        <v>23</v>
      </c>
      <c r="G1261" s="21" t="str">
        <f>'Raw Data'!G1261</f>
        <v>Credit Card</v>
      </c>
      <c r="H1261" s="21" t="str">
        <f>'Raw Data'!H1261</f>
        <v>Male</v>
      </c>
      <c r="I1261" s="21">
        <f>IF('Raw Data'!I1261="",ROUND(AVERAGE('Raw Data'!$I$2:$I$1501),1),'Raw Data'!I1261)</f>
        <v>1.7</v>
      </c>
      <c r="J1261" s="21">
        <f>'Raw Data'!J1261</f>
        <v>3</v>
      </c>
      <c r="K1261" s="21" t="str">
        <f>'Raw Data'!K1261</f>
        <v>Others</v>
      </c>
      <c r="L1261" s="21">
        <f>'Raw Data'!L1261</f>
        <v>4</v>
      </c>
      <c r="M1261" s="21" t="str">
        <f>'Raw Data'!M1261</f>
        <v>Single</v>
      </c>
      <c r="N1261" s="21">
        <f>'Raw Data'!N1261</f>
        <v>1</v>
      </c>
      <c r="O1261" s="21">
        <f>'Raw Data'!O1261</f>
        <v>0</v>
      </c>
      <c r="P1261" s="21">
        <f>IF('Raw Data'!P1261="",ROUND(AVERAGE('Raw Data'!$P$2:$P$1501),1),'Raw Data'!P1261)</f>
        <v>14.1</v>
      </c>
      <c r="Q1261" s="21">
        <f>IF('Raw Data'!Q1261="",ROUND(AVERAGE('Raw Data'!$Q$2:$Q$1501),0),'Raw Data'!Q1261)</f>
        <v>1</v>
      </c>
      <c r="R1261" s="21">
        <f>'Raw Data'!R1261</f>
        <v>4</v>
      </c>
      <c r="S1261" s="21">
        <f>IF('Raw Data'!S1261="",ROUND(AVERAGE('Raw Data'!$S$2:$S$1501),0),'Raw Data'!S1261)</f>
        <v>1</v>
      </c>
      <c r="T1261" s="21">
        <f>'Raw Data'!T1261</f>
        <v>80.19</v>
      </c>
      <c r="U1261" s="21" t="str">
        <f>INDEX('Lookup Tables'!$C$7:$C$9,MATCH(E1261,'Lookup Tables'!$B$7:$B$9,0))</f>
        <v>Tier 1 (Metro)</v>
      </c>
      <c r="V1261" s="21" t="str">
        <f t="shared" si="57"/>
        <v>0-6 months</v>
      </c>
      <c r="W1261" s="21" t="str">
        <f t="shared" si="58"/>
        <v>Low Risk</v>
      </c>
      <c r="X1261" s="21" t="str">
        <f t="shared" si="59"/>
        <v>No</v>
      </c>
    </row>
    <row r="1262" spans="1:24" x14ac:dyDescent="0.3">
      <c r="A1262" s="21">
        <f>'Raw Data'!A1262</f>
        <v>51261</v>
      </c>
      <c r="B1262" s="21">
        <f>'Raw Data'!B1262</f>
        <v>0</v>
      </c>
      <c r="C1262" s="21">
        <f>'Raw Data'!C1262</f>
        <v>10</v>
      </c>
      <c r="D1262" s="21" t="str">
        <f>'Raw Data'!D1262</f>
        <v>Phone</v>
      </c>
      <c r="E1262" s="21">
        <f>'Raw Data'!E1262</f>
        <v>1</v>
      </c>
      <c r="F1262" s="21">
        <f>IF('Raw Data'!F1262="",ROUND(AVERAGE('Raw Data'!$F$2:$F$1501),1),'Raw Data'!F1262)</f>
        <v>8</v>
      </c>
      <c r="G1262" s="21" t="str">
        <f>'Raw Data'!G1262</f>
        <v>Cash on Delivery</v>
      </c>
      <c r="H1262" s="21" t="str">
        <f>'Raw Data'!H1262</f>
        <v>Male</v>
      </c>
      <c r="I1262" s="21">
        <f>IF('Raw Data'!I1262="",ROUND(AVERAGE('Raw Data'!$I$2:$I$1501),1),'Raw Data'!I1262)</f>
        <v>3.6</v>
      </c>
      <c r="J1262" s="21">
        <f>'Raw Data'!J1262</f>
        <v>4</v>
      </c>
      <c r="K1262" s="21" t="str">
        <f>'Raw Data'!K1262</f>
        <v>Grocery</v>
      </c>
      <c r="L1262" s="21">
        <f>'Raw Data'!L1262</f>
        <v>3</v>
      </c>
      <c r="M1262" s="21" t="str">
        <f>'Raw Data'!M1262</f>
        <v>Single</v>
      </c>
      <c r="N1262" s="21">
        <f>'Raw Data'!N1262</f>
        <v>1</v>
      </c>
      <c r="O1262" s="21">
        <f>'Raw Data'!O1262</f>
        <v>0</v>
      </c>
      <c r="P1262" s="21">
        <f>IF('Raw Data'!P1262="",ROUND(AVERAGE('Raw Data'!$P$2:$P$1501),1),'Raw Data'!P1262)</f>
        <v>15</v>
      </c>
      <c r="Q1262" s="21">
        <f>IF('Raw Data'!Q1262="",ROUND(AVERAGE('Raw Data'!$Q$2:$Q$1501),0),'Raw Data'!Q1262)</f>
        <v>2</v>
      </c>
      <c r="R1262" s="21">
        <f>'Raw Data'!R1262</f>
        <v>7</v>
      </c>
      <c r="S1262" s="21">
        <f>IF('Raw Data'!S1262="",ROUND(AVERAGE('Raw Data'!$S$2:$S$1501),0),'Raw Data'!S1262)</f>
        <v>2</v>
      </c>
      <c r="T1262" s="21">
        <f>'Raw Data'!T1262</f>
        <v>103.16</v>
      </c>
      <c r="U1262" s="21" t="str">
        <f>INDEX('Lookup Tables'!$C$7:$C$9,MATCH(E1262,'Lookup Tables'!$B$7:$B$9,0))</f>
        <v>Tier 1 (Metro)</v>
      </c>
      <c r="V1262" s="21" t="str">
        <f t="shared" si="57"/>
        <v>7-12 months</v>
      </c>
      <c r="W1262" s="21" t="str">
        <f t="shared" si="58"/>
        <v>Medium Risk</v>
      </c>
      <c r="X1262" s="21" t="str">
        <f t="shared" si="59"/>
        <v>No</v>
      </c>
    </row>
    <row r="1263" spans="1:24" x14ac:dyDescent="0.3">
      <c r="A1263" s="21">
        <f>'Raw Data'!A1263</f>
        <v>51262</v>
      </c>
      <c r="B1263" s="21">
        <f>'Raw Data'!B1263</f>
        <v>0</v>
      </c>
      <c r="C1263" s="21">
        <f>'Raw Data'!C1263</f>
        <v>7</v>
      </c>
      <c r="D1263" s="21" t="str">
        <f>'Raw Data'!D1263</f>
        <v>Mobile Phone</v>
      </c>
      <c r="E1263" s="21">
        <f>'Raw Data'!E1263</f>
        <v>1</v>
      </c>
      <c r="F1263" s="21">
        <f>IF('Raw Data'!F1263="",ROUND(AVERAGE('Raw Data'!$F$2:$F$1501),1),'Raw Data'!F1263)</f>
        <v>26</v>
      </c>
      <c r="G1263" s="21" t="str">
        <f>'Raw Data'!G1263</f>
        <v>Debit Card</v>
      </c>
      <c r="H1263" s="21" t="str">
        <f>'Raw Data'!H1263</f>
        <v>Male</v>
      </c>
      <c r="I1263" s="21">
        <f>IF('Raw Data'!I1263="",ROUND(AVERAGE('Raw Data'!$I$2:$I$1501),1),'Raw Data'!I1263)</f>
        <v>3.6</v>
      </c>
      <c r="J1263" s="21">
        <f>'Raw Data'!J1263</f>
        <v>3</v>
      </c>
      <c r="K1263" s="21" t="str">
        <f>'Raw Data'!K1263</f>
        <v>Laptop &amp; Accessory</v>
      </c>
      <c r="L1263" s="21">
        <f>'Raw Data'!L1263</f>
        <v>5</v>
      </c>
      <c r="M1263" s="21" t="str">
        <f>'Raw Data'!M1263</f>
        <v>Single</v>
      </c>
      <c r="N1263" s="21">
        <f>'Raw Data'!N1263</f>
        <v>2</v>
      </c>
      <c r="O1263" s="21">
        <f>'Raw Data'!O1263</f>
        <v>0</v>
      </c>
      <c r="P1263" s="21">
        <f>IF('Raw Data'!P1263="",ROUND(AVERAGE('Raw Data'!$P$2:$P$1501),1),'Raw Data'!P1263)</f>
        <v>13.8</v>
      </c>
      <c r="Q1263" s="21">
        <f>IF('Raw Data'!Q1263="",ROUND(AVERAGE('Raw Data'!$Q$2:$Q$1501),0),'Raw Data'!Q1263)</f>
        <v>1</v>
      </c>
      <c r="R1263" s="21">
        <f>'Raw Data'!R1263</f>
        <v>3</v>
      </c>
      <c r="S1263" s="21">
        <f>IF('Raw Data'!S1263="",ROUND(AVERAGE('Raw Data'!$S$2:$S$1501),0),'Raw Data'!S1263)</f>
        <v>8</v>
      </c>
      <c r="T1263" s="21">
        <f>'Raw Data'!T1263</f>
        <v>250.75</v>
      </c>
      <c r="U1263" s="21" t="str">
        <f>INDEX('Lookup Tables'!$C$7:$C$9,MATCH(E1263,'Lookup Tables'!$B$7:$B$9,0))</f>
        <v>Tier 1 (Metro)</v>
      </c>
      <c r="V1263" s="21" t="str">
        <f t="shared" si="57"/>
        <v>7-12 months</v>
      </c>
      <c r="W1263" s="21" t="str">
        <f t="shared" si="58"/>
        <v>Low Risk</v>
      </c>
      <c r="X1263" s="21" t="str">
        <f t="shared" si="59"/>
        <v>No</v>
      </c>
    </row>
    <row r="1264" spans="1:24" x14ac:dyDescent="0.3">
      <c r="A1264" s="21">
        <f>'Raw Data'!A1264</f>
        <v>51263</v>
      </c>
      <c r="B1264" s="21">
        <f>'Raw Data'!B1264</f>
        <v>0</v>
      </c>
      <c r="C1264" s="21">
        <f>'Raw Data'!C1264</f>
        <v>0</v>
      </c>
      <c r="D1264" s="21" t="str">
        <f>'Raw Data'!D1264</f>
        <v>Mobile Phone</v>
      </c>
      <c r="E1264" s="21">
        <f>'Raw Data'!E1264</f>
        <v>1</v>
      </c>
      <c r="F1264" s="21">
        <f>IF('Raw Data'!F1264="",ROUND(AVERAGE('Raw Data'!$F$2:$F$1501),1),'Raw Data'!F1264)</f>
        <v>14</v>
      </c>
      <c r="G1264" s="21" t="str">
        <f>'Raw Data'!G1264</f>
        <v>E wallet</v>
      </c>
      <c r="H1264" s="21" t="str">
        <f>'Raw Data'!H1264</f>
        <v>Female</v>
      </c>
      <c r="I1264" s="21">
        <f>IF('Raw Data'!I1264="",ROUND(AVERAGE('Raw Data'!$I$2:$I$1501),1),'Raw Data'!I1264)</f>
        <v>3.5</v>
      </c>
      <c r="J1264" s="21">
        <f>'Raw Data'!J1264</f>
        <v>3</v>
      </c>
      <c r="K1264" s="21" t="str">
        <f>'Raw Data'!K1264</f>
        <v>Grocery</v>
      </c>
      <c r="L1264" s="21">
        <f>'Raw Data'!L1264</f>
        <v>3</v>
      </c>
      <c r="M1264" s="21" t="str">
        <f>'Raw Data'!M1264</f>
        <v>Married</v>
      </c>
      <c r="N1264" s="21">
        <f>'Raw Data'!N1264</f>
        <v>3</v>
      </c>
      <c r="O1264" s="21">
        <f>'Raw Data'!O1264</f>
        <v>0</v>
      </c>
      <c r="P1264" s="21">
        <f>IF('Raw Data'!P1264="",ROUND(AVERAGE('Raw Data'!$P$2:$P$1501),1),'Raw Data'!P1264)</f>
        <v>18.899999999999999</v>
      </c>
      <c r="Q1264" s="21">
        <f>IF('Raw Data'!Q1264="",ROUND(AVERAGE('Raw Data'!$Q$2:$Q$1501),0),'Raw Data'!Q1264)</f>
        <v>0</v>
      </c>
      <c r="R1264" s="21">
        <f>'Raw Data'!R1264</f>
        <v>5</v>
      </c>
      <c r="S1264" s="21">
        <f>IF('Raw Data'!S1264="",ROUND(AVERAGE('Raw Data'!$S$2:$S$1501),0),'Raw Data'!S1264)</f>
        <v>4</v>
      </c>
      <c r="T1264" s="21">
        <f>'Raw Data'!T1264</f>
        <v>121.42</v>
      </c>
      <c r="U1264" s="21" t="str">
        <f>INDEX('Lookup Tables'!$C$7:$C$9,MATCH(E1264,'Lookup Tables'!$B$7:$B$9,0))</f>
        <v>Tier 1 (Metro)</v>
      </c>
      <c r="V1264" s="21" t="str">
        <f t="shared" si="57"/>
        <v>0-6 months</v>
      </c>
      <c r="W1264" s="21" t="str">
        <f t="shared" si="58"/>
        <v>Medium Risk</v>
      </c>
      <c r="X1264" s="21" t="str">
        <f t="shared" si="59"/>
        <v>No</v>
      </c>
    </row>
    <row r="1265" spans="1:24" x14ac:dyDescent="0.3">
      <c r="A1265" s="21">
        <f>'Raw Data'!A1265</f>
        <v>51264</v>
      </c>
      <c r="B1265" s="21">
        <f>'Raw Data'!B1265</f>
        <v>0</v>
      </c>
      <c r="C1265" s="21">
        <f>'Raw Data'!C1265</f>
        <v>7</v>
      </c>
      <c r="D1265" s="21" t="str">
        <f>'Raw Data'!D1265</f>
        <v>Computer</v>
      </c>
      <c r="E1265" s="21">
        <f>'Raw Data'!E1265</f>
        <v>3</v>
      </c>
      <c r="F1265" s="21">
        <f>IF('Raw Data'!F1265="",ROUND(AVERAGE('Raw Data'!$F$2:$F$1501),1),'Raw Data'!F1265)</f>
        <v>14.8</v>
      </c>
      <c r="G1265" s="21" t="str">
        <f>'Raw Data'!G1265</f>
        <v>Credit Card</v>
      </c>
      <c r="H1265" s="21" t="str">
        <f>'Raw Data'!H1265</f>
        <v>Female</v>
      </c>
      <c r="I1265" s="21">
        <f>IF('Raw Data'!I1265="",ROUND(AVERAGE('Raw Data'!$I$2:$I$1501),1),'Raw Data'!I1265)</f>
        <v>3.2</v>
      </c>
      <c r="J1265" s="21">
        <f>'Raw Data'!J1265</f>
        <v>3</v>
      </c>
      <c r="K1265" s="21" t="str">
        <f>'Raw Data'!K1265</f>
        <v>Fashion</v>
      </c>
      <c r="L1265" s="21">
        <f>'Raw Data'!L1265</f>
        <v>3</v>
      </c>
      <c r="M1265" s="21" t="str">
        <f>'Raw Data'!M1265</f>
        <v>Single</v>
      </c>
      <c r="N1265" s="21">
        <f>'Raw Data'!N1265</f>
        <v>1</v>
      </c>
      <c r="O1265" s="21">
        <f>'Raw Data'!O1265</f>
        <v>1</v>
      </c>
      <c r="P1265" s="21">
        <f>IF('Raw Data'!P1265="",ROUND(AVERAGE('Raw Data'!$P$2:$P$1501),1),'Raw Data'!P1265)</f>
        <v>16.899999999999999</v>
      </c>
      <c r="Q1265" s="21">
        <f>IF('Raw Data'!Q1265="",ROUND(AVERAGE('Raw Data'!$Q$2:$Q$1501),0),'Raw Data'!Q1265)</f>
        <v>0</v>
      </c>
      <c r="R1265" s="21">
        <f>'Raw Data'!R1265</f>
        <v>7</v>
      </c>
      <c r="S1265" s="21">
        <f>IF('Raw Data'!S1265="",ROUND(AVERAGE('Raw Data'!$S$2:$S$1501),0),'Raw Data'!S1265)</f>
        <v>8</v>
      </c>
      <c r="T1265" s="21">
        <f>'Raw Data'!T1265</f>
        <v>249.2</v>
      </c>
      <c r="U1265" s="21" t="str">
        <f>INDEX('Lookup Tables'!$C$7:$C$9,MATCH(E1265,'Lookup Tables'!$B$7:$B$9,0))</f>
        <v>Tier 3 (Semi-urban/Rural)</v>
      </c>
      <c r="V1265" s="21" t="str">
        <f t="shared" si="57"/>
        <v>7-12 months</v>
      </c>
      <c r="W1265" s="21" t="str">
        <f t="shared" si="58"/>
        <v>Medium Risk</v>
      </c>
      <c r="X1265" s="21" t="str">
        <f t="shared" si="59"/>
        <v>No</v>
      </c>
    </row>
    <row r="1266" spans="1:24" x14ac:dyDescent="0.3">
      <c r="A1266" s="21">
        <f>'Raw Data'!A1266</f>
        <v>51265</v>
      </c>
      <c r="B1266" s="21">
        <f>'Raw Data'!B1266</f>
        <v>0</v>
      </c>
      <c r="C1266" s="21">
        <f>'Raw Data'!C1266</f>
        <v>16</v>
      </c>
      <c r="D1266" s="21" t="str">
        <f>'Raw Data'!D1266</f>
        <v>Computer</v>
      </c>
      <c r="E1266" s="21">
        <f>'Raw Data'!E1266</f>
        <v>1</v>
      </c>
      <c r="F1266" s="21">
        <f>IF('Raw Data'!F1266="",ROUND(AVERAGE('Raw Data'!$F$2:$F$1501),1),'Raw Data'!F1266)</f>
        <v>22</v>
      </c>
      <c r="G1266" s="21" t="str">
        <f>'Raw Data'!G1266</f>
        <v>Cash on Delivery</v>
      </c>
      <c r="H1266" s="21" t="str">
        <f>'Raw Data'!H1266</f>
        <v>Female</v>
      </c>
      <c r="I1266" s="21">
        <f>IF('Raw Data'!I1266="",ROUND(AVERAGE('Raw Data'!$I$2:$I$1501),1),'Raw Data'!I1266)</f>
        <v>3.1</v>
      </c>
      <c r="J1266" s="21">
        <f>'Raw Data'!J1266</f>
        <v>3</v>
      </c>
      <c r="K1266" s="21" t="str">
        <f>'Raw Data'!K1266</f>
        <v>Fashion</v>
      </c>
      <c r="L1266" s="21">
        <f>'Raw Data'!L1266</f>
        <v>1</v>
      </c>
      <c r="M1266" s="21" t="str">
        <f>'Raw Data'!M1266</f>
        <v>Married</v>
      </c>
      <c r="N1266" s="21">
        <f>'Raw Data'!N1266</f>
        <v>4</v>
      </c>
      <c r="O1266" s="21">
        <f>'Raw Data'!O1266</f>
        <v>0</v>
      </c>
      <c r="P1266" s="21">
        <f>IF('Raw Data'!P1266="",ROUND(AVERAGE('Raw Data'!$P$2:$P$1501),1),'Raw Data'!P1266)</f>
        <v>14.3</v>
      </c>
      <c r="Q1266" s="21">
        <f>IF('Raw Data'!Q1266="",ROUND(AVERAGE('Raw Data'!$Q$2:$Q$1501),0),'Raw Data'!Q1266)</f>
        <v>0</v>
      </c>
      <c r="R1266" s="21">
        <f>'Raw Data'!R1266</f>
        <v>3</v>
      </c>
      <c r="S1266" s="21">
        <f>IF('Raw Data'!S1266="",ROUND(AVERAGE('Raw Data'!$S$2:$S$1501),0),'Raw Data'!S1266)</f>
        <v>1</v>
      </c>
      <c r="T1266" s="21">
        <f>'Raw Data'!T1266</f>
        <v>106</v>
      </c>
      <c r="U1266" s="21" t="str">
        <f>INDEX('Lookup Tables'!$C$7:$C$9,MATCH(E1266,'Lookup Tables'!$B$7:$B$9,0))</f>
        <v>Tier 1 (Metro)</v>
      </c>
      <c r="V1266" s="21" t="str">
        <f t="shared" si="57"/>
        <v>13-24 months</v>
      </c>
      <c r="W1266" s="21" t="str">
        <f t="shared" si="58"/>
        <v>Low Risk</v>
      </c>
      <c r="X1266" s="21" t="str">
        <f t="shared" si="59"/>
        <v>No</v>
      </c>
    </row>
    <row r="1267" spans="1:24" x14ac:dyDescent="0.3">
      <c r="A1267" s="21">
        <f>'Raw Data'!A1267</f>
        <v>51266</v>
      </c>
      <c r="B1267" s="21">
        <f>'Raw Data'!B1267</f>
        <v>0</v>
      </c>
      <c r="C1267" s="21">
        <f>'Raw Data'!C1267</f>
        <v>6</v>
      </c>
      <c r="D1267" s="21" t="str">
        <f>'Raw Data'!D1267</f>
        <v>Phone</v>
      </c>
      <c r="E1267" s="21">
        <f>'Raw Data'!E1267</f>
        <v>1</v>
      </c>
      <c r="F1267" s="21">
        <f>IF('Raw Data'!F1267="",ROUND(AVERAGE('Raw Data'!$F$2:$F$1501),1),'Raw Data'!F1267)</f>
        <v>12</v>
      </c>
      <c r="G1267" s="21" t="str">
        <f>'Raw Data'!G1267</f>
        <v>Debit Card</v>
      </c>
      <c r="H1267" s="21" t="str">
        <f>'Raw Data'!H1267</f>
        <v>Male</v>
      </c>
      <c r="I1267" s="21">
        <f>IF('Raw Data'!I1267="",ROUND(AVERAGE('Raw Data'!$I$2:$I$1501),1),'Raw Data'!I1267)</f>
        <v>3.6</v>
      </c>
      <c r="J1267" s="21">
        <f>'Raw Data'!J1267</f>
        <v>4</v>
      </c>
      <c r="K1267" s="21" t="str">
        <f>'Raw Data'!K1267</f>
        <v>Grocery</v>
      </c>
      <c r="L1267" s="21">
        <f>'Raw Data'!L1267</f>
        <v>5</v>
      </c>
      <c r="M1267" s="21" t="str">
        <f>'Raw Data'!M1267</f>
        <v>Single</v>
      </c>
      <c r="N1267" s="21">
        <f>'Raw Data'!N1267</f>
        <v>12</v>
      </c>
      <c r="O1267" s="21">
        <f>'Raw Data'!O1267</f>
        <v>0</v>
      </c>
      <c r="P1267" s="21">
        <f>IF('Raw Data'!P1267="",ROUND(AVERAGE('Raw Data'!$P$2:$P$1501),1),'Raw Data'!P1267)</f>
        <v>18.399999999999999</v>
      </c>
      <c r="Q1267" s="21">
        <f>IF('Raw Data'!Q1267="",ROUND(AVERAGE('Raw Data'!$Q$2:$Q$1501),0),'Raw Data'!Q1267)</f>
        <v>2</v>
      </c>
      <c r="R1267" s="21">
        <f>'Raw Data'!R1267</f>
        <v>4</v>
      </c>
      <c r="S1267" s="21">
        <f>IF('Raw Data'!S1267="",ROUND(AVERAGE('Raw Data'!$S$2:$S$1501),0),'Raw Data'!S1267)</f>
        <v>6</v>
      </c>
      <c r="T1267" s="21">
        <f>'Raw Data'!T1267</f>
        <v>216.24</v>
      </c>
      <c r="U1267" s="21" t="str">
        <f>INDEX('Lookup Tables'!$C$7:$C$9,MATCH(E1267,'Lookup Tables'!$B$7:$B$9,0))</f>
        <v>Tier 1 (Metro)</v>
      </c>
      <c r="V1267" s="21" t="str">
        <f t="shared" si="57"/>
        <v>0-6 months</v>
      </c>
      <c r="W1267" s="21" t="str">
        <f t="shared" si="58"/>
        <v>Low Risk</v>
      </c>
      <c r="X1267" s="21" t="str">
        <f t="shared" si="59"/>
        <v>No</v>
      </c>
    </row>
    <row r="1268" spans="1:24" x14ac:dyDescent="0.3">
      <c r="A1268" s="21">
        <f>'Raw Data'!A1268</f>
        <v>51267</v>
      </c>
      <c r="B1268" s="21">
        <f>'Raw Data'!B1268</f>
        <v>0</v>
      </c>
      <c r="C1268" s="21">
        <f>'Raw Data'!C1268</f>
        <v>0</v>
      </c>
      <c r="D1268" s="21" t="str">
        <f>'Raw Data'!D1268</f>
        <v>Mobile Phone</v>
      </c>
      <c r="E1268" s="21">
        <f>'Raw Data'!E1268</f>
        <v>1</v>
      </c>
      <c r="F1268" s="21">
        <f>IF('Raw Data'!F1268="",ROUND(AVERAGE('Raw Data'!$F$2:$F$1501),1),'Raw Data'!F1268)</f>
        <v>21</v>
      </c>
      <c r="G1268" s="21" t="str">
        <f>'Raw Data'!G1268</f>
        <v>Cash on Delivery</v>
      </c>
      <c r="H1268" s="21" t="str">
        <f>'Raw Data'!H1268</f>
        <v>Male</v>
      </c>
      <c r="I1268" s="21">
        <f>IF('Raw Data'!I1268="",ROUND(AVERAGE('Raw Data'!$I$2:$I$1501),1),'Raw Data'!I1268)</f>
        <v>4.2</v>
      </c>
      <c r="J1268" s="21">
        <f>'Raw Data'!J1268</f>
        <v>2</v>
      </c>
      <c r="K1268" s="21" t="str">
        <f>'Raw Data'!K1268</f>
        <v>Mobile Phone</v>
      </c>
      <c r="L1268" s="21">
        <f>'Raw Data'!L1268</f>
        <v>2</v>
      </c>
      <c r="M1268" s="21" t="str">
        <f>'Raw Data'!M1268</f>
        <v>Single</v>
      </c>
      <c r="N1268" s="21">
        <f>'Raw Data'!N1268</f>
        <v>7</v>
      </c>
      <c r="O1268" s="21">
        <f>'Raw Data'!O1268</f>
        <v>1</v>
      </c>
      <c r="P1268" s="21">
        <f>IF('Raw Data'!P1268="",ROUND(AVERAGE('Raw Data'!$P$2:$P$1501),1),'Raw Data'!P1268)</f>
        <v>15</v>
      </c>
      <c r="Q1268" s="21">
        <f>IF('Raw Data'!Q1268="",ROUND(AVERAGE('Raw Data'!$Q$2:$Q$1501),0),'Raw Data'!Q1268)</f>
        <v>2</v>
      </c>
      <c r="R1268" s="21">
        <f>'Raw Data'!R1268</f>
        <v>2</v>
      </c>
      <c r="S1268" s="21">
        <f>IF('Raw Data'!S1268="",ROUND(AVERAGE('Raw Data'!$S$2:$S$1501),0),'Raw Data'!S1268)</f>
        <v>1</v>
      </c>
      <c r="T1268" s="21">
        <f>'Raw Data'!T1268</f>
        <v>162.88</v>
      </c>
      <c r="U1268" s="21" t="str">
        <f>INDEX('Lookup Tables'!$C$7:$C$9,MATCH(E1268,'Lookup Tables'!$B$7:$B$9,0))</f>
        <v>Tier 1 (Metro)</v>
      </c>
      <c r="V1268" s="21" t="str">
        <f t="shared" si="57"/>
        <v>0-6 months</v>
      </c>
      <c r="W1268" s="21" t="str">
        <f t="shared" si="58"/>
        <v>High Risk</v>
      </c>
      <c r="X1268" s="21" t="str">
        <f t="shared" si="59"/>
        <v>No</v>
      </c>
    </row>
    <row r="1269" spans="1:24" x14ac:dyDescent="0.3">
      <c r="A1269" s="21">
        <f>'Raw Data'!A1269</f>
        <v>51268</v>
      </c>
      <c r="B1269" s="21">
        <f>'Raw Data'!B1269</f>
        <v>1</v>
      </c>
      <c r="C1269" s="21">
        <f>'Raw Data'!C1269</f>
        <v>15</v>
      </c>
      <c r="D1269" s="21" t="str">
        <f>'Raw Data'!D1269</f>
        <v>Mobile Phone</v>
      </c>
      <c r="E1269" s="21">
        <f>'Raw Data'!E1269</f>
        <v>3</v>
      </c>
      <c r="F1269" s="21">
        <f>IF('Raw Data'!F1269="",ROUND(AVERAGE('Raw Data'!$F$2:$F$1501),1),'Raw Data'!F1269)</f>
        <v>12</v>
      </c>
      <c r="G1269" s="21" t="str">
        <f>'Raw Data'!G1269</f>
        <v>Cash on Delivery</v>
      </c>
      <c r="H1269" s="21" t="str">
        <f>'Raw Data'!H1269</f>
        <v>Male</v>
      </c>
      <c r="I1269" s="21">
        <f>IF('Raw Data'!I1269="",ROUND(AVERAGE('Raw Data'!$I$2:$I$1501),1),'Raw Data'!I1269)</f>
        <v>2.2000000000000002</v>
      </c>
      <c r="J1269" s="21">
        <f>'Raw Data'!J1269</f>
        <v>3</v>
      </c>
      <c r="K1269" s="21" t="str">
        <f>'Raw Data'!K1269</f>
        <v>Mobile Phone</v>
      </c>
      <c r="L1269" s="21">
        <f>'Raw Data'!L1269</f>
        <v>3</v>
      </c>
      <c r="M1269" s="21" t="str">
        <f>'Raw Data'!M1269</f>
        <v>Divorced</v>
      </c>
      <c r="N1269" s="21">
        <f>'Raw Data'!N1269</f>
        <v>1</v>
      </c>
      <c r="O1269" s="21">
        <f>'Raw Data'!O1269</f>
        <v>1</v>
      </c>
      <c r="P1269" s="21">
        <f>IF('Raw Data'!P1269="",ROUND(AVERAGE('Raw Data'!$P$2:$P$1501),1),'Raw Data'!P1269)</f>
        <v>14.9</v>
      </c>
      <c r="Q1269" s="21">
        <f>IF('Raw Data'!Q1269="",ROUND(AVERAGE('Raw Data'!$Q$2:$Q$1501),0),'Raw Data'!Q1269)</f>
        <v>2</v>
      </c>
      <c r="R1269" s="21">
        <f>'Raw Data'!R1269</f>
        <v>7</v>
      </c>
      <c r="S1269" s="21">
        <f>IF('Raw Data'!S1269="",ROUND(AVERAGE('Raw Data'!$S$2:$S$1501),0),'Raw Data'!S1269)</f>
        <v>3</v>
      </c>
      <c r="T1269" s="21">
        <f>'Raw Data'!T1269</f>
        <v>170.61</v>
      </c>
      <c r="U1269" s="21" t="str">
        <f>INDEX('Lookup Tables'!$C$7:$C$9,MATCH(E1269,'Lookup Tables'!$B$7:$B$9,0))</f>
        <v>Tier 3 (Semi-urban/Rural)</v>
      </c>
      <c r="V1269" s="21" t="str">
        <f t="shared" si="57"/>
        <v>13-24 months</v>
      </c>
      <c r="W1269" s="21" t="str">
        <f t="shared" si="58"/>
        <v>Medium Risk</v>
      </c>
      <c r="X1269" s="21" t="str">
        <f t="shared" si="59"/>
        <v>Yes</v>
      </c>
    </row>
    <row r="1270" spans="1:24" x14ac:dyDescent="0.3">
      <c r="A1270" s="21">
        <f>'Raw Data'!A1270</f>
        <v>51269</v>
      </c>
      <c r="B1270" s="21">
        <f>'Raw Data'!B1270</f>
        <v>0</v>
      </c>
      <c r="C1270" s="21">
        <f>'Raw Data'!C1270</f>
        <v>2</v>
      </c>
      <c r="D1270" s="21" t="str">
        <f>'Raw Data'!D1270</f>
        <v>Phone</v>
      </c>
      <c r="E1270" s="21">
        <f>'Raw Data'!E1270</f>
        <v>2</v>
      </c>
      <c r="F1270" s="21">
        <f>IF('Raw Data'!F1270="",ROUND(AVERAGE('Raw Data'!$F$2:$F$1501),1),'Raw Data'!F1270)</f>
        <v>14</v>
      </c>
      <c r="G1270" s="21" t="str">
        <f>'Raw Data'!G1270</f>
        <v>Debit Card</v>
      </c>
      <c r="H1270" s="21" t="str">
        <f>'Raw Data'!H1270</f>
        <v>Male</v>
      </c>
      <c r="I1270" s="21">
        <f>IF('Raw Data'!I1270="",ROUND(AVERAGE('Raw Data'!$I$2:$I$1501),1),'Raw Data'!I1270)</f>
        <v>3.7</v>
      </c>
      <c r="J1270" s="21">
        <f>'Raw Data'!J1270</f>
        <v>3</v>
      </c>
      <c r="K1270" s="21" t="str">
        <f>'Raw Data'!K1270</f>
        <v>Fashion</v>
      </c>
      <c r="L1270" s="21">
        <f>'Raw Data'!L1270</f>
        <v>4</v>
      </c>
      <c r="M1270" s="21" t="str">
        <f>'Raw Data'!M1270</f>
        <v>Married</v>
      </c>
      <c r="N1270" s="21">
        <f>'Raw Data'!N1270</f>
        <v>1</v>
      </c>
      <c r="O1270" s="21">
        <f>'Raw Data'!O1270</f>
        <v>0</v>
      </c>
      <c r="P1270" s="21">
        <f>IF('Raw Data'!P1270="",ROUND(AVERAGE('Raw Data'!$P$2:$P$1501),1),'Raw Data'!P1270)</f>
        <v>16.2</v>
      </c>
      <c r="Q1270" s="21">
        <f>IF('Raw Data'!Q1270="",ROUND(AVERAGE('Raw Data'!$Q$2:$Q$1501),0),'Raw Data'!Q1270)</f>
        <v>2</v>
      </c>
      <c r="R1270" s="21">
        <f>'Raw Data'!R1270</f>
        <v>5</v>
      </c>
      <c r="S1270" s="21">
        <f>IF('Raw Data'!S1270="",ROUND(AVERAGE('Raw Data'!$S$2:$S$1501),0),'Raw Data'!S1270)</f>
        <v>2</v>
      </c>
      <c r="T1270" s="21">
        <f>'Raw Data'!T1270</f>
        <v>282.08</v>
      </c>
      <c r="U1270" s="21" t="str">
        <f>INDEX('Lookup Tables'!$C$7:$C$9,MATCH(E1270,'Lookup Tables'!$B$7:$B$9,0))</f>
        <v>Tier 2 (Urban)</v>
      </c>
      <c r="V1270" s="21" t="str">
        <f t="shared" si="57"/>
        <v>0-6 months</v>
      </c>
      <c r="W1270" s="21" t="str">
        <f t="shared" si="58"/>
        <v>Low Risk</v>
      </c>
      <c r="X1270" s="21" t="str">
        <f t="shared" si="59"/>
        <v>No</v>
      </c>
    </row>
    <row r="1271" spans="1:24" x14ac:dyDescent="0.3">
      <c r="A1271" s="21">
        <f>'Raw Data'!A1271</f>
        <v>51270</v>
      </c>
      <c r="B1271" s="21">
        <f>'Raw Data'!B1271</f>
        <v>0</v>
      </c>
      <c r="C1271" s="21">
        <f>'Raw Data'!C1271</f>
        <v>2</v>
      </c>
      <c r="D1271" s="21" t="str">
        <f>'Raw Data'!D1271</f>
        <v>Computer</v>
      </c>
      <c r="E1271" s="21">
        <f>'Raw Data'!E1271</f>
        <v>2</v>
      </c>
      <c r="F1271" s="21">
        <f>IF('Raw Data'!F1271="",ROUND(AVERAGE('Raw Data'!$F$2:$F$1501),1),'Raw Data'!F1271)</f>
        <v>18</v>
      </c>
      <c r="G1271" s="21" t="str">
        <f>'Raw Data'!G1271</f>
        <v>UPI</v>
      </c>
      <c r="H1271" s="21" t="str">
        <f>'Raw Data'!H1271</f>
        <v>Male</v>
      </c>
      <c r="I1271" s="21">
        <f>IF('Raw Data'!I1271="",ROUND(AVERAGE('Raw Data'!$I$2:$I$1501),1),'Raw Data'!I1271)</f>
        <v>2.8</v>
      </c>
      <c r="J1271" s="21">
        <f>'Raw Data'!J1271</f>
        <v>3</v>
      </c>
      <c r="K1271" s="21" t="str">
        <f>'Raw Data'!K1271</f>
        <v>Laptop &amp; Accessory</v>
      </c>
      <c r="L1271" s="21">
        <f>'Raw Data'!L1271</f>
        <v>2</v>
      </c>
      <c r="M1271" s="21" t="str">
        <f>'Raw Data'!M1271</f>
        <v>Married</v>
      </c>
      <c r="N1271" s="21">
        <f>'Raw Data'!N1271</f>
        <v>1</v>
      </c>
      <c r="O1271" s="21">
        <f>'Raw Data'!O1271</f>
        <v>0</v>
      </c>
      <c r="P1271" s="21">
        <f>IF('Raw Data'!P1271="",ROUND(AVERAGE('Raw Data'!$P$2:$P$1501),1),'Raw Data'!P1271)</f>
        <v>17.600000000000001</v>
      </c>
      <c r="Q1271" s="21">
        <f>IF('Raw Data'!Q1271="",ROUND(AVERAGE('Raw Data'!$Q$2:$Q$1501),0),'Raw Data'!Q1271)</f>
        <v>1</v>
      </c>
      <c r="R1271" s="21">
        <f>'Raw Data'!R1271</f>
        <v>3</v>
      </c>
      <c r="S1271" s="21">
        <f>IF('Raw Data'!S1271="",ROUND(AVERAGE('Raw Data'!$S$2:$S$1501),0),'Raw Data'!S1271)</f>
        <v>4</v>
      </c>
      <c r="T1271" s="21">
        <f>'Raw Data'!T1271</f>
        <v>111.02</v>
      </c>
      <c r="U1271" s="21" t="str">
        <f>INDEX('Lookup Tables'!$C$7:$C$9,MATCH(E1271,'Lookup Tables'!$B$7:$B$9,0))</f>
        <v>Tier 2 (Urban)</v>
      </c>
      <c r="V1271" s="21" t="str">
        <f t="shared" si="57"/>
        <v>0-6 months</v>
      </c>
      <c r="W1271" s="21" t="str">
        <f t="shared" si="58"/>
        <v>Low Risk</v>
      </c>
      <c r="X1271" s="21" t="str">
        <f t="shared" si="59"/>
        <v>No</v>
      </c>
    </row>
    <row r="1272" spans="1:24" x14ac:dyDescent="0.3">
      <c r="A1272" s="21">
        <f>'Raw Data'!A1272</f>
        <v>51271</v>
      </c>
      <c r="B1272" s="21">
        <f>'Raw Data'!B1272</f>
        <v>0</v>
      </c>
      <c r="C1272" s="21">
        <f>'Raw Data'!C1272</f>
        <v>1</v>
      </c>
      <c r="D1272" s="21" t="str">
        <f>'Raw Data'!D1272</f>
        <v>Mobile Phone</v>
      </c>
      <c r="E1272" s="21">
        <f>'Raw Data'!E1272</f>
        <v>3</v>
      </c>
      <c r="F1272" s="21">
        <f>IF('Raw Data'!F1272="",ROUND(AVERAGE('Raw Data'!$F$2:$F$1501),1),'Raw Data'!F1272)</f>
        <v>17</v>
      </c>
      <c r="G1272" s="21" t="str">
        <f>'Raw Data'!G1272</f>
        <v>Cash on Delivery</v>
      </c>
      <c r="H1272" s="21" t="str">
        <f>'Raw Data'!H1272</f>
        <v>Male</v>
      </c>
      <c r="I1272" s="21">
        <f>IF('Raw Data'!I1272="",ROUND(AVERAGE('Raw Data'!$I$2:$I$1501),1),'Raw Data'!I1272)</f>
        <v>2.8</v>
      </c>
      <c r="J1272" s="21">
        <f>'Raw Data'!J1272</f>
        <v>3</v>
      </c>
      <c r="K1272" s="21" t="str">
        <f>'Raw Data'!K1272</f>
        <v>Laptop &amp; Accessory</v>
      </c>
      <c r="L1272" s="21">
        <f>'Raw Data'!L1272</f>
        <v>3</v>
      </c>
      <c r="M1272" s="21" t="str">
        <f>'Raw Data'!M1272</f>
        <v>Married</v>
      </c>
      <c r="N1272" s="21">
        <f>'Raw Data'!N1272</f>
        <v>1</v>
      </c>
      <c r="O1272" s="21">
        <f>'Raw Data'!O1272</f>
        <v>0</v>
      </c>
      <c r="P1272" s="21">
        <f>IF('Raw Data'!P1272="",ROUND(AVERAGE('Raw Data'!$P$2:$P$1501),1),'Raw Data'!P1272)</f>
        <v>17.399999999999999</v>
      </c>
      <c r="Q1272" s="21">
        <f>IF('Raw Data'!Q1272="",ROUND(AVERAGE('Raw Data'!$Q$2:$Q$1501),0),'Raw Data'!Q1272)</f>
        <v>3</v>
      </c>
      <c r="R1272" s="21">
        <f>'Raw Data'!R1272</f>
        <v>5</v>
      </c>
      <c r="S1272" s="21">
        <f>IF('Raw Data'!S1272="",ROUND(AVERAGE('Raw Data'!$S$2:$S$1501),0),'Raw Data'!S1272)</f>
        <v>0</v>
      </c>
      <c r="T1272" s="21">
        <f>'Raw Data'!T1272</f>
        <v>212.71</v>
      </c>
      <c r="U1272" s="21" t="str">
        <f>INDEX('Lookup Tables'!$C$7:$C$9,MATCH(E1272,'Lookup Tables'!$B$7:$B$9,0))</f>
        <v>Tier 3 (Semi-urban/Rural)</v>
      </c>
      <c r="V1272" s="21" t="str">
        <f t="shared" si="57"/>
        <v>0-6 months</v>
      </c>
      <c r="W1272" s="21" t="str">
        <f t="shared" si="58"/>
        <v>Medium Risk</v>
      </c>
      <c r="X1272" s="21" t="str">
        <f t="shared" si="59"/>
        <v>No</v>
      </c>
    </row>
    <row r="1273" spans="1:24" x14ac:dyDescent="0.3">
      <c r="A1273" s="21">
        <f>'Raw Data'!A1273</f>
        <v>51272</v>
      </c>
      <c r="B1273" s="21">
        <f>'Raw Data'!B1273</f>
        <v>0</v>
      </c>
      <c r="C1273" s="21">
        <f>'Raw Data'!C1273</f>
        <v>4</v>
      </c>
      <c r="D1273" s="21" t="str">
        <f>'Raw Data'!D1273</f>
        <v>Mobile Phone</v>
      </c>
      <c r="E1273" s="21">
        <f>'Raw Data'!E1273</f>
        <v>3</v>
      </c>
      <c r="F1273" s="21">
        <f>IF('Raw Data'!F1273="",ROUND(AVERAGE('Raw Data'!$F$2:$F$1501),1),'Raw Data'!F1273)</f>
        <v>5</v>
      </c>
      <c r="G1273" s="21" t="str">
        <f>'Raw Data'!G1273</f>
        <v>Debit Card</v>
      </c>
      <c r="H1273" s="21" t="str">
        <f>'Raw Data'!H1273</f>
        <v>Male</v>
      </c>
      <c r="I1273" s="21">
        <f>IF('Raw Data'!I1273="",ROUND(AVERAGE('Raw Data'!$I$2:$I$1501),1),'Raw Data'!I1273)</f>
        <v>1.8</v>
      </c>
      <c r="J1273" s="21">
        <f>'Raw Data'!J1273</f>
        <v>3</v>
      </c>
      <c r="K1273" s="21" t="str">
        <f>'Raw Data'!K1273</f>
        <v>Fashion</v>
      </c>
      <c r="L1273" s="21">
        <f>'Raw Data'!L1273</f>
        <v>2</v>
      </c>
      <c r="M1273" s="21" t="str">
        <f>'Raw Data'!M1273</f>
        <v>Married</v>
      </c>
      <c r="N1273" s="21">
        <f>'Raw Data'!N1273</f>
        <v>1</v>
      </c>
      <c r="O1273" s="21">
        <f>'Raw Data'!O1273</f>
        <v>0</v>
      </c>
      <c r="P1273" s="21">
        <f>IF('Raw Data'!P1273="",ROUND(AVERAGE('Raw Data'!$P$2:$P$1501),1),'Raw Data'!P1273)</f>
        <v>14.7</v>
      </c>
      <c r="Q1273" s="21">
        <f>IF('Raw Data'!Q1273="",ROUND(AVERAGE('Raw Data'!$Q$2:$Q$1501),0),'Raw Data'!Q1273)</f>
        <v>2</v>
      </c>
      <c r="R1273" s="21">
        <f>'Raw Data'!R1273</f>
        <v>5</v>
      </c>
      <c r="S1273" s="21">
        <f>IF('Raw Data'!S1273="",ROUND(AVERAGE('Raw Data'!$S$2:$S$1501),0),'Raw Data'!S1273)</f>
        <v>2</v>
      </c>
      <c r="T1273" s="21">
        <f>'Raw Data'!T1273</f>
        <v>210.44</v>
      </c>
      <c r="U1273" s="21" t="str">
        <f>INDEX('Lookup Tables'!$C$7:$C$9,MATCH(E1273,'Lookup Tables'!$B$7:$B$9,0))</f>
        <v>Tier 3 (Semi-urban/Rural)</v>
      </c>
      <c r="V1273" s="21" t="str">
        <f t="shared" si="57"/>
        <v>0-6 months</v>
      </c>
      <c r="W1273" s="21" t="str">
        <f t="shared" si="58"/>
        <v>Low Risk</v>
      </c>
      <c r="X1273" s="21" t="str">
        <f t="shared" si="59"/>
        <v>No</v>
      </c>
    </row>
    <row r="1274" spans="1:24" x14ac:dyDescent="0.3">
      <c r="A1274" s="21">
        <f>'Raw Data'!A1274</f>
        <v>51273</v>
      </c>
      <c r="B1274" s="21">
        <f>'Raw Data'!B1274</f>
        <v>0</v>
      </c>
      <c r="C1274" s="21">
        <f>'Raw Data'!C1274</f>
        <v>14</v>
      </c>
      <c r="D1274" s="21" t="str">
        <f>'Raw Data'!D1274</f>
        <v>Phone</v>
      </c>
      <c r="E1274" s="21">
        <f>'Raw Data'!E1274</f>
        <v>1</v>
      </c>
      <c r="F1274" s="21">
        <f>IF('Raw Data'!F1274="",ROUND(AVERAGE('Raw Data'!$F$2:$F$1501),1),'Raw Data'!F1274)</f>
        <v>6</v>
      </c>
      <c r="G1274" s="21" t="str">
        <f>'Raw Data'!G1274</f>
        <v>Credit Card</v>
      </c>
      <c r="H1274" s="21" t="str">
        <f>'Raw Data'!H1274</f>
        <v>Female</v>
      </c>
      <c r="I1274" s="21">
        <f>IF('Raw Data'!I1274="",ROUND(AVERAGE('Raw Data'!$I$2:$I$1501),1),'Raw Data'!I1274)</f>
        <v>2.7</v>
      </c>
      <c r="J1274" s="21">
        <f>'Raw Data'!J1274</f>
        <v>3</v>
      </c>
      <c r="K1274" s="21" t="str">
        <f>'Raw Data'!K1274</f>
        <v>Laptop &amp; Accessory</v>
      </c>
      <c r="L1274" s="21">
        <f>'Raw Data'!L1274</f>
        <v>4</v>
      </c>
      <c r="M1274" s="21" t="str">
        <f>'Raw Data'!M1274</f>
        <v>Single</v>
      </c>
      <c r="N1274" s="21">
        <f>'Raw Data'!N1274</f>
        <v>5</v>
      </c>
      <c r="O1274" s="21">
        <f>'Raw Data'!O1274</f>
        <v>1</v>
      </c>
      <c r="P1274" s="21">
        <f>IF('Raw Data'!P1274="",ROUND(AVERAGE('Raw Data'!$P$2:$P$1501),1),'Raw Data'!P1274)</f>
        <v>19</v>
      </c>
      <c r="Q1274" s="21">
        <f>IF('Raw Data'!Q1274="",ROUND(AVERAGE('Raw Data'!$Q$2:$Q$1501),0),'Raw Data'!Q1274)</f>
        <v>4</v>
      </c>
      <c r="R1274" s="21">
        <f>'Raw Data'!R1274</f>
        <v>3</v>
      </c>
      <c r="S1274" s="21">
        <f>IF('Raw Data'!S1274="",ROUND(AVERAGE('Raw Data'!$S$2:$S$1501),0),'Raw Data'!S1274)</f>
        <v>5</v>
      </c>
      <c r="T1274" s="21">
        <f>'Raw Data'!T1274</f>
        <v>325</v>
      </c>
      <c r="U1274" s="21" t="str">
        <f>INDEX('Lookup Tables'!$C$7:$C$9,MATCH(E1274,'Lookup Tables'!$B$7:$B$9,0))</f>
        <v>Tier 1 (Metro)</v>
      </c>
      <c r="V1274" s="21" t="str">
        <f t="shared" si="57"/>
        <v>13-24 months</v>
      </c>
      <c r="W1274" s="21" t="str">
        <f t="shared" si="58"/>
        <v>Low Risk</v>
      </c>
      <c r="X1274" s="21" t="str">
        <f t="shared" si="59"/>
        <v>No</v>
      </c>
    </row>
    <row r="1275" spans="1:24" x14ac:dyDescent="0.3">
      <c r="A1275" s="21">
        <f>'Raw Data'!A1275</f>
        <v>51274</v>
      </c>
      <c r="B1275" s="21">
        <f>'Raw Data'!B1275</f>
        <v>0</v>
      </c>
      <c r="C1275" s="21">
        <f>'Raw Data'!C1275</f>
        <v>7</v>
      </c>
      <c r="D1275" s="21" t="str">
        <f>'Raw Data'!D1275</f>
        <v>Mobile Phone</v>
      </c>
      <c r="E1275" s="21">
        <f>'Raw Data'!E1275</f>
        <v>2</v>
      </c>
      <c r="F1275" s="21">
        <f>IF('Raw Data'!F1275="",ROUND(AVERAGE('Raw Data'!$F$2:$F$1501),1),'Raw Data'!F1275)</f>
        <v>22</v>
      </c>
      <c r="G1275" s="21" t="str">
        <f>'Raw Data'!G1275</f>
        <v>Credit Card</v>
      </c>
      <c r="H1275" s="21" t="str">
        <f>'Raw Data'!H1275</f>
        <v>Male</v>
      </c>
      <c r="I1275" s="21">
        <f>IF('Raw Data'!I1275="",ROUND(AVERAGE('Raw Data'!$I$2:$I$1501),1),'Raw Data'!I1275)</f>
        <v>2.2000000000000002</v>
      </c>
      <c r="J1275" s="21">
        <f>'Raw Data'!J1275</f>
        <v>3</v>
      </c>
      <c r="K1275" s="21" t="str">
        <f>'Raw Data'!K1275</f>
        <v>Laptop &amp; Accessory</v>
      </c>
      <c r="L1275" s="21">
        <f>'Raw Data'!L1275</f>
        <v>4</v>
      </c>
      <c r="M1275" s="21" t="str">
        <f>'Raw Data'!M1275</f>
        <v>Married</v>
      </c>
      <c r="N1275" s="21">
        <f>'Raw Data'!N1275</f>
        <v>1</v>
      </c>
      <c r="O1275" s="21">
        <f>'Raw Data'!O1275</f>
        <v>0</v>
      </c>
      <c r="P1275" s="21">
        <f>IF('Raw Data'!P1275="",ROUND(AVERAGE('Raw Data'!$P$2:$P$1501),1),'Raw Data'!P1275)</f>
        <v>15.2</v>
      </c>
      <c r="Q1275" s="21">
        <f>IF('Raw Data'!Q1275="",ROUND(AVERAGE('Raw Data'!$Q$2:$Q$1501),0),'Raw Data'!Q1275)</f>
        <v>3</v>
      </c>
      <c r="R1275" s="21">
        <f>'Raw Data'!R1275</f>
        <v>6</v>
      </c>
      <c r="S1275" s="21">
        <f>IF('Raw Data'!S1275="",ROUND(AVERAGE('Raw Data'!$S$2:$S$1501),0),'Raw Data'!S1275)</f>
        <v>4</v>
      </c>
      <c r="T1275" s="21">
        <f>'Raw Data'!T1275</f>
        <v>120.76</v>
      </c>
      <c r="U1275" s="21" t="str">
        <f>INDEX('Lookup Tables'!$C$7:$C$9,MATCH(E1275,'Lookup Tables'!$B$7:$B$9,0))</f>
        <v>Tier 2 (Urban)</v>
      </c>
      <c r="V1275" s="21" t="str">
        <f t="shared" si="57"/>
        <v>7-12 months</v>
      </c>
      <c r="W1275" s="21" t="str">
        <f t="shared" si="58"/>
        <v>Low Risk</v>
      </c>
      <c r="X1275" s="21" t="str">
        <f t="shared" si="59"/>
        <v>No</v>
      </c>
    </row>
    <row r="1276" spans="1:24" x14ac:dyDescent="0.3">
      <c r="A1276" s="21">
        <f>'Raw Data'!A1276</f>
        <v>51275</v>
      </c>
      <c r="B1276" s="21">
        <f>'Raw Data'!B1276</f>
        <v>0</v>
      </c>
      <c r="C1276" s="21">
        <f>'Raw Data'!C1276</f>
        <v>2</v>
      </c>
      <c r="D1276" s="21" t="str">
        <f>'Raw Data'!D1276</f>
        <v>Computer</v>
      </c>
      <c r="E1276" s="21">
        <f>'Raw Data'!E1276</f>
        <v>3</v>
      </c>
      <c r="F1276" s="21">
        <f>IF('Raw Data'!F1276="",ROUND(AVERAGE('Raw Data'!$F$2:$F$1501),1),'Raw Data'!F1276)</f>
        <v>13</v>
      </c>
      <c r="G1276" s="21" t="str">
        <f>'Raw Data'!G1276</f>
        <v>Debit Card</v>
      </c>
      <c r="H1276" s="21" t="str">
        <f>'Raw Data'!H1276</f>
        <v>Female</v>
      </c>
      <c r="I1276" s="21">
        <f>IF('Raw Data'!I1276="",ROUND(AVERAGE('Raw Data'!$I$2:$I$1501),1),'Raw Data'!I1276)</f>
        <v>2.6</v>
      </c>
      <c r="J1276" s="21">
        <f>'Raw Data'!J1276</f>
        <v>3</v>
      </c>
      <c r="K1276" s="21" t="str">
        <f>'Raw Data'!K1276</f>
        <v>Laptop &amp; Accessory</v>
      </c>
      <c r="L1276" s="21">
        <f>'Raw Data'!L1276</f>
        <v>5</v>
      </c>
      <c r="M1276" s="21" t="str">
        <f>'Raw Data'!M1276</f>
        <v>Single</v>
      </c>
      <c r="N1276" s="21">
        <f>'Raw Data'!N1276</f>
        <v>7</v>
      </c>
      <c r="O1276" s="21">
        <f>'Raw Data'!O1276</f>
        <v>0</v>
      </c>
      <c r="P1276" s="21">
        <f>IF('Raw Data'!P1276="",ROUND(AVERAGE('Raw Data'!$P$2:$P$1501),1),'Raw Data'!P1276)</f>
        <v>13.7</v>
      </c>
      <c r="Q1276" s="21">
        <f>IF('Raw Data'!Q1276="",ROUND(AVERAGE('Raw Data'!$Q$2:$Q$1501),0),'Raw Data'!Q1276)</f>
        <v>1</v>
      </c>
      <c r="R1276" s="21">
        <f>'Raw Data'!R1276</f>
        <v>3</v>
      </c>
      <c r="S1276" s="21">
        <f>IF('Raw Data'!S1276="",ROUND(AVERAGE('Raw Data'!$S$2:$S$1501),0),'Raw Data'!S1276)</f>
        <v>3</v>
      </c>
      <c r="T1276" s="21">
        <f>'Raw Data'!T1276</f>
        <v>145.57</v>
      </c>
      <c r="U1276" s="21" t="str">
        <f>INDEX('Lookup Tables'!$C$7:$C$9,MATCH(E1276,'Lookup Tables'!$B$7:$B$9,0))</f>
        <v>Tier 3 (Semi-urban/Rural)</v>
      </c>
      <c r="V1276" s="21" t="str">
        <f t="shared" si="57"/>
        <v>0-6 months</v>
      </c>
      <c r="W1276" s="21" t="str">
        <f t="shared" si="58"/>
        <v>Low Risk</v>
      </c>
      <c r="X1276" s="21" t="str">
        <f t="shared" si="59"/>
        <v>No</v>
      </c>
    </row>
    <row r="1277" spans="1:24" x14ac:dyDescent="0.3">
      <c r="A1277" s="21">
        <f>'Raw Data'!A1277</f>
        <v>51276</v>
      </c>
      <c r="B1277" s="21">
        <f>'Raw Data'!B1277</f>
        <v>0</v>
      </c>
      <c r="C1277" s="21">
        <f>'Raw Data'!C1277</f>
        <v>21</v>
      </c>
      <c r="D1277" s="21" t="str">
        <f>'Raw Data'!D1277</f>
        <v>Mobile Phone</v>
      </c>
      <c r="E1277" s="21">
        <f>'Raw Data'!E1277</f>
        <v>3</v>
      </c>
      <c r="F1277" s="21">
        <f>IF('Raw Data'!F1277="",ROUND(AVERAGE('Raw Data'!$F$2:$F$1501),1),'Raw Data'!F1277)</f>
        <v>14.8</v>
      </c>
      <c r="G1277" s="21" t="str">
        <f>'Raw Data'!G1277</f>
        <v>Debit Card</v>
      </c>
      <c r="H1277" s="21" t="str">
        <f>'Raw Data'!H1277</f>
        <v>Male</v>
      </c>
      <c r="I1277" s="21">
        <f>IF('Raw Data'!I1277="",ROUND(AVERAGE('Raw Data'!$I$2:$I$1501),1),'Raw Data'!I1277)</f>
        <v>2.1</v>
      </c>
      <c r="J1277" s="21">
        <f>'Raw Data'!J1277</f>
        <v>5</v>
      </c>
      <c r="K1277" s="21" t="str">
        <f>'Raw Data'!K1277</f>
        <v>Fashion</v>
      </c>
      <c r="L1277" s="21">
        <f>'Raw Data'!L1277</f>
        <v>5</v>
      </c>
      <c r="M1277" s="21" t="str">
        <f>'Raw Data'!M1277</f>
        <v>Married</v>
      </c>
      <c r="N1277" s="21">
        <f>'Raw Data'!N1277</f>
        <v>9</v>
      </c>
      <c r="O1277" s="21">
        <f>'Raw Data'!O1277</f>
        <v>0</v>
      </c>
      <c r="P1277" s="21">
        <f>IF('Raw Data'!P1277="",ROUND(AVERAGE('Raw Data'!$P$2:$P$1501),1),'Raw Data'!P1277)</f>
        <v>11</v>
      </c>
      <c r="Q1277" s="21">
        <f>IF('Raw Data'!Q1277="",ROUND(AVERAGE('Raw Data'!$Q$2:$Q$1501),0),'Raw Data'!Q1277)</f>
        <v>1</v>
      </c>
      <c r="R1277" s="21">
        <f>'Raw Data'!R1277</f>
        <v>3</v>
      </c>
      <c r="S1277" s="21">
        <f>IF('Raw Data'!S1277="",ROUND(AVERAGE('Raw Data'!$S$2:$S$1501),0),'Raw Data'!S1277)</f>
        <v>3</v>
      </c>
      <c r="T1277" s="21">
        <f>'Raw Data'!T1277</f>
        <v>224.88</v>
      </c>
      <c r="U1277" s="21" t="str">
        <f>INDEX('Lookup Tables'!$C$7:$C$9,MATCH(E1277,'Lookup Tables'!$B$7:$B$9,0))</f>
        <v>Tier 3 (Semi-urban/Rural)</v>
      </c>
      <c r="V1277" s="21" t="str">
        <f t="shared" si="57"/>
        <v>13-24 months</v>
      </c>
      <c r="W1277" s="21" t="str">
        <f t="shared" si="58"/>
        <v>Low Risk</v>
      </c>
      <c r="X1277" s="21" t="str">
        <f t="shared" si="59"/>
        <v>No</v>
      </c>
    </row>
    <row r="1278" spans="1:24" x14ac:dyDescent="0.3">
      <c r="A1278" s="21">
        <f>'Raw Data'!A1278</f>
        <v>51277</v>
      </c>
      <c r="B1278" s="21">
        <f>'Raw Data'!B1278</f>
        <v>0</v>
      </c>
      <c r="C1278" s="21">
        <f>'Raw Data'!C1278</f>
        <v>21</v>
      </c>
      <c r="D1278" s="21" t="str">
        <f>'Raw Data'!D1278</f>
        <v>Mobile Phone</v>
      </c>
      <c r="E1278" s="21">
        <f>'Raw Data'!E1278</f>
        <v>3</v>
      </c>
      <c r="F1278" s="21">
        <f>IF('Raw Data'!F1278="",ROUND(AVERAGE('Raw Data'!$F$2:$F$1501),1),'Raw Data'!F1278)</f>
        <v>5</v>
      </c>
      <c r="G1278" s="21" t="str">
        <f>'Raw Data'!G1278</f>
        <v>Debit Card</v>
      </c>
      <c r="H1278" s="21" t="str">
        <f>'Raw Data'!H1278</f>
        <v>Male</v>
      </c>
      <c r="I1278" s="21">
        <f>IF('Raw Data'!I1278="",ROUND(AVERAGE('Raw Data'!$I$2:$I$1501),1),'Raw Data'!I1278)</f>
        <v>2.6</v>
      </c>
      <c r="J1278" s="21">
        <f>'Raw Data'!J1278</f>
        <v>2</v>
      </c>
      <c r="K1278" s="21" t="str">
        <f>'Raw Data'!K1278</f>
        <v>Mobile Phone</v>
      </c>
      <c r="L1278" s="21">
        <f>'Raw Data'!L1278</f>
        <v>4</v>
      </c>
      <c r="M1278" s="21" t="str">
        <f>'Raw Data'!M1278</f>
        <v>Married</v>
      </c>
      <c r="N1278" s="21">
        <f>'Raw Data'!N1278</f>
        <v>1</v>
      </c>
      <c r="O1278" s="21">
        <f>'Raw Data'!O1278</f>
        <v>0</v>
      </c>
      <c r="P1278" s="21">
        <f>IF('Raw Data'!P1278="",ROUND(AVERAGE('Raw Data'!$P$2:$P$1501),1),'Raw Data'!P1278)</f>
        <v>19.399999999999999</v>
      </c>
      <c r="Q1278" s="21">
        <f>IF('Raw Data'!Q1278="",ROUND(AVERAGE('Raw Data'!$Q$2:$Q$1501),0),'Raw Data'!Q1278)</f>
        <v>2</v>
      </c>
      <c r="R1278" s="21">
        <f>'Raw Data'!R1278</f>
        <v>4</v>
      </c>
      <c r="S1278" s="21">
        <f>IF('Raw Data'!S1278="",ROUND(AVERAGE('Raw Data'!$S$2:$S$1501),0),'Raw Data'!S1278)</f>
        <v>14</v>
      </c>
      <c r="T1278" s="21">
        <f>'Raw Data'!T1278</f>
        <v>168.99</v>
      </c>
      <c r="U1278" s="21" t="str">
        <f>INDEX('Lookup Tables'!$C$7:$C$9,MATCH(E1278,'Lookup Tables'!$B$7:$B$9,0))</f>
        <v>Tier 3 (Semi-urban/Rural)</v>
      </c>
      <c r="V1278" s="21" t="str">
        <f t="shared" si="57"/>
        <v>13-24 months</v>
      </c>
      <c r="W1278" s="21" t="str">
        <f t="shared" si="58"/>
        <v>Low Risk</v>
      </c>
      <c r="X1278" s="21" t="str">
        <f t="shared" si="59"/>
        <v>No</v>
      </c>
    </row>
    <row r="1279" spans="1:24" x14ac:dyDescent="0.3">
      <c r="A1279" s="21">
        <f>'Raw Data'!A1279</f>
        <v>51278</v>
      </c>
      <c r="B1279" s="21">
        <f>'Raw Data'!B1279</f>
        <v>0</v>
      </c>
      <c r="C1279" s="21">
        <f>'Raw Data'!C1279</f>
        <v>20</v>
      </c>
      <c r="D1279" s="21" t="str">
        <f>'Raw Data'!D1279</f>
        <v>Computer</v>
      </c>
      <c r="E1279" s="21">
        <f>'Raw Data'!E1279</f>
        <v>1</v>
      </c>
      <c r="F1279" s="21">
        <f>IF('Raw Data'!F1279="",ROUND(AVERAGE('Raw Data'!$F$2:$F$1501),1),'Raw Data'!F1279)</f>
        <v>6</v>
      </c>
      <c r="G1279" s="21" t="str">
        <f>'Raw Data'!G1279</f>
        <v>Debit Card</v>
      </c>
      <c r="H1279" s="21" t="str">
        <f>'Raw Data'!H1279</f>
        <v>Female</v>
      </c>
      <c r="I1279" s="21">
        <f>IF('Raw Data'!I1279="",ROUND(AVERAGE('Raw Data'!$I$2:$I$1501),1),'Raw Data'!I1279)</f>
        <v>2.6</v>
      </c>
      <c r="J1279" s="21">
        <f>'Raw Data'!J1279</f>
        <v>3</v>
      </c>
      <c r="K1279" s="21" t="str">
        <f>'Raw Data'!K1279</f>
        <v>Fashion</v>
      </c>
      <c r="L1279" s="21">
        <f>'Raw Data'!L1279</f>
        <v>4</v>
      </c>
      <c r="M1279" s="21" t="str">
        <f>'Raw Data'!M1279</f>
        <v>Married</v>
      </c>
      <c r="N1279" s="21">
        <f>'Raw Data'!N1279</f>
        <v>15</v>
      </c>
      <c r="O1279" s="21">
        <f>'Raw Data'!O1279</f>
        <v>0</v>
      </c>
      <c r="P1279" s="21">
        <f>IF('Raw Data'!P1279="",ROUND(AVERAGE('Raw Data'!$P$2:$P$1501),1),'Raw Data'!P1279)</f>
        <v>16</v>
      </c>
      <c r="Q1279" s="21">
        <f>IF('Raw Data'!Q1279="",ROUND(AVERAGE('Raw Data'!$Q$2:$Q$1501),0),'Raw Data'!Q1279)</f>
        <v>3</v>
      </c>
      <c r="R1279" s="21">
        <f>'Raw Data'!R1279</f>
        <v>5</v>
      </c>
      <c r="S1279" s="21">
        <f>IF('Raw Data'!S1279="",ROUND(AVERAGE('Raw Data'!$S$2:$S$1501),0),'Raw Data'!S1279)</f>
        <v>13</v>
      </c>
      <c r="T1279" s="21">
        <f>'Raw Data'!T1279</f>
        <v>154.53</v>
      </c>
      <c r="U1279" s="21" t="str">
        <f>INDEX('Lookup Tables'!$C$7:$C$9,MATCH(E1279,'Lookup Tables'!$B$7:$B$9,0))</f>
        <v>Tier 1 (Metro)</v>
      </c>
      <c r="V1279" s="21" t="str">
        <f t="shared" si="57"/>
        <v>13-24 months</v>
      </c>
      <c r="W1279" s="21" t="str">
        <f t="shared" si="58"/>
        <v>Low Risk</v>
      </c>
      <c r="X1279" s="21" t="str">
        <f t="shared" si="59"/>
        <v>No</v>
      </c>
    </row>
    <row r="1280" spans="1:24" x14ac:dyDescent="0.3">
      <c r="A1280" s="21">
        <f>'Raw Data'!A1280</f>
        <v>51279</v>
      </c>
      <c r="B1280" s="21">
        <f>'Raw Data'!B1280</f>
        <v>0</v>
      </c>
      <c r="C1280" s="21">
        <f>'Raw Data'!C1280</f>
        <v>2</v>
      </c>
      <c r="D1280" s="21" t="str">
        <f>'Raw Data'!D1280</f>
        <v>Mobile Phone</v>
      </c>
      <c r="E1280" s="21">
        <f>'Raw Data'!E1280</f>
        <v>1</v>
      </c>
      <c r="F1280" s="21">
        <f>IF('Raw Data'!F1280="",ROUND(AVERAGE('Raw Data'!$F$2:$F$1501),1),'Raw Data'!F1280)</f>
        <v>5</v>
      </c>
      <c r="G1280" s="21" t="str">
        <f>'Raw Data'!G1280</f>
        <v>Credit Card</v>
      </c>
      <c r="H1280" s="21" t="str">
        <f>'Raw Data'!H1280</f>
        <v>Female</v>
      </c>
      <c r="I1280" s="21">
        <f>IF('Raw Data'!I1280="",ROUND(AVERAGE('Raw Data'!$I$2:$I$1501),1),'Raw Data'!I1280)</f>
        <v>3</v>
      </c>
      <c r="J1280" s="21">
        <f>'Raw Data'!J1280</f>
        <v>2</v>
      </c>
      <c r="K1280" s="21" t="str">
        <f>'Raw Data'!K1280</f>
        <v>Mobile Phone</v>
      </c>
      <c r="L1280" s="21">
        <f>'Raw Data'!L1280</f>
        <v>3</v>
      </c>
      <c r="M1280" s="21" t="str">
        <f>'Raw Data'!M1280</f>
        <v>Married</v>
      </c>
      <c r="N1280" s="21">
        <f>'Raw Data'!N1280</f>
        <v>4</v>
      </c>
      <c r="O1280" s="21">
        <f>'Raw Data'!O1280</f>
        <v>0</v>
      </c>
      <c r="P1280" s="21">
        <f>IF('Raw Data'!P1280="",ROUND(AVERAGE('Raw Data'!$P$2:$P$1501),1),'Raw Data'!P1280)</f>
        <v>16.7</v>
      </c>
      <c r="Q1280" s="21">
        <f>IF('Raw Data'!Q1280="",ROUND(AVERAGE('Raw Data'!$Q$2:$Q$1501),0),'Raw Data'!Q1280)</f>
        <v>3</v>
      </c>
      <c r="R1280" s="21">
        <f>'Raw Data'!R1280</f>
        <v>3</v>
      </c>
      <c r="S1280" s="21">
        <f>IF('Raw Data'!S1280="",ROUND(AVERAGE('Raw Data'!$S$2:$S$1501),0),'Raw Data'!S1280)</f>
        <v>4</v>
      </c>
      <c r="T1280" s="21">
        <f>'Raw Data'!T1280</f>
        <v>232.66</v>
      </c>
      <c r="U1280" s="21" t="str">
        <f>INDEX('Lookup Tables'!$C$7:$C$9,MATCH(E1280,'Lookup Tables'!$B$7:$B$9,0))</f>
        <v>Tier 1 (Metro)</v>
      </c>
      <c r="V1280" s="21" t="str">
        <f t="shared" si="57"/>
        <v>0-6 months</v>
      </c>
      <c r="W1280" s="21" t="str">
        <f t="shared" si="58"/>
        <v>Medium Risk</v>
      </c>
      <c r="X1280" s="21" t="str">
        <f t="shared" si="59"/>
        <v>No</v>
      </c>
    </row>
    <row r="1281" spans="1:24" x14ac:dyDescent="0.3">
      <c r="A1281" s="21">
        <f>'Raw Data'!A1281</f>
        <v>51280</v>
      </c>
      <c r="B1281" s="21">
        <f>'Raw Data'!B1281</f>
        <v>0</v>
      </c>
      <c r="C1281" s="21">
        <f>'Raw Data'!C1281</f>
        <v>6</v>
      </c>
      <c r="D1281" s="21" t="str">
        <f>'Raw Data'!D1281</f>
        <v>Mobile Phone</v>
      </c>
      <c r="E1281" s="21">
        <f>'Raw Data'!E1281</f>
        <v>1</v>
      </c>
      <c r="F1281" s="21">
        <f>IF('Raw Data'!F1281="",ROUND(AVERAGE('Raw Data'!$F$2:$F$1501),1),'Raw Data'!F1281)</f>
        <v>14</v>
      </c>
      <c r="G1281" s="21" t="str">
        <f>'Raw Data'!G1281</f>
        <v>Debit Card</v>
      </c>
      <c r="H1281" s="21" t="str">
        <f>'Raw Data'!H1281</f>
        <v>Male</v>
      </c>
      <c r="I1281" s="21">
        <f>IF('Raw Data'!I1281="",ROUND(AVERAGE('Raw Data'!$I$2:$I$1501),1),'Raw Data'!I1281)</f>
        <v>1.8</v>
      </c>
      <c r="J1281" s="21">
        <f>'Raw Data'!J1281</f>
        <v>4</v>
      </c>
      <c r="K1281" s="21" t="str">
        <f>'Raw Data'!K1281</f>
        <v>Mobile Phone</v>
      </c>
      <c r="L1281" s="21">
        <f>'Raw Data'!L1281</f>
        <v>3</v>
      </c>
      <c r="M1281" s="21" t="str">
        <f>'Raw Data'!M1281</f>
        <v>Married</v>
      </c>
      <c r="N1281" s="21">
        <f>'Raw Data'!N1281</f>
        <v>2</v>
      </c>
      <c r="O1281" s="21">
        <f>'Raw Data'!O1281</f>
        <v>0</v>
      </c>
      <c r="P1281" s="21">
        <f>IF('Raw Data'!P1281="",ROUND(AVERAGE('Raw Data'!$P$2:$P$1501),1),'Raw Data'!P1281)</f>
        <v>19.7</v>
      </c>
      <c r="Q1281" s="21">
        <f>IF('Raw Data'!Q1281="",ROUND(AVERAGE('Raw Data'!$Q$2:$Q$1501),0),'Raw Data'!Q1281)</f>
        <v>2</v>
      </c>
      <c r="R1281" s="21">
        <f>'Raw Data'!R1281</f>
        <v>4</v>
      </c>
      <c r="S1281" s="21">
        <f>IF('Raw Data'!S1281="",ROUND(AVERAGE('Raw Data'!$S$2:$S$1501),0),'Raw Data'!S1281)</f>
        <v>2</v>
      </c>
      <c r="T1281" s="21">
        <f>'Raw Data'!T1281</f>
        <v>165.34</v>
      </c>
      <c r="U1281" s="21" t="str">
        <f>INDEX('Lookup Tables'!$C$7:$C$9,MATCH(E1281,'Lookup Tables'!$B$7:$B$9,0))</f>
        <v>Tier 1 (Metro)</v>
      </c>
      <c r="V1281" s="21" t="str">
        <f t="shared" si="57"/>
        <v>0-6 months</v>
      </c>
      <c r="W1281" s="21" t="str">
        <f t="shared" si="58"/>
        <v>Medium Risk</v>
      </c>
      <c r="X1281" s="21" t="str">
        <f t="shared" si="59"/>
        <v>No</v>
      </c>
    </row>
    <row r="1282" spans="1:24" x14ac:dyDescent="0.3">
      <c r="A1282" s="21">
        <f>'Raw Data'!A1282</f>
        <v>51281</v>
      </c>
      <c r="B1282" s="21">
        <f>'Raw Data'!B1282</f>
        <v>0</v>
      </c>
      <c r="C1282" s="21">
        <f>'Raw Data'!C1282</f>
        <v>41</v>
      </c>
      <c r="D1282" s="21" t="str">
        <f>'Raw Data'!D1282</f>
        <v>Mobile Phone</v>
      </c>
      <c r="E1282" s="21">
        <f>'Raw Data'!E1282</f>
        <v>3</v>
      </c>
      <c r="F1282" s="21">
        <f>IF('Raw Data'!F1282="",ROUND(AVERAGE('Raw Data'!$F$2:$F$1501),1),'Raw Data'!F1282)</f>
        <v>10</v>
      </c>
      <c r="G1282" s="21" t="str">
        <f>'Raw Data'!G1282</f>
        <v>UPI</v>
      </c>
      <c r="H1282" s="21" t="str">
        <f>'Raw Data'!H1282</f>
        <v>Male</v>
      </c>
      <c r="I1282" s="21">
        <f>IF('Raw Data'!I1282="",ROUND(AVERAGE('Raw Data'!$I$2:$I$1501),1),'Raw Data'!I1282)</f>
        <v>1.9</v>
      </c>
      <c r="J1282" s="21">
        <f>'Raw Data'!J1282</f>
        <v>2</v>
      </c>
      <c r="K1282" s="21" t="str">
        <f>'Raw Data'!K1282</f>
        <v>Mobile Phone</v>
      </c>
      <c r="L1282" s="21">
        <f>'Raw Data'!L1282</f>
        <v>4</v>
      </c>
      <c r="M1282" s="21" t="str">
        <f>'Raw Data'!M1282</f>
        <v>Single</v>
      </c>
      <c r="N1282" s="21">
        <f>'Raw Data'!N1282</f>
        <v>1</v>
      </c>
      <c r="O1282" s="21">
        <f>'Raw Data'!O1282</f>
        <v>0</v>
      </c>
      <c r="P1282" s="21">
        <f>IF('Raw Data'!P1282="",ROUND(AVERAGE('Raw Data'!$P$2:$P$1501),1),'Raw Data'!P1282)</f>
        <v>14.3</v>
      </c>
      <c r="Q1282" s="21">
        <f>IF('Raw Data'!Q1282="",ROUND(AVERAGE('Raw Data'!$Q$2:$Q$1501),0),'Raw Data'!Q1282)</f>
        <v>0</v>
      </c>
      <c r="R1282" s="21">
        <f>'Raw Data'!R1282</f>
        <v>6</v>
      </c>
      <c r="S1282" s="21">
        <f>IF('Raw Data'!S1282="",ROUND(AVERAGE('Raw Data'!$S$2:$S$1501),0),'Raw Data'!S1282)</f>
        <v>4</v>
      </c>
      <c r="T1282" s="21">
        <f>'Raw Data'!T1282</f>
        <v>130.94999999999999</v>
      </c>
      <c r="U1282" s="21" t="str">
        <f>INDEX('Lookup Tables'!$C$7:$C$9,MATCH(E1282,'Lookup Tables'!$B$7:$B$9,0))</f>
        <v>Tier 3 (Semi-urban/Rural)</v>
      </c>
      <c r="V1282" s="21" t="str">
        <f t="shared" ref="V1282:V1345" si="60">IF(C1282&lt;=6,"0-6 months",IF(C1282&lt;=12,"7-12 months",IF(C1282&lt;=24,"13-24 months","25+ months")))</f>
        <v>25+ months</v>
      </c>
      <c r="W1282" s="21" t="str">
        <f t="shared" ref="W1282:W1345" si="61">IF(AND(O1282=1,L1282&lt;=2),"High Risk",IF(OR(L1282=3,S1282&gt;15),"Medium Risk","Low Risk"))</f>
        <v>Low Risk</v>
      </c>
      <c r="X1282" s="21" t="str">
        <f t="shared" ref="X1282:X1345" si="62">IF(B1282=1,"Yes","No")</f>
        <v>No</v>
      </c>
    </row>
    <row r="1283" spans="1:24" x14ac:dyDescent="0.3">
      <c r="A1283" s="21">
        <f>'Raw Data'!A1283</f>
        <v>51282</v>
      </c>
      <c r="B1283" s="21">
        <f>'Raw Data'!B1283</f>
        <v>0</v>
      </c>
      <c r="C1283" s="21">
        <f>'Raw Data'!C1283</f>
        <v>14</v>
      </c>
      <c r="D1283" s="21" t="str">
        <f>'Raw Data'!D1283</f>
        <v>Mobile Phone</v>
      </c>
      <c r="E1283" s="21">
        <f>'Raw Data'!E1283</f>
        <v>1</v>
      </c>
      <c r="F1283" s="21">
        <f>IF('Raw Data'!F1283="",ROUND(AVERAGE('Raw Data'!$F$2:$F$1501),1),'Raw Data'!F1283)</f>
        <v>7</v>
      </c>
      <c r="G1283" s="21" t="str">
        <f>'Raw Data'!G1283</f>
        <v>E wallet</v>
      </c>
      <c r="H1283" s="21" t="str">
        <f>'Raw Data'!H1283</f>
        <v>Male</v>
      </c>
      <c r="I1283" s="21">
        <f>IF('Raw Data'!I1283="",ROUND(AVERAGE('Raw Data'!$I$2:$I$1501),1),'Raw Data'!I1283)</f>
        <v>3.2</v>
      </c>
      <c r="J1283" s="21">
        <f>'Raw Data'!J1283</f>
        <v>3</v>
      </c>
      <c r="K1283" s="21" t="str">
        <f>'Raw Data'!K1283</f>
        <v>Fashion</v>
      </c>
      <c r="L1283" s="21">
        <f>'Raw Data'!L1283</f>
        <v>5</v>
      </c>
      <c r="M1283" s="21" t="str">
        <f>'Raw Data'!M1283</f>
        <v>Single</v>
      </c>
      <c r="N1283" s="21">
        <f>'Raw Data'!N1283</f>
        <v>2</v>
      </c>
      <c r="O1283" s="21">
        <f>'Raw Data'!O1283</f>
        <v>0</v>
      </c>
      <c r="P1283" s="21">
        <f>IF('Raw Data'!P1283="",ROUND(AVERAGE('Raw Data'!$P$2:$P$1501),1),'Raw Data'!P1283)</f>
        <v>11.2</v>
      </c>
      <c r="Q1283" s="21">
        <f>IF('Raw Data'!Q1283="",ROUND(AVERAGE('Raw Data'!$Q$2:$Q$1501),0),'Raw Data'!Q1283)</f>
        <v>1</v>
      </c>
      <c r="R1283" s="21">
        <f>'Raw Data'!R1283</f>
        <v>5</v>
      </c>
      <c r="S1283" s="21">
        <f>IF('Raw Data'!S1283="",ROUND(AVERAGE('Raw Data'!$S$2:$S$1501),0),'Raw Data'!S1283)</f>
        <v>0</v>
      </c>
      <c r="T1283" s="21">
        <f>'Raw Data'!T1283</f>
        <v>219.94</v>
      </c>
      <c r="U1283" s="21" t="str">
        <f>INDEX('Lookup Tables'!$C$7:$C$9,MATCH(E1283,'Lookup Tables'!$B$7:$B$9,0))</f>
        <v>Tier 1 (Metro)</v>
      </c>
      <c r="V1283" s="21" t="str">
        <f t="shared" si="60"/>
        <v>13-24 months</v>
      </c>
      <c r="W1283" s="21" t="str">
        <f t="shared" si="61"/>
        <v>Low Risk</v>
      </c>
      <c r="X1283" s="21" t="str">
        <f t="shared" si="62"/>
        <v>No</v>
      </c>
    </row>
    <row r="1284" spans="1:24" x14ac:dyDescent="0.3">
      <c r="A1284" s="21">
        <f>'Raw Data'!A1284</f>
        <v>51283</v>
      </c>
      <c r="B1284" s="21">
        <f>'Raw Data'!B1284</f>
        <v>1</v>
      </c>
      <c r="C1284" s="21">
        <f>'Raw Data'!C1284</f>
        <v>0</v>
      </c>
      <c r="D1284" s="21" t="str">
        <f>'Raw Data'!D1284</f>
        <v>Computer</v>
      </c>
      <c r="E1284" s="21">
        <f>'Raw Data'!E1284</f>
        <v>1</v>
      </c>
      <c r="F1284" s="21">
        <f>IF('Raw Data'!F1284="",ROUND(AVERAGE('Raw Data'!$F$2:$F$1501),1),'Raw Data'!F1284)</f>
        <v>14.8</v>
      </c>
      <c r="G1284" s="21" t="str">
        <f>'Raw Data'!G1284</f>
        <v>Debit Card</v>
      </c>
      <c r="H1284" s="21" t="str">
        <f>'Raw Data'!H1284</f>
        <v>Male</v>
      </c>
      <c r="I1284" s="21">
        <f>IF('Raw Data'!I1284="",ROUND(AVERAGE('Raw Data'!$I$2:$I$1501),1),'Raw Data'!I1284)</f>
        <v>2.2999999999999998</v>
      </c>
      <c r="J1284" s="21">
        <f>'Raw Data'!J1284</f>
        <v>3</v>
      </c>
      <c r="K1284" s="21" t="str">
        <f>'Raw Data'!K1284</f>
        <v>Mobile Phone</v>
      </c>
      <c r="L1284" s="21">
        <f>'Raw Data'!L1284</f>
        <v>3</v>
      </c>
      <c r="M1284" s="21" t="str">
        <f>'Raw Data'!M1284</f>
        <v>Single</v>
      </c>
      <c r="N1284" s="21">
        <f>'Raw Data'!N1284</f>
        <v>1</v>
      </c>
      <c r="O1284" s="21">
        <f>'Raw Data'!O1284</f>
        <v>0</v>
      </c>
      <c r="P1284" s="21">
        <f>IF('Raw Data'!P1284="",ROUND(AVERAGE('Raw Data'!$P$2:$P$1501),1),'Raw Data'!P1284)</f>
        <v>16.2</v>
      </c>
      <c r="Q1284" s="21">
        <f>IF('Raw Data'!Q1284="",ROUND(AVERAGE('Raw Data'!$Q$2:$Q$1501),0),'Raw Data'!Q1284)</f>
        <v>2</v>
      </c>
      <c r="R1284" s="21">
        <f>'Raw Data'!R1284</f>
        <v>3</v>
      </c>
      <c r="S1284" s="21">
        <f>IF('Raw Data'!S1284="",ROUND(AVERAGE('Raw Data'!$S$2:$S$1501),0),'Raw Data'!S1284)</f>
        <v>1</v>
      </c>
      <c r="T1284" s="21">
        <f>'Raw Data'!T1284</f>
        <v>200.64</v>
      </c>
      <c r="U1284" s="21" t="str">
        <f>INDEX('Lookup Tables'!$C$7:$C$9,MATCH(E1284,'Lookup Tables'!$B$7:$B$9,0))</f>
        <v>Tier 1 (Metro)</v>
      </c>
      <c r="V1284" s="21" t="str">
        <f t="shared" si="60"/>
        <v>0-6 months</v>
      </c>
      <c r="W1284" s="21" t="str">
        <f t="shared" si="61"/>
        <v>Medium Risk</v>
      </c>
      <c r="X1284" s="21" t="str">
        <f t="shared" si="62"/>
        <v>Yes</v>
      </c>
    </row>
    <row r="1285" spans="1:24" x14ac:dyDescent="0.3">
      <c r="A1285" s="21">
        <f>'Raw Data'!A1285</f>
        <v>51284</v>
      </c>
      <c r="B1285" s="21">
        <f>'Raw Data'!B1285</f>
        <v>0</v>
      </c>
      <c r="C1285" s="21">
        <f>'Raw Data'!C1285</f>
        <v>0</v>
      </c>
      <c r="D1285" s="21" t="str">
        <f>'Raw Data'!D1285</f>
        <v>Phone</v>
      </c>
      <c r="E1285" s="21">
        <f>'Raw Data'!E1285</f>
        <v>3</v>
      </c>
      <c r="F1285" s="21">
        <f>IF('Raw Data'!F1285="",ROUND(AVERAGE('Raw Data'!$F$2:$F$1501),1),'Raw Data'!F1285)</f>
        <v>17</v>
      </c>
      <c r="G1285" s="21" t="str">
        <f>'Raw Data'!G1285</f>
        <v>E wallet</v>
      </c>
      <c r="H1285" s="21" t="str">
        <f>'Raw Data'!H1285</f>
        <v>Female</v>
      </c>
      <c r="I1285" s="21">
        <f>IF('Raw Data'!I1285="",ROUND(AVERAGE('Raw Data'!$I$2:$I$1501),1),'Raw Data'!I1285)</f>
        <v>3.7</v>
      </c>
      <c r="J1285" s="21">
        <f>'Raw Data'!J1285</f>
        <v>3</v>
      </c>
      <c r="K1285" s="21" t="str">
        <f>'Raw Data'!K1285</f>
        <v>Others</v>
      </c>
      <c r="L1285" s="21">
        <f>'Raw Data'!L1285</f>
        <v>3</v>
      </c>
      <c r="M1285" s="21" t="str">
        <f>'Raw Data'!M1285</f>
        <v>Married</v>
      </c>
      <c r="N1285" s="21">
        <f>'Raw Data'!N1285</f>
        <v>3</v>
      </c>
      <c r="O1285" s="21">
        <f>'Raw Data'!O1285</f>
        <v>0</v>
      </c>
      <c r="P1285" s="21">
        <f>IF('Raw Data'!P1285="",ROUND(AVERAGE('Raw Data'!$P$2:$P$1501),1),'Raw Data'!P1285)</f>
        <v>17.100000000000001</v>
      </c>
      <c r="Q1285" s="21">
        <f>IF('Raw Data'!Q1285="",ROUND(AVERAGE('Raw Data'!$Q$2:$Q$1501),0),'Raw Data'!Q1285)</f>
        <v>0</v>
      </c>
      <c r="R1285" s="21">
        <f>'Raw Data'!R1285</f>
        <v>5</v>
      </c>
      <c r="S1285" s="21">
        <f>IF('Raw Data'!S1285="",ROUND(AVERAGE('Raw Data'!$S$2:$S$1501),0),'Raw Data'!S1285)</f>
        <v>1</v>
      </c>
      <c r="T1285" s="21">
        <f>'Raw Data'!T1285</f>
        <v>162.79</v>
      </c>
      <c r="U1285" s="21" t="str">
        <f>INDEX('Lookup Tables'!$C$7:$C$9,MATCH(E1285,'Lookup Tables'!$B$7:$B$9,0))</f>
        <v>Tier 3 (Semi-urban/Rural)</v>
      </c>
      <c r="V1285" s="21" t="str">
        <f t="shared" si="60"/>
        <v>0-6 months</v>
      </c>
      <c r="W1285" s="21" t="str">
        <f t="shared" si="61"/>
        <v>Medium Risk</v>
      </c>
      <c r="X1285" s="21" t="str">
        <f t="shared" si="62"/>
        <v>No</v>
      </c>
    </row>
    <row r="1286" spans="1:24" x14ac:dyDescent="0.3">
      <c r="A1286" s="21">
        <f>'Raw Data'!A1286</f>
        <v>51285</v>
      </c>
      <c r="B1286" s="21">
        <f>'Raw Data'!B1286</f>
        <v>0</v>
      </c>
      <c r="C1286" s="21">
        <f>'Raw Data'!C1286</f>
        <v>6</v>
      </c>
      <c r="D1286" s="21" t="str">
        <f>'Raw Data'!D1286</f>
        <v>Computer</v>
      </c>
      <c r="E1286" s="21">
        <f>'Raw Data'!E1286</f>
        <v>1</v>
      </c>
      <c r="F1286" s="21">
        <f>IF('Raw Data'!F1286="",ROUND(AVERAGE('Raw Data'!$F$2:$F$1501),1),'Raw Data'!F1286)</f>
        <v>31</v>
      </c>
      <c r="G1286" s="21" t="str">
        <f>'Raw Data'!G1286</f>
        <v>E wallet</v>
      </c>
      <c r="H1286" s="21" t="str">
        <f>'Raw Data'!H1286</f>
        <v>Female</v>
      </c>
      <c r="I1286" s="21">
        <f>IF('Raw Data'!I1286="",ROUND(AVERAGE('Raw Data'!$I$2:$I$1501),1),'Raw Data'!I1286)</f>
        <v>3.1</v>
      </c>
      <c r="J1286" s="21">
        <f>'Raw Data'!J1286</f>
        <v>3</v>
      </c>
      <c r="K1286" s="21" t="str">
        <f>'Raw Data'!K1286</f>
        <v>Others</v>
      </c>
      <c r="L1286" s="21">
        <f>'Raw Data'!L1286</f>
        <v>3</v>
      </c>
      <c r="M1286" s="21" t="str">
        <f>'Raw Data'!M1286</f>
        <v>Divorced</v>
      </c>
      <c r="N1286" s="21">
        <f>'Raw Data'!N1286</f>
        <v>1</v>
      </c>
      <c r="O1286" s="21">
        <f>'Raw Data'!O1286</f>
        <v>0</v>
      </c>
      <c r="P1286" s="21">
        <f>IF('Raw Data'!P1286="",ROUND(AVERAGE('Raw Data'!$P$2:$P$1501),1),'Raw Data'!P1286)</f>
        <v>15.1</v>
      </c>
      <c r="Q1286" s="21">
        <f>IF('Raw Data'!Q1286="",ROUND(AVERAGE('Raw Data'!$Q$2:$Q$1501),0),'Raw Data'!Q1286)</f>
        <v>4</v>
      </c>
      <c r="R1286" s="21">
        <f>'Raw Data'!R1286</f>
        <v>3</v>
      </c>
      <c r="S1286" s="21">
        <f>IF('Raw Data'!S1286="",ROUND(AVERAGE('Raw Data'!$S$2:$S$1501),0),'Raw Data'!S1286)</f>
        <v>1</v>
      </c>
      <c r="T1286" s="21">
        <f>'Raw Data'!T1286</f>
        <v>160.18</v>
      </c>
      <c r="U1286" s="21" t="str">
        <f>INDEX('Lookup Tables'!$C$7:$C$9,MATCH(E1286,'Lookup Tables'!$B$7:$B$9,0))</f>
        <v>Tier 1 (Metro)</v>
      </c>
      <c r="V1286" s="21" t="str">
        <f t="shared" si="60"/>
        <v>0-6 months</v>
      </c>
      <c r="W1286" s="21" t="str">
        <f t="shared" si="61"/>
        <v>Medium Risk</v>
      </c>
      <c r="X1286" s="21" t="str">
        <f t="shared" si="62"/>
        <v>No</v>
      </c>
    </row>
    <row r="1287" spans="1:24" x14ac:dyDescent="0.3">
      <c r="A1287" s="21">
        <f>'Raw Data'!A1287</f>
        <v>51286</v>
      </c>
      <c r="B1287" s="21">
        <f>'Raw Data'!B1287</f>
        <v>0</v>
      </c>
      <c r="C1287" s="21">
        <f>'Raw Data'!C1287</f>
        <v>23</v>
      </c>
      <c r="D1287" s="21" t="str">
        <f>'Raw Data'!D1287</f>
        <v>Mobile Phone</v>
      </c>
      <c r="E1287" s="21">
        <f>'Raw Data'!E1287</f>
        <v>3</v>
      </c>
      <c r="F1287" s="21">
        <f>IF('Raw Data'!F1287="",ROUND(AVERAGE('Raw Data'!$F$2:$F$1501),1),'Raw Data'!F1287)</f>
        <v>5</v>
      </c>
      <c r="G1287" s="21" t="str">
        <f>'Raw Data'!G1287</f>
        <v>Cash on Delivery</v>
      </c>
      <c r="H1287" s="21" t="str">
        <f>'Raw Data'!H1287</f>
        <v>Female</v>
      </c>
      <c r="I1287" s="21">
        <f>IF('Raw Data'!I1287="",ROUND(AVERAGE('Raw Data'!$I$2:$I$1501),1),'Raw Data'!I1287)</f>
        <v>3.3</v>
      </c>
      <c r="J1287" s="21">
        <f>'Raw Data'!J1287</f>
        <v>3</v>
      </c>
      <c r="K1287" s="21" t="str">
        <f>'Raw Data'!K1287</f>
        <v>Grocery</v>
      </c>
      <c r="L1287" s="21">
        <f>'Raw Data'!L1287</f>
        <v>3</v>
      </c>
      <c r="M1287" s="21" t="str">
        <f>'Raw Data'!M1287</f>
        <v>Single</v>
      </c>
      <c r="N1287" s="21">
        <f>'Raw Data'!N1287</f>
        <v>3</v>
      </c>
      <c r="O1287" s="21">
        <f>'Raw Data'!O1287</f>
        <v>0</v>
      </c>
      <c r="P1287" s="21">
        <f>IF('Raw Data'!P1287="",ROUND(AVERAGE('Raw Data'!$P$2:$P$1501),1),'Raw Data'!P1287)</f>
        <v>21.2</v>
      </c>
      <c r="Q1287" s="21">
        <f>IF('Raw Data'!Q1287="",ROUND(AVERAGE('Raw Data'!$Q$2:$Q$1501),0),'Raw Data'!Q1287)</f>
        <v>1</v>
      </c>
      <c r="R1287" s="21">
        <f>'Raw Data'!R1287</f>
        <v>4</v>
      </c>
      <c r="S1287" s="21">
        <f>IF('Raw Data'!S1287="",ROUND(AVERAGE('Raw Data'!$S$2:$S$1501),0),'Raw Data'!S1287)</f>
        <v>5</v>
      </c>
      <c r="T1287" s="21">
        <f>'Raw Data'!T1287</f>
        <v>129.68</v>
      </c>
      <c r="U1287" s="21" t="str">
        <f>INDEX('Lookup Tables'!$C$7:$C$9,MATCH(E1287,'Lookup Tables'!$B$7:$B$9,0))</f>
        <v>Tier 3 (Semi-urban/Rural)</v>
      </c>
      <c r="V1287" s="21" t="str">
        <f t="shared" si="60"/>
        <v>13-24 months</v>
      </c>
      <c r="W1287" s="21" t="str">
        <f t="shared" si="61"/>
        <v>Medium Risk</v>
      </c>
      <c r="X1287" s="21" t="str">
        <f t="shared" si="62"/>
        <v>No</v>
      </c>
    </row>
    <row r="1288" spans="1:24" x14ac:dyDescent="0.3">
      <c r="A1288" s="21">
        <f>'Raw Data'!A1288</f>
        <v>51287</v>
      </c>
      <c r="B1288" s="21">
        <f>'Raw Data'!B1288</f>
        <v>0</v>
      </c>
      <c r="C1288" s="21">
        <f>'Raw Data'!C1288</f>
        <v>7</v>
      </c>
      <c r="D1288" s="21" t="str">
        <f>'Raw Data'!D1288</f>
        <v>Mobile Phone</v>
      </c>
      <c r="E1288" s="21">
        <f>'Raw Data'!E1288</f>
        <v>1</v>
      </c>
      <c r="F1288" s="21">
        <f>IF('Raw Data'!F1288="",ROUND(AVERAGE('Raw Data'!$F$2:$F$1501),1),'Raw Data'!F1288)</f>
        <v>24</v>
      </c>
      <c r="G1288" s="21" t="str">
        <f>'Raw Data'!G1288</f>
        <v>Debit Card</v>
      </c>
      <c r="H1288" s="21" t="str">
        <f>'Raw Data'!H1288</f>
        <v>Male</v>
      </c>
      <c r="I1288" s="21">
        <f>IF('Raw Data'!I1288="",ROUND(AVERAGE('Raw Data'!$I$2:$I$1501),1),'Raw Data'!I1288)</f>
        <v>3.9</v>
      </c>
      <c r="J1288" s="21">
        <f>'Raw Data'!J1288</f>
        <v>5</v>
      </c>
      <c r="K1288" s="21" t="str">
        <f>'Raw Data'!K1288</f>
        <v>Others</v>
      </c>
      <c r="L1288" s="21">
        <f>'Raw Data'!L1288</f>
        <v>1</v>
      </c>
      <c r="M1288" s="21" t="str">
        <f>'Raw Data'!M1288</f>
        <v>Single</v>
      </c>
      <c r="N1288" s="21">
        <f>'Raw Data'!N1288</f>
        <v>1</v>
      </c>
      <c r="O1288" s="21">
        <f>'Raw Data'!O1288</f>
        <v>0</v>
      </c>
      <c r="P1288" s="21">
        <f>IF('Raw Data'!P1288="",ROUND(AVERAGE('Raw Data'!$P$2:$P$1501),1),'Raw Data'!P1288)</f>
        <v>11</v>
      </c>
      <c r="Q1288" s="21">
        <f>IF('Raw Data'!Q1288="",ROUND(AVERAGE('Raw Data'!$Q$2:$Q$1501),0),'Raw Data'!Q1288)</f>
        <v>3</v>
      </c>
      <c r="R1288" s="21">
        <f>'Raw Data'!R1288</f>
        <v>3</v>
      </c>
      <c r="S1288" s="21">
        <f>IF('Raw Data'!S1288="",ROUND(AVERAGE('Raw Data'!$S$2:$S$1501),0),'Raw Data'!S1288)</f>
        <v>2</v>
      </c>
      <c r="T1288" s="21">
        <f>'Raw Data'!T1288</f>
        <v>219.88</v>
      </c>
      <c r="U1288" s="21" t="str">
        <f>INDEX('Lookup Tables'!$C$7:$C$9,MATCH(E1288,'Lookup Tables'!$B$7:$B$9,0))</f>
        <v>Tier 1 (Metro)</v>
      </c>
      <c r="V1288" s="21" t="str">
        <f t="shared" si="60"/>
        <v>7-12 months</v>
      </c>
      <c r="W1288" s="21" t="str">
        <f t="shared" si="61"/>
        <v>Low Risk</v>
      </c>
      <c r="X1288" s="21" t="str">
        <f t="shared" si="62"/>
        <v>No</v>
      </c>
    </row>
    <row r="1289" spans="1:24" x14ac:dyDescent="0.3">
      <c r="A1289" s="21">
        <f>'Raw Data'!A1289</f>
        <v>51288</v>
      </c>
      <c r="B1289" s="21">
        <f>'Raw Data'!B1289</f>
        <v>1</v>
      </c>
      <c r="C1289" s="21">
        <f>'Raw Data'!C1289</f>
        <v>6</v>
      </c>
      <c r="D1289" s="21" t="str">
        <f>'Raw Data'!D1289</f>
        <v>Mobile Phone</v>
      </c>
      <c r="E1289" s="21">
        <f>'Raw Data'!E1289</f>
        <v>1</v>
      </c>
      <c r="F1289" s="21">
        <f>IF('Raw Data'!F1289="",ROUND(AVERAGE('Raw Data'!$F$2:$F$1501),1),'Raw Data'!F1289)</f>
        <v>22</v>
      </c>
      <c r="G1289" s="21" t="str">
        <f>'Raw Data'!G1289</f>
        <v>Debit Card</v>
      </c>
      <c r="H1289" s="21" t="str">
        <f>'Raw Data'!H1289</f>
        <v>Female</v>
      </c>
      <c r="I1289" s="21">
        <f>IF('Raw Data'!I1289="",ROUND(AVERAGE('Raw Data'!$I$2:$I$1501),1),'Raw Data'!I1289)</f>
        <v>2.7</v>
      </c>
      <c r="J1289" s="21">
        <f>'Raw Data'!J1289</f>
        <v>3</v>
      </c>
      <c r="K1289" s="21" t="str">
        <f>'Raw Data'!K1289</f>
        <v>Mobile Phone</v>
      </c>
      <c r="L1289" s="21">
        <f>'Raw Data'!L1289</f>
        <v>3</v>
      </c>
      <c r="M1289" s="21" t="str">
        <f>'Raw Data'!M1289</f>
        <v>Married</v>
      </c>
      <c r="N1289" s="21">
        <f>'Raw Data'!N1289</f>
        <v>1</v>
      </c>
      <c r="O1289" s="21">
        <f>'Raw Data'!O1289</f>
        <v>1</v>
      </c>
      <c r="P1289" s="21">
        <f>IF('Raw Data'!P1289="",ROUND(AVERAGE('Raw Data'!$P$2:$P$1501),1),'Raw Data'!P1289)</f>
        <v>19.899999999999999</v>
      </c>
      <c r="Q1289" s="21">
        <f>IF('Raw Data'!Q1289="",ROUND(AVERAGE('Raw Data'!$Q$2:$Q$1501),0),'Raw Data'!Q1289)</f>
        <v>1</v>
      </c>
      <c r="R1289" s="21">
        <f>'Raw Data'!R1289</f>
        <v>3</v>
      </c>
      <c r="S1289" s="21">
        <f>IF('Raw Data'!S1289="",ROUND(AVERAGE('Raw Data'!$S$2:$S$1501),0),'Raw Data'!S1289)</f>
        <v>0</v>
      </c>
      <c r="T1289" s="21">
        <f>'Raw Data'!T1289</f>
        <v>160.19</v>
      </c>
      <c r="U1289" s="21" t="str">
        <f>INDEX('Lookup Tables'!$C$7:$C$9,MATCH(E1289,'Lookup Tables'!$B$7:$B$9,0))</f>
        <v>Tier 1 (Metro)</v>
      </c>
      <c r="V1289" s="21" t="str">
        <f t="shared" si="60"/>
        <v>0-6 months</v>
      </c>
      <c r="W1289" s="21" t="str">
        <f t="shared" si="61"/>
        <v>Medium Risk</v>
      </c>
      <c r="X1289" s="21" t="str">
        <f t="shared" si="62"/>
        <v>Yes</v>
      </c>
    </row>
    <row r="1290" spans="1:24" x14ac:dyDescent="0.3">
      <c r="A1290" s="21">
        <f>'Raw Data'!A1290</f>
        <v>51289</v>
      </c>
      <c r="B1290" s="21">
        <f>'Raw Data'!B1290</f>
        <v>0</v>
      </c>
      <c r="C1290" s="21">
        <f>'Raw Data'!C1290</f>
        <v>1</v>
      </c>
      <c r="D1290" s="21" t="str">
        <f>'Raw Data'!D1290</f>
        <v>Phone</v>
      </c>
      <c r="E1290" s="21">
        <f>'Raw Data'!E1290</f>
        <v>1</v>
      </c>
      <c r="F1290" s="21">
        <f>IF('Raw Data'!F1290="",ROUND(AVERAGE('Raw Data'!$F$2:$F$1501),1),'Raw Data'!F1290)</f>
        <v>8</v>
      </c>
      <c r="G1290" s="21" t="str">
        <f>'Raw Data'!G1290</f>
        <v>Cash on Delivery</v>
      </c>
      <c r="H1290" s="21" t="str">
        <f>'Raw Data'!H1290</f>
        <v>Male</v>
      </c>
      <c r="I1290" s="21">
        <f>IF('Raw Data'!I1290="",ROUND(AVERAGE('Raw Data'!$I$2:$I$1501),1),'Raw Data'!I1290)</f>
        <v>2.5</v>
      </c>
      <c r="J1290" s="21">
        <f>'Raw Data'!J1290</f>
        <v>3</v>
      </c>
      <c r="K1290" s="21" t="str">
        <f>'Raw Data'!K1290</f>
        <v>Mobile Phone</v>
      </c>
      <c r="L1290" s="21">
        <f>'Raw Data'!L1290</f>
        <v>3</v>
      </c>
      <c r="M1290" s="21" t="str">
        <f>'Raw Data'!M1290</f>
        <v>Married</v>
      </c>
      <c r="N1290" s="21">
        <f>'Raw Data'!N1290</f>
        <v>2</v>
      </c>
      <c r="O1290" s="21">
        <f>'Raw Data'!O1290</f>
        <v>0</v>
      </c>
      <c r="P1290" s="21">
        <f>IF('Raw Data'!P1290="",ROUND(AVERAGE('Raw Data'!$P$2:$P$1501),1),'Raw Data'!P1290)</f>
        <v>18.8</v>
      </c>
      <c r="Q1290" s="21">
        <f>IF('Raw Data'!Q1290="",ROUND(AVERAGE('Raw Data'!$Q$2:$Q$1501),0),'Raw Data'!Q1290)</f>
        <v>3</v>
      </c>
      <c r="R1290" s="21">
        <f>'Raw Data'!R1290</f>
        <v>5</v>
      </c>
      <c r="S1290" s="21">
        <f>IF('Raw Data'!S1290="",ROUND(AVERAGE('Raw Data'!$S$2:$S$1501),0),'Raw Data'!S1290)</f>
        <v>10</v>
      </c>
      <c r="T1290" s="21">
        <f>'Raw Data'!T1290</f>
        <v>137.66</v>
      </c>
      <c r="U1290" s="21" t="str">
        <f>INDEX('Lookup Tables'!$C$7:$C$9,MATCH(E1290,'Lookup Tables'!$B$7:$B$9,0))</f>
        <v>Tier 1 (Metro)</v>
      </c>
      <c r="V1290" s="21" t="str">
        <f t="shared" si="60"/>
        <v>0-6 months</v>
      </c>
      <c r="W1290" s="21" t="str">
        <f t="shared" si="61"/>
        <v>Medium Risk</v>
      </c>
      <c r="X1290" s="21" t="str">
        <f t="shared" si="62"/>
        <v>No</v>
      </c>
    </row>
    <row r="1291" spans="1:24" x14ac:dyDescent="0.3">
      <c r="A1291" s="21">
        <f>'Raw Data'!A1291</f>
        <v>51290</v>
      </c>
      <c r="B1291" s="21">
        <f>'Raw Data'!B1291</f>
        <v>1</v>
      </c>
      <c r="C1291" s="21">
        <f>'Raw Data'!C1291</f>
        <v>10</v>
      </c>
      <c r="D1291" s="21" t="str">
        <f>'Raw Data'!D1291</f>
        <v>Phone</v>
      </c>
      <c r="E1291" s="21">
        <f>'Raw Data'!E1291</f>
        <v>3</v>
      </c>
      <c r="F1291" s="21">
        <f>IF('Raw Data'!F1291="",ROUND(AVERAGE('Raw Data'!$F$2:$F$1501),1),'Raw Data'!F1291)</f>
        <v>16</v>
      </c>
      <c r="G1291" s="21" t="str">
        <f>'Raw Data'!G1291</f>
        <v>Cash on Delivery</v>
      </c>
      <c r="H1291" s="21" t="str">
        <f>'Raw Data'!H1291</f>
        <v>Female</v>
      </c>
      <c r="I1291" s="21">
        <f>IF('Raw Data'!I1291="",ROUND(AVERAGE('Raw Data'!$I$2:$I$1501),1),'Raw Data'!I1291)</f>
        <v>3.5</v>
      </c>
      <c r="J1291" s="21">
        <f>'Raw Data'!J1291</f>
        <v>3</v>
      </c>
      <c r="K1291" s="21" t="str">
        <f>'Raw Data'!K1291</f>
        <v>Fashion</v>
      </c>
      <c r="L1291" s="21">
        <f>'Raw Data'!L1291</f>
        <v>4</v>
      </c>
      <c r="M1291" s="21" t="str">
        <f>'Raw Data'!M1291</f>
        <v>Married</v>
      </c>
      <c r="N1291" s="21">
        <f>'Raw Data'!N1291</f>
        <v>3</v>
      </c>
      <c r="O1291" s="21">
        <f>'Raw Data'!O1291</f>
        <v>1</v>
      </c>
      <c r="P1291" s="21">
        <f>IF('Raw Data'!P1291="",ROUND(AVERAGE('Raw Data'!$P$2:$P$1501),1),'Raw Data'!P1291)</f>
        <v>17.600000000000001</v>
      </c>
      <c r="Q1291" s="21">
        <f>IF('Raw Data'!Q1291="",ROUND(AVERAGE('Raw Data'!$Q$2:$Q$1501),0),'Raw Data'!Q1291)</f>
        <v>1</v>
      </c>
      <c r="R1291" s="21">
        <f>'Raw Data'!R1291</f>
        <v>1</v>
      </c>
      <c r="S1291" s="21">
        <f>IF('Raw Data'!S1291="",ROUND(AVERAGE('Raw Data'!$S$2:$S$1501),0),'Raw Data'!S1291)</f>
        <v>10</v>
      </c>
      <c r="T1291" s="21">
        <f>'Raw Data'!T1291</f>
        <v>109.29</v>
      </c>
      <c r="U1291" s="21" t="str">
        <f>INDEX('Lookup Tables'!$C$7:$C$9,MATCH(E1291,'Lookup Tables'!$B$7:$B$9,0))</f>
        <v>Tier 3 (Semi-urban/Rural)</v>
      </c>
      <c r="V1291" s="21" t="str">
        <f t="shared" si="60"/>
        <v>7-12 months</v>
      </c>
      <c r="W1291" s="21" t="str">
        <f t="shared" si="61"/>
        <v>Low Risk</v>
      </c>
      <c r="X1291" s="21" t="str">
        <f t="shared" si="62"/>
        <v>Yes</v>
      </c>
    </row>
    <row r="1292" spans="1:24" x14ac:dyDescent="0.3">
      <c r="A1292" s="21">
        <f>'Raw Data'!A1292</f>
        <v>51291</v>
      </c>
      <c r="B1292" s="21">
        <f>'Raw Data'!B1292</f>
        <v>0</v>
      </c>
      <c r="C1292" s="21">
        <f>'Raw Data'!C1292</f>
        <v>17</v>
      </c>
      <c r="D1292" s="21" t="str">
        <f>'Raw Data'!D1292</f>
        <v>Phone</v>
      </c>
      <c r="E1292" s="21">
        <f>'Raw Data'!E1292</f>
        <v>1</v>
      </c>
      <c r="F1292" s="21">
        <f>IF('Raw Data'!F1292="",ROUND(AVERAGE('Raw Data'!$F$2:$F$1501),1),'Raw Data'!F1292)</f>
        <v>11</v>
      </c>
      <c r="G1292" s="21" t="str">
        <f>'Raw Data'!G1292</f>
        <v>E wallet</v>
      </c>
      <c r="H1292" s="21" t="str">
        <f>'Raw Data'!H1292</f>
        <v>Female</v>
      </c>
      <c r="I1292" s="21">
        <f>IF('Raw Data'!I1292="",ROUND(AVERAGE('Raw Data'!$I$2:$I$1501),1),'Raw Data'!I1292)</f>
        <v>3.3</v>
      </c>
      <c r="J1292" s="21">
        <f>'Raw Data'!J1292</f>
        <v>5</v>
      </c>
      <c r="K1292" s="21" t="str">
        <f>'Raw Data'!K1292</f>
        <v>Fashion</v>
      </c>
      <c r="L1292" s="21">
        <f>'Raw Data'!L1292</f>
        <v>3</v>
      </c>
      <c r="M1292" s="21" t="str">
        <f>'Raw Data'!M1292</f>
        <v>Single</v>
      </c>
      <c r="N1292" s="21">
        <f>'Raw Data'!N1292</f>
        <v>1</v>
      </c>
      <c r="O1292" s="21">
        <f>'Raw Data'!O1292</f>
        <v>1</v>
      </c>
      <c r="P1292" s="21">
        <f>IF('Raw Data'!P1292="",ROUND(AVERAGE('Raw Data'!$P$2:$P$1501),1),'Raw Data'!P1292)</f>
        <v>11</v>
      </c>
      <c r="Q1292" s="21">
        <f>IF('Raw Data'!Q1292="",ROUND(AVERAGE('Raw Data'!$Q$2:$Q$1501),0),'Raw Data'!Q1292)</f>
        <v>2</v>
      </c>
      <c r="R1292" s="21">
        <f>'Raw Data'!R1292</f>
        <v>2</v>
      </c>
      <c r="S1292" s="21">
        <f>IF('Raw Data'!S1292="",ROUND(AVERAGE('Raw Data'!$S$2:$S$1501),0),'Raw Data'!S1292)</f>
        <v>9</v>
      </c>
      <c r="T1292" s="21">
        <f>'Raw Data'!T1292</f>
        <v>201.57</v>
      </c>
      <c r="U1292" s="21" t="str">
        <f>INDEX('Lookup Tables'!$C$7:$C$9,MATCH(E1292,'Lookup Tables'!$B$7:$B$9,0))</f>
        <v>Tier 1 (Metro)</v>
      </c>
      <c r="V1292" s="21" t="str">
        <f t="shared" si="60"/>
        <v>13-24 months</v>
      </c>
      <c r="W1292" s="21" t="str">
        <f t="shared" si="61"/>
        <v>Medium Risk</v>
      </c>
      <c r="X1292" s="21" t="str">
        <f t="shared" si="62"/>
        <v>No</v>
      </c>
    </row>
    <row r="1293" spans="1:24" x14ac:dyDescent="0.3">
      <c r="A1293" s="21">
        <f>'Raw Data'!A1293</f>
        <v>51292</v>
      </c>
      <c r="B1293" s="21">
        <f>'Raw Data'!B1293</f>
        <v>1</v>
      </c>
      <c r="C1293" s="21">
        <f>'Raw Data'!C1293</f>
        <v>4</v>
      </c>
      <c r="D1293" s="21" t="str">
        <f>'Raw Data'!D1293</f>
        <v>Mobile Phone</v>
      </c>
      <c r="E1293" s="21">
        <f>'Raw Data'!E1293</f>
        <v>1</v>
      </c>
      <c r="F1293" s="21">
        <f>IF('Raw Data'!F1293="",ROUND(AVERAGE('Raw Data'!$F$2:$F$1501),1),'Raw Data'!F1293)</f>
        <v>16</v>
      </c>
      <c r="G1293" s="21" t="str">
        <f>'Raw Data'!G1293</f>
        <v>UPI</v>
      </c>
      <c r="H1293" s="21" t="str">
        <f>'Raw Data'!H1293</f>
        <v>Male</v>
      </c>
      <c r="I1293" s="21">
        <f>IF('Raw Data'!I1293="",ROUND(AVERAGE('Raw Data'!$I$2:$I$1501),1),'Raw Data'!I1293)</f>
        <v>2.8</v>
      </c>
      <c r="J1293" s="21">
        <f>'Raw Data'!J1293</f>
        <v>3</v>
      </c>
      <c r="K1293" s="21" t="str">
        <f>'Raw Data'!K1293</f>
        <v>Grocery</v>
      </c>
      <c r="L1293" s="21">
        <f>'Raw Data'!L1293</f>
        <v>4</v>
      </c>
      <c r="M1293" s="21" t="str">
        <f>'Raw Data'!M1293</f>
        <v>Divorced</v>
      </c>
      <c r="N1293" s="21">
        <f>'Raw Data'!N1293</f>
        <v>1</v>
      </c>
      <c r="O1293" s="21">
        <f>'Raw Data'!O1293</f>
        <v>0</v>
      </c>
      <c r="P1293" s="21">
        <f>IF('Raw Data'!P1293="",ROUND(AVERAGE('Raw Data'!$P$2:$P$1501),1),'Raw Data'!P1293)</f>
        <v>20.5</v>
      </c>
      <c r="Q1293" s="21">
        <f>IF('Raw Data'!Q1293="",ROUND(AVERAGE('Raw Data'!$Q$2:$Q$1501),0),'Raw Data'!Q1293)</f>
        <v>3</v>
      </c>
      <c r="R1293" s="21">
        <f>'Raw Data'!R1293</f>
        <v>7</v>
      </c>
      <c r="S1293" s="21">
        <f>IF('Raw Data'!S1293="",ROUND(AVERAGE('Raw Data'!$S$2:$S$1501),0),'Raw Data'!S1293)</f>
        <v>2</v>
      </c>
      <c r="T1293" s="21">
        <f>'Raw Data'!T1293</f>
        <v>152.03</v>
      </c>
      <c r="U1293" s="21" t="str">
        <f>INDEX('Lookup Tables'!$C$7:$C$9,MATCH(E1293,'Lookup Tables'!$B$7:$B$9,0))</f>
        <v>Tier 1 (Metro)</v>
      </c>
      <c r="V1293" s="21" t="str">
        <f t="shared" si="60"/>
        <v>0-6 months</v>
      </c>
      <c r="W1293" s="21" t="str">
        <f t="shared" si="61"/>
        <v>Low Risk</v>
      </c>
      <c r="X1293" s="21" t="str">
        <f t="shared" si="62"/>
        <v>Yes</v>
      </c>
    </row>
    <row r="1294" spans="1:24" x14ac:dyDescent="0.3">
      <c r="A1294" s="21">
        <f>'Raw Data'!A1294</f>
        <v>51293</v>
      </c>
      <c r="B1294" s="21">
        <f>'Raw Data'!B1294</f>
        <v>0</v>
      </c>
      <c r="C1294" s="21">
        <f>'Raw Data'!C1294</f>
        <v>14</v>
      </c>
      <c r="D1294" s="21" t="str">
        <f>'Raw Data'!D1294</f>
        <v>Mobile Phone</v>
      </c>
      <c r="E1294" s="21">
        <f>'Raw Data'!E1294</f>
        <v>3</v>
      </c>
      <c r="F1294" s="21">
        <f>IF('Raw Data'!F1294="",ROUND(AVERAGE('Raw Data'!$F$2:$F$1501),1),'Raw Data'!F1294)</f>
        <v>14.8</v>
      </c>
      <c r="G1294" s="21" t="str">
        <f>'Raw Data'!G1294</f>
        <v>Debit Card</v>
      </c>
      <c r="H1294" s="21" t="str">
        <f>'Raw Data'!H1294</f>
        <v>Male</v>
      </c>
      <c r="I1294" s="21">
        <f>IF('Raw Data'!I1294="",ROUND(AVERAGE('Raw Data'!$I$2:$I$1501),1),'Raw Data'!I1294)</f>
        <v>3.9</v>
      </c>
      <c r="J1294" s="21">
        <f>'Raw Data'!J1294</f>
        <v>3</v>
      </c>
      <c r="K1294" s="21" t="str">
        <f>'Raw Data'!K1294</f>
        <v>Fashion</v>
      </c>
      <c r="L1294" s="21">
        <f>'Raw Data'!L1294</f>
        <v>5</v>
      </c>
      <c r="M1294" s="21" t="str">
        <f>'Raw Data'!M1294</f>
        <v>Married</v>
      </c>
      <c r="N1294" s="21">
        <f>'Raw Data'!N1294</f>
        <v>7</v>
      </c>
      <c r="O1294" s="21">
        <f>'Raw Data'!O1294</f>
        <v>0</v>
      </c>
      <c r="P1294" s="21">
        <f>IF('Raw Data'!P1294="",ROUND(AVERAGE('Raw Data'!$P$2:$P$1501),1),'Raw Data'!P1294)</f>
        <v>12.4</v>
      </c>
      <c r="Q1294" s="21">
        <f>IF('Raw Data'!Q1294="",ROUND(AVERAGE('Raw Data'!$Q$2:$Q$1501),0),'Raw Data'!Q1294)</f>
        <v>2</v>
      </c>
      <c r="R1294" s="21">
        <f>'Raw Data'!R1294</f>
        <v>4</v>
      </c>
      <c r="S1294" s="21">
        <f>IF('Raw Data'!S1294="",ROUND(AVERAGE('Raw Data'!$S$2:$S$1501),0),'Raw Data'!S1294)</f>
        <v>0</v>
      </c>
      <c r="T1294" s="21">
        <f>'Raw Data'!T1294</f>
        <v>69.3</v>
      </c>
      <c r="U1294" s="21" t="str">
        <f>INDEX('Lookup Tables'!$C$7:$C$9,MATCH(E1294,'Lookup Tables'!$B$7:$B$9,0))</f>
        <v>Tier 3 (Semi-urban/Rural)</v>
      </c>
      <c r="V1294" s="21" t="str">
        <f t="shared" si="60"/>
        <v>13-24 months</v>
      </c>
      <c r="W1294" s="21" t="str">
        <f t="shared" si="61"/>
        <v>Low Risk</v>
      </c>
      <c r="X1294" s="21" t="str">
        <f t="shared" si="62"/>
        <v>No</v>
      </c>
    </row>
    <row r="1295" spans="1:24" x14ac:dyDescent="0.3">
      <c r="A1295" s="21">
        <f>'Raw Data'!A1295</f>
        <v>51294</v>
      </c>
      <c r="B1295" s="21">
        <f>'Raw Data'!B1295</f>
        <v>0</v>
      </c>
      <c r="C1295" s="21">
        <f>'Raw Data'!C1295</f>
        <v>33</v>
      </c>
      <c r="D1295" s="21" t="str">
        <f>'Raw Data'!D1295</f>
        <v>Mobile Phone</v>
      </c>
      <c r="E1295" s="21">
        <f>'Raw Data'!E1295</f>
        <v>1</v>
      </c>
      <c r="F1295" s="21">
        <f>IF('Raw Data'!F1295="",ROUND(AVERAGE('Raw Data'!$F$2:$F$1501),1),'Raw Data'!F1295)</f>
        <v>19</v>
      </c>
      <c r="G1295" s="21" t="str">
        <f>'Raw Data'!G1295</f>
        <v>Credit Card</v>
      </c>
      <c r="H1295" s="21" t="str">
        <f>'Raw Data'!H1295</f>
        <v>Male</v>
      </c>
      <c r="I1295" s="21">
        <f>IF('Raw Data'!I1295="",ROUND(AVERAGE('Raw Data'!$I$2:$I$1501),1),'Raw Data'!I1295)</f>
        <v>2.8</v>
      </c>
      <c r="J1295" s="21">
        <f>'Raw Data'!J1295</f>
        <v>3</v>
      </c>
      <c r="K1295" s="21" t="str">
        <f>'Raw Data'!K1295</f>
        <v>Others</v>
      </c>
      <c r="L1295" s="21">
        <f>'Raw Data'!L1295</f>
        <v>5</v>
      </c>
      <c r="M1295" s="21" t="str">
        <f>'Raw Data'!M1295</f>
        <v>Single</v>
      </c>
      <c r="N1295" s="21">
        <f>'Raw Data'!N1295</f>
        <v>3</v>
      </c>
      <c r="O1295" s="21">
        <f>'Raw Data'!O1295</f>
        <v>0</v>
      </c>
      <c r="P1295" s="21">
        <f>IF('Raw Data'!P1295="",ROUND(AVERAGE('Raw Data'!$P$2:$P$1501),1),'Raw Data'!P1295)</f>
        <v>14.2</v>
      </c>
      <c r="Q1295" s="21">
        <f>IF('Raw Data'!Q1295="",ROUND(AVERAGE('Raw Data'!$Q$2:$Q$1501),0),'Raw Data'!Q1295)</f>
        <v>2</v>
      </c>
      <c r="R1295" s="21">
        <f>'Raw Data'!R1295</f>
        <v>5</v>
      </c>
      <c r="S1295" s="21">
        <f>IF('Raw Data'!S1295="",ROUND(AVERAGE('Raw Data'!$S$2:$S$1501),0),'Raw Data'!S1295)</f>
        <v>0</v>
      </c>
      <c r="T1295" s="21">
        <f>'Raw Data'!T1295</f>
        <v>113.82</v>
      </c>
      <c r="U1295" s="21" t="str">
        <f>INDEX('Lookup Tables'!$C$7:$C$9,MATCH(E1295,'Lookup Tables'!$B$7:$B$9,0))</f>
        <v>Tier 1 (Metro)</v>
      </c>
      <c r="V1295" s="21" t="str">
        <f t="shared" si="60"/>
        <v>25+ months</v>
      </c>
      <c r="W1295" s="21" t="str">
        <f t="shared" si="61"/>
        <v>Low Risk</v>
      </c>
      <c r="X1295" s="21" t="str">
        <f t="shared" si="62"/>
        <v>No</v>
      </c>
    </row>
    <row r="1296" spans="1:24" x14ac:dyDescent="0.3">
      <c r="A1296" s="21">
        <f>'Raw Data'!A1296</f>
        <v>51295</v>
      </c>
      <c r="B1296" s="21">
        <f>'Raw Data'!B1296</f>
        <v>1</v>
      </c>
      <c r="C1296" s="21">
        <f>'Raw Data'!C1296</f>
        <v>2</v>
      </c>
      <c r="D1296" s="21" t="str">
        <f>'Raw Data'!D1296</f>
        <v>Mobile Phone</v>
      </c>
      <c r="E1296" s="21">
        <f>'Raw Data'!E1296</f>
        <v>2</v>
      </c>
      <c r="F1296" s="21">
        <f>IF('Raw Data'!F1296="",ROUND(AVERAGE('Raw Data'!$F$2:$F$1501),1),'Raw Data'!F1296)</f>
        <v>19</v>
      </c>
      <c r="G1296" s="21" t="str">
        <f>'Raw Data'!G1296</f>
        <v>Debit Card</v>
      </c>
      <c r="H1296" s="21" t="str">
        <f>'Raw Data'!H1296</f>
        <v>Male</v>
      </c>
      <c r="I1296" s="21">
        <f>IF('Raw Data'!I1296="",ROUND(AVERAGE('Raw Data'!$I$2:$I$1501),1),'Raw Data'!I1296)</f>
        <v>2.9</v>
      </c>
      <c r="J1296" s="21">
        <f>'Raw Data'!J1296</f>
        <v>3</v>
      </c>
      <c r="K1296" s="21" t="str">
        <f>'Raw Data'!K1296</f>
        <v>Mobile Phone</v>
      </c>
      <c r="L1296" s="21">
        <f>'Raw Data'!L1296</f>
        <v>4</v>
      </c>
      <c r="M1296" s="21" t="str">
        <f>'Raw Data'!M1296</f>
        <v>Divorced</v>
      </c>
      <c r="N1296" s="21">
        <f>'Raw Data'!N1296</f>
        <v>1</v>
      </c>
      <c r="O1296" s="21">
        <f>'Raw Data'!O1296</f>
        <v>1</v>
      </c>
      <c r="P1296" s="21">
        <f>IF('Raw Data'!P1296="",ROUND(AVERAGE('Raw Data'!$P$2:$P$1501),1),'Raw Data'!P1296)</f>
        <v>15.4</v>
      </c>
      <c r="Q1296" s="21">
        <f>IF('Raw Data'!Q1296="",ROUND(AVERAGE('Raw Data'!$Q$2:$Q$1501),0),'Raw Data'!Q1296)</f>
        <v>2</v>
      </c>
      <c r="R1296" s="21">
        <f>'Raw Data'!R1296</f>
        <v>7</v>
      </c>
      <c r="S1296" s="21">
        <f>IF('Raw Data'!S1296="",ROUND(AVERAGE('Raw Data'!$S$2:$S$1501),0),'Raw Data'!S1296)</f>
        <v>1</v>
      </c>
      <c r="T1296" s="21">
        <f>'Raw Data'!T1296</f>
        <v>167.15</v>
      </c>
      <c r="U1296" s="21" t="str">
        <f>INDEX('Lookup Tables'!$C$7:$C$9,MATCH(E1296,'Lookup Tables'!$B$7:$B$9,0))</f>
        <v>Tier 2 (Urban)</v>
      </c>
      <c r="V1296" s="21" t="str">
        <f t="shared" si="60"/>
        <v>0-6 months</v>
      </c>
      <c r="W1296" s="21" t="str">
        <f t="shared" si="61"/>
        <v>Low Risk</v>
      </c>
      <c r="X1296" s="21" t="str">
        <f t="shared" si="62"/>
        <v>Yes</v>
      </c>
    </row>
    <row r="1297" spans="1:24" x14ac:dyDescent="0.3">
      <c r="A1297" s="21">
        <f>'Raw Data'!A1297</f>
        <v>51296</v>
      </c>
      <c r="B1297" s="21">
        <f>'Raw Data'!B1297</f>
        <v>0</v>
      </c>
      <c r="C1297" s="21">
        <f>'Raw Data'!C1297</f>
        <v>7</v>
      </c>
      <c r="D1297" s="21" t="str">
        <f>'Raw Data'!D1297</f>
        <v>Mobile Phone</v>
      </c>
      <c r="E1297" s="21">
        <f>'Raw Data'!E1297</f>
        <v>2</v>
      </c>
      <c r="F1297" s="21">
        <f>IF('Raw Data'!F1297="",ROUND(AVERAGE('Raw Data'!$F$2:$F$1501),1),'Raw Data'!F1297)</f>
        <v>11</v>
      </c>
      <c r="G1297" s="21" t="str">
        <f>'Raw Data'!G1297</f>
        <v>Debit Card</v>
      </c>
      <c r="H1297" s="21" t="str">
        <f>'Raw Data'!H1297</f>
        <v>Female</v>
      </c>
      <c r="I1297" s="21">
        <f>IF('Raw Data'!I1297="",ROUND(AVERAGE('Raw Data'!$I$2:$I$1501),1),'Raw Data'!I1297)</f>
        <v>2.9</v>
      </c>
      <c r="J1297" s="21">
        <f>'Raw Data'!J1297</f>
        <v>3</v>
      </c>
      <c r="K1297" s="21" t="str">
        <f>'Raw Data'!K1297</f>
        <v>Grocery</v>
      </c>
      <c r="L1297" s="21">
        <f>'Raw Data'!L1297</f>
        <v>1</v>
      </c>
      <c r="M1297" s="21" t="str">
        <f>'Raw Data'!M1297</f>
        <v>Married</v>
      </c>
      <c r="N1297" s="21">
        <f>'Raw Data'!N1297</f>
        <v>2</v>
      </c>
      <c r="O1297" s="21">
        <f>'Raw Data'!O1297</f>
        <v>0</v>
      </c>
      <c r="P1297" s="21">
        <f>IF('Raw Data'!P1297="",ROUND(AVERAGE('Raw Data'!$P$2:$P$1501),1),'Raw Data'!P1297)</f>
        <v>17.399999999999999</v>
      </c>
      <c r="Q1297" s="21">
        <f>IF('Raw Data'!Q1297="",ROUND(AVERAGE('Raw Data'!$Q$2:$Q$1501),0),'Raw Data'!Q1297)</f>
        <v>1</v>
      </c>
      <c r="R1297" s="21">
        <f>'Raw Data'!R1297</f>
        <v>5</v>
      </c>
      <c r="S1297" s="21">
        <f>IF('Raw Data'!S1297="",ROUND(AVERAGE('Raw Data'!$S$2:$S$1501),0),'Raw Data'!S1297)</f>
        <v>1</v>
      </c>
      <c r="T1297" s="21">
        <f>'Raw Data'!T1297</f>
        <v>168.7</v>
      </c>
      <c r="U1297" s="21" t="str">
        <f>INDEX('Lookup Tables'!$C$7:$C$9,MATCH(E1297,'Lookup Tables'!$B$7:$B$9,0))</f>
        <v>Tier 2 (Urban)</v>
      </c>
      <c r="V1297" s="21" t="str">
        <f t="shared" si="60"/>
        <v>7-12 months</v>
      </c>
      <c r="W1297" s="21" t="str">
        <f t="shared" si="61"/>
        <v>Low Risk</v>
      </c>
      <c r="X1297" s="21" t="str">
        <f t="shared" si="62"/>
        <v>No</v>
      </c>
    </row>
    <row r="1298" spans="1:24" x14ac:dyDescent="0.3">
      <c r="A1298" s="21">
        <f>'Raw Data'!A1298</f>
        <v>51297</v>
      </c>
      <c r="B1298" s="21">
        <f>'Raw Data'!B1298</f>
        <v>0</v>
      </c>
      <c r="C1298" s="21">
        <f>'Raw Data'!C1298</f>
        <v>3</v>
      </c>
      <c r="D1298" s="21" t="str">
        <f>'Raw Data'!D1298</f>
        <v>Phone</v>
      </c>
      <c r="E1298" s="21">
        <f>'Raw Data'!E1298</f>
        <v>1</v>
      </c>
      <c r="F1298" s="21">
        <f>IF('Raw Data'!F1298="",ROUND(AVERAGE('Raw Data'!$F$2:$F$1501),1),'Raw Data'!F1298)</f>
        <v>5</v>
      </c>
      <c r="G1298" s="21" t="str">
        <f>'Raw Data'!G1298</f>
        <v>UPI</v>
      </c>
      <c r="H1298" s="21" t="str">
        <f>'Raw Data'!H1298</f>
        <v>Male</v>
      </c>
      <c r="I1298" s="21">
        <f>IF('Raw Data'!I1298="",ROUND(AVERAGE('Raw Data'!$I$2:$I$1501),1),'Raw Data'!I1298)</f>
        <v>2.2000000000000002</v>
      </c>
      <c r="J1298" s="21">
        <f>'Raw Data'!J1298</f>
        <v>2</v>
      </c>
      <c r="K1298" s="21" t="str">
        <f>'Raw Data'!K1298</f>
        <v>Fashion</v>
      </c>
      <c r="L1298" s="21">
        <f>'Raw Data'!L1298</f>
        <v>5</v>
      </c>
      <c r="M1298" s="21" t="str">
        <f>'Raw Data'!M1298</f>
        <v>Single</v>
      </c>
      <c r="N1298" s="21">
        <f>'Raw Data'!N1298</f>
        <v>2</v>
      </c>
      <c r="O1298" s="21">
        <f>'Raw Data'!O1298</f>
        <v>0</v>
      </c>
      <c r="P1298" s="21">
        <f>IF('Raw Data'!P1298="",ROUND(AVERAGE('Raw Data'!$P$2:$P$1501),1),'Raw Data'!P1298)</f>
        <v>18.2</v>
      </c>
      <c r="Q1298" s="21">
        <f>IF('Raw Data'!Q1298="",ROUND(AVERAGE('Raw Data'!$Q$2:$Q$1501),0),'Raw Data'!Q1298)</f>
        <v>3</v>
      </c>
      <c r="R1298" s="21">
        <f>'Raw Data'!R1298</f>
        <v>4</v>
      </c>
      <c r="S1298" s="21">
        <f>IF('Raw Data'!S1298="",ROUND(AVERAGE('Raw Data'!$S$2:$S$1501),0),'Raw Data'!S1298)</f>
        <v>10</v>
      </c>
      <c r="T1298" s="21">
        <f>'Raw Data'!T1298</f>
        <v>166.61</v>
      </c>
      <c r="U1298" s="21" t="str">
        <f>INDEX('Lookup Tables'!$C$7:$C$9,MATCH(E1298,'Lookup Tables'!$B$7:$B$9,0))</f>
        <v>Tier 1 (Metro)</v>
      </c>
      <c r="V1298" s="21" t="str">
        <f t="shared" si="60"/>
        <v>0-6 months</v>
      </c>
      <c r="W1298" s="21" t="str">
        <f t="shared" si="61"/>
        <v>Low Risk</v>
      </c>
      <c r="X1298" s="21" t="str">
        <f t="shared" si="62"/>
        <v>No</v>
      </c>
    </row>
    <row r="1299" spans="1:24" x14ac:dyDescent="0.3">
      <c r="A1299" s="21">
        <f>'Raw Data'!A1299</f>
        <v>51298</v>
      </c>
      <c r="B1299" s="21">
        <f>'Raw Data'!B1299</f>
        <v>0</v>
      </c>
      <c r="C1299" s="21">
        <f>'Raw Data'!C1299</f>
        <v>15</v>
      </c>
      <c r="D1299" s="21" t="str">
        <f>'Raw Data'!D1299</f>
        <v>Mobile Phone</v>
      </c>
      <c r="E1299" s="21">
        <f>'Raw Data'!E1299</f>
        <v>2</v>
      </c>
      <c r="F1299" s="21">
        <f>IF('Raw Data'!F1299="",ROUND(AVERAGE('Raw Data'!$F$2:$F$1501),1),'Raw Data'!F1299)</f>
        <v>13</v>
      </c>
      <c r="G1299" s="21" t="str">
        <f>'Raw Data'!G1299</f>
        <v>Debit Card</v>
      </c>
      <c r="H1299" s="21" t="str">
        <f>'Raw Data'!H1299</f>
        <v>Male</v>
      </c>
      <c r="I1299" s="21">
        <f>IF('Raw Data'!I1299="",ROUND(AVERAGE('Raw Data'!$I$2:$I$1501),1),'Raw Data'!I1299)</f>
        <v>3</v>
      </c>
      <c r="J1299" s="21">
        <f>'Raw Data'!J1299</f>
        <v>2</v>
      </c>
      <c r="K1299" s="21" t="str">
        <f>'Raw Data'!K1299</f>
        <v>Fashion</v>
      </c>
      <c r="L1299" s="21">
        <f>'Raw Data'!L1299</f>
        <v>4</v>
      </c>
      <c r="M1299" s="21" t="str">
        <f>'Raw Data'!M1299</f>
        <v>Married</v>
      </c>
      <c r="N1299" s="21">
        <f>'Raw Data'!N1299</f>
        <v>1</v>
      </c>
      <c r="O1299" s="21">
        <f>'Raw Data'!O1299</f>
        <v>0</v>
      </c>
      <c r="P1299" s="21">
        <f>IF('Raw Data'!P1299="",ROUND(AVERAGE('Raw Data'!$P$2:$P$1501),1),'Raw Data'!P1299)</f>
        <v>19.100000000000001</v>
      </c>
      <c r="Q1299" s="21">
        <f>IF('Raw Data'!Q1299="",ROUND(AVERAGE('Raw Data'!$Q$2:$Q$1501),0),'Raw Data'!Q1299)</f>
        <v>4</v>
      </c>
      <c r="R1299" s="21">
        <f>'Raw Data'!R1299</f>
        <v>3</v>
      </c>
      <c r="S1299" s="21">
        <f>IF('Raw Data'!S1299="",ROUND(AVERAGE('Raw Data'!$S$2:$S$1501),0),'Raw Data'!S1299)</f>
        <v>21</v>
      </c>
      <c r="T1299" s="21">
        <f>'Raw Data'!T1299</f>
        <v>158.94999999999999</v>
      </c>
      <c r="U1299" s="21" t="str">
        <f>INDEX('Lookup Tables'!$C$7:$C$9,MATCH(E1299,'Lookup Tables'!$B$7:$B$9,0))</f>
        <v>Tier 2 (Urban)</v>
      </c>
      <c r="V1299" s="21" t="str">
        <f t="shared" si="60"/>
        <v>13-24 months</v>
      </c>
      <c r="W1299" s="21" t="str">
        <f t="shared" si="61"/>
        <v>Medium Risk</v>
      </c>
      <c r="X1299" s="21" t="str">
        <f t="shared" si="62"/>
        <v>No</v>
      </c>
    </row>
    <row r="1300" spans="1:24" x14ac:dyDescent="0.3">
      <c r="A1300" s="21">
        <f>'Raw Data'!A1300</f>
        <v>51299</v>
      </c>
      <c r="B1300" s="21">
        <f>'Raw Data'!B1300</f>
        <v>1</v>
      </c>
      <c r="C1300" s="21">
        <f>'Raw Data'!C1300</f>
        <v>8</v>
      </c>
      <c r="D1300" s="21" t="str">
        <f>'Raw Data'!D1300</f>
        <v>Mobile Phone</v>
      </c>
      <c r="E1300" s="21">
        <f>'Raw Data'!E1300</f>
        <v>1</v>
      </c>
      <c r="F1300" s="21">
        <f>IF('Raw Data'!F1300="",ROUND(AVERAGE('Raw Data'!$F$2:$F$1501),1),'Raw Data'!F1300)</f>
        <v>24</v>
      </c>
      <c r="G1300" s="21" t="str">
        <f>'Raw Data'!G1300</f>
        <v>Credit Card</v>
      </c>
      <c r="H1300" s="21" t="str">
        <f>'Raw Data'!H1300</f>
        <v>Male</v>
      </c>
      <c r="I1300" s="21">
        <f>IF('Raw Data'!I1300="",ROUND(AVERAGE('Raw Data'!$I$2:$I$1501),1),'Raw Data'!I1300)</f>
        <v>3.9</v>
      </c>
      <c r="J1300" s="21">
        <f>'Raw Data'!J1300</f>
        <v>2</v>
      </c>
      <c r="K1300" s="21" t="str">
        <f>'Raw Data'!K1300</f>
        <v>Mobile Phone</v>
      </c>
      <c r="L1300" s="21">
        <f>'Raw Data'!L1300</f>
        <v>3</v>
      </c>
      <c r="M1300" s="21" t="str">
        <f>'Raw Data'!M1300</f>
        <v>Married</v>
      </c>
      <c r="N1300" s="21">
        <f>'Raw Data'!N1300</f>
        <v>3</v>
      </c>
      <c r="O1300" s="21">
        <f>'Raw Data'!O1300</f>
        <v>1</v>
      </c>
      <c r="P1300" s="21">
        <f>IF('Raw Data'!P1300="",ROUND(AVERAGE('Raw Data'!$P$2:$P$1501),1),'Raw Data'!P1300)</f>
        <v>18.899999999999999</v>
      </c>
      <c r="Q1300" s="21">
        <f>IF('Raw Data'!Q1300="",ROUND(AVERAGE('Raw Data'!$Q$2:$Q$1501),0),'Raw Data'!Q1300)</f>
        <v>1</v>
      </c>
      <c r="R1300" s="21">
        <f>'Raw Data'!R1300</f>
        <v>7</v>
      </c>
      <c r="S1300" s="21">
        <f>IF('Raw Data'!S1300="",ROUND(AVERAGE('Raw Data'!$S$2:$S$1501),0),'Raw Data'!S1300)</f>
        <v>8</v>
      </c>
      <c r="T1300" s="21">
        <f>'Raw Data'!T1300</f>
        <v>98.83</v>
      </c>
      <c r="U1300" s="21" t="str">
        <f>INDEX('Lookup Tables'!$C$7:$C$9,MATCH(E1300,'Lookup Tables'!$B$7:$B$9,0))</f>
        <v>Tier 1 (Metro)</v>
      </c>
      <c r="V1300" s="21" t="str">
        <f t="shared" si="60"/>
        <v>7-12 months</v>
      </c>
      <c r="W1300" s="21" t="str">
        <f t="shared" si="61"/>
        <v>Medium Risk</v>
      </c>
      <c r="X1300" s="21" t="str">
        <f t="shared" si="62"/>
        <v>Yes</v>
      </c>
    </row>
    <row r="1301" spans="1:24" x14ac:dyDescent="0.3">
      <c r="A1301" s="21">
        <f>'Raw Data'!A1301</f>
        <v>51300</v>
      </c>
      <c r="B1301" s="21">
        <f>'Raw Data'!B1301</f>
        <v>0</v>
      </c>
      <c r="C1301" s="21">
        <f>'Raw Data'!C1301</f>
        <v>10</v>
      </c>
      <c r="D1301" s="21" t="str">
        <f>'Raw Data'!D1301</f>
        <v>Mobile Phone</v>
      </c>
      <c r="E1301" s="21">
        <f>'Raw Data'!E1301</f>
        <v>2</v>
      </c>
      <c r="F1301" s="21">
        <f>IF('Raw Data'!F1301="",ROUND(AVERAGE('Raw Data'!$F$2:$F$1501),1),'Raw Data'!F1301)</f>
        <v>14.8</v>
      </c>
      <c r="G1301" s="21" t="str">
        <f>'Raw Data'!G1301</f>
        <v>Cash on Delivery</v>
      </c>
      <c r="H1301" s="21" t="str">
        <f>'Raw Data'!H1301</f>
        <v>Female</v>
      </c>
      <c r="I1301" s="21">
        <f>IF('Raw Data'!I1301="",ROUND(AVERAGE('Raw Data'!$I$2:$I$1501),1),'Raw Data'!I1301)</f>
        <v>3.2</v>
      </c>
      <c r="J1301" s="21">
        <f>'Raw Data'!J1301</f>
        <v>4</v>
      </c>
      <c r="K1301" s="21" t="str">
        <f>'Raw Data'!K1301</f>
        <v>Grocery</v>
      </c>
      <c r="L1301" s="21">
        <f>'Raw Data'!L1301</f>
        <v>2</v>
      </c>
      <c r="M1301" s="21" t="str">
        <f>'Raw Data'!M1301</f>
        <v>Married</v>
      </c>
      <c r="N1301" s="21">
        <f>'Raw Data'!N1301</f>
        <v>5</v>
      </c>
      <c r="O1301" s="21">
        <f>'Raw Data'!O1301</f>
        <v>0</v>
      </c>
      <c r="P1301" s="21">
        <f>IF('Raw Data'!P1301="",ROUND(AVERAGE('Raw Data'!$P$2:$P$1501),1),'Raw Data'!P1301)</f>
        <v>16.899999999999999</v>
      </c>
      <c r="Q1301" s="21">
        <f>IF('Raw Data'!Q1301="",ROUND(AVERAGE('Raw Data'!$Q$2:$Q$1501),0),'Raw Data'!Q1301)</f>
        <v>1</v>
      </c>
      <c r="R1301" s="21">
        <f>'Raw Data'!R1301</f>
        <v>9</v>
      </c>
      <c r="S1301" s="21">
        <f>IF('Raw Data'!S1301="",ROUND(AVERAGE('Raw Data'!$S$2:$S$1501),0),'Raw Data'!S1301)</f>
        <v>6</v>
      </c>
      <c r="T1301" s="21">
        <f>'Raw Data'!T1301</f>
        <v>131.9</v>
      </c>
      <c r="U1301" s="21" t="str">
        <f>INDEX('Lookup Tables'!$C$7:$C$9,MATCH(E1301,'Lookup Tables'!$B$7:$B$9,0))</f>
        <v>Tier 2 (Urban)</v>
      </c>
      <c r="V1301" s="21" t="str">
        <f t="shared" si="60"/>
        <v>7-12 months</v>
      </c>
      <c r="W1301" s="21" t="str">
        <f t="shared" si="61"/>
        <v>Low Risk</v>
      </c>
      <c r="X1301" s="21" t="str">
        <f t="shared" si="62"/>
        <v>No</v>
      </c>
    </row>
    <row r="1302" spans="1:24" x14ac:dyDescent="0.3">
      <c r="A1302" s="21">
        <f>'Raw Data'!A1302</f>
        <v>51301</v>
      </c>
      <c r="B1302" s="21">
        <f>'Raw Data'!B1302</f>
        <v>0</v>
      </c>
      <c r="C1302" s="21">
        <f>'Raw Data'!C1302</f>
        <v>15</v>
      </c>
      <c r="D1302" s="21" t="str">
        <f>'Raw Data'!D1302</f>
        <v>Phone</v>
      </c>
      <c r="E1302" s="21">
        <f>'Raw Data'!E1302</f>
        <v>1</v>
      </c>
      <c r="F1302" s="21">
        <f>IF('Raw Data'!F1302="",ROUND(AVERAGE('Raw Data'!$F$2:$F$1501),1),'Raw Data'!F1302)</f>
        <v>6</v>
      </c>
      <c r="G1302" s="21" t="str">
        <f>'Raw Data'!G1302</f>
        <v>Debit Card</v>
      </c>
      <c r="H1302" s="21" t="str">
        <f>'Raw Data'!H1302</f>
        <v>Male</v>
      </c>
      <c r="I1302" s="21">
        <f>IF('Raw Data'!I1302="",ROUND(AVERAGE('Raw Data'!$I$2:$I$1501),1),'Raw Data'!I1302)</f>
        <v>2.9</v>
      </c>
      <c r="J1302" s="21">
        <f>'Raw Data'!J1302</f>
        <v>3</v>
      </c>
      <c r="K1302" s="21" t="str">
        <f>'Raw Data'!K1302</f>
        <v>Others</v>
      </c>
      <c r="L1302" s="21">
        <f>'Raw Data'!L1302</f>
        <v>2</v>
      </c>
      <c r="M1302" s="21" t="str">
        <f>'Raw Data'!M1302</f>
        <v>Single</v>
      </c>
      <c r="N1302" s="21">
        <f>'Raw Data'!N1302</f>
        <v>4</v>
      </c>
      <c r="O1302" s="21">
        <f>'Raw Data'!O1302</f>
        <v>0</v>
      </c>
      <c r="P1302" s="21">
        <f>IF('Raw Data'!P1302="",ROUND(AVERAGE('Raw Data'!$P$2:$P$1501),1),'Raw Data'!P1302)</f>
        <v>16.3</v>
      </c>
      <c r="Q1302" s="21">
        <f>IF('Raw Data'!Q1302="",ROUND(AVERAGE('Raw Data'!$Q$2:$Q$1501),0),'Raw Data'!Q1302)</f>
        <v>1</v>
      </c>
      <c r="R1302" s="21">
        <f>'Raw Data'!R1302</f>
        <v>6</v>
      </c>
      <c r="S1302" s="21">
        <f>IF('Raw Data'!S1302="",ROUND(AVERAGE('Raw Data'!$S$2:$S$1501),0),'Raw Data'!S1302)</f>
        <v>4</v>
      </c>
      <c r="T1302" s="21">
        <f>'Raw Data'!T1302</f>
        <v>245.11</v>
      </c>
      <c r="U1302" s="21" t="str">
        <f>INDEX('Lookup Tables'!$C$7:$C$9,MATCH(E1302,'Lookup Tables'!$B$7:$B$9,0))</f>
        <v>Tier 1 (Metro)</v>
      </c>
      <c r="V1302" s="21" t="str">
        <f t="shared" si="60"/>
        <v>13-24 months</v>
      </c>
      <c r="W1302" s="21" t="str">
        <f t="shared" si="61"/>
        <v>Low Risk</v>
      </c>
      <c r="X1302" s="21" t="str">
        <f t="shared" si="62"/>
        <v>No</v>
      </c>
    </row>
    <row r="1303" spans="1:24" x14ac:dyDescent="0.3">
      <c r="A1303" s="21">
        <f>'Raw Data'!A1303</f>
        <v>51302</v>
      </c>
      <c r="B1303" s="21">
        <f>'Raw Data'!B1303</f>
        <v>0</v>
      </c>
      <c r="C1303" s="21">
        <f>'Raw Data'!C1303</f>
        <v>5</v>
      </c>
      <c r="D1303" s="21" t="str">
        <f>'Raw Data'!D1303</f>
        <v>Computer</v>
      </c>
      <c r="E1303" s="21">
        <f>'Raw Data'!E1303</f>
        <v>2</v>
      </c>
      <c r="F1303" s="21">
        <f>IF('Raw Data'!F1303="",ROUND(AVERAGE('Raw Data'!$F$2:$F$1501),1),'Raw Data'!F1303)</f>
        <v>16</v>
      </c>
      <c r="G1303" s="21" t="str">
        <f>'Raw Data'!G1303</f>
        <v>Cash on Delivery</v>
      </c>
      <c r="H1303" s="21" t="str">
        <f>'Raw Data'!H1303</f>
        <v>Female</v>
      </c>
      <c r="I1303" s="21">
        <f>IF('Raw Data'!I1303="",ROUND(AVERAGE('Raw Data'!$I$2:$I$1501),1),'Raw Data'!I1303)</f>
        <v>2.8</v>
      </c>
      <c r="J1303" s="21">
        <f>'Raw Data'!J1303</f>
        <v>3</v>
      </c>
      <c r="K1303" s="21" t="str">
        <f>'Raw Data'!K1303</f>
        <v>Laptop &amp; Accessory</v>
      </c>
      <c r="L1303" s="21">
        <f>'Raw Data'!L1303</f>
        <v>2</v>
      </c>
      <c r="M1303" s="21" t="str">
        <f>'Raw Data'!M1303</f>
        <v>Divorced</v>
      </c>
      <c r="N1303" s="21">
        <f>'Raw Data'!N1303</f>
        <v>1</v>
      </c>
      <c r="O1303" s="21">
        <f>'Raw Data'!O1303</f>
        <v>0</v>
      </c>
      <c r="P1303" s="21">
        <f>IF('Raw Data'!P1303="",ROUND(AVERAGE('Raw Data'!$P$2:$P$1501),1),'Raw Data'!P1303)</f>
        <v>12.2</v>
      </c>
      <c r="Q1303" s="21">
        <f>IF('Raw Data'!Q1303="",ROUND(AVERAGE('Raw Data'!$Q$2:$Q$1501),0),'Raw Data'!Q1303)</f>
        <v>2</v>
      </c>
      <c r="R1303" s="21">
        <f>'Raw Data'!R1303</f>
        <v>3</v>
      </c>
      <c r="S1303" s="21">
        <f>IF('Raw Data'!S1303="",ROUND(AVERAGE('Raw Data'!$S$2:$S$1501),0),'Raw Data'!S1303)</f>
        <v>7</v>
      </c>
      <c r="T1303" s="21">
        <f>'Raw Data'!T1303</f>
        <v>236.99</v>
      </c>
      <c r="U1303" s="21" t="str">
        <f>INDEX('Lookup Tables'!$C$7:$C$9,MATCH(E1303,'Lookup Tables'!$B$7:$B$9,0))</f>
        <v>Tier 2 (Urban)</v>
      </c>
      <c r="V1303" s="21" t="str">
        <f t="shared" si="60"/>
        <v>0-6 months</v>
      </c>
      <c r="W1303" s="21" t="str">
        <f t="shared" si="61"/>
        <v>Low Risk</v>
      </c>
      <c r="X1303" s="21" t="str">
        <f t="shared" si="62"/>
        <v>No</v>
      </c>
    </row>
    <row r="1304" spans="1:24" x14ac:dyDescent="0.3">
      <c r="A1304" s="21">
        <f>'Raw Data'!A1304</f>
        <v>51303</v>
      </c>
      <c r="B1304" s="21">
        <f>'Raw Data'!B1304</f>
        <v>0</v>
      </c>
      <c r="C1304" s="21">
        <f>'Raw Data'!C1304</f>
        <v>24</v>
      </c>
      <c r="D1304" s="21" t="str">
        <f>'Raw Data'!D1304</f>
        <v>Computer</v>
      </c>
      <c r="E1304" s="21">
        <f>'Raw Data'!E1304</f>
        <v>1</v>
      </c>
      <c r="F1304" s="21">
        <f>IF('Raw Data'!F1304="",ROUND(AVERAGE('Raw Data'!$F$2:$F$1501),1),'Raw Data'!F1304)</f>
        <v>7</v>
      </c>
      <c r="G1304" s="21" t="str">
        <f>'Raw Data'!G1304</f>
        <v>Cash on Delivery</v>
      </c>
      <c r="H1304" s="21" t="str">
        <f>'Raw Data'!H1304</f>
        <v>Female</v>
      </c>
      <c r="I1304" s="21">
        <f>IF('Raw Data'!I1304="",ROUND(AVERAGE('Raw Data'!$I$2:$I$1501),1),'Raw Data'!I1304)</f>
        <v>3.1</v>
      </c>
      <c r="J1304" s="21">
        <f>'Raw Data'!J1304</f>
        <v>4</v>
      </c>
      <c r="K1304" s="21" t="str">
        <f>'Raw Data'!K1304</f>
        <v>Fashion</v>
      </c>
      <c r="L1304" s="21">
        <f>'Raw Data'!L1304</f>
        <v>1</v>
      </c>
      <c r="M1304" s="21" t="str">
        <f>'Raw Data'!M1304</f>
        <v>Single</v>
      </c>
      <c r="N1304" s="21">
        <f>'Raw Data'!N1304</f>
        <v>6</v>
      </c>
      <c r="O1304" s="21">
        <f>'Raw Data'!O1304</f>
        <v>0</v>
      </c>
      <c r="P1304" s="21">
        <f>IF('Raw Data'!P1304="",ROUND(AVERAGE('Raw Data'!$P$2:$P$1501),1),'Raw Data'!P1304)</f>
        <v>13.4</v>
      </c>
      <c r="Q1304" s="21">
        <f>IF('Raw Data'!Q1304="",ROUND(AVERAGE('Raw Data'!$Q$2:$Q$1501),0),'Raw Data'!Q1304)</f>
        <v>2</v>
      </c>
      <c r="R1304" s="21">
        <f>'Raw Data'!R1304</f>
        <v>2</v>
      </c>
      <c r="S1304" s="21">
        <f>IF('Raw Data'!S1304="",ROUND(AVERAGE('Raw Data'!$S$2:$S$1501),0),'Raw Data'!S1304)</f>
        <v>14</v>
      </c>
      <c r="T1304" s="21">
        <f>'Raw Data'!T1304</f>
        <v>211.79</v>
      </c>
      <c r="U1304" s="21" t="str">
        <f>INDEX('Lookup Tables'!$C$7:$C$9,MATCH(E1304,'Lookup Tables'!$B$7:$B$9,0))</f>
        <v>Tier 1 (Metro)</v>
      </c>
      <c r="V1304" s="21" t="str">
        <f t="shared" si="60"/>
        <v>13-24 months</v>
      </c>
      <c r="W1304" s="21" t="str">
        <f t="shared" si="61"/>
        <v>Low Risk</v>
      </c>
      <c r="X1304" s="21" t="str">
        <f t="shared" si="62"/>
        <v>No</v>
      </c>
    </row>
    <row r="1305" spans="1:24" x14ac:dyDescent="0.3">
      <c r="A1305" s="21">
        <f>'Raw Data'!A1305</f>
        <v>51304</v>
      </c>
      <c r="B1305" s="21">
        <f>'Raw Data'!B1305</f>
        <v>0</v>
      </c>
      <c r="C1305" s="21">
        <f>'Raw Data'!C1305</f>
        <v>7</v>
      </c>
      <c r="D1305" s="21" t="str">
        <f>'Raw Data'!D1305</f>
        <v>Phone</v>
      </c>
      <c r="E1305" s="21">
        <f>'Raw Data'!E1305</f>
        <v>2</v>
      </c>
      <c r="F1305" s="21">
        <f>IF('Raw Data'!F1305="",ROUND(AVERAGE('Raw Data'!$F$2:$F$1501),1),'Raw Data'!F1305)</f>
        <v>8</v>
      </c>
      <c r="G1305" s="21" t="str">
        <f>'Raw Data'!G1305</f>
        <v>Credit Card</v>
      </c>
      <c r="H1305" s="21" t="str">
        <f>'Raw Data'!H1305</f>
        <v>Female</v>
      </c>
      <c r="I1305" s="21">
        <f>IF('Raw Data'!I1305="",ROUND(AVERAGE('Raw Data'!$I$2:$I$1501),1),'Raw Data'!I1305)</f>
        <v>3.4</v>
      </c>
      <c r="J1305" s="21">
        <f>'Raw Data'!J1305</f>
        <v>4</v>
      </c>
      <c r="K1305" s="21" t="str">
        <f>'Raw Data'!K1305</f>
        <v>Mobile Phone</v>
      </c>
      <c r="L1305" s="21">
        <f>'Raw Data'!L1305</f>
        <v>5</v>
      </c>
      <c r="M1305" s="21" t="str">
        <f>'Raw Data'!M1305</f>
        <v>Married</v>
      </c>
      <c r="N1305" s="21">
        <f>'Raw Data'!N1305</f>
        <v>1</v>
      </c>
      <c r="O1305" s="21">
        <f>'Raw Data'!O1305</f>
        <v>0</v>
      </c>
      <c r="P1305" s="21">
        <f>IF('Raw Data'!P1305="",ROUND(AVERAGE('Raw Data'!$P$2:$P$1501),1),'Raw Data'!P1305)</f>
        <v>19.100000000000001</v>
      </c>
      <c r="Q1305" s="21">
        <f>IF('Raw Data'!Q1305="",ROUND(AVERAGE('Raw Data'!$Q$2:$Q$1501),0),'Raw Data'!Q1305)</f>
        <v>1</v>
      </c>
      <c r="R1305" s="21">
        <f>'Raw Data'!R1305</f>
        <v>7</v>
      </c>
      <c r="S1305" s="21">
        <f>IF('Raw Data'!S1305="",ROUND(AVERAGE('Raw Data'!$S$2:$S$1501),0),'Raw Data'!S1305)</f>
        <v>4</v>
      </c>
      <c r="T1305" s="21">
        <f>'Raw Data'!T1305</f>
        <v>206.92</v>
      </c>
      <c r="U1305" s="21" t="str">
        <f>INDEX('Lookup Tables'!$C$7:$C$9,MATCH(E1305,'Lookup Tables'!$B$7:$B$9,0))</f>
        <v>Tier 2 (Urban)</v>
      </c>
      <c r="V1305" s="21" t="str">
        <f t="shared" si="60"/>
        <v>7-12 months</v>
      </c>
      <c r="W1305" s="21" t="str">
        <f t="shared" si="61"/>
        <v>Low Risk</v>
      </c>
      <c r="X1305" s="21" t="str">
        <f t="shared" si="62"/>
        <v>No</v>
      </c>
    </row>
    <row r="1306" spans="1:24" x14ac:dyDescent="0.3">
      <c r="A1306" s="21">
        <f>'Raw Data'!A1306</f>
        <v>51305</v>
      </c>
      <c r="B1306" s="21">
        <f>'Raw Data'!B1306</f>
        <v>1</v>
      </c>
      <c r="C1306" s="21">
        <f>'Raw Data'!C1306</f>
        <v>1</v>
      </c>
      <c r="D1306" s="21" t="str">
        <f>'Raw Data'!D1306</f>
        <v>Mobile Phone</v>
      </c>
      <c r="E1306" s="21">
        <f>'Raw Data'!E1306</f>
        <v>1</v>
      </c>
      <c r="F1306" s="21">
        <f>IF('Raw Data'!F1306="",ROUND(AVERAGE('Raw Data'!$F$2:$F$1501),1),'Raw Data'!F1306)</f>
        <v>11</v>
      </c>
      <c r="G1306" s="21" t="str">
        <f>'Raw Data'!G1306</f>
        <v>Debit Card</v>
      </c>
      <c r="H1306" s="21" t="str">
        <f>'Raw Data'!H1306</f>
        <v>Male</v>
      </c>
      <c r="I1306" s="21">
        <f>IF('Raw Data'!I1306="",ROUND(AVERAGE('Raw Data'!$I$2:$I$1501),1),'Raw Data'!I1306)</f>
        <v>3.3</v>
      </c>
      <c r="J1306" s="21">
        <f>'Raw Data'!J1306</f>
        <v>3</v>
      </c>
      <c r="K1306" s="21" t="str">
        <f>'Raw Data'!K1306</f>
        <v>Others</v>
      </c>
      <c r="L1306" s="21">
        <f>'Raw Data'!L1306</f>
        <v>3</v>
      </c>
      <c r="M1306" s="21" t="str">
        <f>'Raw Data'!M1306</f>
        <v>Married</v>
      </c>
      <c r="N1306" s="21">
        <f>'Raw Data'!N1306</f>
        <v>10</v>
      </c>
      <c r="O1306" s="21">
        <f>'Raw Data'!O1306</f>
        <v>0</v>
      </c>
      <c r="P1306" s="21">
        <f>IF('Raw Data'!P1306="",ROUND(AVERAGE('Raw Data'!$P$2:$P$1501),1),'Raw Data'!P1306)</f>
        <v>18.899999999999999</v>
      </c>
      <c r="Q1306" s="21">
        <f>IF('Raw Data'!Q1306="",ROUND(AVERAGE('Raw Data'!$Q$2:$Q$1501),0),'Raw Data'!Q1306)</f>
        <v>3</v>
      </c>
      <c r="R1306" s="21">
        <f>'Raw Data'!R1306</f>
        <v>4</v>
      </c>
      <c r="S1306" s="21">
        <f>IF('Raw Data'!S1306="",ROUND(AVERAGE('Raw Data'!$S$2:$S$1501),0),'Raw Data'!S1306)</f>
        <v>0</v>
      </c>
      <c r="T1306" s="21">
        <f>'Raw Data'!T1306</f>
        <v>229.76</v>
      </c>
      <c r="U1306" s="21" t="str">
        <f>INDEX('Lookup Tables'!$C$7:$C$9,MATCH(E1306,'Lookup Tables'!$B$7:$B$9,0))</f>
        <v>Tier 1 (Metro)</v>
      </c>
      <c r="V1306" s="21" t="str">
        <f t="shared" si="60"/>
        <v>0-6 months</v>
      </c>
      <c r="W1306" s="21" t="str">
        <f t="shared" si="61"/>
        <v>Medium Risk</v>
      </c>
      <c r="X1306" s="21" t="str">
        <f t="shared" si="62"/>
        <v>Yes</v>
      </c>
    </row>
    <row r="1307" spans="1:24" x14ac:dyDescent="0.3">
      <c r="A1307" s="21">
        <f>'Raw Data'!A1307</f>
        <v>51306</v>
      </c>
      <c r="B1307" s="21">
        <f>'Raw Data'!B1307</f>
        <v>0</v>
      </c>
      <c r="C1307" s="21">
        <f>'Raw Data'!C1307</f>
        <v>11</v>
      </c>
      <c r="D1307" s="21" t="str">
        <f>'Raw Data'!D1307</f>
        <v>Computer</v>
      </c>
      <c r="E1307" s="21">
        <f>'Raw Data'!E1307</f>
        <v>1</v>
      </c>
      <c r="F1307" s="21">
        <f>IF('Raw Data'!F1307="",ROUND(AVERAGE('Raw Data'!$F$2:$F$1501),1),'Raw Data'!F1307)</f>
        <v>5</v>
      </c>
      <c r="G1307" s="21" t="str">
        <f>'Raw Data'!G1307</f>
        <v>Debit Card</v>
      </c>
      <c r="H1307" s="21" t="str">
        <f>'Raw Data'!H1307</f>
        <v>Male</v>
      </c>
      <c r="I1307" s="21">
        <f>IF('Raw Data'!I1307="",ROUND(AVERAGE('Raw Data'!$I$2:$I$1501),1),'Raw Data'!I1307)</f>
        <v>2.7</v>
      </c>
      <c r="J1307" s="21">
        <f>'Raw Data'!J1307</f>
        <v>3</v>
      </c>
      <c r="K1307" s="21" t="str">
        <f>'Raw Data'!K1307</f>
        <v>Mobile Phone</v>
      </c>
      <c r="L1307" s="21">
        <f>'Raw Data'!L1307</f>
        <v>4</v>
      </c>
      <c r="M1307" s="21" t="str">
        <f>'Raw Data'!M1307</f>
        <v>Single</v>
      </c>
      <c r="N1307" s="21">
        <f>'Raw Data'!N1307</f>
        <v>1</v>
      </c>
      <c r="O1307" s="21">
        <f>'Raw Data'!O1307</f>
        <v>1</v>
      </c>
      <c r="P1307" s="21">
        <f>IF('Raw Data'!P1307="",ROUND(AVERAGE('Raw Data'!$P$2:$P$1501),1),'Raw Data'!P1307)</f>
        <v>18.5</v>
      </c>
      <c r="Q1307" s="21">
        <f>IF('Raw Data'!Q1307="",ROUND(AVERAGE('Raw Data'!$Q$2:$Q$1501),0),'Raw Data'!Q1307)</f>
        <v>3</v>
      </c>
      <c r="R1307" s="21">
        <f>'Raw Data'!R1307</f>
        <v>2</v>
      </c>
      <c r="S1307" s="21">
        <f>IF('Raw Data'!S1307="",ROUND(AVERAGE('Raw Data'!$S$2:$S$1501),0),'Raw Data'!S1307)</f>
        <v>0</v>
      </c>
      <c r="T1307" s="21">
        <f>'Raw Data'!T1307</f>
        <v>118.36</v>
      </c>
      <c r="U1307" s="21" t="str">
        <f>INDEX('Lookup Tables'!$C$7:$C$9,MATCH(E1307,'Lookup Tables'!$B$7:$B$9,0))</f>
        <v>Tier 1 (Metro)</v>
      </c>
      <c r="V1307" s="21" t="str">
        <f t="shared" si="60"/>
        <v>7-12 months</v>
      </c>
      <c r="W1307" s="21" t="str">
        <f t="shared" si="61"/>
        <v>Low Risk</v>
      </c>
      <c r="X1307" s="21" t="str">
        <f t="shared" si="62"/>
        <v>No</v>
      </c>
    </row>
    <row r="1308" spans="1:24" x14ac:dyDescent="0.3">
      <c r="A1308" s="21">
        <f>'Raw Data'!A1308</f>
        <v>51307</v>
      </c>
      <c r="B1308" s="21">
        <f>'Raw Data'!B1308</f>
        <v>0</v>
      </c>
      <c r="C1308" s="21">
        <f>'Raw Data'!C1308</f>
        <v>15</v>
      </c>
      <c r="D1308" s="21" t="str">
        <f>'Raw Data'!D1308</f>
        <v>Mobile Phone</v>
      </c>
      <c r="E1308" s="21">
        <f>'Raw Data'!E1308</f>
        <v>1</v>
      </c>
      <c r="F1308" s="21">
        <f>IF('Raw Data'!F1308="",ROUND(AVERAGE('Raw Data'!$F$2:$F$1501),1),'Raw Data'!F1308)</f>
        <v>7</v>
      </c>
      <c r="G1308" s="21" t="str">
        <f>'Raw Data'!G1308</f>
        <v>Credit Card</v>
      </c>
      <c r="H1308" s="21" t="str">
        <f>'Raw Data'!H1308</f>
        <v>Male</v>
      </c>
      <c r="I1308" s="21">
        <f>IF('Raw Data'!I1308="",ROUND(AVERAGE('Raw Data'!$I$2:$I$1501),1),'Raw Data'!I1308)</f>
        <v>3.1</v>
      </c>
      <c r="J1308" s="21">
        <f>'Raw Data'!J1308</f>
        <v>2</v>
      </c>
      <c r="K1308" s="21" t="str">
        <f>'Raw Data'!K1308</f>
        <v>Laptop &amp; Accessory</v>
      </c>
      <c r="L1308" s="21">
        <f>'Raw Data'!L1308</f>
        <v>4</v>
      </c>
      <c r="M1308" s="21" t="str">
        <f>'Raw Data'!M1308</f>
        <v>Single</v>
      </c>
      <c r="N1308" s="21">
        <f>'Raw Data'!N1308</f>
        <v>2</v>
      </c>
      <c r="O1308" s="21">
        <f>'Raw Data'!O1308</f>
        <v>1</v>
      </c>
      <c r="P1308" s="21">
        <f>IF('Raw Data'!P1308="",ROUND(AVERAGE('Raw Data'!$P$2:$P$1501),1),'Raw Data'!P1308)</f>
        <v>14.2</v>
      </c>
      <c r="Q1308" s="21">
        <f>IF('Raw Data'!Q1308="",ROUND(AVERAGE('Raw Data'!$Q$2:$Q$1501),0),'Raw Data'!Q1308)</f>
        <v>1</v>
      </c>
      <c r="R1308" s="21">
        <f>'Raw Data'!R1308</f>
        <v>3</v>
      </c>
      <c r="S1308" s="21">
        <f>IF('Raw Data'!S1308="",ROUND(AVERAGE('Raw Data'!$S$2:$S$1501),0),'Raw Data'!S1308)</f>
        <v>4</v>
      </c>
      <c r="T1308" s="21">
        <f>'Raw Data'!T1308</f>
        <v>181.81</v>
      </c>
      <c r="U1308" s="21" t="str">
        <f>INDEX('Lookup Tables'!$C$7:$C$9,MATCH(E1308,'Lookup Tables'!$B$7:$B$9,0))</f>
        <v>Tier 1 (Metro)</v>
      </c>
      <c r="V1308" s="21" t="str">
        <f t="shared" si="60"/>
        <v>13-24 months</v>
      </c>
      <c r="W1308" s="21" t="str">
        <f t="shared" si="61"/>
        <v>Low Risk</v>
      </c>
      <c r="X1308" s="21" t="str">
        <f t="shared" si="62"/>
        <v>No</v>
      </c>
    </row>
    <row r="1309" spans="1:24" x14ac:dyDescent="0.3">
      <c r="A1309" s="21">
        <f>'Raw Data'!A1309</f>
        <v>51308</v>
      </c>
      <c r="B1309" s="21">
        <f>'Raw Data'!B1309</f>
        <v>0</v>
      </c>
      <c r="C1309" s="21">
        <f>'Raw Data'!C1309</f>
        <v>3</v>
      </c>
      <c r="D1309" s="21" t="str">
        <f>'Raw Data'!D1309</f>
        <v>Mobile Phone</v>
      </c>
      <c r="E1309" s="21">
        <f>'Raw Data'!E1309</f>
        <v>1</v>
      </c>
      <c r="F1309" s="21">
        <f>IF('Raw Data'!F1309="",ROUND(AVERAGE('Raw Data'!$F$2:$F$1501),1),'Raw Data'!F1309)</f>
        <v>20</v>
      </c>
      <c r="G1309" s="21" t="str">
        <f>'Raw Data'!G1309</f>
        <v>Debit Card</v>
      </c>
      <c r="H1309" s="21" t="str">
        <f>'Raw Data'!H1309</f>
        <v>Male</v>
      </c>
      <c r="I1309" s="21">
        <f>IF('Raw Data'!I1309="",ROUND(AVERAGE('Raw Data'!$I$2:$I$1501),1),'Raw Data'!I1309)</f>
        <v>3.2</v>
      </c>
      <c r="J1309" s="21">
        <f>'Raw Data'!J1309</f>
        <v>4</v>
      </c>
      <c r="K1309" s="21" t="str">
        <f>'Raw Data'!K1309</f>
        <v>Mobile Phone</v>
      </c>
      <c r="L1309" s="21">
        <f>'Raw Data'!L1309</f>
        <v>4</v>
      </c>
      <c r="M1309" s="21" t="str">
        <f>'Raw Data'!M1309</f>
        <v>Married</v>
      </c>
      <c r="N1309" s="21">
        <f>'Raw Data'!N1309</f>
        <v>3</v>
      </c>
      <c r="O1309" s="21">
        <f>'Raw Data'!O1309</f>
        <v>1</v>
      </c>
      <c r="P1309" s="21">
        <f>IF('Raw Data'!P1309="",ROUND(AVERAGE('Raw Data'!$P$2:$P$1501),1),'Raw Data'!P1309)</f>
        <v>19.2</v>
      </c>
      <c r="Q1309" s="21">
        <f>IF('Raw Data'!Q1309="",ROUND(AVERAGE('Raw Data'!$Q$2:$Q$1501),0),'Raw Data'!Q1309)</f>
        <v>1</v>
      </c>
      <c r="R1309" s="21">
        <f>'Raw Data'!R1309</f>
        <v>2</v>
      </c>
      <c r="S1309" s="21">
        <f>IF('Raw Data'!S1309="",ROUND(AVERAGE('Raw Data'!$S$2:$S$1501),0),'Raw Data'!S1309)</f>
        <v>2</v>
      </c>
      <c r="T1309" s="21">
        <f>'Raw Data'!T1309</f>
        <v>118.39</v>
      </c>
      <c r="U1309" s="21" t="str">
        <f>INDEX('Lookup Tables'!$C$7:$C$9,MATCH(E1309,'Lookup Tables'!$B$7:$B$9,0))</f>
        <v>Tier 1 (Metro)</v>
      </c>
      <c r="V1309" s="21" t="str">
        <f t="shared" si="60"/>
        <v>0-6 months</v>
      </c>
      <c r="W1309" s="21" t="str">
        <f t="shared" si="61"/>
        <v>Low Risk</v>
      </c>
      <c r="X1309" s="21" t="str">
        <f t="shared" si="62"/>
        <v>No</v>
      </c>
    </row>
    <row r="1310" spans="1:24" x14ac:dyDescent="0.3">
      <c r="A1310" s="21">
        <f>'Raw Data'!A1310</f>
        <v>51309</v>
      </c>
      <c r="B1310" s="21">
        <f>'Raw Data'!B1310</f>
        <v>0</v>
      </c>
      <c r="C1310" s="21">
        <f>'Raw Data'!C1310</f>
        <v>19</v>
      </c>
      <c r="D1310" s="21" t="str">
        <f>'Raw Data'!D1310</f>
        <v>Phone</v>
      </c>
      <c r="E1310" s="21">
        <f>'Raw Data'!E1310</f>
        <v>3</v>
      </c>
      <c r="F1310" s="21">
        <f>IF('Raw Data'!F1310="",ROUND(AVERAGE('Raw Data'!$F$2:$F$1501),1),'Raw Data'!F1310)</f>
        <v>5</v>
      </c>
      <c r="G1310" s="21" t="str">
        <f>'Raw Data'!G1310</f>
        <v>Debit Card</v>
      </c>
      <c r="H1310" s="21" t="str">
        <f>'Raw Data'!H1310</f>
        <v>Male</v>
      </c>
      <c r="I1310" s="21">
        <f>IF('Raw Data'!I1310="",ROUND(AVERAGE('Raw Data'!$I$2:$I$1501),1),'Raw Data'!I1310)</f>
        <v>2.2000000000000002</v>
      </c>
      <c r="J1310" s="21">
        <f>'Raw Data'!J1310</f>
        <v>3</v>
      </c>
      <c r="K1310" s="21" t="str">
        <f>'Raw Data'!K1310</f>
        <v>Fashion</v>
      </c>
      <c r="L1310" s="21">
        <f>'Raw Data'!L1310</f>
        <v>5</v>
      </c>
      <c r="M1310" s="21" t="str">
        <f>'Raw Data'!M1310</f>
        <v>Married</v>
      </c>
      <c r="N1310" s="21">
        <f>'Raw Data'!N1310</f>
        <v>1</v>
      </c>
      <c r="O1310" s="21">
        <f>'Raw Data'!O1310</f>
        <v>0</v>
      </c>
      <c r="P1310" s="21">
        <f>IF('Raw Data'!P1310="",ROUND(AVERAGE('Raw Data'!$P$2:$P$1501),1),'Raw Data'!P1310)</f>
        <v>11.9</v>
      </c>
      <c r="Q1310" s="21">
        <f>IF('Raw Data'!Q1310="",ROUND(AVERAGE('Raw Data'!$Q$2:$Q$1501),0),'Raw Data'!Q1310)</f>
        <v>4</v>
      </c>
      <c r="R1310" s="21">
        <f>'Raw Data'!R1310</f>
        <v>6</v>
      </c>
      <c r="S1310" s="21">
        <f>IF('Raw Data'!S1310="",ROUND(AVERAGE('Raw Data'!$S$2:$S$1501),0),'Raw Data'!S1310)</f>
        <v>12</v>
      </c>
      <c r="T1310" s="21">
        <f>'Raw Data'!T1310</f>
        <v>119.34</v>
      </c>
      <c r="U1310" s="21" t="str">
        <f>INDEX('Lookup Tables'!$C$7:$C$9,MATCH(E1310,'Lookup Tables'!$B$7:$B$9,0))</f>
        <v>Tier 3 (Semi-urban/Rural)</v>
      </c>
      <c r="V1310" s="21" t="str">
        <f t="shared" si="60"/>
        <v>13-24 months</v>
      </c>
      <c r="W1310" s="21" t="str">
        <f t="shared" si="61"/>
        <v>Low Risk</v>
      </c>
      <c r="X1310" s="21" t="str">
        <f t="shared" si="62"/>
        <v>No</v>
      </c>
    </row>
    <row r="1311" spans="1:24" x14ac:dyDescent="0.3">
      <c r="A1311" s="21">
        <f>'Raw Data'!A1311</f>
        <v>51310</v>
      </c>
      <c r="B1311" s="21">
        <f>'Raw Data'!B1311</f>
        <v>0</v>
      </c>
      <c r="C1311" s="21">
        <f>'Raw Data'!C1311</f>
        <v>23</v>
      </c>
      <c r="D1311" s="21" t="str">
        <f>'Raw Data'!D1311</f>
        <v>Computer</v>
      </c>
      <c r="E1311" s="21">
        <f>'Raw Data'!E1311</f>
        <v>1</v>
      </c>
      <c r="F1311" s="21">
        <f>IF('Raw Data'!F1311="",ROUND(AVERAGE('Raw Data'!$F$2:$F$1501),1),'Raw Data'!F1311)</f>
        <v>5</v>
      </c>
      <c r="G1311" s="21" t="str">
        <f>'Raw Data'!G1311</f>
        <v>Cash on Delivery</v>
      </c>
      <c r="H1311" s="21" t="str">
        <f>'Raw Data'!H1311</f>
        <v>Female</v>
      </c>
      <c r="I1311" s="21">
        <f>IF('Raw Data'!I1311="",ROUND(AVERAGE('Raw Data'!$I$2:$I$1501),1),'Raw Data'!I1311)</f>
        <v>3</v>
      </c>
      <c r="J1311" s="21">
        <f>'Raw Data'!J1311</f>
        <v>3</v>
      </c>
      <c r="K1311" s="21" t="str">
        <f>'Raw Data'!K1311</f>
        <v>Laptop &amp; Accessory</v>
      </c>
      <c r="L1311" s="21">
        <f>'Raw Data'!L1311</f>
        <v>5</v>
      </c>
      <c r="M1311" s="21" t="str">
        <f>'Raw Data'!M1311</f>
        <v>Married</v>
      </c>
      <c r="N1311" s="21">
        <f>'Raw Data'!N1311</f>
        <v>5</v>
      </c>
      <c r="O1311" s="21">
        <f>'Raw Data'!O1311</f>
        <v>1</v>
      </c>
      <c r="P1311" s="21">
        <f>IF('Raw Data'!P1311="",ROUND(AVERAGE('Raw Data'!$P$2:$P$1501),1),'Raw Data'!P1311)</f>
        <v>19.8</v>
      </c>
      <c r="Q1311" s="21">
        <f>IF('Raw Data'!Q1311="",ROUND(AVERAGE('Raw Data'!$Q$2:$Q$1501),0),'Raw Data'!Q1311)</f>
        <v>1</v>
      </c>
      <c r="R1311" s="21">
        <f>'Raw Data'!R1311</f>
        <v>4</v>
      </c>
      <c r="S1311" s="21">
        <f>IF('Raw Data'!S1311="",ROUND(AVERAGE('Raw Data'!$S$2:$S$1501),0),'Raw Data'!S1311)</f>
        <v>4</v>
      </c>
      <c r="T1311" s="21">
        <f>'Raw Data'!T1311</f>
        <v>200.24</v>
      </c>
      <c r="U1311" s="21" t="str">
        <f>INDEX('Lookup Tables'!$C$7:$C$9,MATCH(E1311,'Lookup Tables'!$B$7:$B$9,0))</f>
        <v>Tier 1 (Metro)</v>
      </c>
      <c r="V1311" s="21" t="str">
        <f t="shared" si="60"/>
        <v>13-24 months</v>
      </c>
      <c r="W1311" s="21" t="str">
        <f t="shared" si="61"/>
        <v>Low Risk</v>
      </c>
      <c r="X1311" s="21" t="str">
        <f t="shared" si="62"/>
        <v>No</v>
      </c>
    </row>
    <row r="1312" spans="1:24" x14ac:dyDescent="0.3">
      <c r="A1312" s="21">
        <f>'Raw Data'!A1312</f>
        <v>51311</v>
      </c>
      <c r="B1312" s="21">
        <f>'Raw Data'!B1312</f>
        <v>0</v>
      </c>
      <c r="C1312" s="21">
        <f>'Raw Data'!C1312</f>
        <v>3</v>
      </c>
      <c r="D1312" s="21" t="str">
        <f>'Raw Data'!D1312</f>
        <v>Mobile Phone</v>
      </c>
      <c r="E1312" s="21">
        <f>'Raw Data'!E1312</f>
        <v>3</v>
      </c>
      <c r="F1312" s="21">
        <f>IF('Raw Data'!F1312="",ROUND(AVERAGE('Raw Data'!$F$2:$F$1501),1),'Raw Data'!F1312)</f>
        <v>9</v>
      </c>
      <c r="G1312" s="21" t="str">
        <f>'Raw Data'!G1312</f>
        <v>Debit Card</v>
      </c>
      <c r="H1312" s="21" t="str">
        <f>'Raw Data'!H1312</f>
        <v>Male</v>
      </c>
      <c r="I1312" s="21">
        <f>IF('Raw Data'!I1312="",ROUND(AVERAGE('Raw Data'!$I$2:$I$1501),1),'Raw Data'!I1312)</f>
        <v>1.4</v>
      </c>
      <c r="J1312" s="21">
        <f>'Raw Data'!J1312</f>
        <v>2</v>
      </c>
      <c r="K1312" s="21" t="str">
        <f>'Raw Data'!K1312</f>
        <v>Fashion</v>
      </c>
      <c r="L1312" s="21">
        <f>'Raw Data'!L1312</f>
        <v>3</v>
      </c>
      <c r="M1312" s="21" t="str">
        <f>'Raw Data'!M1312</f>
        <v>Married</v>
      </c>
      <c r="N1312" s="21">
        <f>'Raw Data'!N1312</f>
        <v>3</v>
      </c>
      <c r="O1312" s="21">
        <f>'Raw Data'!O1312</f>
        <v>0</v>
      </c>
      <c r="P1312" s="21">
        <f>IF('Raw Data'!P1312="",ROUND(AVERAGE('Raw Data'!$P$2:$P$1501),1),'Raw Data'!P1312)</f>
        <v>15.1</v>
      </c>
      <c r="Q1312" s="21">
        <f>IF('Raw Data'!Q1312="",ROUND(AVERAGE('Raw Data'!$Q$2:$Q$1501),0),'Raw Data'!Q1312)</f>
        <v>2</v>
      </c>
      <c r="R1312" s="21">
        <f>'Raw Data'!R1312</f>
        <v>3</v>
      </c>
      <c r="S1312" s="21">
        <f>IF('Raw Data'!S1312="",ROUND(AVERAGE('Raw Data'!$S$2:$S$1501),0),'Raw Data'!S1312)</f>
        <v>5</v>
      </c>
      <c r="T1312" s="21">
        <f>'Raw Data'!T1312</f>
        <v>232.07</v>
      </c>
      <c r="U1312" s="21" t="str">
        <f>INDEX('Lookup Tables'!$C$7:$C$9,MATCH(E1312,'Lookup Tables'!$B$7:$B$9,0))</f>
        <v>Tier 3 (Semi-urban/Rural)</v>
      </c>
      <c r="V1312" s="21" t="str">
        <f t="shared" si="60"/>
        <v>0-6 months</v>
      </c>
      <c r="W1312" s="21" t="str">
        <f t="shared" si="61"/>
        <v>Medium Risk</v>
      </c>
      <c r="X1312" s="21" t="str">
        <f t="shared" si="62"/>
        <v>No</v>
      </c>
    </row>
    <row r="1313" spans="1:24" x14ac:dyDescent="0.3">
      <c r="A1313" s="21">
        <f>'Raw Data'!A1313</f>
        <v>51312</v>
      </c>
      <c r="B1313" s="21">
        <f>'Raw Data'!B1313</f>
        <v>0</v>
      </c>
      <c r="C1313" s="21">
        <f>'Raw Data'!C1313</f>
        <v>41</v>
      </c>
      <c r="D1313" s="21" t="str">
        <f>'Raw Data'!D1313</f>
        <v>Mobile Phone</v>
      </c>
      <c r="E1313" s="21">
        <f>'Raw Data'!E1313</f>
        <v>3</v>
      </c>
      <c r="F1313" s="21">
        <f>IF('Raw Data'!F1313="",ROUND(AVERAGE('Raw Data'!$F$2:$F$1501),1),'Raw Data'!F1313)</f>
        <v>20</v>
      </c>
      <c r="G1313" s="21" t="str">
        <f>'Raw Data'!G1313</f>
        <v>E wallet</v>
      </c>
      <c r="H1313" s="21" t="str">
        <f>'Raw Data'!H1313</f>
        <v>Female</v>
      </c>
      <c r="I1313" s="21">
        <f>IF('Raw Data'!I1313="",ROUND(AVERAGE('Raw Data'!$I$2:$I$1501),1),'Raw Data'!I1313)</f>
        <v>3.2</v>
      </c>
      <c r="J1313" s="21">
        <f>'Raw Data'!J1313</f>
        <v>2</v>
      </c>
      <c r="K1313" s="21" t="str">
        <f>'Raw Data'!K1313</f>
        <v>Others</v>
      </c>
      <c r="L1313" s="21">
        <f>'Raw Data'!L1313</f>
        <v>5</v>
      </c>
      <c r="M1313" s="21" t="str">
        <f>'Raw Data'!M1313</f>
        <v>Married</v>
      </c>
      <c r="N1313" s="21">
        <f>'Raw Data'!N1313</f>
        <v>1</v>
      </c>
      <c r="O1313" s="21">
        <f>'Raw Data'!O1313</f>
        <v>0</v>
      </c>
      <c r="P1313" s="21">
        <f>IF('Raw Data'!P1313="",ROUND(AVERAGE('Raw Data'!$P$2:$P$1501),1),'Raw Data'!P1313)</f>
        <v>21.9</v>
      </c>
      <c r="Q1313" s="21">
        <f>IF('Raw Data'!Q1313="",ROUND(AVERAGE('Raw Data'!$Q$2:$Q$1501),0),'Raw Data'!Q1313)</f>
        <v>3</v>
      </c>
      <c r="R1313" s="21">
        <f>'Raw Data'!R1313</f>
        <v>5</v>
      </c>
      <c r="S1313" s="21">
        <f>IF('Raw Data'!S1313="",ROUND(AVERAGE('Raw Data'!$S$2:$S$1501),0),'Raw Data'!S1313)</f>
        <v>0</v>
      </c>
      <c r="T1313" s="21">
        <f>'Raw Data'!T1313</f>
        <v>169.34</v>
      </c>
      <c r="U1313" s="21" t="str">
        <f>INDEX('Lookup Tables'!$C$7:$C$9,MATCH(E1313,'Lookup Tables'!$B$7:$B$9,0))</f>
        <v>Tier 3 (Semi-urban/Rural)</v>
      </c>
      <c r="V1313" s="21" t="str">
        <f t="shared" si="60"/>
        <v>25+ months</v>
      </c>
      <c r="W1313" s="21" t="str">
        <f t="shared" si="61"/>
        <v>Low Risk</v>
      </c>
      <c r="X1313" s="21" t="str">
        <f t="shared" si="62"/>
        <v>No</v>
      </c>
    </row>
    <row r="1314" spans="1:24" x14ac:dyDescent="0.3">
      <c r="A1314" s="21">
        <f>'Raw Data'!A1314</f>
        <v>51313</v>
      </c>
      <c r="B1314" s="21">
        <f>'Raw Data'!B1314</f>
        <v>0</v>
      </c>
      <c r="C1314" s="21">
        <f>'Raw Data'!C1314</f>
        <v>1</v>
      </c>
      <c r="D1314" s="21" t="str">
        <f>'Raw Data'!D1314</f>
        <v>Mobile Phone</v>
      </c>
      <c r="E1314" s="21">
        <f>'Raw Data'!E1314</f>
        <v>2</v>
      </c>
      <c r="F1314" s="21">
        <f>IF('Raw Data'!F1314="",ROUND(AVERAGE('Raw Data'!$F$2:$F$1501),1),'Raw Data'!F1314)</f>
        <v>13</v>
      </c>
      <c r="G1314" s="21" t="str">
        <f>'Raw Data'!G1314</f>
        <v>Debit Card</v>
      </c>
      <c r="H1314" s="21" t="str">
        <f>'Raw Data'!H1314</f>
        <v>Male</v>
      </c>
      <c r="I1314" s="21">
        <f>IF('Raw Data'!I1314="",ROUND(AVERAGE('Raw Data'!$I$2:$I$1501),1),'Raw Data'!I1314)</f>
        <v>3.4</v>
      </c>
      <c r="J1314" s="21">
        <f>'Raw Data'!J1314</f>
        <v>4</v>
      </c>
      <c r="K1314" s="21" t="str">
        <f>'Raw Data'!K1314</f>
        <v>Grocery</v>
      </c>
      <c r="L1314" s="21">
        <f>'Raw Data'!L1314</f>
        <v>4</v>
      </c>
      <c r="M1314" s="21" t="str">
        <f>'Raw Data'!M1314</f>
        <v>Married</v>
      </c>
      <c r="N1314" s="21">
        <f>'Raw Data'!N1314</f>
        <v>3</v>
      </c>
      <c r="O1314" s="21">
        <f>'Raw Data'!O1314</f>
        <v>1</v>
      </c>
      <c r="P1314" s="21">
        <f>IF('Raw Data'!P1314="",ROUND(AVERAGE('Raw Data'!$P$2:$P$1501),1),'Raw Data'!P1314)</f>
        <v>11</v>
      </c>
      <c r="Q1314" s="21">
        <f>IF('Raw Data'!Q1314="",ROUND(AVERAGE('Raw Data'!$Q$2:$Q$1501),0),'Raw Data'!Q1314)</f>
        <v>2</v>
      </c>
      <c r="R1314" s="21">
        <f>'Raw Data'!R1314</f>
        <v>6</v>
      </c>
      <c r="S1314" s="21">
        <f>IF('Raw Data'!S1314="",ROUND(AVERAGE('Raw Data'!$S$2:$S$1501),0),'Raw Data'!S1314)</f>
        <v>3</v>
      </c>
      <c r="T1314" s="21">
        <f>'Raw Data'!T1314</f>
        <v>270.7</v>
      </c>
      <c r="U1314" s="21" t="str">
        <f>INDEX('Lookup Tables'!$C$7:$C$9,MATCH(E1314,'Lookup Tables'!$B$7:$B$9,0))</f>
        <v>Tier 2 (Urban)</v>
      </c>
      <c r="V1314" s="21" t="str">
        <f t="shared" si="60"/>
        <v>0-6 months</v>
      </c>
      <c r="W1314" s="21" t="str">
        <f t="shared" si="61"/>
        <v>Low Risk</v>
      </c>
      <c r="X1314" s="21" t="str">
        <f t="shared" si="62"/>
        <v>No</v>
      </c>
    </row>
    <row r="1315" spans="1:24" x14ac:dyDescent="0.3">
      <c r="A1315" s="21">
        <f>'Raw Data'!A1315</f>
        <v>51314</v>
      </c>
      <c r="B1315" s="21">
        <f>'Raw Data'!B1315</f>
        <v>1</v>
      </c>
      <c r="C1315" s="21">
        <f>'Raw Data'!C1315</f>
        <v>2</v>
      </c>
      <c r="D1315" s="21" t="str">
        <f>'Raw Data'!D1315</f>
        <v>Mobile Phone</v>
      </c>
      <c r="E1315" s="21">
        <f>'Raw Data'!E1315</f>
        <v>1</v>
      </c>
      <c r="F1315" s="21">
        <f>IF('Raw Data'!F1315="",ROUND(AVERAGE('Raw Data'!$F$2:$F$1501),1),'Raw Data'!F1315)</f>
        <v>11</v>
      </c>
      <c r="G1315" s="21" t="str">
        <f>'Raw Data'!G1315</f>
        <v>Credit Card</v>
      </c>
      <c r="H1315" s="21" t="str">
        <f>'Raw Data'!H1315</f>
        <v>Female</v>
      </c>
      <c r="I1315" s="21">
        <f>IF('Raw Data'!I1315="",ROUND(AVERAGE('Raw Data'!$I$2:$I$1501),1),'Raw Data'!I1315)</f>
        <v>3.4</v>
      </c>
      <c r="J1315" s="21">
        <f>'Raw Data'!J1315</f>
        <v>2</v>
      </c>
      <c r="K1315" s="21" t="str">
        <f>'Raw Data'!K1315</f>
        <v>Laptop &amp; Accessory</v>
      </c>
      <c r="L1315" s="21">
        <f>'Raw Data'!L1315</f>
        <v>1</v>
      </c>
      <c r="M1315" s="21" t="str">
        <f>'Raw Data'!M1315</f>
        <v>Single</v>
      </c>
      <c r="N1315" s="21">
        <f>'Raw Data'!N1315</f>
        <v>2</v>
      </c>
      <c r="O1315" s="21">
        <f>'Raw Data'!O1315</f>
        <v>1</v>
      </c>
      <c r="P1315" s="21">
        <f>IF('Raw Data'!P1315="",ROUND(AVERAGE('Raw Data'!$P$2:$P$1501),1),'Raw Data'!P1315)</f>
        <v>22.2</v>
      </c>
      <c r="Q1315" s="21">
        <f>IF('Raw Data'!Q1315="",ROUND(AVERAGE('Raw Data'!$Q$2:$Q$1501),0),'Raw Data'!Q1315)</f>
        <v>2</v>
      </c>
      <c r="R1315" s="21">
        <f>'Raw Data'!R1315</f>
        <v>4</v>
      </c>
      <c r="S1315" s="21">
        <f>IF('Raw Data'!S1315="",ROUND(AVERAGE('Raw Data'!$S$2:$S$1501),0),'Raw Data'!S1315)</f>
        <v>2</v>
      </c>
      <c r="T1315" s="21">
        <f>'Raw Data'!T1315</f>
        <v>191.65</v>
      </c>
      <c r="U1315" s="21" t="str">
        <f>INDEX('Lookup Tables'!$C$7:$C$9,MATCH(E1315,'Lookup Tables'!$B$7:$B$9,0))</f>
        <v>Tier 1 (Metro)</v>
      </c>
      <c r="V1315" s="21" t="str">
        <f t="shared" si="60"/>
        <v>0-6 months</v>
      </c>
      <c r="W1315" s="21" t="str">
        <f t="shared" si="61"/>
        <v>High Risk</v>
      </c>
      <c r="X1315" s="21" t="str">
        <f t="shared" si="62"/>
        <v>Yes</v>
      </c>
    </row>
    <row r="1316" spans="1:24" x14ac:dyDescent="0.3">
      <c r="A1316" s="21">
        <f>'Raw Data'!A1316</f>
        <v>51315</v>
      </c>
      <c r="B1316" s="21">
        <f>'Raw Data'!B1316</f>
        <v>0</v>
      </c>
      <c r="C1316" s="21">
        <f>'Raw Data'!C1316</f>
        <v>2</v>
      </c>
      <c r="D1316" s="21" t="str">
        <f>'Raw Data'!D1316</f>
        <v>Mobile Phone</v>
      </c>
      <c r="E1316" s="21">
        <f>'Raw Data'!E1316</f>
        <v>1</v>
      </c>
      <c r="F1316" s="21">
        <f>IF('Raw Data'!F1316="",ROUND(AVERAGE('Raw Data'!$F$2:$F$1501),1),'Raw Data'!F1316)</f>
        <v>15</v>
      </c>
      <c r="G1316" s="21" t="str">
        <f>'Raw Data'!G1316</f>
        <v>Cash on Delivery</v>
      </c>
      <c r="H1316" s="21" t="str">
        <f>'Raw Data'!H1316</f>
        <v>Female</v>
      </c>
      <c r="I1316" s="21">
        <f>IF('Raw Data'!I1316="",ROUND(AVERAGE('Raw Data'!$I$2:$I$1501),1),'Raw Data'!I1316)</f>
        <v>2.6</v>
      </c>
      <c r="J1316" s="21">
        <f>'Raw Data'!J1316</f>
        <v>4</v>
      </c>
      <c r="K1316" s="21" t="str">
        <f>'Raw Data'!K1316</f>
        <v>Others</v>
      </c>
      <c r="L1316" s="21">
        <f>'Raw Data'!L1316</f>
        <v>4</v>
      </c>
      <c r="M1316" s="21" t="str">
        <f>'Raw Data'!M1316</f>
        <v>Single</v>
      </c>
      <c r="N1316" s="21">
        <f>'Raw Data'!N1316</f>
        <v>1</v>
      </c>
      <c r="O1316" s="21">
        <f>'Raw Data'!O1316</f>
        <v>0</v>
      </c>
      <c r="P1316" s="21">
        <f>IF('Raw Data'!P1316="",ROUND(AVERAGE('Raw Data'!$P$2:$P$1501),1),'Raw Data'!P1316)</f>
        <v>14.7</v>
      </c>
      <c r="Q1316" s="21">
        <f>IF('Raw Data'!Q1316="",ROUND(AVERAGE('Raw Data'!$Q$2:$Q$1501),0),'Raw Data'!Q1316)</f>
        <v>2</v>
      </c>
      <c r="R1316" s="21">
        <f>'Raw Data'!R1316</f>
        <v>3</v>
      </c>
      <c r="S1316" s="21">
        <f>IF('Raw Data'!S1316="",ROUND(AVERAGE('Raw Data'!$S$2:$S$1501),0),'Raw Data'!S1316)</f>
        <v>6</v>
      </c>
      <c r="T1316" s="21">
        <f>'Raw Data'!T1316</f>
        <v>137.28</v>
      </c>
      <c r="U1316" s="21" t="str">
        <f>INDEX('Lookup Tables'!$C$7:$C$9,MATCH(E1316,'Lookup Tables'!$B$7:$B$9,0))</f>
        <v>Tier 1 (Metro)</v>
      </c>
      <c r="V1316" s="21" t="str">
        <f t="shared" si="60"/>
        <v>0-6 months</v>
      </c>
      <c r="W1316" s="21" t="str">
        <f t="shared" si="61"/>
        <v>Low Risk</v>
      </c>
      <c r="X1316" s="21" t="str">
        <f t="shared" si="62"/>
        <v>No</v>
      </c>
    </row>
    <row r="1317" spans="1:24" x14ac:dyDescent="0.3">
      <c r="A1317" s="21">
        <f>'Raw Data'!A1317</f>
        <v>51316</v>
      </c>
      <c r="B1317" s="21">
        <f>'Raw Data'!B1317</f>
        <v>0</v>
      </c>
      <c r="C1317" s="21">
        <f>'Raw Data'!C1317</f>
        <v>22</v>
      </c>
      <c r="D1317" s="21" t="str">
        <f>'Raw Data'!D1317</f>
        <v>Mobile Phone</v>
      </c>
      <c r="E1317" s="21">
        <f>'Raw Data'!E1317</f>
        <v>3</v>
      </c>
      <c r="F1317" s="21">
        <f>IF('Raw Data'!F1317="",ROUND(AVERAGE('Raw Data'!$F$2:$F$1501),1),'Raw Data'!F1317)</f>
        <v>5</v>
      </c>
      <c r="G1317" s="21" t="str">
        <f>'Raw Data'!G1317</f>
        <v>Debit Card</v>
      </c>
      <c r="H1317" s="21" t="str">
        <f>'Raw Data'!H1317</f>
        <v>Female</v>
      </c>
      <c r="I1317" s="21">
        <f>IF('Raw Data'!I1317="",ROUND(AVERAGE('Raw Data'!$I$2:$I$1501),1),'Raw Data'!I1317)</f>
        <v>3.1</v>
      </c>
      <c r="J1317" s="21">
        <f>'Raw Data'!J1317</f>
        <v>3</v>
      </c>
      <c r="K1317" s="21" t="str">
        <f>'Raw Data'!K1317</f>
        <v>Fashion</v>
      </c>
      <c r="L1317" s="21">
        <f>'Raw Data'!L1317</f>
        <v>4</v>
      </c>
      <c r="M1317" s="21" t="str">
        <f>'Raw Data'!M1317</f>
        <v>Married</v>
      </c>
      <c r="N1317" s="21">
        <f>'Raw Data'!N1317</f>
        <v>19</v>
      </c>
      <c r="O1317" s="21">
        <f>'Raw Data'!O1317</f>
        <v>1</v>
      </c>
      <c r="P1317" s="21">
        <f>IF('Raw Data'!P1317="",ROUND(AVERAGE('Raw Data'!$P$2:$P$1501),1),'Raw Data'!P1317)</f>
        <v>14.7</v>
      </c>
      <c r="Q1317" s="21">
        <f>IF('Raw Data'!Q1317="",ROUND(AVERAGE('Raw Data'!$Q$2:$Q$1501),0),'Raw Data'!Q1317)</f>
        <v>1</v>
      </c>
      <c r="R1317" s="21">
        <f>'Raw Data'!R1317</f>
        <v>7</v>
      </c>
      <c r="S1317" s="21">
        <f>IF('Raw Data'!S1317="",ROUND(AVERAGE('Raw Data'!$S$2:$S$1501),0),'Raw Data'!S1317)</f>
        <v>2</v>
      </c>
      <c r="T1317" s="21">
        <f>'Raw Data'!T1317</f>
        <v>120.23</v>
      </c>
      <c r="U1317" s="21" t="str">
        <f>INDEX('Lookup Tables'!$C$7:$C$9,MATCH(E1317,'Lookup Tables'!$B$7:$B$9,0))</f>
        <v>Tier 3 (Semi-urban/Rural)</v>
      </c>
      <c r="V1317" s="21" t="str">
        <f t="shared" si="60"/>
        <v>13-24 months</v>
      </c>
      <c r="W1317" s="21" t="str">
        <f t="shared" si="61"/>
        <v>Low Risk</v>
      </c>
      <c r="X1317" s="21" t="str">
        <f t="shared" si="62"/>
        <v>No</v>
      </c>
    </row>
    <row r="1318" spans="1:24" x14ac:dyDescent="0.3">
      <c r="A1318" s="21">
        <f>'Raw Data'!A1318</f>
        <v>51317</v>
      </c>
      <c r="B1318" s="21">
        <f>'Raw Data'!B1318</f>
        <v>0</v>
      </c>
      <c r="C1318" s="21">
        <f>'Raw Data'!C1318</f>
        <v>10</v>
      </c>
      <c r="D1318" s="21" t="str">
        <f>'Raw Data'!D1318</f>
        <v>Mobile Phone</v>
      </c>
      <c r="E1318" s="21">
        <f>'Raw Data'!E1318</f>
        <v>1</v>
      </c>
      <c r="F1318" s="21">
        <f>IF('Raw Data'!F1318="",ROUND(AVERAGE('Raw Data'!$F$2:$F$1501),1),'Raw Data'!F1318)</f>
        <v>18</v>
      </c>
      <c r="G1318" s="21" t="str">
        <f>'Raw Data'!G1318</f>
        <v>Debit Card</v>
      </c>
      <c r="H1318" s="21" t="str">
        <f>'Raw Data'!H1318</f>
        <v>Female</v>
      </c>
      <c r="I1318" s="21">
        <f>IF('Raw Data'!I1318="",ROUND(AVERAGE('Raw Data'!$I$2:$I$1501),1),'Raw Data'!I1318)</f>
        <v>3.9</v>
      </c>
      <c r="J1318" s="21">
        <f>'Raw Data'!J1318</f>
        <v>3</v>
      </c>
      <c r="K1318" s="21" t="str">
        <f>'Raw Data'!K1318</f>
        <v>Laptop &amp; Accessory</v>
      </c>
      <c r="L1318" s="21">
        <f>'Raw Data'!L1318</f>
        <v>5</v>
      </c>
      <c r="M1318" s="21" t="str">
        <f>'Raw Data'!M1318</f>
        <v>Married</v>
      </c>
      <c r="N1318" s="21">
        <f>'Raw Data'!N1318</f>
        <v>7</v>
      </c>
      <c r="O1318" s="21">
        <f>'Raw Data'!O1318</f>
        <v>1</v>
      </c>
      <c r="P1318" s="21">
        <f>IF('Raw Data'!P1318="",ROUND(AVERAGE('Raw Data'!$P$2:$P$1501),1),'Raw Data'!P1318)</f>
        <v>16.7</v>
      </c>
      <c r="Q1318" s="21">
        <f>IF('Raw Data'!Q1318="",ROUND(AVERAGE('Raw Data'!$Q$2:$Q$1501),0),'Raw Data'!Q1318)</f>
        <v>3</v>
      </c>
      <c r="R1318" s="21">
        <f>'Raw Data'!R1318</f>
        <v>1</v>
      </c>
      <c r="S1318" s="21">
        <f>IF('Raw Data'!S1318="",ROUND(AVERAGE('Raw Data'!$S$2:$S$1501),0),'Raw Data'!S1318)</f>
        <v>18</v>
      </c>
      <c r="T1318" s="21">
        <f>'Raw Data'!T1318</f>
        <v>236</v>
      </c>
      <c r="U1318" s="21" t="str">
        <f>INDEX('Lookup Tables'!$C$7:$C$9,MATCH(E1318,'Lookup Tables'!$B$7:$B$9,0))</f>
        <v>Tier 1 (Metro)</v>
      </c>
      <c r="V1318" s="21" t="str">
        <f t="shared" si="60"/>
        <v>7-12 months</v>
      </c>
      <c r="W1318" s="21" t="str">
        <f t="shared" si="61"/>
        <v>Medium Risk</v>
      </c>
      <c r="X1318" s="21" t="str">
        <f t="shared" si="62"/>
        <v>No</v>
      </c>
    </row>
    <row r="1319" spans="1:24" x14ac:dyDescent="0.3">
      <c r="A1319" s="21">
        <f>'Raw Data'!A1319</f>
        <v>51318</v>
      </c>
      <c r="B1319" s="21">
        <f>'Raw Data'!B1319</f>
        <v>1</v>
      </c>
      <c r="C1319" s="21">
        <f>'Raw Data'!C1319</f>
        <v>1</v>
      </c>
      <c r="D1319" s="21" t="str">
        <f>'Raw Data'!D1319</f>
        <v>Phone</v>
      </c>
      <c r="E1319" s="21">
        <f>'Raw Data'!E1319</f>
        <v>1</v>
      </c>
      <c r="F1319" s="21">
        <f>IF('Raw Data'!F1319="",ROUND(AVERAGE('Raw Data'!$F$2:$F$1501),1),'Raw Data'!F1319)</f>
        <v>18</v>
      </c>
      <c r="G1319" s="21" t="str">
        <f>'Raw Data'!G1319</f>
        <v>E wallet</v>
      </c>
      <c r="H1319" s="21" t="str">
        <f>'Raw Data'!H1319</f>
        <v>Female</v>
      </c>
      <c r="I1319" s="21">
        <f>IF('Raw Data'!I1319="",ROUND(AVERAGE('Raw Data'!$I$2:$I$1501),1),'Raw Data'!I1319)</f>
        <v>3.9</v>
      </c>
      <c r="J1319" s="21">
        <f>'Raw Data'!J1319</f>
        <v>2</v>
      </c>
      <c r="K1319" s="21" t="str">
        <f>'Raw Data'!K1319</f>
        <v>Laptop &amp; Accessory</v>
      </c>
      <c r="L1319" s="21">
        <f>'Raw Data'!L1319</f>
        <v>3</v>
      </c>
      <c r="M1319" s="21" t="str">
        <f>'Raw Data'!M1319</f>
        <v>Single</v>
      </c>
      <c r="N1319" s="21">
        <f>'Raw Data'!N1319</f>
        <v>1</v>
      </c>
      <c r="O1319" s="21">
        <f>'Raw Data'!O1319</f>
        <v>0</v>
      </c>
      <c r="P1319" s="21">
        <f>IF('Raw Data'!P1319="",ROUND(AVERAGE('Raw Data'!$P$2:$P$1501),1),'Raw Data'!P1319)</f>
        <v>13.6</v>
      </c>
      <c r="Q1319" s="21">
        <f>IF('Raw Data'!Q1319="",ROUND(AVERAGE('Raw Data'!$Q$2:$Q$1501),0),'Raw Data'!Q1319)</f>
        <v>7</v>
      </c>
      <c r="R1319" s="21">
        <f>'Raw Data'!R1319</f>
        <v>3</v>
      </c>
      <c r="S1319" s="21">
        <f>IF('Raw Data'!S1319="",ROUND(AVERAGE('Raw Data'!$S$2:$S$1501),0),'Raw Data'!S1319)</f>
        <v>5</v>
      </c>
      <c r="T1319" s="21">
        <f>'Raw Data'!T1319</f>
        <v>187.07</v>
      </c>
      <c r="U1319" s="21" t="str">
        <f>INDEX('Lookup Tables'!$C$7:$C$9,MATCH(E1319,'Lookup Tables'!$B$7:$B$9,0))</f>
        <v>Tier 1 (Metro)</v>
      </c>
      <c r="V1319" s="21" t="str">
        <f t="shared" si="60"/>
        <v>0-6 months</v>
      </c>
      <c r="W1319" s="21" t="str">
        <f t="shared" si="61"/>
        <v>Medium Risk</v>
      </c>
      <c r="X1319" s="21" t="str">
        <f t="shared" si="62"/>
        <v>Yes</v>
      </c>
    </row>
    <row r="1320" spans="1:24" x14ac:dyDescent="0.3">
      <c r="A1320" s="21">
        <f>'Raw Data'!A1320</f>
        <v>51319</v>
      </c>
      <c r="B1320" s="21">
        <f>'Raw Data'!B1320</f>
        <v>0</v>
      </c>
      <c r="C1320" s="21">
        <f>'Raw Data'!C1320</f>
        <v>5</v>
      </c>
      <c r="D1320" s="21" t="str">
        <f>'Raw Data'!D1320</f>
        <v>Mobile Phone</v>
      </c>
      <c r="E1320" s="21">
        <f>'Raw Data'!E1320</f>
        <v>2</v>
      </c>
      <c r="F1320" s="21">
        <f>IF('Raw Data'!F1320="",ROUND(AVERAGE('Raw Data'!$F$2:$F$1501),1),'Raw Data'!F1320)</f>
        <v>11</v>
      </c>
      <c r="G1320" s="21" t="str">
        <f>'Raw Data'!G1320</f>
        <v>E wallet</v>
      </c>
      <c r="H1320" s="21" t="str">
        <f>'Raw Data'!H1320</f>
        <v>Female</v>
      </c>
      <c r="I1320" s="21">
        <f>IF('Raw Data'!I1320="",ROUND(AVERAGE('Raw Data'!$I$2:$I$1501),1),'Raw Data'!I1320)</f>
        <v>2.9</v>
      </c>
      <c r="J1320" s="21">
        <f>'Raw Data'!J1320</f>
        <v>3</v>
      </c>
      <c r="K1320" s="21" t="str">
        <f>'Raw Data'!K1320</f>
        <v>Laptop &amp; Accessory</v>
      </c>
      <c r="L1320" s="21">
        <f>'Raw Data'!L1320</f>
        <v>4</v>
      </c>
      <c r="M1320" s="21" t="str">
        <f>'Raw Data'!M1320</f>
        <v>Divorced</v>
      </c>
      <c r="N1320" s="21">
        <f>'Raw Data'!N1320</f>
        <v>2</v>
      </c>
      <c r="O1320" s="21">
        <f>'Raw Data'!O1320</f>
        <v>0</v>
      </c>
      <c r="P1320" s="21">
        <f>IF('Raw Data'!P1320="",ROUND(AVERAGE('Raw Data'!$P$2:$P$1501),1),'Raw Data'!P1320)</f>
        <v>15.7</v>
      </c>
      <c r="Q1320" s="21">
        <f>IF('Raw Data'!Q1320="",ROUND(AVERAGE('Raw Data'!$Q$2:$Q$1501),0),'Raw Data'!Q1320)</f>
        <v>5</v>
      </c>
      <c r="R1320" s="21">
        <f>'Raw Data'!R1320</f>
        <v>7</v>
      </c>
      <c r="S1320" s="21">
        <f>IF('Raw Data'!S1320="",ROUND(AVERAGE('Raw Data'!$S$2:$S$1501),0),'Raw Data'!S1320)</f>
        <v>5</v>
      </c>
      <c r="T1320" s="21">
        <f>'Raw Data'!T1320</f>
        <v>217.18</v>
      </c>
      <c r="U1320" s="21" t="str">
        <f>INDEX('Lookup Tables'!$C$7:$C$9,MATCH(E1320,'Lookup Tables'!$B$7:$B$9,0))</f>
        <v>Tier 2 (Urban)</v>
      </c>
      <c r="V1320" s="21" t="str">
        <f t="shared" si="60"/>
        <v>0-6 months</v>
      </c>
      <c r="W1320" s="21" t="str">
        <f t="shared" si="61"/>
        <v>Low Risk</v>
      </c>
      <c r="X1320" s="21" t="str">
        <f t="shared" si="62"/>
        <v>No</v>
      </c>
    </row>
    <row r="1321" spans="1:24" x14ac:dyDescent="0.3">
      <c r="A1321" s="21">
        <f>'Raw Data'!A1321</f>
        <v>51320</v>
      </c>
      <c r="B1321" s="21">
        <f>'Raw Data'!B1321</f>
        <v>0</v>
      </c>
      <c r="C1321" s="21">
        <f>'Raw Data'!C1321</f>
        <v>9</v>
      </c>
      <c r="D1321" s="21" t="str">
        <f>'Raw Data'!D1321</f>
        <v>Mobile Phone</v>
      </c>
      <c r="E1321" s="21">
        <f>'Raw Data'!E1321</f>
        <v>3</v>
      </c>
      <c r="F1321" s="21">
        <f>IF('Raw Data'!F1321="",ROUND(AVERAGE('Raw Data'!$F$2:$F$1501),1),'Raw Data'!F1321)</f>
        <v>23</v>
      </c>
      <c r="G1321" s="21" t="str">
        <f>'Raw Data'!G1321</f>
        <v>E wallet</v>
      </c>
      <c r="H1321" s="21" t="str">
        <f>'Raw Data'!H1321</f>
        <v>Male</v>
      </c>
      <c r="I1321" s="21">
        <f>IF('Raw Data'!I1321="",ROUND(AVERAGE('Raw Data'!$I$2:$I$1501),1),'Raw Data'!I1321)</f>
        <v>3</v>
      </c>
      <c r="J1321" s="21">
        <f>'Raw Data'!J1321</f>
        <v>3</v>
      </c>
      <c r="K1321" s="21" t="str">
        <f>'Raw Data'!K1321</f>
        <v>Grocery</v>
      </c>
      <c r="L1321" s="21">
        <f>'Raw Data'!L1321</f>
        <v>1</v>
      </c>
      <c r="M1321" s="21" t="str">
        <f>'Raw Data'!M1321</f>
        <v>Married</v>
      </c>
      <c r="N1321" s="21">
        <f>'Raw Data'!N1321</f>
        <v>1</v>
      </c>
      <c r="O1321" s="21">
        <f>'Raw Data'!O1321</f>
        <v>1</v>
      </c>
      <c r="P1321" s="21">
        <f>IF('Raw Data'!P1321="",ROUND(AVERAGE('Raw Data'!$P$2:$P$1501),1),'Raw Data'!P1321)</f>
        <v>13.4</v>
      </c>
      <c r="Q1321" s="21">
        <f>IF('Raw Data'!Q1321="",ROUND(AVERAGE('Raw Data'!$Q$2:$Q$1501),0),'Raw Data'!Q1321)</f>
        <v>0</v>
      </c>
      <c r="R1321" s="21">
        <f>'Raw Data'!R1321</f>
        <v>4</v>
      </c>
      <c r="S1321" s="21">
        <f>IF('Raw Data'!S1321="",ROUND(AVERAGE('Raw Data'!$S$2:$S$1501),0),'Raw Data'!S1321)</f>
        <v>12</v>
      </c>
      <c r="T1321" s="21">
        <f>'Raw Data'!T1321</f>
        <v>33.81</v>
      </c>
      <c r="U1321" s="21" t="str">
        <f>INDEX('Lookup Tables'!$C$7:$C$9,MATCH(E1321,'Lookup Tables'!$B$7:$B$9,0))</f>
        <v>Tier 3 (Semi-urban/Rural)</v>
      </c>
      <c r="V1321" s="21" t="str">
        <f t="shared" si="60"/>
        <v>7-12 months</v>
      </c>
      <c r="W1321" s="21" t="str">
        <f t="shared" si="61"/>
        <v>High Risk</v>
      </c>
      <c r="X1321" s="21" t="str">
        <f t="shared" si="62"/>
        <v>No</v>
      </c>
    </row>
    <row r="1322" spans="1:24" x14ac:dyDescent="0.3">
      <c r="A1322" s="21">
        <f>'Raw Data'!A1322</f>
        <v>51321</v>
      </c>
      <c r="B1322" s="21">
        <f>'Raw Data'!B1322</f>
        <v>1</v>
      </c>
      <c r="C1322" s="21">
        <f>'Raw Data'!C1322</f>
        <v>0</v>
      </c>
      <c r="D1322" s="21" t="str">
        <f>'Raw Data'!D1322</f>
        <v>Mobile Phone</v>
      </c>
      <c r="E1322" s="21">
        <f>'Raw Data'!E1322</f>
        <v>3</v>
      </c>
      <c r="F1322" s="21">
        <f>IF('Raw Data'!F1322="",ROUND(AVERAGE('Raw Data'!$F$2:$F$1501),1),'Raw Data'!F1322)</f>
        <v>5</v>
      </c>
      <c r="G1322" s="21" t="str">
        <f>'Raw Data'!G1322</f>
        <v>Debit Card</v>
      </c>
      <c r="H1322" s="21" t="str">
        <f>'Raw Data'!H1322</f>
        <v>Male</v>
      </c>
      <c r="I1322" s="21">
        <f>IF('Raw Data'!I1322="",ROUND(AVERAGE('Raw Data'!$I$2:$I$1501),1),'Raw Data'!I1322)</f>
        <v>3.7</v>
      </c>
      <c r="J1322" s="21">
        <f>'Raw Data'!J1322</f>
        <v>3</v>
      </c>
      <c r="K1322" s="21" t="str">
        <f>'Raw Data'!K1322</f>
        <v>Laptop &amp; Accessory</v>
      </c>
      <c r="L1322" s="21">
        <f>'Raw Data'!L1322</f>
        <v>3</v>
      </c>
      <c r="M1322" s="21" t="str">
        <f>'Raw Data'!M1322</f>
        <v>Single</v>
      </c>
      <c r="N1322" s="21">
        <f>'Raw Data'!N1322</f>
        <v>5</v>
      </c>
      <c r="O1322" s="21">
        <f>'Raw Data'!O1322</f>
        <v>0</v>
      </c>
      <c r="P1322" s="21">
        <f>IF('Raw Data'!P1322="",ROUND(AVERAGE('Raw Data'!$P$2:$P$1501),1),'Raw Data'!P1322)</f>
        <v>13.5</v>
      </c>
      <c r="Q1322" s="21">
        <f>IF('Raw Data'!Q1322="",ROUND(AVERAGE('Raw Data'!$Q$2:$Q$1501),0),'Raw Data'!Q1322)</f>
        <v>2</v>
      </c>
      <c r="R1322" s="21">
        <f>'Raw Data'!R1322</f>
        <v>5</v>
      </c>
      <c r="S1322" s="21">
        <f>IF('Raw Data'!S1322="",ROUND(AVERAGE('Raw Data'!$S$2:$S$1501),0),'Raw Data'!S1322)</f>
        <v>26</v>
      </c>
      <c r="T1322" s="21">
        <f>'Raw Data'!T1322</f>
        <v>193.46</v>
      </c>
      <c r="U1322" s="21" t="str">
        <f>INDEX('Lookup Tables'!$C$7:$C$9,MATCH(E1322,'Lookup Tables'!$B$7:$B$9,0))</f>
        <v>Tier 3 (Semi-urban/Rural)</v>
      </c>
      <c r="V1322" s="21" t="str">
        <f t="shared" si="60"/>
        <v>0-6 months</v>
      </c>
      <c r="W1322" s="21" t="str">
        <f t="shared" si="61"/>
        <v>Medium Risk</v>
      </c>
      <c r="X1322" s="21" t="str">
        <f t="shared" si="62"/>
        <v>Yes</v>
      </c>
    </row>
    <row r="1323" spans="1:24" x14ac:dyDescent="0.3">
      <c r="A1323" s="21">
        <f>'Raw Data'!A1323</f>
        <v>51322</v>
      </c>
      <c r="B1323" s="21">
        <f>'Raw Data'!B1323</f>
        <v>0</v>
      </c>
      <c r="C1323" s="21">
        <f>'Raw Data'!C1323</f>
        <v>21</v>
      </c>
      <c r="D1323" s="21" t="str">
        <f>'Raw Data'!D1323</f>
        <v>Phone</v>
      </c>
      <c r="E1323" s="21">
        <f>'Raw Data'!E1323</f>
        <v>1</v>
      </c>
      <c r="F1323" s="21">
        <f>IF('Raw Data'!F1323="",ROUND(AVERAGE('Raw Data'!$F$2:$F$1501),1),'Raw Data'!F1323)</f>
        <v>24</v>
      </c>
      <c r="G1323" s="21" t="str">
        <f>'Raw Data'!G1323</f>
        <v>Debit Card</v>
      </c>
      <c r="H1323" s="21" t="str">
        <f>'Raw Data'!H1323</f>
        <v>Male</v>
      </c>
      <c r="I1323" s="21">
        <f>IF('Raw Data'!I1323="",ROUND(AVERAGE('Raw Data'!$I$2:$I$1501),1),'Raw Data'!I1323)</f>
        <v>1.8</v>
      </c>
      <c r="J1323" s="21">
        <f>'Raw Data'!J1323</f>
        <v>5</v>
      </c>
      <c r="K1323" s="21" t="str">
        <f>'Raw Data'!K1323</f>
        <v>Laptop &amp; Accessory</v>
      </c>
      <c r="L1323" s="21">
        <f>'Raw Data'!L1323</f>
        <v>1</v>
      </c>
      <c r="M1323" s="21" t="str">
        <f>'Raw Data'!M1323</f>
        <v>Divorced</v>
      </c>
      <c r="N1323" s="21">
        <f>'Raw Data'!N1323</f>
        <v>9</v>
      </c>
      <c r="O1323" s="21">
        <f>'Raw Data'!O1323</f>
        <v>0</v>
      </c>
      <c r="P1323" s="21">
        <f>IF('Raw Data'!P1323="",ROUND(AVERAGE('Raw Data'!$P$2:$P$1501),1),'Raw Data'!P1323)</f>
        <v>17.7</v>
      </c>
      <c r="Q1323" s="21">
        <f>IF('Raw Data'!Q1323="",ROUND(AVERAGE('Raw Data'!$Q$2:$Q$1501),0),'Raw Data'!Q1323)</f>
        <v>2</v>
      </c>
      <c r="R1323" s="21">
        <f>'Raw Data'!R1323</f>
        <v>2</v>
      </c>
      <c r="S1323" s="21">
        <f>IF('Raw Data'!S1323="",ROUND(AVERAGE('Raw Data'!$S$2:$S$1501),0),'Raw Data'!S1323)</f>
        <v>1</v>
      </c>
      <c r="T1323" s="21">
        <f>'Raw Data'!T1323</f>
        <v>151.85</v>
      </c>
      <c r="U1323" s="21" t="str">
        <f>INDEX('Lookup Tables'!$C$7:$C$9,MATCH(E1323,'Lookup Tables'!$B$7:$B$9,0))</f>
        <v>Tier 1 (Metro)</v>
      </c>
      <c r="V1323" s="21" t="str">
        <f t="shared" si="60"/>
        <v>13-24 months</v>
      </c>
      <c r="W1323" s="21" t="str">
        <f t="shared" si="61"/>
        <v>Low Risk</v>
      </c>
      <c r="X1323" s="21" t="str">
        <f t="shared" si="62"/>
        <v>No</v>
      </c>
    </row>
    <row r="1324" spans="1:24" x14ac:dyDescent="0.3">
      <c r="A1324" s="21">
        <f>'Raw Data'!A1324</f>
        <v>51323</v>
      </c>
      <c r="B1324" s="21">
        <f>'Raw Data'!B1324</f>
        <v>0</v>
      </c>
      <c r="C1324" s="21">
        <f>'Raw Data'!C1324</f>
        <v>16</v>
      </c>
      <c r="D1324" s="21" t="str">
        <f>'Raw Data'!D1324</f>
        <v>Mobile Phone</v>
      </c>
      <c r="E1324" s="21">
        <f>'Raw Data'!E1324</f>
        <v>2</v>
      </c>
      <c r="F1324" s="21">
        <f>IF('Raw Data'!F1324="",ROUND(AVERAGE('Raw Data'!$F$2:$F$1501),1),'Raw Data'!F1324)</f>
        <v>16</v>
      </c>
      <c r="G1324" s="21" t="str">
        <f>'Raw Data'!G1324</f>
        <v>Cash on Delivery</v>
      </c>
      <c r="H1324" s="21" t="str">
        <f>'Raw Data'!H1324</f>
        <v>Male</v>
      </c>
      <c r="I1324" s="21">
        <f>IF('Raw Data'!I1324="",ROUND(AVERAGE('Raw Data'!$I$2:$I$1501),1),'Raw Data'!I1324)</f>
        <v>2.7</v>
      </c>
      <c r="J1324" s="21">
        <f>'Raw Data'!J1324</f>
        <v>3</v>
      </c>
      <c r="K1324" s="21" t="str">
        <f>'Raw Data'!K1324</f>
        <v>Fashion</v>
      </c>
      <c r="L1324" s="21">
        <f>'Raw Data'!L1324</f>
        <v>3</v>
      </c>
      <c r="M1324" s="21" t="str">
        <f>'Raw Data'!M1324</f>
        <v>Married</v>
      </c>
      <c r="N1324" s="21">
        <f>'Raw Data'!N1324</f>
        <v>1</v>
      </c>
      <c r="O1324" s="21">
        <f>'Raw Data'!O1324</f>
        <v>1</v>
      </c>
      <c r="P1324" s="21">
        <f>IF('Raw Data'!P1324="",ROUND(AVERAGE('Raw Data'!$P$2:$P$1501),1),'Raw Data'!P1324)</f>
        <v>12.8</v>
      </c>
      <c r="Q1324" s="21">
        <f>IF('Raw Data'!Q1324="",ROUND(AVERAGE('Raw Data'!$Q$2:$Q$1501),0),'Raw Data'!Q1324)</f>
        <v>5</v>
      </c>
      <c r="R1324" s="21">
        <f>'Raw Data'!R1324</f>
        <v>5</v>
      </c>
      <c r="S1324" s="21">
        <f>IF('Raw Data'!S1324="",ROUND(AVERAGE('Raw Data'!$S$2:$S$1501),0),'Raw Data'!S1324)</f>
        <v>8</v>
      </c>
      <c r="T1324" s="21">
        <f>'Raw Data'!T1324</f>
        <v>103.34</v>
      </c>
      <c r="U1324" s="21" t="str">
        <f>INDEX('Lookup Tables'!$C$7:$C$9,MATCH(E1324,'Lookup Tables'!$B$7:$B$9,0))</f>
        <v>Tier 2 (Urban)</v>
      </c>
      <c r="V1324" s="21" t="str">
        <f t="shared" si="60"/>
        <v>13-24 months</v>
      </c>
      <c r="W1324" s="21" t="str">
        <f t="shared" si="61"/>
        <v>Medium Risk</v>
      </c>
      <c r="X1324" s="21" t="str">
        <f t="shared" si="62"/>
        <v>No</v>
      </c>
    </row>
    <row r="1325" spans="1:24" x14ac:dyDescent="0.3">
      <c r="A1325" s="21">
        <f>'Raw Data'!A1325</f>
        <v>51324</v>
      </c>
      <c r="B1325" s="21">
        <f>'Raw Data'!B1325</f>
        <v>0</v>
      </c>
      <c r="C1325" s="21">
        <f>'Raw Data'!C1325</f>
        <v>7</v>
      </c>
      <c r="D1325" s="21" t="str">
        <f>'Raw Data'!D1325</f>
        <v>Mobile Phone</v>
      </c>
      <c r="E1325" s="21">
        <f>'Raw Data'!E1325</f>
        <v>1</v>
      </c>
      <c r="F1325" s="21">
        <f>IF('Raw Data'!F1325="",ROUND(AVERAGE('Raw Data'!$F$2:$F$1501),1),'Raw Data'!F1325)</f>
        <v>12</v>
      </c>
      <c r="G1325" s="21" t="str">
        <f>'Raw Data'!G1325</f>
        <v>Cash on Delivery</v>
      </c>
      <c r="H1325" s="21" t="str">
        <f>'Raw Data'!H1325</f>
        <v>Male</v>
      </c>
      <c r="I1325" s="21">
        <f>IF('Raw Data'!I1325="",ROUND(AVERAGE('Raw Data'!$I$2:$I$1501),1),'Raw Data'!I1325)</f>
        <v>3.8</v>
      </c>
      <c r="J1325" s="21">
        <f>'Raw Data'!J1325</f>
        <v>2</v>
      </c>
      <c r="K1325" s="21" t="str">
        <f>'Raw Data'!K1325</f>
        <v>Mobile Phone</v>
      </c>
      <c r="L1325" s="21">
        <f>'Raw Data'!L1325</f>
        <v>4</v>
      </c>
      <c r="M1325" s="21" t="str">
        <f>'Raw Data'!M1325</f>
        <v>Single</v>
      </c>
      <c r="N1325" s="21">
        <f>'Raw Data'!N1325</f>
        <v>5</v>
      </c>
      <c r="O1325" s="21">
        <f>'Raw Data'!O1325</f>
        <v>0</v>
      </c>
      <c r="P1325" s="21">
        <f>IF('Raw Data'!P1325="",ROUND(AVERAGE('Raw Data'!$P$2:$P$1501),1),'Raw Data'!P1325)</f>
        <v>13.3</v>
      </c>
      <c r="Q1325" s="21">
        <f>IF('Raw Data'!Q1325="",ROUND(AVERAGE('Raw Data'!$Q$2:$Q$1501),0),'Raw Data'!Q1325)</f>
        <v>2</v>
      </c>
      <c r="R1325" s="21">
        <f>'Raw Data'!R1325</f>
        <v>3</v>
      </c>
      <c r="S1325" s="21">
        <f>IF('Raw Data'!S1325="",ROUND(AVERAGE('Raw Data'!$S$2:$S$1501),0),'Raw Data'!S1325)</f>
        <v>0</v>
      </c>
      <c r="T1325" s="21">
        <f>'Raw Data'!T1325</f>
        <v>176.55</v>
      </c>
      <c r="U1325" s="21" t="str">
        <f>INDEX('Lookup Tables'!$C$7:$C$9,MATCH(E1325,'Lookup Tables'!$B$7:$B$9,0))</f>
        <v>Tier 1 (Metro)</v>
      </c>
      <c r="V1325" s="21" t="str">
        <f t="shared" si="60"/>
        <v>7-12 months</v>
      </c>
      <c r="W1325" s="21" t="str">
        <f t="shared" si="61"/>
        <v>Low Risk</v>
      </c>
      <c r="X1325" s="21" t="str">
        <f t="shared" si="62"/>
        <v>No</v>
      </c>
    </row>
    <row r="1326" spans="1:24" x14ac:dyDescent="0.3">
      <c r="A1326" s="21">
        <f>'Raw Data'!A1326</f>
        <v>51325</v>
      </c>
      <c r="B1326" s="21">
        <f>'Raw Data'!B1326</f>
        <v>0</v>
      </c>
      <c r="C1326" s="21">
        <f>'Raw Data'!C1326</f>
        <v>34</v>
      </c>
      <c r="D1326" s="21" t="str">
        <f>'Raw Data'!D1326</f>
        <v>Mobile Phone</v>
      </c>
      <c r="E1326" s="21">
        <f>'Raw Data'!E1326</f>
        <v>1</v>
      </c>
      <c r="F1326" s="21">
        <f>IF('Raw Data'!F1326="",ROUND(AVERAGE('Raw Data'!$F$2:$F$1501),1),'Raw Data'!F1326)</f>
        <v>14</v>
      </c>
      <c r="G1326" s="21" t="str">
        <f>'Raw Data'!G1326</f>
        <v>Credit Card</v>
      </c>
      <c r="H1326" s="21" t="str">
        <f>'Raw Data'!H1326</f>
        <v>Male</v>
      </c>
      <c r="I1326" s="21">
        <f>IF('Raw Data'!I1326="",ROUND(AVERAGE('Raw Data'!$I$2:$I$1501),1),'Raw Data'!I1326)</f>
        <v>3.6</v>
      </c>
      <c r="J1326" s="21">
        <f>'Raw Data'!J1326</f>
        <v>2</v>
      </c>
      <c r="K1326" s="21" t="str">
        <f>'Raw Data'!K1326</f>
        <v>Grocery</v>
      </c>
      <c r="L1326" s="21">
        <f>'Raw Data'!L1326</f>
        <v>2</v>
      </c>
      <c r="M1326" s="21" t="str">
        <f>'Raw Data'!M1326</f>
        <v>Single</v>
      </c>
      <c r="N1326" s="21">
        <f>'Raw Data'!N1326</f>
        <v>2</v>
      </c>
      <c r="O1326" s="21">
        <f>'Raw Data'!O1326</f>
        <v>0</v>
      </c>
      <c r="P1326" s="21">
        <f>IF('Raw Data'!P1326="",ROUND(AVERAGE('Raw Data'!$P$2:$P$1501),1),'Raw Data'!P1326)</f>
        <v>11.2</v>
      </c>
      <c r="Q1326" s="21">
        <f>IF('Raw Data'!Q1326="",ROUND(AVERAGE('Raw Data'!$Q$2:$Q$1501),0),'Raw Data'!Q1326)</f>
        <v>2</v>
      </c>
      <c r="R1326" s="21">
        <f>'Raw Data'!R1326</f>
        <v>2</v>
      </c>
      <c r="S1326" s="21">
        <f>IF('Raw Data'!S1326="",ROUND(AVERAGE('Raw Data'!$S$2:$S$1501),0),'Raw Data'!S1326)</f>
        <v>3</v>
      </c>
      <c r="T1326" s="21">
        <f>'Raw Data'!T1326</f>
        <v>240.05</v>
      </c>
      <c r="U1326" s="21" t="str">
        <f>INDEX('Lookup Tables'!$C$7:$C$9,MATCH(E1326,'Lookup Tables'!$B$7:$B$9,0))</f>
        <v>Tier 1 (Metro)</v>
      </c>
      <c r="V1326" s="21" t="str">
        <f t="shared" si="60"/>
        <v>25+ months</v>
      </c>
      <c r="W1326" s="21" t="str">
        <f t="shared" si="61"/>
        <v>Low Risk</v>
      </c>
      <c r="X1326" s="21" t="str">
        <f t="shared" si="62"/>
        <v>No</v>
      </c>
    </row>
    <row r="1327" spans="1:24" x14ac:dyDescent="0.3">
      <c r="A1327" s="21">
        <f>'Raw Data'!A1327</f>
        <v>51326</v>
      </c>
      <c r="B1327" s="21">
        <f>'Raw Data'!B1327</f>
        <v>0</v>
      </c>
      <c r="C1327" s="21">
        <f>'Raw Data'!C1327</f>
        <v>5</v>
      </c>
      <c r="D1327" s="21" t="str">
        <f>'Raw Data'!D1327</f>
        <v>Computer</v>
      </c>
      <c r="E1327" s="21">
        <f>'Raw Data'!E1327</f>
        <v>3</v>
      </c>
      <c r="F1327" s="21">
        <f>IF('Raw Data'!F1327="",ROUND(AVERAGE('Raw Data'!$F$2:$F$1501),1),'Raw Data'!F1327)</f>
        <v>14</v>
      </c>
      <c r="G1327" s="21" t="str">
        <f>'Raw Data'!G1327</f>
        <v>UPI</v>
      </c>
      <c r="H1327" s="21" t="str">
        <f>'Raw Data'!H1327</f>
        <v>Male</v>
      </c>
      <c r="I1327" s="21">
        <f>IF('Raw Data'!I1327="",ROUND(AVERAGE('Raw Data'!$I$2:$I$1501),1),'Raw Data'!I1327)</f>
        <v>3.2</v>
      </c>
      <c r="J1327" s="21">
        <f>'Raw Data'!J1327</f>
        <v>4</v>
      </c>
      <c r="K1327" s="21" t="str">
        <f>'Raw Data'!K1327</f>
        <v>Fashion</v>
      </c>
      <c r="L1327" s="21">
        <f>'Raw Data'!L1327</f>
        <v>3</v>
      </c>
      <c r="M1327" s="21" t="str">
        <f>'Raw Data'!M1327</f>
        <v>Married</v>
      </c>
      <c r="N1327" s="21">
        <f>'Raw Data'!N1327</f>
        <v>1</v>
      </c>
      <c r="O1327" s="21">
        <f>'Raw Data'!O1327</f>
        <v>0</v>
      </c>
      <c r="P1327" s="21">
        <f>IF('Raw Data'!P1327="",ROUND(AVERAGE('Raw Data'!$P$2:$P$1501),1),'Raw Data'!P1327)</f>
        <v>14.2</v>
      </c>
      <c r="Q1327" s="21">
        <f>IF('Raw Data'!Q1327="",ROUND(AVERAGE('Raw Data'!$Q$2:$Q$1501),0),'Raw Data'!Q1327)</f>
        <v>1</v>
      </c>
      <c r="R1327" s="21">
        <f>'Raw Data'!R1327</f>
        <v>3</v>
      </c>
      <c r="S1327" s="21">
        <f>IF('Raw Data'!S1327="",ROUND(AVERAGE('Raw Data'!$S$2:$S$1501),0),'Raw Data'!S1327)</f>
        <v>0</v>
      </c>
      <c r="T1327" s="21">
        <f>'Raw Data'!T1327</f>
        <v>304.64</v>
      </c>
      <c r="U1327" s="21" t="str">
        <f>INDEX('Lookup Tables'!$C$7:$C$9,MATCH(E1327,'Lookup Tables'!$B$7:$B$9,0))</f>
        <v>Tier 3 (Semi-urban/Rural)</v>
      </c>
      <c r="V1327" s="21" t="str">
        <f t="shared" si="60"/>
        <v>0-6 months</v>
      </c>
      <c r="W1327" s="21" t="str">
        <f t="shared" si="61"/>
        <v>Medium Risk</v>
      </c>
      <c r="X1327" s="21" t="str">
        <f t="shared" si="62"/>
        <v>No</v>
      </c>
    </row>
    <row r="1328" spans="1:24" x14ac:dyDescent="0.3">
      <c r="A1328" s="21">
        <f>'Raw Data'!A1328</f>
        <v>51327</v>
      </c>
      <c r="B1328" s="21">
        <f>'Raw Data'!B1328</f>
        <v>0</v>
      </c>
      <c r="C1328" s="21">
        <f>'Raw Data'!C1328</f>
        <v>41</v>
      </c>
      <c r="D1328" s="21" t="str">
        <f>'Raw Data'!D1328</f>
        <v>Computer</v>
      </c>
      <c r="E1328" s="21">
        <f>'Raw Data'!E1328</f>
        <v>1</v>
      </c>
      <c r="F1328" s="21">
        <f>IF('Raw Data'!F1328="",ROUND(AVERAGE('Raw Data'!$F$2:$F$1501),1),'Raw Data'!F1328)</f>
        <v>24</v>
      </c>
      <c r="G1328" s="21" t="str">
        <f>'Raw Data'!G1328</f>
        <v>Credit Card</v>
      </c>
      <c r="H1328" s="21" t="str">
        <f>'Raw Data'!H1328</f>
        <v>Male</v>
      </c>
      <c r="I1328" s="21">
        <f>IF('Raw Data'!I1328="",ROUND(AVERAGE('Raw Data'!$I$2:$I$1501),1),'Raw Data'!I1328)</f>
        <v>1.8</v>
      </c>
      <c r="J1328" s="21">
        <f>'Raw Data'!J1328</f>
        <v>4</v>
      </c>
      <c r="K1328" s="21" t="str">
        <f>'Raw Data'!K1328</f>
        <v>Laptop &amp; Accessory</v>
      </c>
      <c r="L1328" s="21">
        <f>'Raw Data'!L1328</f>
        <v>2</v>
      </c>
      <c r="M1328" s="21" t="str">
        <f>'Raw Data'!M1328</f>
        <v>Married</v>
      </c>
      <c r="N1328" s="21">
        <f>'Raw Data'!N1328</f>
        <v>9</v>
      </c>
      <c r="O1328" s="21">
        <f>'Raw Data'!O1328</f>
        <v>0</v>
      </c>
      <c r="P1328" s="21">
        <f>IF('Raw Data'!P1328="",ROUND(AVERAGE('Raw Data'!$P$2:$P$1501),1),'Raw Data'!P1328)</f>
        <v>20.6</v>
      </c>
      <c r="Q1328" s="21">
        <f>IF('Raw Data'!Q1328="",ROUND(AVERAGE('Raw Data'!$Q$2:$Q$1501),0),'Raw Data'!Q1328)</f>
        <v>2</v>
      </c>
      <c r="R1328" s="21">
        <f>'Raw Data'!R1328</f>
        <v>4</v>
      </c>
      <c r="S1328" s="21">
        <f>IF('Raw Data'!S1328="",ROUND(AVERAGE('Raw Data'!$S$2:$S$1501),0),'Raw Data'!S1328)</f>
        <v>4</v>
      </c>
      <c r="T1328" s="21">
        <f>'Raw Data'!T1328</f>
        <v>193.32</v>
      </c>
      <c r="U1328" s="21" t="str">
        <f>INDEX('Lookup Tables'!$C$7:$C$9,MATCH(E1328,'Lookup Tables'!$B$7:$B$9,0))</f>
        <v>Tier 1 (Metro)</v>
      </c>
      <c r="V1328" s="21" t="str">
        <f t="shared" si="60"/>
        <v>25+ months</v>
      </c>
      <c r="W1328" s="21" t="str">
        <f t="shared" si="61"/>
        <v>Low Risk</v>
      </c>
      <c r="X1328" s="21" t="str">
        <f t="shared" si="62"/>
        <v>No</v>
      </c>
    </row>
    <row r="1329" spans="1:24" x14ac:dyDescent="0.3">
      <c r="A1329" s="21">
        <f>'Raw Data'!A1329</f>
        <v>51328</v>
      </c>
      <c r="B1329" s="21">
        <f>'Raw Data'!B1329</f>
        <v>1</v>
      </c>
      <c r="C1329" s="21">
        <f>'Raw Data'!C1329</f>
        <v>11</v>
      </c>
      <c r="D1329" s="21" t="str">
        <f>'Raw Data'!D1329</f>
        <v>Phone</v>
      </c>
      <c r="E1329" s="21">
        <f>'Raw Data'!E1329</f>
        <v>1</v>
      </c>
      <c r="F1329" s="21">
        <f>IF('Raw Data'!F1329="",ROUND(AVERAGE('Raw Data'!$F$2:$F$1501),1),'Raw Data'!F1329)</f>
        <v>6</v>
      </c>
      <c r="G1329" s="21" t="str">
        <f>'Raw Data'!G1329</f>
        <v>Credit Card</v>
      </c>
      <c r="H1329" s="21" t="str">
        <f>'Raw Data'!H1329</f>
        <v>Male</v>
      </c>
      <c r="I1329" s="21">
        <f>IF('Raw Data'!I1329="",ROUND(AVERAGE('Raw Data'!$I$2:$I$1501),1),'Raw Data'!I1329)</f>
        <v>2.9</v>
      </c>
      <c r="J1329" s="21">
        <f>'Raw Data'!J1329</f>
        <v>3</v>
      </c>
      <c r="K1329" s="21" t="str">
        <f>'Raw Data'!K1329</f>
        <v>Grocery</v>
      </c>
      <c r="L1329" s="21">
        <f>'Raw Data'!L1329</f>
        <v>2</v>
      </c>
      <c r="M1329" s="21" t="str">
        <f>'Raw Data'!M1329</f>
        <v>Single</v>
      </c>
      <c r="N1329" s="21">
        <f>'Raw Data'!N1329</f>
        <v>2</v>
      </c>
      <c r="O1329" s="21">
        <f>'Raw Data'!O1329</f>
        <v>1</v>
      </c>
      <c r="P1329" s="21">
        <f>IF('Raw Data'!P1329="",ROUND(AVERAGE('Raw Data'!$P$2:$P$1501),1),'Raw Data'!P1329)</f>
        <v>13</v>
      </c>
      <c r="Q1329" s="21">
        <f>IF('Raw Data'!Q1329="",ROUND(AVERAGE('Raw Data'!$Q$2:$Q$1501),0),'Raw Data'!Q1329)</f>
        <v>5</v>
      </c>
      <c r="R1329" s="21">
        <f>'Raw Data'!R1329</f>
        <v>4</v>
      </c>
      <c r="S1329" s="21">
        <f>IF('Raw Data'!S1329="",ROUND(AVERAGE('Raw Data'!$S$2:$S$1501),0),'Raw Data'!S1329)</f>
        <v>3</v>
      </c>
      <c r="T1329" s="21">
        <f>'Raw Data'!T1329</f>
        <v>141</v>
      </c>
      <c r="U1329" s="21" t="str">
        <f>INDEX('Lookup Tables'!$C$7:$C$9,MATCH(E1329,'Lookup Tables'!$B$7:$B$9,0))</f>
        <v>Tier 1 (Metro)</v>
      </c>
      <c r="V1329" s="21" t="str">
        <f t="shared" si="60"/>
        <v>7-12 months</v>
      </c>
      <c r="W1329" s="21" t="str">
        <f t="shared" si="61"/>
        <v>High Risk</v>
      </c>
      <c r="X1329" s="21" t="str">
        <f t="shared" si="62"/>
        <v>Yes</v>
      </c>
    </row>
    <row r="1330" spans="1:24" x14ac:dyDescent="0.3">
      <c r="A1330" s="21">
        <f>'Raw Data'!A1330</f>
        <v>51329</v>
      </c>
      <c r="B1330" s="21">
        <f>'Raw Data'!B1330</f>
        <v>0</v>
      </c>
      <c r="C1330" s="21">
        <f>'Raw Data'!C1330</f>
        <v>10</v>
      </c>
      <c r="D1330" s="21" t="str">
        <f>'Raw Data'!D1330</f>
        <v>Phone</v>
      </c>
      <c r="E1330" s="21">
        <f>'Raw Data'!E1330</f>
        <v>1</v>
      </c>
      <c r="F1330" s="21">
        <f>IF('Raw Data'!F1330="",ROUND(AVERAGE('Raw Data'!$F$2:$F$1501),1),'Raw Data'!F1330)</f>
        <v>8</v>
      </c>
      <c r="G1330" s="21" t="str">
        <f>'Raw Data'!G1330</f>
        <v>Debit Card</v>
      </c>
      <c r="H1330" s="21" t="str">
        <f>'Raw Data'!H1330</f>
        <v>Female</v>
      </c>
      <c r="I1330" s="21">
        <f>IF('Raw Data'!I1330="",ROUND(AVERAGE('Raw Data'!$I$2:$I$1501),1),'Raw Data'!I1330)</f>
        <v>2.5</v>
      </c>
      <c r="J1330" s="21">
        <f>'Raw Data'!J1330</f>
        <v>4</v>
      </c>
      <c r="K1330" s="21" t="str">
        <f>'Raw Data'!K1330</f>
        <v>Laptop &amp; Accessory</v>
      </c>
      <c r="L1330" s="21">
        <f>'Raw Data'!L1330</f>
        <v>3</v>
      </c>
      <c r="M1330" s="21" t="str">
        <f>'Raw Data'!M1330</f>
        <v>Single</v>
      </c>
      <c r="N1330" s="21">
        <f>'Raw Data'!N1330</f>
        <v>2</v>
      </c>
      <c r="O1330" s="21">
        <f>'Raw Data'!O1330</f>
        <v>0</v>
      </c>
      <c r="P1330" s="21">
        <f>IF('Raw Data'!P1330="",ROUND(AVERAGE('Raw Data'!$P$2:$P$1501),1),'Raw Data'!P1330)</f>
        <v>13.4</v>
      </c>
      <c r="Q1330" s="21">
        <f>IF('Raw Data'!Q1330="",ROUND(AVERAGE('Raw Data'!$Q$2:$Q$1501),0),'Raw Data'!Q1330)</f>
        <v>0</v>
      </c>
      <c r="R1330" s="21">
        <f>'Raw Data'!R1330</f>
        <v>4</v>
      </c>
      <c r="S1330" s="21">
        <f>IF('Raw Data'!S1330="",ROUND(AVERAGE('Raw Data'!$S$2:$S$1501),0),'Raw Data'!S1330)</f>
        <v>4</v>
      </c>
      <c r="T1330" s="21">
        <f>'Raw Data'!T1330</f>
        <v>137.68</v>
      </c>
      <c r="U1330" s="21" t="str">
        <f>INDEX('Lookup Tables'!$C$7:$C$9,MATCH(E1330,'Lookup Tables'!$B$7:$B$9,0))</f>
        <v>Tier 1 (Metro)</v>
      </c>
      <c r="V1330" s="21" t="str">
        <f t="shared" si="60"/>
        <v>7-12 months</v>
      </c>
      <c r="W1330" s="21" t="str">
        <f t="shared" si="61"/>
        <v>Medium Risk</v>
      </c>
      <c r="X1330" s="21" t="str">
        <f t="shared" si="62"/>
        <v>No</v>
      </c>
    </row>
    <row r="1331" spans="1:24" x14ac:dyDescent="0.3">
      <c r="A1331" s="21">
        <f>'Raw Data'!A1331</f>
        <v>51330</v>
      </c>
      <c r="B1331" s="21">
        <f>'Raw Data'!B1331</f>
        <v>0</v>
      </c>
      <c r="C1331" s="21">
        <f>'Raw Data'!C1331</f>
        <v>1</v>
      </c>
      <c r="D1331" s="21" t="str">
        <f>'Raw Data'!D1331</f>
        <v>Computer</v>
      </c>
      <c r="E1331" s="21">
        <f>'Raw Data'!E1331</f>
        <v>3</v>
      </c>
      <c r="F1331" s="21">
        <f>IF('Raw Data'!F1331="",ROUND(AVERAGE('Raw Data'!$F$2:$F$1501),1),'Raw Data'!F1331)</f>
        <v>23</v>
      </c>
      <c r="G1331" s="21" t="str">
        <f>'Raw Data'!G1331</f>
        <v>Credit Card</v>
      </c>
      <c r="H1331" s="21" t="str">
        <f>'Raw Data'!H1331</f>
        <v>Male</v>
      </c>
      <c r="I1331" s="21">
        <f>IF('Raw Data'!I1331="",ROUND(AVERAGE('Raw Data'!$I$2:$I$1501),1),'Raw Data'!I1331)</f>
        <v>3.1</v>
      </c>
      <c r="J1331" s="21">
        <f>'Raw Data'!J1331</f>
        <v>4</v>
      </c>
      <c r="K1331" s="21" t="str">
        <f>'Raw Data'!K1331</f>
        <v>Mobile Phone</v>
      </c>
      <c r="L1331" s="21">
        <f>'Raw Data'!L1331</f>
        <v>1</v>
      </c>
      <c r="M1331" s="21" t="str">
        <f>'Raw Data'!M1331</f>
        <v>Single</v>
      </c>
      <c r="N1331" s="21">
        <f>'Raw Data'!N1331</f>
        <v>3</v>
      </c>
      <c r="O1331" s="21">
        <f>'Raw Data'!O1331</f>
        <v>0</v>
      </c>
      <c r="P1331" s="21">
        <f>IF('Raw Data'!P1331="",ROUND(AVERAGE('Raw Data'!$P$2:$P$1501),1),'Raw Data'!P1331)</f>
        <v>16.7</v>
      </c>
      <c r="Q1331" s="21">
        <f>IF('Raw Data'!Q1331="",ROUND(AVERAGE('Raw Data'!$Q$2:$Q$1501),0),'Raw Data'!Q1331)</f>
        <v>0</v>
      </c>
      <c r="R1331" s="21">
        <f>'Raw Data'!R1331</f>
        <v>5</v>
      </c>
      <c r="S1331" s="21">
        <f>IF('Raw Data'!S1331="",ROUND(AVERAGE('Raw Data'!$S$2:$S$1501),0),'Raw Data'!S1331)</f>
        <v>5</v>
      </c>
      <c r="T1331" s="21">
        <f>'Raw Data'!T1331</f>
        <v>232.97</v>
      </c>
      <c r="U1331" s="21" t="str">
        <f>INDEX('Lookup Tables'!$C$7:$C$9,MATCH(E1331,'Lookup Tables'!$B$7:$B$9,0))</f>
        <v>Tier 3 (Semi-urban/Rural)</v>
      </c>
      <c r="V1331" s="21" t="str">
        <f t="shared" si="60"/>
        <v>0-6 months</v>
      </c>
      <c r="W1331" s="21" t="str">
        <f t="shared" si="61"/>
        <v>Low Risk</v>
      </c>
      <c r="X1331" s="21" t="str">
        <f t="shared" si="62"/>
        <v>No</v>
      </c>
    </row>
    <row r="1332" spans="1:24" x14ac:dyDescent="0.3">
      <c r="A1332" s="21">
        <f>'Raw Data'!A1332</f>
        <v>51331</v>
      </c>
      <c r="B1332" s="21">
        <f>'Raw Data'!B1332</f>
        <v>0</v>
      </c>
      <c r="C1332" s="21">
        <f>'Raw Data'!C1332</f>
        <v>21</v>
      </c>
      <c r="D1332" s="21" t="str">
        <f>'Raw Data'!D1332</f>
        <v>Computer</v>
      </c>
      <c r="E1332" s="21">
        <f>'Raw Data'!E1332</f>
        <v>3</v>
      </c>
      <c r="F1332" s="21">
        <f>IF('Raw Data'!F1332="",ROUND(AVERAGE('Raw Data'!$F$2:$F$1501),1),'Raw Data'!F1332)</f>
        <v>10</v>
      </c>
      <c r="G1332" s="21" t="str">
        <f>'Raw Data'!G1332</f>
        <v>Credit Card</v>
      </c>
      <c r="H1332" s="21" t="str">
        <f>'Raw Data'!H1332</f>
        <v>Female</v>
      </c>
      <c r="I1332" s="21">
        <f>IF('Raw Data'!I1332="",ROUND(AVERAGE('Raw Data'!$I$2:$I$1501),1),'Raw Data'!I1332)</f>
        <v>2.2999999999999998</v>
      </c>
      <c r="J1332" s="21">
        <f>'Raw Data'!J1332</f>
        <v>5</v>
      </c>
      <c r="K1332" s="21" t="str">
        <f>'Raw Data'!K1332</f>
        <v>Fashion</v>
      </c>
      <c r="L1332" s="21">
        <f>'Raw Data'!L1332</f>
        <v>4</v>
      </c>
      <c r="M1332" s="21" t="str">
        <f>'Raw Data'!M1332</f>
        <v>Married</v>
      </c>
      <c r="N1332" s="21">
        <f>'Raw Data'!N1332</f>
        <v>1</v>
      </c>
      <c r="O1332" s="21">
        <f>'Raw Data'!O1332</f>
        <v>1</v>
      </c>
      <c r="P1332" s="21">
        <f>IF('Raw Data'!P1332="",ROUND(AVERAGE('Raw Data'!$P$2:$P$1501),1),'Raw Data'!P1332)</f>
        <v>14.7</v>
      </c>
      <c r="Q1332" s="21">
        <f>IF('Raw Data'!Q1332="",ROUND(AVERAGE('Raw Data'!$Q$2:$Q$1501),0),'Raw Data'!Q1332)</f>
        <v>3</v>
      </c>
      <c r="R1332" s="21">
        <f>'Raw Data'!R1332</f>
        <v>4</v>
      </c>
      <c r="S1332" s="21">
        <f>IF('Raw Data'!S1332="",ROUND(AVERAGE('Raw Data'!$S$2:$S$1501),0),'Raw Data'!S1332)</f>
        <v>4</v>
      </c>
      <c r="T1332" s="21">
        <f>'Raw Data'!T1332</f>
        <v>125.17</v>
      </c>
      <c r="U1332" s="21" t="str">
        <f>INDEX('Lookup Tables'!$C$7:$C$9,MATCH(E1332,'Lookup Tables'!$B$7:$B$9,0))</f>
        <v>Tier 3 (Semi-urban/Rural)</v>
      </c>
      <c r="V1332" s="21" t="str">
        <f t="shared" si="60"/>
        <v>13-24 months</v>
      </c>
      <c r="W1332" s="21" t="str">
        <f t="shared" si="61"/>
        <v>Low Risk</v>
      </c>
      <c r="X1332" s="21" t="str">
        <f t="shared" si="62"/>
        <v>No</v>
      </c>
    </row>
    <row r="1333" spans="1:24" x14ac:dyDescent="0.3">
      <c r="A1333" s="21">
        <f>'Raw Data'!A1333</f>
        <v>51332</v>
      </c>
      <c r="B1333" s="21">
        <f>'Raw Data'!B1333</f>
        <v>0</v>
      </c>
      <c r="C1333" s="21">
        <f>'Raw Data'!C1333</f>
        <v>5</v>
      </c>
      <c r="D1333" s="21" t="str">
        <f>'Raw Data'!D1333</f>
        <v>Mobile Phone</v>
      </c>
      <c r="E1333" s="21">
        <f>'Raw Data'!E1333</f>
        <v>2</v>
      </c>
      <c r="F1333" s="21">
        <f>IF('Raw Data'!F1333="",ROUND(AVERAGE('Raw Data'!$F$2:$F$1501),1),'Raw Data'!F1333)</f>
        <v>22</v>
      </c>
      <c r="G1333" s="21" t="str">
        <f>'Raw Data'!G1333</f>
        <v>Debit Card</v>
      </c>
      <c r="H1333" s="21" t="str">
        <f>'Raw Data'!H1333</f>
        <v>Male</v>
      </c>
      <c r="I1333" s="21">
        <f>IF('Raw Data'!I1333="",ROUND(AVERAGE('Raw Data'!$I$2:$I$1501),1),'Raw Data'!I1333)</f>
        <v>2.2000000000000002</v>
      </c>
      <c r="J1333" s="21">
        <f>'Raw Data'!J1333</f>
        <v>1</v>
      </c>
      <c r="K1333" s="21" t="str">
        <f>'Raw Data'!K1333</f>
        <v>Laptop &amp; Accessory</v>
      </c>
      <c r="L1333" s="21">
        <f>'Raw Data'!L1333</f>
        <v>1</v>
      </c>
      <c r="M1333" s="21" t="str">
        <f>'Raw Data'!M1333</f>
        <v>Single</v>
      </c>
      <c r="N1333" s="21">
        <f>'Raw Data'!N1333</f>
        <v>1</v>
      </c>
      <c r="O1333" s="21">
        <f>'Raw Data'!O1333</f>
        <v>1</v>
      </c>
      <c r="P1333" s="21">
        <f>IF('Raw Data'!P1333="",ROUND(AVERAGE('Raw Data'!$P$2:$P$1501),1),'Raw Data'!P1333)</f>
        <v>23.8</v>
      </c>
      <c r="Q1333" s="21">
        <f>IF('Raw Data'!Q1333="",ROUND(AVERAGE('Raw Data'!$Q$2:$Q$1501),0),'Raw Data'!Q1333)</f>
        <v>2</v>
      </c>
      <c r="R1333" s="21">
        <f>'Raw Data'!R1333</f>
        <v>5</v>
      </c>
      <c r="S1333" s="21">
        <f>IF('Raw Data'!S1333="",ROUND(AVERAGE('Raw Data'!$S$2:$S$1501),0),'Raw Data'!S1333)</f>
        <v>1</v>
      </c>
      <c r="T1333" s="21">
        <f>'Raw Data'!T1333</f>
        <v>214.23</v>
      </c>
      <c r="U1333" s="21" t="str">
        <f>INDEX('Lookup Tables'!$C$7:$C$9,MATCH(E1333,'Lookup Tables'!$B$7:$B$9,0))</f>
        <v>Tier 2 (Urban)</v>
      </c>
      <c r="V1333" s="21" t="str">
        <f t="shared" si="60"/>
        <v>0-6 months</v>
      </c>
      <c r="W1333" s="21" t="str">
        <f t="shared" si="61"/>
        <v>High Risk</v>
      </c>
      <c r="X1333" s="21" t="str">
        <f t="shared" si="62"/>
        <v>No</v>
      </c>
    </row>
    <row r="1334" spans="1:24" x14ac:dyDescent="0.3">
      <c r="A1334" s="21">
        <f>'Raw Data'!A1334</f>
        <v>51333</v>
      </c>
      <c r="B1334" s="21">
        <f>'Raw Data'!B1334</f>
        <v>1</v>
      </c>
      <c r="C1334" s="21">
        <f>'Raw Data'!C1334</f>
        <v>1</v>
      </c>
      <c r="D1334" s="21" t="str">
        <f>'Raw Data'!D1334</f>
        <v>Mobile Phone</v>
      </c>
      <c r="E1334" s="21">
        <f>'Raw Data'!E1334</f>
        <v>3</v>
      </c>
      <c r="F1334" s="21">
        <f>IF('Raw Data'!F1334="",ROUND(AVERAGE('Raw Data'!$F$2:$F$1501),1),'Raw Data'!F1334)</f>
        <v>28</v>
      </c>
      <c r="G1334" s="21" t="str">
        <f>'Raw Data'!G1334</f>
        <v>Credit Card</v>
      </c>
      <c r="H1334" s="21" t="str">
        <f>'Raw Data'!H1334</f>
        <v>Female</v>
      </c>
      <c r="I1334" s="21">
        <f>IF('Raw Data'!I1334="",ROUND(AVERAGE('Raw Data'!$I$2:$I$1501),1),'Raw Data'!I1334)</f>
        <v>1.5</v>
      </c>
      <c r="J1334" s="21">
        <f>'Raw Data'!J1334</f>
        <v>4</v>
      </c>
      <c r="K1334" s="21" t="str">
        <f>'Raw Data'!K1334</f>
        <v>Others</v>
      </c>
      <c r="L1334" s="21">
        <f>'Raw Data'!L1334</f>
        <v>2</v>
      </c>
      <c r="M1334" s="21" t="str">
        <f>'Raw Data'!M1334</f>
        <v>Single</v>
      </c>
      <c r="N1334" s="21">
        <f>'Raw Data'!N1334</f>
        <v>9</v>
      </c>
      <c r="O1334" s="21">
        <f>'Raw Data'!O1334</f>
        <v>0</v>
      </c>
      <c r="P1334" s="21">
        <f>IF('Raw Data'!P1334="",ROUND(AVERAGE('Raw Data'!$P$2:$P$1501),1),'Raw Data'!P1334)</f>
        <v>15.4</v>
      </c>
      <c r="Q1334" s="21">
        <f>IF('Raw Data'!Q1334="",ROUND(AVERAGE('Raw Data'!$Q$2:$Q$1501),0),'Raw Data'!Q1334)</f>
        <v>2</v>
      </c>
      <c r="R1334" s="21">
        <f>'Raw Data'!R1334</f>
        <v>4</v>
      </c>
      <c r="S1334" s="21">
        <f>IF('Raw Data'!S1334="",ROUND(AVERAGE('Raw Data'!$S$2:$S$1501),0),'Raw Data'!S1334)</f>
        <v>9</v>
      </c>
      <c r="T1334" s="21">
        <f>'Raw Data'!T1334</f>
        <v>196.15</v>
      </c>
      <c r="U1334" s="21" t="str">
        <f>INDEX('Lookup Tables'!$C$7:$C$9,MATCH(E1334,'Lookup Tables'!$B$7:$B$9,0))</f>
        <v>Tier 3 (Semi-urban/Rural)</v>
      </c>
      <c r="V1334" s="21" t="str">
        <f t="shared" si="60"/>
        <v>0-6 months</v>
      </c>
      <c r="W1334" s="21" t="str">
        <f t="shared" si="61"/>
        <v>Low Risk</v>
      </c>
      <c r="X1334" s="21" t="str">
        <f t="shared" si="62"/>
        <v>Yes</v>
      </c>
    </row>
    <row r="1335" spans="1:24" x14ac:dyDescent="0.3">
      <c r="A1335" s="21">
        <f>'Raw Data'!A1335</f>
        <v>51334</v>
      </c>
      <c r="B1335" s="21">
        <f>'Raw Data'!B1335</f>
        <v>0</v>
      </c>
      <c r="C1335" s="21">
        <f>'Raw Data'!C1335</f>
        <v>0</v>
      </c>
      <c r="D1335" s="21" t="str">
        <f>'Raw Data'!D1335</f>
        <v>Phone</v>
      </c>
      <c r="E1335" s="21">
        <f>'Raw Data'!E1335</f>
        <v>1</v>
      </c>
      <c r="F1335" s="21">
        <f>IF('Raw Data'!F1335="",ROUND(AVERAGE('Raw Data'!$F$2:$F$1501),1),'Raw Data'!F1335)</f>
        <v>11</v>
      </c>
      <c r="G1335" s="21" t="str">
        <f>'Raw Data'!G1335</f>
        <v>UPI</v>
      </c>
      <c r="H1335" s="21" t="str">
        <f>'Raw Data'!H1335</f>
        <v>Female</v>
      </c>
      <c r="I1335" s="21">
        <f>IF('Raw Data'!I1335="",ROUND(AVERAGE('Raw Data'!$I$2:$I$1501),1),'Raw Data'!I1335)</f>
        <v>3.8</v>
      </c>
      <c r="J1335" s="21">
        <f>'Raw Data'!J1335</f>
        <v>4</v>
      </c>
      <c r="K1335" s="21" t="str">
        <f>'Raw Data'!K1335</f>
        <v>Mobile Phone</v>
      </c>
      <c r="L1335" s="21">
        <f>'Raw Data'!L1335</f>
        <v>3</v>
      </c>
      <c r="M1335" s="21" t="str">
        <f>'Raw Data'!M1335</f>
        <v>Married</v>
      </c>
      <c r="N1335" s="21">
        <f>'Raw Data'!N1335</f>
        <v>3</v>
      </c>
      <c r="O1335" s="21">
        <f>'Raw Data'!O1335</f>
        <v>1</v>
      </c>
      <c r="P1335" s="21">
        <f>IF('Raw Data'!P1335="",ROUND(AVERAGE('Raw Data'!$P$2:$P$1501),1),'Raw Data'!P1335)</f>
        <v>17.2</v>
      </c>
      <c r="Q1335" s="21">
        <f>IF('Raw Data'!Q1335="",ROUND(AVERAGE('Raw Data'!$Q$2:$Q$1501),0),'Raw Data'!Q1335)</f>
        <v>3</v>
      </c>
      <c r="R1335" s="21">
        <f>'Raw Data'!R1335</f>
        <v>2</v>
      </c>
      <c r="S1335" s="21">
        <f>IF('Raw Data'!S1335="",ROUND(AVERAGE('Raw Data'!$S$2:$S$1501),0),'Raw Data'!S1335)</f>
        <v>4</v>
      </c>
      <c r="T1335" s="21">
        <f>'Raw Data'!T1335</f>
        <v>190.07</v>
      </c>
      <c r="U1335" s="21" t="str">
        <f>INDEX('Lookup Tables'!$C$7:$C$9,MATCH(E1335,'Lookup Tables'!$B$7:$B$9,0))</f>
        <v>Tier 1 (Metro)</v>
      </c>
      <c r="V1335" s="21" t="str">
        <f t="shared" si="60"/>
        <v>0-6 months</v>
      </c>
      <c r="W1335" s="21" t="str">
        <f t="shared" si="61"/>
        <v>Medium Risk</v>
      </c>
      <c r="X1335" s="21" t="str">
        <f t="shared" si="62"/>
        <v>No</v>
      </c>
    </row>
    <row r="1336" spans="1:24" x14ac:dyDescent="0.3">
      <c r="A1336" s="21">
        <f>'Raw Data'!A1336</f>
        <v>51335</v>
      </c>
      <c r="B1336" s="21">
        <f>'Raw Data'!B1336</f>
        <v>1</v>
      </c>
      <c r="C1336" s="21">
        <f>'Raw Data'!C1336</f>
        <v>8</v>
      </c>
      <c r="D1336" s="21" t="str">
        <f>'Raw Data'!D1336</f>
        <v>Mobile Phone</v>
      </c>
      <c r="E1336" s="21">
        <f>'Raw Data'!E1336</f>
        <v>1</v>
      </c>
      <c r="F1336" s="21">
        <f>IF('Raw Data'!F1336="",ROUND(AVERAGE('Raw Data'!$F$2:$F$1501),1),'Raw Data'!F1336)</f>
        <v>20</v>
      </c>
      <c r="G1336" s="21" t="str">
        <f>'Raw Data'!G1336</f>
        <v>E wallet</v>
      </c>
      <c r="H1336" s="21" t="str">
        <f>'Raw Data'!H1336</f>
        <v>Female</v>
      </c>
      <c r="I1336" s="21">
        <f>IF('Raw Data'!I1336="",ROUND(AVERAGE('Raw Data'!$I$2:$I$1501),1),'Raw Data'!I1336)</f>
        <v>2.6</v>
      </c>
      <c r="J1336" s="21">
        <f>'Raw Data'!J1336</f>
        <v>2</v>
      </c>
      <c r="K1336" s="21" t="str">
        <f>'Raw Data'!K1336</f>
        <v>Laptop &amp; Accessory</v>
      </c>
      <c r="L1336" s="21">
        <f>'Raw Data'!L1336</f>
        <v>4</v>
      </c>
      <c r="M1336" s="21" t="str">
        <f>'Raw Data'!M1336</f>
        <v>Married</v>
      </c>
      <c r="N1336" s="21">
        <f>'Raw Data'!N1336</f>
        <v>6</v>
      </c>
      <c r="O1336" s="21">
        <f>'Raw Data'!O1336</f>
        <v>0</v>
      </c>
      <c r="P1336" s="21">
        <f>IF('Raw Data'!P1336="",ROUND(AVERAGE('Raw Data'!$P$2:$P$1501),1),'Raw Data'!P1336)</f>
        <v>19.3</v>
      </c>
      <c r="Q1336" s="21">
        <f>IF('Raw Data'!Q1336="",ROUND(AVERAGE('Raw Data'!$Q$2:$Q$1501),0),'Raw Data'!Q1336)</f>
        <v>2</v>
      </c>
      <c r="R1336" s="21">
        <f>'Raw Data'!R1336</f>
        <v>2</v>
      </c>
      <c r="S1336" s="21">
        <f>IF('Raw Data'!S1336="",ROUND(AVERAGE('Raw Data'!$S$2:$S$1501),0),'Raw Data'!S1336)</f>
        <v>3</v>
      </c>
      <c r="T1336" s="21">
        <f>'Raw Data'!T1336</f>
        <v>93.75</v>
      </c>
      <c r="U1336" s="21" t="str">
        <f>INDEX('Lookup Tables'!$C$7:$C$9,MATCH(E1336,'Lookup Tables'!$B$7:$B$9,0))</f>
        <v>Tier 1 (Metro)</v>
      </c>
      <c r="V1336" s="21" t="str">
        <f t="shared" si="60"/>
        <v>7-12 months</v>
      </c>
      <c r="W1336" s="21" t="str">
        <f t="shared" si="61"/>
        <v>Low Risk</v>
      </c>
      <c r="X1336" s="21" t="str">
        <f t="shared" si="62"/>
        <v>Yes</v>
      </c>
    </row>
    <row r="1337" spans="1:24" x14ac:dyDescent="0.3">
      <c r="A1337" s="21">
        <f>'Raw Data'!A1337</f>
        <v>51336</v>
      </c>
      <c r="B1337" s="21">
        <f>'Raw Data'!B1337</f>
        <v>0</v>
      </c>
      <c r="C1337" s="21">
        <f>'Raw Data'!C1337</f>
        <v>7</v>
      </c>
      <c r="D1337" s="21" t="str">
        <f>'Raw Data'!D1337</f>
        <v>Mobile Phone</v>
      </c>
      <c r="E1337" s="21">
        <f>'Raw Data'!E1337</f>
        <v>1</v>
      </c>
      <c r="F1337" s="21">
        <f>IF('Raw Data'!F1337="",ROUND(AVERAGE('Raw Data'!$F$2:$F$1501),1),'Raw Data'!F1337)</f>
        <v>5</v>
      </c>
      <c r="G1337" s="21" t="str">
        <f>'Raw Data'!G1337</f>
        <v>E wallet</v>
      </c>
      <c r="H1337" s="21" t="str">
        <f>'Raw Data'!H1337</f>
        <v>Female</v>
      </c>
      <c r="I1337" s="21">
        <f>IF('Raw Data'!I1337="",ROUND(AVERAGE('Raw Data'!$I$2:$I$1501),1),'Raw Data'!I1337)</f>
        <v>3</v>
      </c>
      <c r="J1337" s="21">
        <f>'Raw Data'!J1337</f>
        <v>2</v>
      </c>
      <c r="K1337" s="21" t="str">
        <f>'Raw Data'!K1337</f>
        <v>Others</v>
      </c>
      <c r="L1337" s="21">
        <f>'Raw Data'!L1337</f>
        <v>1</v>
      </c>
      <c r="M1337" s="21" t="str">
        <f>'Raw Data'!M1337</f>
        <v>Married</v>
      </c>
      <c r="N1337" s="21">
        <f>'Raw Data'!N1337</f>
        <v>1</v>
      </c>
      <c r="O1337" s="21">
        <f>'Raw Data'!O1337</f>
        <v>0</v>
      </c>
      <c r="P1337" s="21">
        <f>IF('Raw Data'!P1337="",ROUND(AVERAGE('Raw Data'!$P$2:$P$1501),1),'Raw Data'!P1337)</f>
        <v>19.2</v>
      </c>
      <c r="Q1337" s="21">
        <f>IF('Raw Data'!Q1337="",ROUND(AVERAGE('Raw Data'!$Q$2:$Q$1501),0),'Raw Data'!Q1337)</f>
        <v>2</v>
      </c>
      <c r="R1337" s="21">
        <f>'Raw Data'!R1337</f>
        <v>2</v>
      </c>
      <c r="S1337" s="21">
        <f>IF('Raw Data'!S1337="",ROUND(AVERAGE('Raw Data'!$S$2:$S$1501),0),'Raw Data'!S1337)</f>
        <v>21</v>
      </c>
      <c r="T1337" s="21">
        <f>'Raw Data'!T1337</f>
        <v>160.37</v>
      </c>
      <c r="U1337" s="21" t="str">
        <f>INDEX('Lookup Tables'!$C$7:$C$9,MATCH(E1337,'Lookup Tables'!$B$7:$B$9,0))</f>
        <v>Tier 1 (Metro)</v>
      </c>
      <c r="V1337" s="21" t="str">
        <f t="shared" si="60"/>
        <v>7-12 months</v>
      </c>
      <c r="W1337" s="21" t="str">
        <f t="shared" si="61"/>
        <v>Medium Risk</v>
      </c>
      <c r="X1337" s="21" t="str">
        <f t="shared" si="62"/>
        <v>No</v>
      </c>
    </row>
    <row r="1338" spans="1:24" x14ac:dyDescent="0.3">
      <c r="A1338" s="21">
        <f>'Raw Data'!A1338</f>
        <v>51337</v>
      </c>
      <c r="B1338" s="21">
        <f>'Raw Data'!B1338</f>
        <v>0</v>
      </c>
      <c r="C1338" s="21">
        <f>'Raw Data'!C1338</f>
        <v>12</v>
      </c>
      <c r="D1338" s="21" t="str">
        <f>'Raw Data'!D1338</f>
        <v>Computer</v>
      </c>
      <c r="E1338" s="21">
        <f>'Raw Data'!E1338</f>
        <v>1</v>
      </c>
      <c r="F1338" s="21">
        <f>IF('Raw Data'!F1338="",ROUND(AVERAGE('Raw Data'!$F$2:$F$1501),1),'Raw Data'!F1338)</f>
        <v>21</v>
      </c>
      <c r="G1338" s="21" t="str">
        <f>'Raw Data'!G1338</f>
        <v>Cash on Delivery</v>
      </c>
      <c r="H1338" s="21" t="str">
        <f>'Raw Data'!H1338</f>
        <v>Male</v>
      </c>
      <c r="I1338" s="21">
        <f>IF('Raw Data'!I1338="",ROUND(AVERAGE('Raw Data'!$I$2:$I$1501),1),'Raw Data'!I1338)</f>
        <v>2.9</v>
      </c>
      <c r="J1338" s="21">
        <f>'Raw Data'!J1338</f>
        <v>2</v>
      </c>
      <c r="K1338" s="21" t="str">
        <f>'Raw Data'!K1338</f>
        <v>Mobile Phone</v>
      </c>
      <c r="L1338" s="21">
        <f>'Raw Data'!L1338</f>
        <v>4</v>
      </c>
      <c r="M1338" s="21" t="str">
        <f>'Raw Data'!M1338</f>
        <v>Single</v>
      </c>
      <c r="N1338" s="21">
        <f>'Raw Data'!N1338</f>
        <v>2</v>
      </c>
      <c r="O1338" s="21">
        <f>'Raw Data'!O1338</f>
        <v>0</v>
      </c>
      <c r="P1338" s="21">
        <f>IF('Raw Data'!P1338="",ROUND(AVERAGE('Raw Data'!$P$2:$P$1501),1),'Raw Data'!P1338)</f>
        <v>16.8</v>
      </c>
      <c r="Q1338" s="21">
        <f>IF('Raw Data'!Q1338="",ROUND(AVERAGE('Raw Data'!$Q$2:$Q$1501),0),'Raw Data'!Q1338)</f>
        <v>4</v>
      </c>
      <c r="R1338" s="21">
        <f>'Raw Data'!R1338</f>
        <v>5</v>
      </c>
      <c r="S1338" s="21">
        <f>IF('Raw Data'!S1338="",ROUND(AVERAGE('Raw Data'!$S$2:$S$1501),0),'Raw Data'!S1338)</f>
        <v>1</v>
      </c>
      <c r="T1338" s="21">
        <f>'Raw Data'!T1338</f>
        <v>99.8</v>
      </c>
      <c r="U1338" s="21" t="str">
        <f>INDEX('Lookup Tables'!$C$7:$C$9,MATCH(E1338,'Lookup Tables'!$B$7:$B$9,0))</f>
        <v>Tier 1 (Metro)</v>
      </c>
      <c r="V1338" s="21" t="str">
        <f t="shared" si="60"/>
        <v>7-12 months</v>
      </c>
      <c r="W1338" s="21" t="str">
        <f t="shared" si="61"/>
        <v>Low Risk</v>
      </c>
      <c r="X1338" s="21" t="str">
        <f t="shared" si="62"/>
        <v>No</v>
      </c>
    </row>
    <row r="1339" spans="1:24" x14ac:dyDescent="0.3">
      <c r="A1339" s="21">
        <f>'Raw Data'!A1339</f>
        <v>51338</v>
      </c>
      <c r="B1339" s="21">
        <f>'Raw Data'!B1339</f>
        <v>0</v>
      </c>
      <c r="C1339" s="21">
        <f>'Raw Data'!C1339</f>
        <v>22</v>
      </c>
      <c r="D1339" s="21" t="str">
        <f>'Raw Data'!D1339</f>
        <v>Mobile Phone</v>
      </c>
      <c r="E1339" s="21">
        <f>'Raw Data'!E1339</f>
        <v>1</v>
      </c>
      <c r="F1339" s="21">
        <f>IF('Raw Data'!F1339="",ROUND(AVERAGE('Raw Data'!$F$2:$F$1501),1),'Raw Data'!F1339)</f>
        <v>16</v>
      </c>
      <c r="G1339" s="21" t="str">
        <f>'Raw Data'!G1339</f>
        <v>Debit Card</v>
      </c>
      <c r="H1339" s="21" t="str">
        <f>'Raw Data'!H1339</f>
        <v>Female</v>
      </c>
      <c r="I1339" s="21">
        <f>IF('Raw Data'!I1339="",ROUND(AVERAGE('Raw Data'!$I$2:$I$1501),1),'Raw Data'!I1339)</f>
        <v>2.2000000000000002</v>
      </c>
      <c r="J1339" s="21">
        <f>'Raw Data'!J1339</f>
        <v>2</v>
      </c>
      <c r="K1339" s="21" t="str">
        <f>'Raw Data'!K1339</f>
        <v>Fashion</v>
      </c>
      <c r="L1339" s="21">
        <f>'Raw Data'!L1339</f>
        <v>5</v>
      </c>
      <c r="M1339" s="21" t="str">
        <f>'Raw Data'!M1339</f>
        <v>Married</v>
      </c>
      <c r="N1339" s="21">
        <f>'Raw Data'!N1339</f>
        <v>12</v>
      </c>
      <c r="O1339" s="21">
        <f>'Raw Data'!O1339</f>
        <v>0</v>
      </c>
      <c r="P1339" s="21">
        <f>IF('Raw Data'!P1339="",ROUND(AVERAGE('Raw Data'!$P$2:$P$1501),1),'Raw Data'!P1339)</f>
        <v>15.4</v>
      </c>
      <c r="Q1339" s="21">
        <f>IF('Raw Data'!Q1339="",ROUND(AVERAGE('Raw Data'!$Q$2:$Q$1501),0),'Raw Data'!Q1339)</f>
        <v>0</v>
      </c>
      <c r="R1339" s="21">
        <f>'Raw Data'!R1339</f>
        <v>4</v>
      </c>
      <c r="S1339" s="21">
        <f>IF('Raw Data'!S1339="",ROUND(AVERAGE('Raw Data'!$S$2:$S$1501),0),'Raw Data'!S1339)</f>
        <v>3</v>
      </c>
      <c r="T1339" s="21">
        <f>'Raw Data'!T1339</f>
        <v>147.65</v>
      </c>
      <c r="U1339" s="21" t="str">
        <f>INDEX('Lookup Tables'!$C$7:$C$9,MATCH(E1339,'Lookup Tables'!$B$7:$B$9,0))</f>
        <v>Tier 1 (Metro)</v>
      </c>
      <c r="V1339" s="21" t="str">
        <f t="shared" si="60"/>
        <v>13-24 months</v>
      </c>
      <c r="W1339" s="21" t="str">
        <f t="shared" si="61"/>
        <v>Low Risk</v>
      </c>
      <c r="X1339" s="21" t="str">
        <f t="shared" si="62"/>
        <v>No</v>
      </c>
    </row>
    <row r="1340" spans="1:24" x14ac:dyDescent="0.3">
      <c r="A1340" s="21">
        <f>'Raw Data'!A1340</f>
        <v>51339</v>
      </c>
      <c r="B1340" s="21">
        <f>'Raw Data'!B1340</f>
        <v>0</v>
      </c>
      <c r="C1340" s="21">
        <f>'Raw Data'!C1340</f>
        <v>0</v>
      </c>
      <c r="D1340" s="21" t="str">
        <f>'Raw Data'!D1340</f>
        <v>Computer</v>
      </c>
      <c r="E1340" s="21">
        <f>'Raw Data'!E1340</f>
        <v>3</v>
      </c>
      <c r="F1340" s="21">
        <f>IF('Raw Data'!F1340="",ROUND(AVERAGE('Raw Data'!$F$2:$F$1501),1),'Raw Data'!F1340)</f>
        <v>18</v>
      </c>
      <c r="G1340" s="21" t="str">
        <f>'Raw Data'!G1340</f>
        <v>Credit Card</v>
      </c>
      <c r="H1340" s="21" t="str">
        <f>'Raw Data'!H1340</f>
        <v>Female</v>
      </c>
      <c r="I1340" s="21">
        <f>IF('Raw Data'!I1340="",ROUND(AVERAGE('Raw Data'!$I$2:$I$1501),1),'Raw Data'!I1340)</f>
        <v>2</v>
      </c>
      <c r="J1340" s="21">
        <f>'Raw Data'!J1340</f>
        <v>3</v>
      </c>
      <c r="K1340" s="21" t="str">
        <f>'Raw Data'!K1340</f>
        <v>Mobile Phone</v>
      </c>
      <c r="L1340" s="21">
        <f>'Raw Data'!L1340</f>
        <v>4</v>
      </c>
      <c r="M1340" s="21" t="str">
        <f>'Raw Data'!M1340</f>
        <v>Single</v>
      </c>
      <c r="N1340" s="21">
        <f>'Raw Data'!N1340</f>
        <v>1</v>
      </c>
      <c r="O1340" s="21">
        <f>'Raw Data'!O1340</f>
        <v>0</v>
      </c>
      <c r="P1340" s="21">
        <f>IF('Raw Data'!P1340="",ROUND(AVERAGE('Raw Data'!$P$2:$P$1501),1),'Raw Data'!P1340)</f>
        <v>23.1</v>
      </c>
      <c r="Q1340" s="21">
        <f>IF('Raw Data'!Q1340="",ROUND(AVERAGE('Raw Data'!$Q$2:$Q$1501),0),'Raw Data'!Q1340)</f>
        <v>3</v>
      </c>
      <c r="R1340" s="21">
        <f>'Raw Data'!R1340</f>
        <v>8</v>
      </c>
      <c r="S1340" s="21">
        <f>IF('Raw Data'!S1340="",ROUND(AVERAGE('Raw Data'!$S$2:$S$1501),0),'Raw Data'!S1340)</f>
        <v>5</v>
      </c>
      <c r="T1340" s="21">
        <f>'Raw Data'!T1340</f>
        <v>230.44</v>
      </c>
      <c r="U1340" s="21" t="str">
        <f>INDEX('Lookup Tables'!$C$7:$C$9,MATCH(E1340,'Lookup Tables'!$B$7:$B$9,0))</f>
        <v>Tier 3 (Semi-urban/Rural)</v>
      </c>
      <c r="V1340" s="21" t="str">
        <f t="shared" si="60"/>
        <v>0-6 months</v>
      </c>
      <c r="W1340" s="21" t="str">
        <f t="shared" si="61"/>
        <v>Low Risk</v>
      </c>
      <c r="X1340" s="21" t="str">
        <f t="shared" si="62"/>
        <v>No</v>
      </c>
    </row>
    <row r="1341" spans="1:24" x14ac:dyDescent="0.3">
      <c r="A1341" s="21">
        <f>'Raw Data'!A1341</f>
        <v>51340</v>
      </c>
      <c r="B1341" s="21">
        <f>'Raw Data'!B1341</f>
        <v>1</v>
      </c>
      <c r="C1341" s="21">
        <f>'Raw Data'!C1341</f>
        <v>13</v>
      </c>
      <c r="D1341" s="21" t="str">
        <f>'Raw Data'!D1341</f>
        <v>Computer</v>
      </c>
      <c r="E1341" s="21">
        <f>'Raw Data'!E1341</f>
        <v>1</v>
      </c>
      <c r="F1341" s="21">
        <f>IF('Raw Data'!F1341="",ROUND(AVERAGE('Raw Data'!$F$2:$F$1501),1),'Raw Data'!F1341)</f>
        <v>9</v>
      </c>
      <c r="G1341" s="21" t="str">
        <f>'Raw Data'!G1341</f>
        <v>UPI</v>
      </c>
      <c r="H1341" s="21" t="str">
        <f>'Raw Data'!H1341</f>
        <v>Female</v>
      </c>
      <c r="I1341" s="21">
        <f>IF('Raw Data'!I1341="",ROUND(AVERAGE('Raw Data'!$I$2:$I$1501),1),'Raw Data'!I1341)</f>
        <v>2.2000000000000002</v>
      </c>
      <c r="J1341" s="21">
        <f>'Raw Data'!J1341</f>
        <v>3</v>
      </c>
      <c r="K1341" s="21" t="str">
        <f>'Raw Data'!K1341</f>
        <v>Grocery</v>
      </c>
      <c r="L1341" s="21">
        <f>'Raw Data'!L1341</f>
        <v>2</v>
      </c>
      <c r="M1341" s="21" t="str">
        <f>'Raw Data'!M1341</f>
        <v>Divorced</v>
      </c>
      <c r="N1341" s="21">
        <f>'Raw Data'!N1341</f>
        <v>1</v>
      </c>
      <c r="O1341" s="21">
        <f>'Raw Data'!O1341</f>
        <v>0</v>
      </c>
      <c r="P1341" s="21">
        <f>IF('Raw Data'!P1341="",ROUND(AVERAGE('Raw Data'!$P$2:$P$1501),1),'Raw Data'!P1341)</f>
        <v>15.7</v>
      </c>
      <c r="Q1341" s="21">
        <f>IF('Raw Data'!Q1341="",ROUND(AVERAGE('Raw Data'!$Q$2:$Q$1501),0),'Raw Data'!Q1341)</f>
        <v>1</v>
      </c>
      <c r="R1341" s="21">
        <f>'Raw Data'!R1341</f>
        <v>8</v>
      </c>
      <c r="S1341" s="21">
        <f>IF('Raw Data'!S1341="",ROUND(AVERAGE('Raw Data'!$S$2:$S$1501),0),'Raw Data'!S1341)</f>
        <v>0</v>
      </c>
      <c r="T1341" s="21">
        <f>'Raw Data'!T1341</f>
        <v>247.71</v>
      </c>
      <c r="U1341" s="21" t="str">
        <f>INDEX('Lookup Tables'!$C$7:$C$9,MATCH(E1341,'Lookup Tables'!$B$7:$B$9,0))</f>
        <v>Tier 1 (Metro)</v>
      </c>
      <c r="V1341" s="21" t="str">
        <f t="shared" si="60"/>
        <v>13-24 months</v>
      </c>
      <c r="W1341" s="21" t="str">
        <f t="shared" si="61"/>
        <v>Low Risk</v>
      </c>
      <c r="X1341" s="21" t="str">
        <f t="shared" si="62"/>
        <v>Yes</v>
      </c>
    </row>
    <row r="1342" spans="1:24" x14ac:dyDescent="0.3">
      <c r="A1342" s="21">
        <f>'Raw Data'!A1342</f>
        <v>51341</v>
      </c>
      <c r="B1342" s="21">
        <f>'Raw Data'!B1342</f>
        <v>0</v>
      </c>
      <c r="C1342" s="21">
        <f>'Raw Data'!C1342</f>
        <v>2</v>
      </c>
      <c r="D1342" s="21" t="str">
        <f>'Raw Data'!D1342</f>
        <v>Mobile Phone</v>
      </c>
      <c r="E1342" s="21">
        <f>'Raw Data'!E1342</f>
        <v>1</v>
      </c>
      <c r="F1342" s="21">
        <f>IF('Raw Data'!F1342="",ROUND(AVERAGE('Raw Data'!$F$2:$F$1501),1),'Raw Data'!F1342)</f>
        <v>5</v>
      </c>
      <c r="G1342" s="21" t="str">
        <f>'Raw Data'!G1342</f>
        <v>Credit Card</v>
      </c>
      <c r="H1342" s="21" t="str">
        <f>'Raw Data'!H1342</f>
        <v>Female</v>
      </c>
      <c r="I1342" s="21">
        <f>IF('Raw Data'!I1342="",ROUND(AVERAGE('Raw Data'!$I$2:$I$1501),1),'Raw Data'!I1342)</f>
        <v>2.4</v>
      </c>
      <c r="J1342" s="21">
        <f>'Raw Data'!J1342</f>
        <v>4</v>
      </c>
      <c r="K1342" s="21" t="str">
        <f>'Raw Data'!K1342</f>
        <v>Laptop &amp; Accessory</v>
      </c>
      <c r="L1342" s="21">
        <f>'Raw Data'!L1342</f>
        <v>4</v>
      </c>
      <c r="M1342" s="21" t="str">
        <f>'Raw Data'!M1342</f>
        <v>Married</v>
      </c>
      <c r="N1342" s="21">
        <f>'Raw Data'!N1342</f>
        <v>2</v>
      </c>
      <c r="O1342" s="21">
        <f>'Raw Data'!O1342</f>
        <v>0</v>
      </c>
      <c r="P1342" s="21">
        <f>IF('Raw Data'!P1342="",ROUND(AVERAGE('Raw Data'!$P$2:$P$1501),1),'Raw Data'!P1342)</f>
        <v>14.5</v>
      </c>
      <c r="Q1342" s="21">
        <f>IF('Raw Data'!Q1342="",ROUND(AVERAGE('Raw Data'!$Q$2:$Q$1501),0),'Raw Data'!Q1342)</f>
        <v>1</v>
      </c>
      <c r="R1342" s="21">
        <f>'Raw Data'!R1342</f>
        <v>5</v>
      </c>
      <c r="S1342" s="21">
        <f>IF('Raw Data'!S1342="",ROUND(AVERAGE('Raw Data'!$S$2:$S$1501),0),'Raw Data'!S1342)</f>
        <v>2</v>
      </c>
      <c r="T1342" s="21">
        <f>'Raw Data'!T1342</f>
        <v>191.77</v>
      </c>
      <c r="U1342" s="21" t="str">
        <f>INDEX('Lookup Tables'!$C$7:$C$9,MATCH(E1342,'Lookup Tables'!$B$7:$B$9,0))</f>
        <v>Tier 1 (Metro)</v>
      </c>
      <c r="V1342" s="21" t="str">
        <f t="shared" si="60"/>
        <v>0-6 months</v>
      </c>
      <c r="W1342" s="21" t="str">
        <f t="shared" si="61"/>
        <v>Low Risk</v>
      </c>
      <c r="X1342" s="21" t="str">
        <f t="shared" si="62"/>
        <v>No</v>
      </c>
    </row>
    <row r="1343" spans="1:24" x14ac:dyDescent="0.3">
      <c r="A1343" s="21">
        <f>'Raw Data'!A1343</f>
        <v>51342</v>
      </c>
      <c r="B1343" s="21">
        <f>'Raw Data'!B1343</f>
        <v>1</v>
      </c>
      <c r="C1343" s="21">
        <f>'Raw Data'!C1343</f>
        <v>19</v>
      </c>
      <c r="D1343" s="21" t="str">
        <f>'Raw Data'!D1343</f>
        <v>Phone</v>
      </c>
      <c r="E1343" s="21">
        <f>'Raw Data'!E1343</f>
        <v>1</v>
      </c>
      <c r="F1343" s="21">
        <f>IF('Raw Data'!F1343="",ROUND(AVERAGE('Raw Data'!$F$2:$F$1501),1),'Raw Data'!F1343)</f>
        <v>19</v>
      </c>
      <c r="G1343" s="21" t="str">
        <f>'Raw Data'!G1343</f>
        <v>Debit Card</v>
      </c>
      <c r="H1343" s="21" t="str">
        <f>'Raw Data'!H1343</f>
        <v>Male</v>
      </c>
      <c r="I1343" s="21">
        <f>IF('Raw Data'!I1343="",ROUND(AVERAGE('Raw Data'!$I$2:$I$1501),1),'Raw Data'!I1343)</f>
        <v>2.9</v>
      </c>
      <c r="J1343" s="21">
        <f>'Raw Data'!J1343</f>
        <v>4</v>
      </c>
      <c r="K1343" s="21" t="str">
        <f>'Raw Data'!K1343</f>
        <v>Laptop &amp; Accessory</v>
      </c>
      <c r="L1343" s="21">
        <f>'Raw Data'!L1343</f>
        <v>4</v>
      </c>
      <c r="M1343" s="21" t="str">
        <f>'Raw Data'!M1343</f>
        <v>Single</v>
      </c>
      <c r="N1343" s="21">
        <f>'Raw Data'!N1343</f>
        <v>1</v>
      </c>
      <c r="O1343" s="21">
        <f>'Raw Data'!O1343</f>
        <v>0</v>
      </c>
      <c r="P1343" s="21">
        <f>IF('Raw Data'!P1343="",ROUND(AVERAGE('Raw Data'!$P$2:$P$1501),1),'Raw Data'!P1343)</f>
        <v>13.7</v>
      </c>
      <c r="Q1343" s="21">
        <f>IF('Raw Data'!Q1343="",ROUND(AVERAGE('Raw Data'!$Q$2:$Q$1501),0),'Raw Data'!Q1343)</f>
        <v>3</v>
      </c>
      <c r="R1343" s="21">
        <f>'Raw Data'!R1343</f>
        <v>5</v>
      </c>
      <c r="S1343" s="21">
        <f>IF('Raw Data'!S1343="",ROUND(AVERAGE('Raw Data'!$S$2:$S$1501),0),'Raw Data'!S1343)</f>
        <v>8</v>
      </c>
      <c r="T1343" s="21">
        <f>'Raw Data'!T1343</f>
        <v>148.63</v>
      </c>
      <c r="U1343" s="21" t="str">
        <f>INDEX('Lookup Tables'!$C$7:$C$9,MATCH(E1343,'Lookup Tables'!$B$7:$B$9,0))</f>
        <v>Tier 1 (Metro)</v>
      </c>
      <c r="V1343" s="21" t="str">
        <f t="shared" si="60"/>
        <v>13-24 months</v>
      </c>
      <c r="W1343" s="21" t="str">
        <f t="shared" si="61"/>
        <v>Low Risk</v>
      </c>
      <c r="X1343" s="21" t="str">
        <f t="shared" si="62"/>
        <v>Yes</v>
      </c>
    </row>
    <row r="1344" spans="1:24" x14ac:dyDescent="0.3">
      <c r="A1344" s="21">
        <f>'Raw Data'!A1344</f>
        <v>51343</v>
      </c>
      <c r="B1344" s="21">
        <f>'Raw Data'!B1344</f>
        <v>0</v>
      </c>
      <c r="C1344" s="21">
        <f>'Raw Data'!C1344</f>
        <v>17</v>
      </c>
      <c r="D1344" s="21" t="str">
        <f>'Raw Data'!D1344</f>
        <v>Mobile Phone</v>
      </c>
      <c r="E1344" s="21">
        <f>'Raw Data'!E1344</f>
        <v>1</v>
      </c>
      <c r="F1344" s="21">
        <f>IF('Raw Data'!F1344="",ROUND(AVERAGE('Raw Data'!$F$2:$F$1501),1),'Raw Data'!F1344)</f>
        <v>5</v>
      </c>
      <c r="G1344" s="21" t="str">
        <f>'Raw Data'!G1344</f>
        <v>Debit Card</v>
      </c>
      <c r="H1344" s="21" t="str">
        <f>'Raw Data'!H1344</f>
        <v>Female</v>
      </c>
      <c r="I1344" s="21">
        <f>IF('Raw Data'!I1344="",ROUND(AVERAGE('Raw Data'!$I$2:$I$1501),1),'Raw Data'!I1344)</f>
        <v>2.2999999999999998</v>
      </c>
      <c r="J1344" s="21">
        <f>'Raw Data'!J1344</f>
        <v>2</v>
      </c>
      <c r="K1344" s="21" t="str">
        <f>'Raw Data'!K1344</f>
        <v>Mobile Phone</v>
      </c>
      <c r="L1344" s="21">
        <f>'Raw Data'!L1344</f>
        <v>1</v>
      </c>
      <c r="M1344" s="21" t="str">
        <f>'Raw Data'!M1344</f>
        <v>Single</v>
      </c>
      <c r="N1344" s="21">
        <f>'Raw Data'!N1344</f>
        <v>1</v>
      </c>
      <c r="O1344" s="21">
        <f>'Raw Data'!O1344</f>
        <v>0</v>
      </c>
      <c r="P1344" s="21">
        <f>IF('Raw Data'!P1344="",ROUND(AVERAGE('Raw Data'!$P$2:$P$1501),1),'Raw Data'!P1344)</f>
        <v>11</v>
      </c>
      <c r="Q1344" s="21">
        <f>IF('Raw Data'!Q1344="",ROUND(AVERAGE('Raw Data'!$Q$2:$Q$1501),0),'Raw Data'!Q1344)</f>
        <v>2</v>
      </c>
      <c r="R1344" s="21">
        <f>'Raw Data'!R1344</f>
        <v>4</v>
      </c>
      <c r="S1344" s="21">
        <f>IF('Raw Data'!S1344="",ROUND(AVERAGE('Raw Data'!$S$2:$S$1501),0),'Raw Data'!S1344)</f>
        <v>1</v>
      </c>
      <c r="T1344" s="21">
        <f>'Raw Data'!T1344</f>
        <v>267.35000000000002</v>
      </c>
      <c r="U1344" s="21" t="str">
        <f>INDEX('Lookup Tables'!$C$7:$C$9,MATCH(E1344,'Lookup Tables'!$B$7:$B$9,0))</f>
        <v>Tier 1 (Metro)</v>
      </c>
      <c r="V1344" s="21" t="str">
        <f t="shared" si="60"/>
        <v>13-24 months</v>
      </c>
      <c r="W1344" s="21" t="str">
        <f t="shared" si="61"/>
        <v>Low Risk</v>
      </c>
      <c r="X1344" s="21" t="str">
        <f t="shared" si="62"/>
        <v>No</v>
      </c>
    </row>
    <row r="1345" spans="1:24" x14ac:dyDescent="0.3">
      <c r="A1345" s="21">
        <f>'Raw Data'!A1345</f>
        <v>51344</v>
      </c>
      <c r="B1345" s="21">
        <f>'Raw Data'!B1345</f>
        <v>0</v>
      </c>
      <c r="C1345" s="21">
        <f>'Raw Data'!C1345</f>
        <v>7</v>
      </c>
      <c r="D1345" s="21" t="str">
        <f>'Raw Data'!D1345</f>
        <v>Mobile Phone</v>
      </c>
      <c r="E1345" s="21">
        <f>'Raw Data'!E1345</f>
        <v>3</v>
      </c>
      <c r="F1345" s="21">
        <f>IF('Raw Data'!F1345="",ROUND(AVERAGE('Raw Data'!$F$2:$F$1501),1),'Raw Data'!F1345)</f>
        <v>12</v>
      </c>
      <c r="G1345" s="21" t="str">
        <f>'Raw Data'!G1345</f>
        <v>UPI</v>
      </c>
      <c r="H1345" s="21" t="str">
        <f>'Raw Data'!H1345</f>
        <v>Male</v>
      </c>
      <c r="I1345" s="21">
        <f>IF('Raw Data'!I1345="",ROUND(AVERAGE('Raw Data'!$I$2:$I$1501),1),'Raw Data'!I1345)</f>
        <v>4.0999999999999996</v>
      </c>
      <c r="J1345" s="21">
        <f>'Raw Data'!J1345</f>
        <v>2</v>
      </c>
      <c r="K1345" s="21" t="str">
        <f>'Raw Data'!K1345</f>
        <v>Laptop &amp; Accessory</v>
      </c>
      <c r="L1345" s="21">
        <f>'Raw Data'!L1345</f>
        <v>5</v>
      </c>
      <c r="M1345" s="21" t="str">
        <f>'Raw Data'!M1345</f>
        <v>Married</v>
      </c>
      <c r="N1345" s="21">
        <f>'Raw Data'!N1345</f>
        <v>7</v>
      </c>
      <c r="O1345" s="21">
        <f>'Raw Data'!O1345</f>
        <v>0</v>
      </c>
      <c r="P1345" s="21">
        <f>IF('Raw Data'!P1345="",ROUND(AVERAGE('Raw Data'!$P$2:$P$1501),1),'Raw Data'!P1345)</f>
        <v>18.899999999999999</v>
      </c>
      <c r="Q1345" s="21">
        <f>IF('Raw Data'!Q1345="",ROUND(AVERAGE('Raw Data'!$Q$2:$Q$1501),0),'Raw Data'!Q1345)</f>
        <v>3</v>
      </c>
      <c r="R1345" s="21">
        <f>'Raw Data'!R1345</f>
        <v>11</v>
      </c>
      <c r="S1345" s="21">
        <f>IF('Raw Data'!S1345="",ROUND(AVERAGE('Raw Data'!$S$2:$S$1501),0),'Raw Data'!S1345)</f>
        <v>3</v>
      </c>
      <c r="T1345" s="21">
        <f>'Raw Data'!T1345</f>
        <v>147.9</v>
      </c>
      <c r="U1345" s="21" t="str">
        <f>INDEX('Lookup Tables'!$C$7:$C$9,MATCH(E1345,'Lookup Tables'!$B$7:$B$9,0))</f>
        <v>Tier 3 (Semi-urban/Rural)</v>
      </c>
      <c r="V1345" s="21" t="str">
        <f t="shared" si="60"/>
        <v>7-12 months</v>
      </c>
      <c r="W1345" s="21" t="str">
        <f t="shared" si="61"/>
        <v>Low Risk</v>
      </c>
      <c r="X1345" s="21" t="str">
        <f t="shared" si="62"/>
        <v>No</v>
      </c>
    </row>
    <row r="1346" spans="1:24" x14ac:dyDescent="0.3">
      <c r="A1346" s="21">
        <f>'Raw Data'!A1346</f>
        <v>51345</v>
      </c>
      <c r="B1346" s="21">
        <f>'Raw Data'!B1346</f>
        <v>0</v>
      </c>
      <c r="C1346" s="21">
        <f>'Raw Data'!C1346</f>
        <v>12</v>
      </c>
      <c r="D1346" s="21" t="str">
        <f>'Raw Data'!D1346</f>
        <v>Mobile Phone</v>
      </c>
      <c r="E1346" s="21">
        <f>'Raw Data'!E1346</f>
        <v>1</v>
      </c>
      <c r="F1346" s="21">
        <f>IF('Raw Data'!F1346="",ROUND(AVERAGE('Raw Data'!$F$2:$F$1501),1),'Raw Data'!F1346)</f>
        <v>22</v>
      </c>
      <c r="G1346" s="21" t="str">
        <f>'Raw Data'!G1346</f>
        <v>Credit Card</v>
      </c>
      <c r="H1346" s="21" t="str">
        <f>'Raw Data'!H1346</f>
        <v>Male</v>
      </c>
      <c r="I1346" s="21">
        <f>IF('Raw Data'!I1346="",ROUND(AVERAGE('Raw Data'!$I$2:$I$1501),1),'Raw Data'!I1346)</f>
        <v>3.6</v>
      </c>
      <c r="J1346" s="21">
        <f>'Raw Data'!J1346</f>
        <v>5</v>
      </c>
      <c r="K1346" s="21" t="str">
        <f>'Raw Data'!K1346</f>
        <v>Fashion</v>
      </c>
      <c r="L1346" s="21">
        <f>'Raw Data'!L1346</f>
        <v>5</v>
      </c>
      <c r="M1346" s="21" t="str">
        <f>'Raw Data'!M1346</f>
        <v>Married</v>
      </c>
      <c r="N1346" s="21">
        <f>'Raw Data'!N1346</f>
        <v>16</v>
      </c>
      <c r="O1346" s="21">
        <f>'Raw Data'!O1346</f>
        <v>0</v>
      </c>
      <c r="P1346" s="21">
        <f>IF('Raw Data'!P1346="",ROUND(AVERAGE('Raw Data'!$P$2:$P$1501),1),'Raw Data'!P1346)</f>
        <v>11</v>
      </c>
      <c r="Q1346" s="21">
        <f>IF('Raw Data'!Q1346="",ROUND(AVERAGE('Raw Data'!$Q$2:$Q$1501),0),'Raw Data'!Q1346)</f>
        <v>2</v>
      </c>
      <c r="R1346" s="21">
        <f>'Raw Data'!R1346</f>
        <v>4</v>
      </c>
      <c r="S1346" s="21">
        <f>IF('Raw Data'!S1346="",ROUND(AVERAGE('Raw Data'!$S$2:$S$1501),0),'Raw Data'!S1346)</f>
        <v>4</v>
      </c>
      <c r="T1346" s="21">
        <f>'Raw Data'!T1346</f>
        <v>117.54</v>
      </c>
      <c r="U1346" s="21" t="str">
        <f>INDEX('Lookup Tables'!$C$7:$C$9,MATCH(E1346,'Lookup Tables'!$B$7:$B$9,0))</f>
        <v>Tier 1 (Metro)</v>
      </c>
      <c r="V1346" s="21" t="str">
        <f t="shared" ref="V1346:V1409" si="63">IF(C1346&lt;=6,"0-6 months",IF(C1346&lt;=12,"7-12 months",IF(C1346&lt;=24,"13-24 months","25+ months")))</f>
        <v>7-12 months</v>
      </c>
      <c r="W1346" s="21" t="str">
        <f t="shared" ref="W1346:W1409" si="64">IF(AND(O1346=1,L1346&lt;=2),"High Risk",IF(OR(L1346=3,S1346&gt;15),"Medium Risk","Low Risk"))</f>
        <v>Low Risk</v>
      </c>
      <c r="X1346" s="21" t="str">
        <f t="shared" ref="X1346:X1409" si="65">IF(B1346=1,"Yes","No")</f>
        <v>No</v>
      </c>
    </row>
    <row r="1347" spans="1:24" x14ac:dyDescent="0.3">
      <c r="A1347" s="21">
        <f>'Raw Data'!A1347</f>
        <v>51346</v>
      </c>
      <c r="B1347" s="21">
        <f>'Raw Data'!B1347</f>
        <v>1</v>
      </c>
      <c r="C1347" s="21">
        <f>'Raw Data'!C1347</f>
        <v>3</v>
      </c>
      <c r="D1347" s="21" t="str">
        <f>'Raw Data'!D1347</f>
        <v>Computer</v>
      </c>
      <c r="E1347" s="21">
        <f>'Raw Data'!E1347</f>
        <v>1</v>
      </c>
      <c r="F1347" s="21">
        <f>IF('Raw Data'!F1347="",ROUND(AVERAGE('Raw Data'!$F$2:$F$1501),1),'Raw Data'!F1347)</f>
        <v>16</v>
      </c>
      <c r="G1347" s="21" t="str">
        <f>'Raw Data'!G1347</f>
        <v>UPI</v>
      </c>
      <c r="H1347" s="21" t="str">
        <f>'Raw Data'!H1347</f>
        <v>Male</v>
      </c>
      <c r="I1347" s="21">
        <f>IF('Raw Data'!I1347="",ROUND(AVERAGE('Raw Data'!$I$2:$I$1501),1),'Raw Data'!I1347)</f>
        <v>3.5</v>
      </c>
      <c r="J1347" s="21">
        <f>'Raw Data'!J1347</f>
        <v>4</v>
      </c>
      <c r="K1347" s="21" t="str">
        <f>'Raw Data'!K1347</f>
        <v>Mobile Phone</v>
      </c>
      <c r="L1347" s="21">
        <f>'Raw Data'!L1347</f>
        <v>5</v>
      </c>
      <c r="M1347" s="21" t="str">
        <f>'Raw Data'!M1347</f>
        <v>Married</v>
      </c>
      <c r="N1347" s="21">
        <f>'Raw Data'!N1347</f>
        <v>2</v>
      </c>
      <c r="O1347" s="21">
        <f>'Raw Data'!O1347</f>
        <v>0</v>
      </c>
      <c r="P1347" s="21">
        <f>IF('Raw Data'!P1347="",ROUND(AVERAGE('Raw Data'!$P$2:$P$1501),1),'Raw Data'!P1347)</f>
        <v>16</v>
      </c>
      <c r="Q1347" s="21">
        <f>IF('Raw Data'!Q1347="",ROUND(AVERAGE('Raw Data'!$Q$2:$Q$1501),0),'Raw Data'!Q1347)</f>
        <v>0</v>
      </c>
      <c r="R1347" s="21">
        <f>'Raw Data'!R1347</f>
        <v>5</v>
      </c>
      <c r="S1347" s="21">
        <f>IF('Raw Data'!S1347="",ROUND(AVERAGE('Raw Data'!$S$2:$S$1501),0),'Raw Data'!S1347)</f>
        <v>5</v>
      </c>
      <c r="T1347" s="21">
        <f>'Raw Data'!T1347</f>
        <v>218.31</v>
      </c>
      <c r="U1347" s="21" t="str">
        <f>INDEX('Lookup Tables'!$C$7:$C$9,MATCH(E1347,'Lookup Tables'!$B$7:$B$9,0))</f>
        <v>Tier 1 (Metro)</v>
      </c>
      <c r="V1347" s="21" t="str">
        <f t="shared" si="63"/>
        <v>0-6 months</v>
      </c>
      <c r="W1347" s="21" t="str">
        <f t="shared" si="64"/>
        <v>Low Risk</v>
      </c>
      <c r="X1347" s="21" t="str">
        <f t="shared" si="65"/>
        <v>Yes</v>
      </c>
    </row>
    <row r="1348" spans="1:24" x14ac:dyDescent="0.3">
      <c r="A1348" s="21">
        <f>'Raw Data'!A1348</f>
        <v>51347</v>
      </c>
      <c r="B1348" s="21">
        <f>'Raw Data'!B1348</f>
        <v>0</v>
      </c>
      <c r="C1348" s="21">
        <f>'Raw Data'!C1348</f>
        <v>6</v>
      </c>
      <c r="D1348" s="21" t="str">
        <f>'Raw Data'!D1348</f>
        <v>Computer</v>
      </c>
      <c r="E1348" s="21">
        <f>'Raw Data'!E1348</f>
        <v>3</v>
      </c>
      <c r="F1348" s="21">
        <f>IF('Raw Data'!F1348="",ROUND(AVERAGE('Raw Data'!$F$2:$F$1501),1),'Raw Data'!F1348)</f>
        <v>30</v>
      </c>
      <c r="G1348" s="21" t="str">
        <f>'Raw Data'!G1348</f>
        <v>Credit Card</v>
      </c>
      <c r="H1348" s="21" t="str">
        <f>'Raw Data'!H1348</f>
        <v>Female</v>
      </c>
      <c r="I1348" s="21">
        <f>IF('Raw Data'!I1348="",ROUND(AVERAGE('Raw Data'!$I$2:$I$1501),1),'Raw Data'!I1348)</f>
        <v>2.8</v>
      </c>
      <c r="J1348" s="21">
        <f>'Raw Data'!J1348</f>
        <v>3</v>
      </c>
      <c r="K1348" s="21" t="str">
        <f>'Raw Data'!K1348</f>
        <v>Laptop &amp; Accessory</v>
      </c>
      <c r="L1348" s="21">
        <f>'Raw Data'!L1348</f>
        <v>4</v>
      </c>
      <c r="M1348" s="21" t="str">
        <f>'Raw Data'!M1348</f>
        <v>Married</v>
      </c>
      <c r="N1348" s="21">
        <f>'Raw Data'!N1348</f>
        <v>5</v>
      </c>
      <c r="O1348" s="21">
        <f>'Raw Data'!O1348</f>
        <v>0</v>
      </c>
      <c r="P1348" s="21">
        <f>IF('Raw Data'!P1348="",ROUND(AVERAGE('Raw Data'!$P$2:$P$1501),1),'Raw Data'!P1348)</f>
        <v>15.3</v>
      </c>
      <c r="Q1348" s="21">
        <f>IF('Raw Data'!Q1348="",ROUND(AVERAGE('Raw Data'!$Q$2:$Q$1501),0),'Raw Data'!Q1348)</f>
        <v>2</v>
      </c>
      <c r="R1348" s="21">
        <f>'Raw Data'!R1348</f>
        <v>3</v>
      </c>
      <c r="S1348" s="21">
        <f>IF('Raw Data'!S1348="",ROUND(AVERAGE('Raw Data'!$S$2:$S$1501),0),'Raw Data'!S1348)</f>
        <v>6</v>
      </c>
      <c r="T1348" s="21">
        <f>'Raw Data'!T1348</f>
        <v>205.18</v>
      </c>
      <c r="U1348" s="21" t="str">
        <f>INDEX('Lookup Tables'!$C$7:$C$9,MATCH(E1348,'Lookup Tables'!$B$7:$B$9,0))</f>
        <v>Tier 3 (Semi-urban/Rural)</v>
      </c>
      <c r="V1348" s="21" t="str">
        <f t="shared" si="63"/>
        <v>0-6 months</v>
      </c>
      <c r="W1348" s="21" t="str">
        <f t="shared" si="64"/>
        <v>Low Risk</v>
      </c>
      <c r="X1348" s="21" t="str">
        <f t="shared" si="65"/>
        <v>No</v>
      </c>
    </row>
    <row r="1349" spans="1:24" x14ac:dyDescent="0.3">
      <c r="A1349" s="21">
        <f>'Raw Data'!A1349</f>
        <v>51348</v>
      </c>
      <c r="B1349" s="21">
        <f>'Raw Data'!B1349</f>
        <v>0</v>
      </c>
      <c r="C1349" s="21">
        <f>'Raw Data'!C1349</f>
        <v>17</v>
      </c>
      <c r="D1349" s="21" t="str">
        <f>'Raw Data'!D1349</f>
        <v>Mobile Phone</v>
      </c>
      <c r="E1349" s="21">
        <f>'Raw Data'!E1349</f>
        <v>1</v>
      </c>
      <c r="F1349" s="21">
        <f>IF('Raw Data'!F1349="",ROUND(AVERAGE('Raw Data'!$F$2:$F$1501),1),'Raw Data'!F1349)</f>
        <v>23</v>
      </c>
      <c r="G1349" s="21" t="str">
        <f>'Raw Data'!G1349</f>
        <v>E wallet</v>
      </c>
      <c r="H1349" s="21" t="str">
        <f>'Raw Data'!H1349</f>
        <v>Male</v>
      </c>
      <c r="I1349" s="21">
        <f>IF('Raw Data'!I1349="",ROUND(AVERAGE('Raw Data'!$I$2:$I$1501),1),'Raw Data'!I1349)</f>
        <v>4</v>
      </c>
      <c r="J1349" s="21">
        <f>'Raw Data'!J1349</f>
        <v>4</v>
      </c>
      <c r="K1349" s="21" t="str">
        <f>'Raw Data'!K1349</f>
        <v>Laptop &amp; Accessory</v>
      </c>
      <c r="L1349" s="21">
        <f>'Raw Data'!L1349</f>
        <v>4</v>
      </c>
      <c r="M1349" s="21" t="str">
        <f>'Raw Data'!M1349</f>
        <v>Married</v>
      </c>
      <c r="N1349" s="21">
        <f>'Raw Data'!N1349</f>
        <v>6</v>
      </c>
      <c r="O1349" s="21">
        <f>'Raw Data'!O1349</f>
        <v>0</v>
      </c>
      <c r="P1349" s="21">
        <f>IF('Raw Data'!P1349="",ROUND(AVERAGE('Raw Data'!$P$2:$P$1501),1),'Raw Data'!P1349)</f>
        <v>23.8</v>
      </c>
      <c r="Q1349" s="21">
        <f>IF('Raw Data'!Q1349="",ROUND(AVERAGE('Raw Data'!$Q$2:$Q$1501),0),'Raw Data'!Q1349)</f>
        <v>2</v>
      </c>
      <c r="R1349" s="21">
        <f>'Raw Data'!R1349</f>
        <v>6</v>
      </c>
      <c r="S1349" s="21">
        <f>IF('Raw Data'!S1349="",ROUND(AVERAGE('Raw Data'!$S$2:$S$1501),0),'Raw Data'!S1349)</f>
        <v>10</v>
      </c>
      <c r="T1349" s="21">
        <f>'Raw Data'!T1349</f>
        <v>150.16</v>
      </c>
      <c r="U1349" s="21" t="str">
        <f>INDEX('Lookup Tables'!$C$7:$C$9,MATCH(E1349,'Lookup Tables'!$B$7:$B$9,0))</f>
        <v>Tier 1 (Metro)</v>
      </c>
      <c r="V1349" s="21" t="str">
        <f t="shared" si="63"/>
        <v>13-24 months</v>
      </c>
      <c r="W1349" s="21" t="str">
        <f t="shared" si="64"/>
        <v>Low Risk</v>
      </c>
      <c r="X1349" s="21" t="str">
        <f t="shared" si="65"/>
        <v>No</v>
      </c>
    </row>
    <row r="1350" spans="1:24" x14ac:dyDescent="0.3">
      <c r="A1350" s="21">
        <f>'Raw Data'!A1350</f>
        <v>51349</v>
      </c>
      <c r="B1350" s="21">
        <f>'Raw Data'!B1350</f>
        <v>0</v>
      </c>
      <c r="C1350" s="21">
        <f>'Raw Data'!C1350</f>
        <v>6</v>
      </c>
      <c r="D1350" s="21" t="str">
        <f>'Raw Data'!D1350</f>
        <v>Computer</v>
      </c>
      <c r="E1350" s="21">
        <f>'Raw Data'!E1350</f>
        <v>1</v>
      </c>
      <c r="F1350" s="21">
        <f>IF('Raw Data'!F1350="",ROUND(AVERAGE('Raw Data'!$F$2:$F$1501),1),'Raw Data'!F1350)</f>
        <v>9</v>
      </c>
      <c r="G1350" s="21" t="str">
        <f>'Raw Data'!G1350</f>
        <v>UPI</v>
      </c>
      <c r="H1350" s="21" t="str">
        <f>'Raw Data'!H1350</f>
        <v>Male</v>
      </c>
      <c r="I1350" s="21">
        <f>IF('Raw Data'!I1350="",ROUND(AVERAGE('Raw Data'!$I$2:$I$1501),1),'Raw Data'!I1350)</f>
        <v>2.7</v>
      </c>
      <c r="J1350" s="21">
        <f>'Raw Data'!J1350</f>
        <v>3</v>
      </c>
      <c r="K1350" s="21" t="str">
        <f>'Raw Data'!K1350</f>
        <v>Fashion</v>
      </c>
      <c r="L1350" s="21">
        <f>'Raw Data'!L1350</f>
        <v>4</v>
      </c>
      <c r="M1350" s="21" t="str">
        <f>'Raw Data'!M1350</f>
        <v>Married</v>
      </c>
      <c r="N1350" s="21">
        <f>'Raw Data'!N1350</f>
        <v>4</v>
      </c>
      <c r="O1350" s="21">
        <f>'Raw Data'!O1350</f>
        <v>0</v>
      </c>
      <c r="P1350" s="21">
        <f>IF('Raw Data'!P1350="",ROUND(AVERAGE('Raw Data'!$P$2:$P$1501),1),'Raw Data'!P1350)</f>
        <v>11</v>
      </c>
      <c r="Q1350" s="21">
        <f>IF('Raw Data'!Q1350="",ROUND(AVERAGE('Raw Data'!$Q$2:$Q$1501),0),'Raw Data'!Q1350)</f>
        <v>2</v>
      </c>
      <c r="R1350" s="21">
        <f>'Raw Data'!R1350</f>
        <v>3</v>
      </c>
      <c r="S1350" s="21">
        <f>IF('Raw Data'!S1350="",ROUND(AVERAGE('Raw Data'!$S$2:$S$1501),0),'Raw Data'!S1350)</f>
        <v>2</v>
      </c>
      <c r="T1350" s="21">
        <f>'Raw Data'!T1350</f>
        <v>185.51</v>
      </c>
      <c r="U1350" s="21" t="str">
        <f>INDEX('Lookup Tables'!$C$7:$C$9,MATCH(E1350,'Lookup Tables'!$B$7:$B$9,0))</f>
        <v>Tier 1 (Metro)</v>
      </c>
      <c r="V1350" s="21" t="str">
        <f t="shared" si="63"/>
        <v>0-6 months</v>
      </c>
      <c r="W1350" s="21" t="str">
        <f t="shared" si="64"/>
        <v>Low Risk</v>
      </c>
      <c r="X1350" s="21" t="str">
        <f t="shared" si="65"/>
        <v>No</v>
      </c>
    </row>
    <row r="1351" spans="1:24" x14ac:dyDescent="0.3">
      <c r="A1351" s="21">
        <f>'Raw Data'!A1351</f>
        <v>51350</v>
      </c>
      <c r="B1351" s="21">
        <f>'Raw Data'!B1351</f>
        <v>0</v>
      </c>
      <c r="C1351" s="21">
        <f>'Raw Data'!C1351</f>
        <v>4</v>
      </c>
      <c r="D1351" s="21" t="str">
        <f>'Raw Data'!D1351</f>
        <v>Mobile Phone</v>
      </c>
      <c r="E1351" s="21">
        <f>'Raw Data'!E1351</f>
        <v>1</v>
      </c>
      <c r="F1351" s="21">
        <f>IF('Raw Data'!F1351="",ROUND(AVERAGE('Raw Data'!$F$2:$F$1501),1),'Raw Data'!F1351)</f>
        <v>15</v>
      </c>
      <c r="G1351" s="21" t="str">
        <f>'Raw Data'!G1351</f>
        <v>E wallet</v>
      </c>
      <c r="H1351" s="21" t="str">
        <f>'Raw Data'!H1351</f>
        <v>Male</v>
      </c>
      <c r="I1351" s="21">
        <f>IF('Raw Data'!I1351="",ROUND(AVERAGE('Raw Data'!$I$2:$I$1501),1),'Raw Data'!I1351)</f>
        <v>2.9</v>
      </c>
      <c r="J1351" s="21">
        <f>'Raw Data'!J1351</f>
        <v>4</v>
      </c>
      <c r="K1351" s="21" t="str">
        <f>'Raw Data'!K1351</f>
        <v>Grocery</v>
      </c>
      <c r="L1351" s="21">
        <f>'Raw Data'!L1351</f>
        <v>4</v>
      </c>
      <c r="M1351" s="21" t="str">
        <f>'Raw Data'!M1351</f>
        <v>Married</v>
      </c>
      <c r="N1351" s="21">
        <f>'Raw Data'!N1351</f>
        <v>1</v>
      </c>
      <c r="O1351" s="21">
        <f>'Raw Data'!O1351</f>
        <v>0</v>
      </c>
      <c r="P1351" s="21">
        <f>IF('Raw Data'!P1351="",ROUND(AVERAGE('Raw Data'!$P$2:$P$1501),1),'Raw Data'!P1351)</f>
        <v>12.8</v>
      </c>
      <c r="Q1351" s="21">
        <f>IF('Raw Data'!Q1351="",ROUND(AVERAGE('Raw Data'!$Q$2:$Q$1501),0),'Raw Data'!Q1351)</f>
        <v>0</v>
      </c>
      <c r="R1351" s="21">
        <f>'Raw Data'!R1351</f>
        <v>4</v>
      </c>
      <c r="S1351" s="21">
        <f>IF('Raw Data'!S1351="",ROUND(AVERAGE('Raw Data'!$S$2:$S$1501),0),'Raw Data'!S1351)</f>
        <v>6</v>
      </c>
      <c r="T1351" s="21">
        <f>'Raw Data'!T1351</f>
        <v>204.32</v>
      </c>
      <c r="U1351" s="21" t="str">
        <f>INDEX('Lookup Tables'!$C$7:$C$9,MATCH(E1351,'Lookup Tables'!$B$7:$B$9,0))</f>
        <v>Tier 1 (Metro)</v>
      </c>
      <c r="V1351" s="21" t="str">
        <f t="shared" si="63"/>
        <v>0-6 months</v>
      </c>
      <c r="W1351" s="21" t="str">
        <f t="shared" si="64"/>
        <v>Low Risk</v>
      </c>
      <c r="X1351" s="21" t="str">
        <f t="shared" si="65"/>
        <v>No</v>
      </c>
    </row>
    <row r="1352" spans="1:24" x14ac:dyDescent="0.3">
      <c r="A1352" s="21">
        <f>'Raw Data'!A1352</f>
        <v>51351</v>
      </c>
      <c r="B1352" s="21">
        <f>'Raw Data'!B1352</f>
        <v>0</v>
      </c>
      <c r="C1352" s="21">
        <f>'Raw Data'!C1352</f>
        <v>6</v>
      </c>
      <c r="D1352" s="21" t="str">
        <f>'Raw Data'!D1352</f>
        <v>Phone</v>
      </c>
      <c r="E1352" s="21">
        <f>'Raw Data'!E1352</f>
        <v>2</v>
      </c>
      <c r="F1352" s="21">
        <f>IF('Raw Data'!F1352="",ROUND(AVERAGE('Raw Data'!$F$2:$F$1501),1),'Raw Data'!F1352)</f>
        <v>14</v>
      </c>
      <c r="G1352" s="21" t="str">
        <f>'Raw Data'!G1352</f>
        <v>Credit Card</v>
      </c>
      <c r="H1352" s="21" t="str">
        <f>'Raw Data'!H1352</f>
        <v>Female</v>
      </c>
      <c r="I1352" s="21">
        <f>IF('Raw Data'!I1352="",ROUND(AVERAGE('Raw Data'!$I$2:$I$1501),1),'Raw Data'!I1352)</f>
        <v>3</v>
      </c>
      <c r="J1352" s="21">
        <f>'Raw Data'!J1352</f>
        <v>3</v>
      </c>
      <c r="K1352" s="21" t="str">
        <f>'Raw Data'!K1352</f>
        <v>Mobile Phone</v>
      </c>
      <c r="L1352" s="21">
        <f>'Raw Data'!L1352</f>
        <v>4</v>
      </c>
      <c r="M1352" s="21" t="str">
        <f>'Raw Data'!M1352</f>
        <v>Married</v>
      </c>
      <c r="N1352" s="21">
        <f>'Raw Data'!N1352</f>
        <v>1</v>
      </c>
      <c r="O1352" s="21">
        <f>'Raw Data'!O1352</f>
        <v>1</v>
      </c>
      <c r="P1352" s="21">
        <f>IF('Raw Data'!P1352="",ROUND(AVERAGE('Raw Data'!$P$2:$P$1501),1),'Raw Data'!P1352)</f>
        <v>15.5</v>
      </c>
      <c r="Q1352" s="21">
        <f>IF('Raw Data'!Q1352="",ROUND(AVERAGE('Raw Data'!$Q$2:$Q$1501),0),'Raw Data'!Q1352)</f>
        <v>2</v>
      </c>
      <c r="R1352" s="21">
        <f>'Raw Data'!R1352</f>
        <v>3</v>
      </c>
      <c r="S1352" s="21">
        <f>IF('Raw Data'!S1352="",ROUND(AVERAGE('Raw Data'!$S$2:$S$1501),0),'Raw Data'!S1352)</f>
        <v>6</v>
      </c>
      <c r="T1352" s="21">
        <f>'Raw Data'!T1352</f>
        <v>191.2</v>
      </c>
      <c r="U1352" s="21" t="str">
        <f>INDEX('Lookup Tables'!$C$7:$C$9,MATCH(E1352,'Lookup Tables'!$B$7:$B$9,0))</f>
        <v>Tier 2 (Urban)</v>
      </c>
      <c r="V1352" s="21" t="str">
        <f t="shared" si="63"/>
        <v>0-6 months</v>
      </c>
      <c r="W1352" s="21" t="str">
        <f t="shared" si="64"/>
        <v>Low Risk</v>
      </c>
      <c r="X1352" s="21" t="str">
        <f t="shared" si="65"/>
        <v>No</v>
      </c>
    </row>
    <row r="1353" spans="1:24" x14ac:dyDescent="0.3">
      <c r="A1353" s="21">
        <f>'Raw Data'!A1353</f>
        <v>51352</v>
      </c>
      <c r="B1353" s="21">
        <f>'Raw Data'!B1353</f>
        <v>0</v>
      </c>
      <c r="C1353" s="21">
        <f>'Raw Data'!C1353</f>
        <v>17</v>
      </c>
      <c r="D1353" s="21" t="str">
        <f>'Raw Data'!D1353</f>
        <v>Mobile Phone</v>
      </c>
      <c r="E1353" s="21">
        <f>'Raw Data'!E1353</f>
        <v>3</v>
      </c>
      <c r="F1353" s="21">
        <f>IF('Raw Data'!F1353="",ROUND(AVERAGE('Raw Data'!$F$2:$F$1501),1),'Raw Data'!F1353)</f>
        <v>5</v>
      </c>
      <c r="G1353" s="21" t="str">
        <f>'Raw Data'!G1353</f>
        <v>Credit Card</v>
      </c>
      <c r="H1353" s="21" t="str">
        <f>'Raw Data'!H1353</f>
        <v>Female</v>
      </c>
      <c r="I1353" s="21">
        <f>IF('Raw Data'!I1353="",ROUND(AVERAGE('Raw Data'!$I$2:$I$1501),1),'Raw Data'!I1353)</f>
        <v>3.4</v>
      </c>
      <c r="J1353" s="21">
        <f>'Raw Data'!J1353</f>
        <v>3</v>
      </c>
      <c r="K1353" s="21" t="str">
        <f>'Raw Data'!K1353</f>
        <v>Mobile Phone</v>
      </c>
      <c r="L1353" s="21">
        <f>'Raw Data'!L1353</f>
        <v>4</v>
      </c>
      <c r="M1353" s="21" t="str">
        <f>'Raw Data'!M1353</f>
        <v>Married</v>
      </c>
      <c r="N1353" s="21">
        <f>'Raw Data'!N1353</f>
        <v>1</v>
      </c>
      <c r="O1353" s="21">
        <f>'Raw Data'!O1353</f>
        <v>1</v>
      </c>
      <c r="P1353" s="21">
        <f>IF('Raw Data'!P1353="",ROUND(AVERAGE('Raw Data'!$P$2:$P$1501),1),'Raw Data'!P1353)</f>
        <v>15.3</v>
      </c>
      <c r="Q1353" s="21">
        <f>IF('Raw Data'!Q1353="",ROUND(AVERAGE('Raw Data'!$Q$2:$Q$1501),0),'Raw Data'!Q1353)</f>
        <v>3</v>
      </c>
      <c r="R1353" s="21">
        <f>'Raw Data'!R1353</f>
        <v>4</v>
      </c>
      <c r="S1353" s="21">
        <f>IF('Raw Data'!S1353="",ROUND(AVERAGE('Raw Data'!$S$2:$S$1501),0),'Raw Data'!S1353)</f>
        <v>1</v>
      </c>
      <c r="T1353" s="21">
        <f>'Raw Data'!T1353</f>
        <v>205.24</v>
      </c>
      <c r="U1353" s="21" t="str">
        <f>INDEX('Lookup Tables'!$C$7:$C$9,MATCH(E1353,'Lookup Tables'!$B$7:$B$9,0))</f>
        <v>Tier 3 (Semi-urban/Rural)</v>
      </c>
      <c r="V1353" s="21" t="str">
        <f t="shared" si="63"/>
        <v>13-24 months</v>
      </c>
      <c r="W1353" s="21" t="str">
        <f t="shared" si="64"/>
        <v>Low Risk</v>
      </c>
      <c r="X1353" s="21" t="str">
        <f t="shared" si="65"/>
        <v>No</v>
      </c>
    </row>
    <row r="1354" spans="1:24" x14ac:dyDescent="0.3">
      <c r="A1354" s="21">
        <f>'Raw Data'!A1354</f>
        <v>51353</v>
      </c>
      <c r="B1354" s="21">
        <f>'Raw Data'!B1354</f>
        <v>0</v>
      </c>
      <c r="C1354" s="21">
        <f>'Raw Data'!C1354</f>
        <v>4</v>
      </c>
      <c r="D1354" s="21" t="str">
        <f>'Raw Data'!D1354</f>
        <v>Computer</v>
      </c>
      <c r="E1354" s="21">
        <f>'Raw Data'!E1354</f>
        <v>3</v>
      </c>
      <c r="F1354" s="21">
        <f>IF('Raw Data'!F1354="",ROUND(AVERAGE('Raw Data'!$F$2:$F$1501),1),'Raw Data'!F1354)</f>
        <v>7</v>
      </c>
      <c r="G1354" s="21" t="str">
        <f>'Raw Data'!G1354</f>
        <v>UPI</v>
      </c>
      <c r="H1354" s="21" t="str">
        <f>'Raw Data'!H1354</f>
        <v>Male</v>
      </c>
      <c r="I1354" s="21">
        <f>IF('Raw Data'!I1354="",ROUND(AVERAGE('Raw Data'!$I$2:$I$1501),1),'Raw Data'!I1354)</f>
        <v>3.3</v>
      </c>
      <c r="J1354" s="21">
        <f>'Raw Data'!J1354</f>
        <v>2</v>
      </c>
      <c r="K1354" s="21" t="str">
        <f>'Raw Data'!K1354</f>
        <v>Laptop &amp; Accessory</v>
      </c>
      <c r="L1354" s="21">
        <f>'Raw Data'!L1354</f>
        <v>3</v>
      </c>
      <c r="M1354" s="21" t="str">
        <f>'Raw Data'!M1354</f>
        <v>Divorced</v>
      </c>
      <c r="N1354" s="21">
        <f>'Raw Data'!N1354</f>
        <v>1</v>
      </c>
      <c r="O1354" s="21">
        <f>'Raw Data'!O1354</f>
        <v>1</v>
      </c>
      <c r="P1354" s="21">
        <f>IF('Raw Data'!P1354="",ROUND(AVERAGE('Raw Data'!$P$2:$P$1501),1),'Raw Data'!P1354)</f>
        <v>14.1</v>
      </c>
      <c r="Q1354" s="21">
        <f>IF('Raw Data'!Q1354="",ROUND(AVERAGE('Raw Data'!$Q$2:$Q$1501),0),'Raw Data'!Q1354)</f>
        <v>2</v>
      </c>
      <c r="R1354" s="21">
        <f>'Raw Data'!R1354</f>
        <v>5</v>
      </c>
      <c r="S1354" s="21">
        <f>IF('Raw Data'!S1354="",ROUND(AVERAGE('Raw Data'!$S$2:$S$1501),0),'Raw Data'!S1354)</f>
        <v>17</v>
      </c>
      <c r="T1354" s="21">
        <f>'Raw Data'!T1354</f>
        <v>152.19</v>
      </c>
      <c r="U1354" s="21" t="str">
        <f>INDEX('Lookup Tables'!$C$7:$C$9,MATCH(E1354,'Lookup Tables'!$B$7:$B$9,0))</f>
        <v>Tier 3 (Semi-urban/Rural)</v>
      </c>
      <c r="V1354" s="21" t="str">
        <f t="shared" si="63"/>
        <v>0-6 months</v>
      </c>
      <c r="W1354" s="21" t="str">
        <f t="shared" si="64"/>
        <v>Medium Risk</v>
      </c>
      <c r="X1354" s="21" t="str">
        <f t="shared" si="65"/>
        <v>No</v>
      </c>
    </row>
    <row r="1355" spans="1:24" x14ac:dyDescent="0.3">
      <c r="A1355" s="21">
        <f>'Raw Data'!A1355</f>
        <v>51354</v>
      </c>
      <c r="B1355" s="21">
        <f>'Raw Data'!B1355</f>
        <v>0</v>
      </c>
      <c r="C1355" s="21">
        <f>'Raw Data'!C1355</f>
        <v>1</v>
      </c>
      <c r="D1355" s="21" t="str">
        <f>'Raw Data'!D1355</f>
        <v>Mobile Phone</v>
      </c>
      <c r="E1355" s="21">
        <f>'Raw Data'!E1355</f>
        <v>1</v>
      </c>
      <c r="F1355" s="21">
        <f>IF('Raw Data'!F1355="",ROUND(AVERAGE('Raw Data'!$F$2:$F$1501),1),'Raw Data'!F1355)</f>
        <v>10</v>
      </c>
      <c r="G1355" s="21" t="str">
        <f>'Raw Data'!G1355</f>
        <v>Credit Card</v>
      </c>
      <c r="H1355" s="21" t="str">
        <f>'Raw Data'!H1355</f>
        <v>Male</v>
      </c>
      <c r="I1355" s="21">
        <f>IF('Raw Data'!I1355="",ROUND(AVERAGE('Raw Data'!$I$2:$I$1501),1),'Raw Data'!I1355)</f>
        <v>2.6</v>
      </c>
      <c r="J1355" s="21">
        <f>'Raw Data'!J1355</f>
        <v>3</v>
      </c>
      <c r="K1355" s="21" t="str">
        <f>'Raw Data'!K1355</f>
        <v>Fashion</v>
      </c>
      <c r="L1355" s="21">
        <f>'Raw Data'!L1355</f>
        <v>3</v>
      </c>
      <c r="M1355" s="21" t="str">
        <f>'Raw Data'!M1355</f>
        <v>Single</v>
      </c>
      <c r="N1355" s="21">
        <f>'Raw Data'!N1355</f>
        <v>1</v>
      </c>
      <c r="O1355" s="21">
        <f>'Raw Data'!O1355</f>
        <v>0</v>
      </c>
      <c r="P1355" s="21">
        <f>IF('Raw Data'!P1355="",ROUND(AVERAGE('Raw Data'!$P$2:$P$1501),1),'Raw Data'!P1355)</f>
        <v>15.7</v>
      </c>
      <c r="Q1355" s="21">
        <f>IF('Raw Data'!Q1355="",ROUND(AVERAGE('Raw Data'!$Q$2:$Q$1501),0),'Raw Data'!Q1355)</f>
        <v>1</v>
      </c>
      <c r="R1355" s="21">
        <f>'Raw Data'!R1355</f>
        <v>3</v>
      </c>
      <c r="S1355" s="21">
        <f>IF('Raw Data'!S1355="",ROUND(AVERAGE('Raw Data'!$S$2:$S$1501),0),'Raw Data'!S1355)</f>
        <v>10</v>
      </c>
      <c r="T1355" s="21">
        <f>'Raw Data'!T1355</f>
        <v>208.94</v>
      </c>
      <c r="U1355" s="21" t="str">
        <f>INDEX('Lookup Tables'!$C$7:$C$9,MATCH(E1355,'Lookup Tables'!$B$7:$B$9,0))</f>
        <v>Tier 1 (Metro)</v>
      </c>
      <c r="V1355" s="21" t="str">
        <f t="shared" si="63"/>
        <v>0-6 months</v>
      </c>
      <c r="W1355" s="21" t="str">
        <f t="shared" si="64"/>
        <v>Medium Risk</v>
      </c>
      <c r="X1355" s="21" t="str">
        <f t="shared" si="65"/>
        <v>No</v>
      </c>
    </row>
    <row r="1356" spans="1:24" x14ac:dyDescent="0.3">
      <c r="A1356" s="21">
        <f>'Raw Data'!A1356</f>
        <v>51355</v>
      </c>
      <c r="B1356" s="21">
        <f>'Raw Data'!B1356</f>
        <v>0</v>
      </c>
      <c r="C1356" s="21">
        <f>'Raw Data'!C1356</f>
        <v>12</v>
      </c>
      <c r="D1356" s="21" t="str">
        <f>'Raw Data'!D1356</f>
        <v>Mobile Phone</v>
      </c>
      <c r="E1356" s="21">
        <f>'Raw Data'!E1356</f>
        <v>3</v>
      </c>
      <c r="F1356" s="21">
        <f>IF('Raw Data'!F1356="",ROUND(AVERAGE('Raw Data'!$F$2:$F$1501),1),'Raw Data'!F1356)</f>
        <v>5</v>
      </c>
      <c r="G1356" s="21" t="str">
        <f>'Raw Data'!G1356</f>
        <v>Credit Card</v>
      </c>
      <c r="H1356" s="21" t="str">
        <f>'Raw Data'!H1356</f>
        <v>Female</v>
      </c>
      <c r="I1356" s="21">
        <f>IF('Raw Data'!I1356="",ROUND(AVERAGE('Raw Data'!$I$2:$I$1501),1),'Raw Data'!I1356)</f>
        <v>2.5</v>
      </c>
      <c r="J1356" s="21">
        <f>'Raw Data'!J1356</f>
        <v>3</v>
      </c>
      <c r="K1356" s="21" t="str">
        <f>'Raw Data'!K1356</f>
        <v>Laptop &amp; Accessory</v>
      </c>
      <c r="L1356" s="21">
        <f>'Raw Data'!L1356</f>
        <v>5</v>
      </c>
      <c r="M1356" s="21" t="str">
        <f>'Raw Data'!M1356</f>
        <v>Single</v>
      </c>
      <c r="N1356" s="21">
        <f>'Raw Data'!N1356</f>
        <v>1</v>
      </c>
      <c r="O1356" s="21">
        <f>'Raw Data'!O1356</f>
        <v>0</v>
      </c>
      <c r="P1356" s="21">
        <f>IF('Raw Data'!P1356="",ROUND(AVERAGE('Raw Data'!$P$2:$P$1501),1),'Raw Data'!P1356)</f>
        <v>11.6</v>
      </c>
      <c r="Q1356" s="21">
        <f>IF('Raw Data'!Q1356="",ROUND(AVERAGE('Raw Data'!$Q$2:$Q$1501),0),'Raw Data'!Q1356)</f>
        <v>0</v>
      </c>
      <c r="R1356" s="21">
        <f>'Raw Data'!R1356</f>
        <v>6</v>
      </c>
      <c r="S1356" s="21">
        <f>IF('Raw Data'!S1356="",ROUND(AVERAGE('Raw Data'!$S$2:$S$1501),0),'Raw Data'!S1356)</f>
        <v>1</v>
      </c>
      <c r="T1356" s="21">
        <f>'Raw Data'!T1356</f>
        <v>180.97</v>
      </c>
      <c r="U1356" s="21" t="str">
        <f>INDEX('Lookup Tables'!$C$7:$C$9,MATCH(E1356,'Lookup Tables'!$B$7:$B$9,0))</f>
        <v>Tier 3 (Semi-urban/Rural)</v>
      </c>
      <c r="V1356" s="21" t="str">
        <f t="shared" si="63"/>
        <v>7-12 months</v>
      </c>
      <c r="W1356" s="21" t="str">
        <f t="shared" si="64"/>
        <v>Low Risk</v>
      </c>
      <c r="X1356" s="21" t="str">
        <f t="shared" si="65"/>
        <v>No</v>
      </c>
    </row>
    <row r="1357" spans="1:24" x14ac:dyDescent="0.3">
      <c r="A1357" s="21">
        <f>'Raw Data'!A1357</f>
        <v>51356</v>
      </c>
      <c r="B1357" s="21">
        <f>'Raw Data'!B1357</f>
        <v>0</v>
      </c>
      <c r="C1357" s="21">
        <f>'Raw Data'!C1357</f>
        <v>17</v>
      </c>
      <c r="D1357" s="21" t="str">
        <f>'Raw Data'!D1357</f>
        <v>Mobile Phone</v>
      </c>
      <c r="E1357" s="21">
        <f>'Raw Data'!E1357</f>
        <v>1</v>
      </c>
      <c r="F1357" s="21">
        <f>IF('Raw Data'!F1357="",ROUND(AVERAGE('Raw Data'!$F$2:$F$1501),1),'Raw Data'!F1357)</f>
        <v>14.8</v>
      </c>
      <c r="G1357" s="21" t="str">
        <f>'Raw Data'!G1357</f>
        <v>Debit Card</v>
      </c>
      <c r="H1357" s="21" t="str">
        <f>'Raw Data'!H1357</f>
        <v>Female</v>
      </c>
      <c r="I1357" s="21">
        <f>IF('Raw Data'!I1357="",ROUND(AVERAGE('Raw Data'!$I$2:$I$1501),1),'Raw Data'!I1357)</f>
        <v>3.3</v>
      </c>
      <c r="J1357" s="21">
        <f>'Raw Data'!J1357</f>
        <v>3</v>
      </c>
      <c r="K1357" s="21" t="str">
        <f>'Raw Data'!K1357</f>
        <v>Mobile Phone</v>
      </c>
      <c r="L1357" s="21">
        <f>'Raw Data'!L1357</f>
        <v>1</v>
      </c>
      <c r="M1357" s="21" t="str">
        <f>'Raw Data'!M1357</f>
        <v>Divorced</v>
      </c>
      <c r="N1357" s="21">
        <f>'Raw Data'!N1357</f>
        <v>1</v>
      </c>
      <c r="O1357" s="21">
        <f>'Raw Data'!O1357</f>
        <v>0</v>
      </c>
      <c r="P1357" s="21">
        <f>IF('Raw Data'!P1357="",ROUND(AVERAGE('Raw Data'!$P$2:$P$1501),1),'Raw Data'!P1357)</f>
        <v>17.3</v>
      </c>
      <c r="Q1357" s="21">
        <f>IF('Raw Data'!Q1357="",ROUND(AVERAGE('Raw Data'!$Q$2:$Q$1501),0),'Raw Data'!Q1357)</f>
        <v>0</v>
      </c>
      <c r="R1357" s="21">
        <f>'Raw Data'!R1357</f>
        <v>4</v>
      </c>
      <c r="S1357" s="21">
        <f>IF('Raw Data'!S1357="",ROUND(AVERAGE('Raw Data'!$S$2:$S$1501),0),'Raw Data'!S1357)</f>
        <v>5</v>
      </c>
      <c r="T1357" s="21">
        <f>'Raw Data'!T1357</f>
        <v>154.05000000000001</v>
      </c>
      <c r="U1357" s="21" t="str">
        <f>INDEX('Lookup Tables'!$C$7:$C$9,MATCH(E1357,'Lookup Tables'!$B$7:$B$9,0))</f>
        <v>Tier 1 (Metro)</v>
      </c>
      <c r="V1357" s="21" t="str">
        <f t="shared" si="63"/>
        <v>13-24 months</v>
      </c>
      <c r="W1357" s="21" t="str">
        <f t="shared" si="64"/>
        <v>Low Risk</v>
      </c>
      <c r="X1357" s="21" t="str">
        <f t="shared" si="65"/>
        <v>No</v>
      </c>
    </row>
    <row r="1358" spans="1:24" x14ac:dyDescent="0.3">
      <c r="A1358" s="21">
        <f>'Raw Data'!A1358</f>
        <v>51357</v>
      </c>
      <c r="B1358" s="21">
        <f>'Raw Data'!B1358</f>
        <v>1</v>
      </c>
      <c r="C1358" s="21">
        <f>'Raw Data'!C1358</f>
        <v>1</v>
      </c>
      <c r="D1358" s="21" t="str">
        <f>'Raw Data'!D1358</f>
        <v>Phone</v>
      </c>
      <c r="E1358" s="21">
        <f>'Raw Data'!E1358</f>
        <v>1</v>
      </c>
      <c r="F1358" s="21">
        <f>IF('Raw Data'!F1358="",ROUND(AVERAGE('Raw Data'!$F$2:$F$1501),1),'Raw Data'!F1358)</f>
        <v>13</v>
      </c>
      <c r="G1358" s="21" t="str">
        <f>'Raw Data'!G1358</f>
        <v>Cash on Delivery</v>
      </c>
      <c r="H1358" s="21" t="str">
        <f>'Raw Data'!H1358</f>
        <v>Female</v>
      </c>
      <c r="I1358" s="21">
        <f>IF('Raw Data'!I1358="",ROUND(AVERAGE('Raw Data'!$I$2:$I$1501),1),'Raw Data'!I1358)</f>
        <v>3.4</v>
      </c>
      <c r="J1358" s="21">
        <f>'Raw Data'!J1358</f>
        <v>2</v>
      </c>
      <c r="K1358" s="21" t="str">
        <f>'Raw Data'!K1358</f>
        <v>Fashion</v>
      </c>
      <c r="L1358" s="21">
        <f>'Raw Data'!L1358</f>
        <v>4</v>
      </c>
      <c r="M1358" s="21" t="str">
        <f>'Raw Data'!M1358</f>
        <v>Married</v>
      </c>
      <c r="N1358" s="21">
        <f>'Raw Data'!N1358</f>
        <v>1</v>
      </c>
      <c r="O1358" s="21">
        <f>'Raw Data'!O1358</f>
        <v>1</v>
      </c>
      <c r="P1358" s="21">
        <f>IF('Raw Data'!P1358="",ROUND(AVERAGE('Raw Data'!$P$2:$P$1501),1),'Raw Data'!P1358)</f>
        <v>11</v>
      </c>
      <c r="Q1358" s="21">
        <f>IF('Raw Data'!Q1358="",ROUND(AVERAGE('Raw Data'!$Q$2:$Q$1501),0),'Raw Data'!Q1358)</f>
        <v>1</v>
      </c>
      <c r="R1358" s="21">
        <f>'Raw Data'!R1358</f>
        <v>4</v>
      </c>
      <c r="S1358" s="21">
        <f>IF('Raw Data'!S1358="",ROUND(AVERAGE('Raw Data'!$S$2:$S$1501),0),'Raw Data'!S1358)</f>
        <v>6</v>
      </c>
      <c r="T1358" s="21">
        <f>'Raw Data'!T1358</f>
        <v>166.48</v>
      </c>
      <c r="U1358" s="21" t="str">
        <f>INDEX('Lookup Tables'!$C$7:$C$9,MATCH(E1358,'Lookup Tables'!$B$7:$B$9,0))</f>
        <v>Tier 1 (Metro)</v>
      </c>
      <c r="V1358" s="21" t="str">
        <f t="shared" si="63"/>
        <v>0-6 months</v>
      </c>
      <c r="W1358" s="21" t="str">
        <f t="shared" si="64"/>
        <v>Low Risk</v>
      </c>
      <c r="X1358" s="21" t="str">
        <f t="shared" si="65"/>
        <v>Yes</v>
      </c>
    </row>
    <row r="1359" spans="1:24" x14ac:dyDescent="0.3">
      <c r="A1359" s="21">
        <f>'Raw Data'!A1359</f>
        <v>51358</v>
      </c>
      <c r="B1359" s="21">
        <f>'Raw Data'!B1359</f>
        <v>0</v>
      </c>
      <c r="C1359" s="21">
        <f>'Raw Data'!C1359</f>
        <v>2</v>
      </c>
      <c r="D1359" s="21" t="str">
        <f>'Raw Data'!D1359</f>
        <v>Mobile Phone</v>
      </c>
      <c r="E1359" s="21">
        <f>'Raw Data'!E1359</f>
        <v>1</v>
      </c>
      <c r="F1359" s="21">
        <f>IF('Raw Data'!F1359="",ROUND(AVERAGE('Raw Data'!$F$2:$F$1501),1),'Raw Data'!F1359)</f>
        <v>5</v>
      </c>
      <c r="G1359" s="21" t="str">
        <f>'Raw Data'!G1359</f>
        <v>Debit Card</v>
      </c>
      <c r="H1359" s="21" t="str">
        <f>'Raw Data'!H1359</f>
        <v>Male</v>
      </c>
      <c r="I1359" s="21">
        <f>IF('Raw Data'!I1359="",ROUND(AVERAGE('Raw Data'!$I$2:$I$1501),1),'Raw Data'!I1359)</f>
        <v>2.6</v>
      </c>
      <c r="J1359" s="21">
        <f>'Raw Data'!J1359</f>
        <v>3</v>
      </c>
      <c r="K1359" s="21" t="str">
        <f>'Raw Data'!K1359</f>
        <v>Others</v>
      </c>
      <c r="L1359" s="21">
        <f>'Raw Data'!L1359</f>
        <v>5</v>
      </c>
      <c r="M1359" s="21" t="str">
        <f>'Raw Data'!M1359</f>
        <v>Divorced</v>
      </c>
      <c r="N1359" s="21">
        <f>'Raw Data'!N1359</f>
        <v>2</v>
      </c>
      <c r="O1359" s="21">
        <f>'Raw Data'!O1359</f>
        <v>0</v>
      </c>
      <c r="P1359" s="21">
        <f>IF('Raw Data'!P1359="",ROUND(AVERAGE('Raw Data'!$P$2:$P$1501),1),'Raw Data'!P1359)</f>
        <v>15.9</v>
      </c>
      <c r="Q1359" s="21">
        <f>IF('Raw Data'!Q1359="",ROUND(AVERAGE('Raw Data'!$Q$2:$Q$1501),0),'Raw Data'!Q1359)</f>
        <v>2</v>
      </c>
      <c r="R1359" s="21">
        <f>'Raw Data'!R1359</f>
        <v>5</v>
      </c>
      <c r="S1359" s="21">
        <f>IF('Raw Data'!S1359="",ROUND(AVERAGE('Raw Data'!$S$2:$S$1501),0),'Raw Data'!S1359)</f>
        <v>2</v>
      </c>
      <c r="T1359" s="21">
        <f>'Raw Data'!T1359</f>
        <v>174.62</v>
      </c>
      <c r="U1359" s="21" t="str">
        <f>INDEX('Lookup Tables'!$C$7:$C$9,MATCH(E1359,'Lookup Tables'!$B$7:$B$9,0))</f>
        <v>Tier 1 (Metro)</v>
      </c>
      <c r="V1359" s="21" t="str">
        <f t="shared" si="63"/>
        <v>0-6 months</v>
      </c>
      <c r="W1359" s="21" t="str">
        <f t="shared" si="64"/>
        <v>Low Risk</v>
      </c>
      <c r="X1359" s="21" t="str">
        <f t="shared" si="65"/>
        <v>No</v>
      </c>
    </row>
    <row r="1360" spans="1:24" x14ac:dyDescent="0.3">
      <c r="A1360" s="21">
        <f>'Raw Data'!A1360</f>
        <v>51359</v>
      </c>
      <c r="B1360" s="21">
        <f>'Raw Data'!B1360</f>
        <v>0</v>
      </c>
      <c r="C1360" s="21">
        <f>'Raw Data'!C1360</f>
        <v>1</v>
      </c>
      <c r="D1360" s="21" t="str">
        <f>'Raw Data'!D1360</f>
        <v>Phone</v>
      </c>
      <c r="E1360" s="21">
        <f>'Raw Data'!E1360</f>
        <v>1</v>
      </c>
      <c r="F1360" s="21">
        <f>IF('Raw Data'!F1360="",ROUND(AVERAGE('Raw Data'!$F$2:$F$1501),1),'Raw Data'!F1360)</f>
        <v>18</v>
      </c>
      <c r="G1360" s="21" t="str">
        <f>'Raw Data'!G1360</f>
        <v>E wallet</v>
      </c>
      <c r="H1360" s="21" t="str">
        <f>'Raw Data'!H1360</f>
        <v>Female</v>
      </c>
      <c r="I1360" s="21">
        <f>IF('Raw Data'!I1360="",ROUND(AVERAGE('Raw Data'!$I$2:$I$1501),1),'Raw Data'!I1360)</f>
        <v>1.8</v>
      </c>
      <c r="J1360" s="21">
        <f>'Raw Data'!J1360</f>
        <v>2</v>
      </c>
      <c r="K1360" s="21" t="str">
        <f>'Raw Data'!K1360</f>
        <v>Mobile Phone</v>
      </c>
      <c r="L1360" s="21">
        <f>'Raw Data'!L1360</f>
        <v>4</v>
      </c>
      <c r="M1360" s="21" t="str">
        <f>'Raw Data'!M1360</f>
        <v>Single</v>
      </c>
      <c r="N1360" s="21">
        <f>'Raw Data'!N1360</f>
        <v>1</v>
      </c>
      <c r="O1360" s="21">
        <f>'Raw Data'!O1360</f>
        <v>0</v>
      </c>
      <c r="P1360" s="21">
        <f>IF('Raw Data'!P1360="",ROUND(AVERAGE('Raw Data'!$P$2:$P$1501),1),'Raw Data'!P1360)</f>
        <v>13.9</v>
      </c>
      <c r="Q1360" s="21">
        <f>IF('Raw Data'!Q1360="",ROUND(AVERAGE('Raw Data'!$Q$2:$Q$1501),0),'Raw Data'!Q1360)</f>
        <v>1</v>
      </c>
      <c r="R1360" s="21">
        <f>'Raw Data'!R1360</f>
        <v>5</v>
      </c>
      <c r="S1360" s="21">
        <f>IF('Raw Data'!S1360="",ROUND(AVERAGE('Raw Data'!$S$2:$S$1501),0),'Raw Data'!S1360)</f>
        <v>9</v>
      </c>
      <c r="T1360" s="21">
        <f>'Raw Data'!T1360</f>
        <v>100.5</v>
      </c>
      <c r="U1360" s="21" t="str">
        <f>INDEX('Lookup Tables'!$C$7:$C$9,MATCH(E1360,'Lookup Tables'!$B$7:$B$9,0))</f>
        <v>Tier 1 (Metro)</v>
      </c>
      <c r="V1360" s="21" t="str">
        <f t="shared" si="63"/>
        <v>0-6 months</v>
      </c>
      <c r="W1360" s="21" t="str">
        <f t="shared" si="64"/>
        <v>Low Risk</v>
      </c>
      <c r="X1360" s="21" t="str">
        <f t="shared" si="65"/>
        <v>No</v>
      </c>
    </row>
    <row r="1361" spans="1:24" x14ac:dyDescent="0.3">
      <c r="A1361" s="21">
        <f>'Raw Data'!A1361</f>
        <v>51360</v>
      </c>
      <c r="B1361" s="21">
        <f>'Raw Data'!B1361</f>
        <v>0</v>
      </c>
      <c r="C1361" s="21">
        <f>'Raw Data'!C1361</f>
        <v>4</v>
      </c>
      <c r="D1361" s="21" t="str">
        <f>'Raw Data'!D1361</f>
        <v>Mobile Phone</v>
      </c>
      <c r="E1361" s="21">
        <f>'Raw Data'!E1361</f>
        <v>2</v>
      </c>
      <c r="F1361" s="21">
        <f>IF('Raw Data'!F1361="",ROUND(AVERAGE('Raw Data'!$F$2:$F$1501),1),'Raw Data'!F1361)</f>
        <v>20</v>
      </c>
      <c r="G1361" s="21" t="str">
        <f>'Raw Data'!G1361</f>
        <v>Credit Card</v>
      </c>
      <c r="H1361" s="21" t="str">
        <f>'Raw Data'!H1361</f>
        <v>Male</v>
      </c>
      <c r="I1361" s="21">
        <f>IF('Raw Data'!I1361="",ROUND(AVERAGE('Raw Data'!$I$2:$I$1501),1),'Raw Data'!I1361)</f>
        <v>2.8</v>
      </c>
      <c r="J1361" s="21">
        <f>'Raw Data'!J1361</f>
        <v>4</v>
      </c>
      <c r="K1361" s="21" t="str">
        <f>'Raw Data'!K1361</f>
        <v>Fashion</v>
      </c>
      <c r="L1361" s="21">
        <f>'Raw Data'!L1361</f>
        <v>5</v>
      </c>
      <c r="M1361" s="21" t="str">
        <f>'Raw Data'!M1361</f>
        <v>Married</v>
      </c>
      <c r="N1361" s="21">
        <f>'Raw Data'!N1361</f>
        <v>5</v>
      </c>
      <c r="O1361" s="21">
        <f>'Raw Data'!O1361</f>
        <v>0</v>
      </c>
      <c r="P1361" s="21">
        <f>IF('Raw Data'!P1361="",ROUND(AVERAGE('Raw Data'!$P$2:$P$1501),1),'Raw Data'!P1361)</f>
        <v>19.600000000000001</v>
      </c>
      <c r="Q1361" s="21">
        <f>IF('Raw Data'!Q1361="",ROUND(AVERAGE('Raw Data'!$Q$2:$Q$1501),0),'Raw Data'!Q1361)</f>
        <v>0</v>
      </c>
      <c r="R1361" s="21">
        <f>'Raw Data'!R1361</f>
        <v>5</v>
      </c>
      <c r="S1361" s="21">
        <f>IF('Raw Data'!S1361="",ROUND(AVERAGE('Raw Data'!$S$2:$S$1501),0),'Raw Data'!S1361)</f>
        <v>5</v>
      </c>
      <c r="T1361" s="21">
        <f>'Raw Data'!T1361</f>
        <v>144.97999999999999</v>
      </c>
      <c r="U1361" s="21" t="str">
        <f>INDEX('Lookup Tables'!$C$7:$C$9,MATCH(E1361,'Lookup Tables'!$B$7:$B$9,0))</f>
        <v>Tier 2 (Urban)</v>
      </c>
      <c r="V1361" s="21" t="str">
        <f t="shared" si="63"/>
        <v>0-6 months</v>
      </c>
      <c r="W1361" s="21" t="str">
        <f t="shared" si="64"/>
        <v>Low Risk</v>
      </c>
      <c r="X1361" s="21" t="str">
        <f t="shared" si="65"/>
        <v>No</v>
      </c>
    </row>
    <row r="1362" spans="1:24" x14ac:dyDescent="0.3">
      <c r="A1362" s="21">
        <f>'Raw Data'!A1362</f>
        <v>51361</v>
      </c>
      <c r="B1362" s="21">
        <f>'Raw Data'!B1362</f>
        <v>0</v>
      </c>
      <c r="C1362" s="21">
        <f>'Raw Data'!C1362</f>
        <v>5</v>
      </c>
      <c r="D1362" s="21" t="str">
        <f>'Raw Data'!D1362</f>
        <v>Mobile Phone</v>
      </c>
      <c r="E1362" s="21">
        <f>'Raw Data'!E1362</f>
        <v>2</v>
      </c>
      <c r="F1362" s="21">
        <f>IF('Raw Data'!F1362="",ROUND(AVERAGE('Raw Data'!$F$2:$F$1501),1),'Raw Data'!F1362)</f>
        <v>16</v>
      </c>
      <c r="G1362" s="21" t="str">
        <f>'Raw Data'!G1362</f>
        <v>Credit Card</v>
      </c>
      <c r="H1362" s="21" t="str">
        <f>'Raw Data'!H1362</f>
        <v>Male</v>
      </c>
      <c r="I1362" s="21">
        <f>IF('Raw Data'!I1362="",ROUND(AVERAGE('Raw Data'!$I$2:$I$1501),1),'Raw Data'!I1362)</f>
        <v>3.3</v>
      </c>
      <c r="J1362" s="21">
        <f>'Raw Data'!J1362</f>
        <v>3</v>
      </c>
      <c r="K1362" s="21" t="str">
        <f>'Raw Data'!K1362</f>
        <v>Mobile Phone</v>
      </c>
      <c r="L1362" s="21">
        <f>'Raw Data'!L1362</f>
        <v>4</v>
      </c>
      <c r="M1362" s="21" t="str">
        <f>'Raw Data'!M1362</f>
        <v>Single</v>
      </c>
      <c r="N1362" s="21">
        <f>'Raw Data'!N1362</f>
        <v>1</v>
      </c>
      <c r="O1362" s="21">
        <f>'Raw Data'!O1362</f>
        <v>1</v>
      </c>
      <c r="P1362" s="21">
        <f>IF('Raw Data'!P1362="",ROUND(AVERAGE('Raw Data'!$P$2:$P$1501),1),'Raw Data'!P1362)</f>
        <v>22.1</v>
      </c>
      <c r="Q1362" s="21">
        <f>IF('Raw Data'!Q1362="",ROUND(AVERAGE('Raw Data'!$Q$2:$Q$1501),0),'Raw Data'!Q1362)</f>
        <v>1</v>
      </c>
      <c r="R1362" s="21">
        <f>'Raw Data'!R1362</f>
        <v>1</v>
      </c>
      <c r="S1362" s="21">
        <f>IF('Raw Data'!S1362="",ROUND(AVERAGE('Raw Data'!$S$2:$S$1501),0),'Raw Data'!S1362)</f>
        <v>5</v>
      </c>
      <c r="T1362" s="21">
        <f>'Raw Data'!T1362</f>
        <v>183.57</v>
      </c>
      <c r="U1362" s="21" t="str">
        <f>INDEX('Lookup Tables'!$C$7:$C$9,MATCH(E1362,'Lookup Tables'!$B$7:$B$9,0))</f>
        <v>Tier 2 (Urban)</v>
      </c>
      <c r="V1362" s="21" t="str">
        <f t="shared" si="63"/>
        <v>0-6 months</v>
      </c>
      <c r="W1362" s="21" t="str">
        <f t="shared" si="64"/>
        <v>Low Risk</v>
      </c>
      <c r="X1362" s="21" t="str">
        <f t="shared" si="65"/>
        <v>No</v>
      </c>
    </row>
    <row r="1363" spans="1:24" x14ac:dyDescent="0.3">
      <c r="A1363" s="21">
        <f>'Raw Data'!A1363</f>
        <v>51362</v>
      </c>
      <c r="B1363" s="21">
        <f>'Raw Data'!B1363</f>
        <v>0</v>
      </c>
      <c r="C1363" s="21">
        <f>'Raw Data'!C1363</f>
        <v>13</v>
      </c>
      <c r="D1363" s="21" t="str">
        <f>'Raw Data'!D1363</f>
        <v>Mobile Phone</v>
      </c>
      <c r="E1363" s="21">
        <f>'Raw Data'!E1363</f>
        <v>3</v>
      </c>
      <c r="F1363" s="21">
        <f>IF('Raw Data'!F1363="",ROUND(AVERAGE('Raw Data'!$F$2:$F$1501),1),'Raw Data'!F1363)</f>
        <v>12</v>
      </c>
      <c r="G1363" s="21" t="str">
        <f>'Raw Data'!G1363</f>
        <v>E wallet</v>
      </c>
      <c r="H1363" s="21" t="str">
        <f>'Raw Data'!H1363</f>
        <v>Male</v>
      </c>
      <c r="I1363" s="21">
        <f>IF('Raw Data'!I1363="",ROUND(AVERAGE('Raw Data'!$I$2:$I$1501),1),'Raw Data'!I1363)</f>
        <v>4.2</v>
      </c>
      <c r="J1363" s="21">
        <f>'Raw Data'!J1363</f>
        <v>1</v>
      </c>
      <c r="K1363" s="21" t="str">
        <f>'Raw Data'!K1363</f>
        <v>Others</v>
      </c>
      <c r="L1363" s="21">
        <f>'Raw Data'!L1363</f>
        <v>1</v>
      </c>
      <c r="M1363" s="21" t="str">
        <f>'Raw Data'!M1363</f>
        <v>Married</v>
      </c>
      <c r="N1363" s="21">
        <f>'Raw Data'!N1363</f>
        <v>6</v>
      </c>
      <c r="O1363" s="21">
        <f>'Raw Data'!O1363</f>
        <v>0</v>
      </c>
      <c r="P1363" s="21">
        <f>IF('Raw Data'!P1363="",ROUND(AVERAGE('Raw Data'!$P$2:$P$1501),1),'Raw Data'!P1363)</f>
        <v>14.8</v>
      </c>
      <c r="Q1363" s="21">
        <f>IF('Raw Data'!Q1363="",ROUND(AVERAGE('Raw Data'!$Q$2:$Q$1501),0),'Raw Data'!Q1363)</f>
        <v>3</v>
      </c>
      <c r="R1363" s="21">
        <f>'Raw Data'!R1363</f>
        <v>3</v>
      </c>
      <c r="S1363" s="21">
        <f>IF('Raw Data'!S1363="",ROUND(AVERAGE('Raw Data'!$S$2:$S$1501),0),'Raw Data'!S1363)</f>
        <v>1</v>
      </c>
      <c r="T1363" s="21">
        <f>'Raw Data'!T1363</f>
        <v>105.7</v>
      </c>
      <c r="U1363" s="21" t="str">
        <f>INDEX('Lookup Tables'!$C$7:$C$9,MATCH(E1363,'Lookup Tables'!$B$7:$B$9,0))</f>
        <v>Tier 3 (Semi-urban/Rural)</v>
      </c>
      <c r="V1363" s="21" t="str">
        <f t="shared" si="63"/>
        <v>13-24 months</v>
      </c>
      <c r="W1363" s="21" t="str">
        <f t="shared" si="64"/>
        <v>Low Risk</v>
      </c>
      <c r="X1363" s="21" t="str">
        <f t="shared" si="65"/>
        <v>No</v>
      </c>
    </row>
    <row r="1364" spans="1:24" x14ac:dyDescent="0.3">
      <c r="A1364" s="21">
        <f>'Raw Data'!A1364</f>
        <v>51363</v>
      </c>
      <c r="B1364" s="21">
        <f>'Raw Data'!B1364</f>
        <v>0</v>
      </c>
      <c r="C1364" s="21">
        <f>'Raw Data'!C1364</f>
        <v>10</v>
      </c>
      <c r="D1364" s="21" t="str">
        <f>'Raw Data'!D1364</f>
        <v>Phone</v>
      </c>
      <c r="E1364" s="21">
        <f>'Raw Data'!E1364</f>
        <v>2</v>
      </c>
      <c r="F1364" s="21">
        <f>IF('Raw Data'!F1364="",ROUND(AVERAGE('Raw Data'!$F$2:$F$1501),1),'Raw Data'!F1364)</f>
        <v>19</v>
      </c>
      <c r="G1364" s="21" t="str">
        <f>'Raw Data'!G1364</f>
        <v>Debit Card</v>
      </c>
      <c r="H1364" s="21" t="str">
        <f>'Raw Data'!H1364</f>
        <v>Male</v>
      </c>
      <c r="I1364" s="21">
        <f>IF('Raw Data'!I1364="",ROUND(AVERAGE('Raw Data'!$I$2:$I$1501),1),'Raw Data'!I1364)</f>
        <v>2.1</v>
      </c>
      <c r="J1364" s="21">
        <f>'Raw Data'!J1364</f>
        <v>2</v>
      </c>
      <c r="K1364" s="21" t="str">
        <f>'Raw Data'!K1364</f>
        <v>Mobile Phone</v>
      </c>
      <c r="L1364" s="21">
        <f>'Raw Data'!L1364</f>
        <v>4</v>
      </c>
      <c r="M1364" s="21" t="str">
        <f>'Raw Data'!M1364</f>
        <v>Single</v>
      </c>
      <c r="N1364" s="21">
        <f>'Raw Data'!N1364</f>
        <v>10</v>
      </c>
      <c r="O1364" s="21">
        <f>'Raw Data'!O1364</f>
        <v>0</v>
      </c>
      <c r="P1364" s="21">
        <f>IF('Raw Data'!P1364="",ROUND(AVERAGE('Raw Data'!$P$2:$P$1501),1),'Raw Data'!P1364)</f>
        <v>20.9</v>
      </c>
      <c r="Q1364" s="21">
        <f>IF('Raw Data'!Q1364="",ROUND(AVERAGE('Raw Data'!$Q$2:$Q$1501),0),'Raw Data'!Q1364)</f>
        <v>2</v>
      </c>
      <c r="R1364" s="21">
        <f>'Raw Data'!R1364</f>
        <v>7</v>
      </c>
      <c r="S1364" s="21">
        <f>IF('Raw Data'!S1364="",ROUND(AVERAGE('Raw Data'!$S$2:$S$1501),0),'Raw Data'!S1364)</f>
        <v>2</v>
      </c>
      <c r="T1364" s="21">
        <f>'Raw Data'!T1364</f>
        <v>145.9</v>
      </c>
      <c r="U1364" s="21" t="str">
        <f>INDEX('Lookup Tables'!$C$7:$C$9,MATCH(E1364,'Lookup Tables'!$B$7:$B$9,0))</f>
        <v>Tier 2 (Urban)</v>
      </c>
      <c r="V1364" s="21" t="str">
        <f t="shared" si="63"/>
        <v>7-12 months</v>
      </c>
      <c r="W1364" s="21" t="str">
        <f t="shared" si="64"/>
        <v>Low Risk</v>
      </c>
      <c r="X1364" s="21" t="str">
        <f t="shared" si="65"/>
        <v>No</v>
      </c>
    </row>
    <row r="1365" spans="1:24" x14ac:dyDescent="0.3">
      <c r="A1365" s="21">
        <f>'Raw Data'!A1365</f>
        <v>51364</v>
      </c>
      <c r="B1365" s="21">
        <f>'Raw Data'!B1365</f>
        <v>0</v>
      </c>
      <c r="C1365" s="21">
        <f>'Raw Data'!C1365</f>
        <v>9</v>
      </c>
      <c r="D1365" s="21" t="str">
        <f>'Raw Data'!D1365</f>
        <v>Mobile Phone</v>
      </c>
      <c r="E1365" s="21">
        <f>'Raw Data'!E1365</f>
        <v>2</v>
      </c>
      <c r="F1365" s="21">
        <f>IF('Raw Data'!F1365="",ROUND(AVERAGE('Raw Data'!$F$2:$F$1501),1),'Raw Data'!F1365)</f>
        <v>20</v>
      </c>
      <c r="G1365" s="21" t="str">
        <f>'Raw Data'!G1365</f>
        <v>Credit Card</v>
      </c>
      <c r="H1365" s="21" t="str">
        <f>'Raw Data'!H1365</f>
        <v>Female</v>
      </c>
      <c r="I1365" s="21">
        <f>IF('Raw Data'!I1365="",ROUND(AVERAGE('Raw Data'!$I$2:$I$1501),1),'Raw Data'!I1365)</f>
        <v>2.6</v>
      </c>
      <c r="J1365" s="21">
        <f>'Raw Data'!J1365</f>
        <v>4</v>
      </c>
      <c r="K1365" s="21" t="str">
        <f>'Raw Data'!K1365</f>
        <v>Laptop &amp; Accessory</v>
      </c>
      <c r="L1365" s="21">
        <f>'Raw Data'!L1365</f>
        <v>3</v>
      </c>
      <c r="M1365" s="21" t="str">
        <f>'Raw Data'!M1365</f>
        <v>Single</v>
      </c>
      <c r="N1365" s="21">
        <f>'Raw Data'!N1365</f>
        <v>4</v>
      </c>
      <c r="O1365" s="21">
        <f>'Raw Data'!O1365</f>
        <v>1</v>
      </c>
      <c r="P1365" s="21">
        <f>IF('Raw Data'!P1365="",ROUND(AVERAGE('Raw Data'!$P$2:$P$1501),1),'Raw Data'!P1365)</f>
        <v>14.9</v>
      </c>
      <c r="Q1365" s="21">
        <f>IF('Raw Data'!Q1365="",ROUND(AVERAGE('Raw Data'!$Q$2:$Q$1501),0),'Raw Data'!Q1365)</f>
        <v>1</v>
      </c>
      <c r="R1365" s="21">
        <f>'Raw Data'!R1365</f>
        <v>3</v>
      </c>
      <c r="S1365" s="21">
        <f>IF('Raw Data'!S1365="",ROUND(AVERAGE('Raw Data'!$S$2:$S$1501),0),'Raw Data'!S1365)</f>
        <v>2</v>
      </c>
      <c r="T1365" s="21">
        <f>'Raw Data'!T1365</f>
        <v>311.16000000000003</v>
      </c>
      <c r="U1365" s="21" t="str">
        <f>INDEX('Lookup Tables'!$C$7:$C$9,MATCH(E1365,'Lookup Tables'!$B$7:$B$9,0))</f>
        <v>Tier 2 (Urban)</v>
      </c>
      <c r="V1365" s="21" t="str">
        <f t="shared" si="63"/>
        <v>7-12 months</v>
      </c>
      <c r="W1365" s="21" t="str">
        <f t="shared" si="64"/>
        <v>Medium Risk</v>
      </c>
      <c r="X1365" s="21" t="str">
        <f t="shared" si="65"/>
        <v>No</v>
      </c>
    </row>
    <row r="1366" spans="1:24" x14ac:dyDescent="0.3">
      <c r="A1366" s="21">
        <f>'Raw Data'!A1366</f>
        <v>51365</v>
      </c>
      <c r="B1366" s="21">
        <f>'Raw Data'!B1366</f>
        <v>0</v>
      </c>
      <c r="C1366" s="21">
        <f>'Raw Data'!C1366</f>
        <v>4</v>
      </c>
      <c r="D1366" s="21" t="str">
        <f>'Raw Data'!D1366</f>
        <v>Phone</v>
      </c>
      <c r="E1366" s="21">
        <f>'Raw Data'!E1366</f>
        <v>1</v>
      </c>
      <c r="F1366" s="21">
        <f>IF('Raw Data'!F1366="",ROUND(AVERAGE('Raw Data'!$F$2:$F$1501),1),'Raw Data'!F1366)</f>
        <v>17</v>
      </c>
      <c r="G1366" s="21" t="str">
        <f>'Raw Data'!G1366</f>
        <v>UPI</v>
      </c>
      <c r="H1366" s="21" t="str">
        <f>'Raw Data'!H1366</f>
        <v>Male</v>
      </c>
      <c r="I1366" s="21">
        <f>IF('Raw Data'!I1366="",ROUND(AVERAGE('Raw Data'!$I$2:$I$1501),1),'Raw Data'!I1366)</f>
        <v>2.6</v>
      </c>
      <c r="J1366" s="21">
        <f>'Raw Data'!J1366</f>
        <v>3</v>
      </c>
      <c r="K1366" s="21" t="str">
        <f>'Raw Data'!K1366</f>
        <v>Grocery</v>
      </c>
      <c r="L1366" s="21">
        <f>'Raw Data'!L1366</f>
        <v>3</v>
      </c>
      <c r="M1366" s="21" t="str">
        <f>'Raw Data'!M1366</f>
        <v>Single</v>
      </c>
      <c r="N1366" s="21">
        <f>'Raw Data'!N1366</f>
        <v>4</v>
      </c>
      <c r="O1366" s="21">
        <f>'Raw Data'!O1366</f>
        <v>0</v>
      </c>
      <c r="P1366" s="21">
        <f>IF('Raw Data'!P1366="",ROUND(AVERAGE('Raw Data'!$P$2:$P$1501),1),'Raw Data'!P1366)</f>
        <v>16.3</v>
      </c>
      <c r="Q1366" s="21">
        <f>IF('Raw Data'!Q1366="",ROUND(AVERAGE('Raw Data'!$Q$2:$Q$1501),0),'Raw Data'!Q1366)</f>
        <v>1</v>
      </c>
      <c r="R1366" s="21">
        <f>'Raw Data'!R1366</f>
        <v>5</v>
      </c>
      <c r="S1366" s="21">
        <f>IF('Raw Data'!S1366="",ROUND(AVERAGE('Raw Data'!$S$2:$S$1501),0),'Raw Data'!S1366)</f>
        <v>6</v>
      </c>
      <c r="T1366" s="21">
        <f>'Raw Data'!T1366</f>
        <v>117.89</v>
      </c>
      <c r="U1366" s="21" t="str">
        <f>INDEX('Lookup Tables'!$C$7:$C$9,MATCH(E1366,'Lookup Tables'!$B$7:$B$9,0))</f>
        <v>Tier 1 (Metro)</v>
      </c>
      <c r="V1366" s="21" t="str">
        <f t="shared" si="63"/>
        <v>0-6 months</v>
      </c>
      <c r="W1366" s="21" t="str">
        <f t="shared" si="64"/>
        <v>Medium Risk</v>
      </c>
      <c r="X1366" s="21" t="str">
        <f t="shared" si="65"/>
        <v>No</v>
      </c>
    </row>
    <row r="1367" spans="1:24" x14ac:dyDescent="0.3">
      <c r="A1367" s="21">
        <f>'Raw Data'!A1367</f>
        <v>51366</v>
      </c>
      <c r="B1367" s="21">
        <f>'Raw Data'!B1367</f>
        <v>0</v>
      </c>
      <c r="C1367" s="21">
        <f>'Raw Data'!C1367</f>
        <v>18</v>
      </c>
      <c r="D1367" s="21" t="str">
        <f>'Raw Data'!D1367</f>
        <v>Phone</v>
      </c>
      <c r="E1367" s="21">
        <f>'Raw Data'!E1367</f>
        <v>1</v>
      </c>
      <c r="F1367" s="21">
        <f>IF('Raw Data'!F1367="",ROUND(AVERAGE('Raw Data'!$F$2:$F$1501),1),'Raw Data'!F1367)</f>
        <v>8</v>
      </c>
      <c r="G1367" s="21" t="str">
        <f>'Raw Data'!G1367</f>
        <v>UPI</v>
      </c>
      <c r="H1367" s="21" t="str">
        <f>'Raw Data'!H1367</f>
        <v>Male</v>
      </c>
      <c r="I1367" s="21">
        <f>IF('Raw Data'!I1367="",ROUND(AVERAGE('Raw Data'!$I$2:$I$1501),1),'Raw Data'!I1367)</f>
        <v>3.8</v>
      </c>
      <c r="J1367" s="21">
        <f>'Raw Data'!J1367</f>
        <v>3</v>
      </c>
      <c r="K1367" s="21" t="str">
        <f>'Raw Data'!K1367</f>
        <v>Laptop &amp; Accessory</v>
      </c>
      <c r="L1367" s="21">
        <f>'Raw Data'!L1367</f>
        <v>3</v>
      </c>
      <c r="M1367" s="21" t="str">
        <f>'Raw Data'!M1367</f>
        <v>Married</v>
      </c>
      <c r="N1367" s="21">
        <f>'Raw Data'!N1367</f>
        <v>9</v>
      </c>
      <c r="O1367" s="21">
        <f>'Raw Data'!O1367</f>
        <v>0</v>
      </c>
      <c r="P1367" s="21">
        <f>IF('Raw Data'!P1367="",ROUND(AVERAGE('Raw Data'!$P$2:$P$1501),1),'Raw Data'!P1367)</f>
        <v>22.1</v>
      </c>
      <c r="Q1367" s="21">
        <f>IF('Raw Data'!Q1367="",ROUND(AVERAGE('Raw Data'!$Q$2:$Q$1501),0),'Raw Data'!Q1367)</f>
        <v>2</v>
      </c>
      <c r="R1367" s="21">
        <f>'Raw Data'!R1367</f>
        <v>4</v>
      </c>
      <c r="S1367" s="21">
        <f>IF('Raw Data'!S1367="",ROUND(AVERAGE('Raw Data'!$S$2:$S$1501),0),'Raw Data'!S1367)</f>
        <v>4</v>
      </c>
      <c r="T1367" s="21">
        <f>'Raw Data'!T1367</f>
        <v>158.88999999999999</v>
      </c>
      <c r="U1367" s="21" t="str">
        <f>INDEX('Lookup Tables'!$C$7:$C$9,MATCH(E1367,'Lookup Tables'!$B$7:$B$9,0))</f>
        <v>Tier 1 (Metro)</v>
      </c>
      <c r="V1367" s="21" t="str">
        <f t="shared" si="63"/>
        <v>13-24 months</v>
      </c>
      <c r="W1367" s="21" t="str">
        <f t="shared" si="64"/>
        <v>Medium Risk</v>
      </c>
      <c r="X1367" s="21" t="str">
        <f t="shared" si="65"/>
        <v>No</v>
      </c>
    </row>
    <row r="1368" spans="1:24" x14ac:dyDescent="0.3">
      <c r="A1368" s="21">
        <f>'Raw Data'!A1368</f>
        <v>51367</v>
      </c>
      <c r="B1368" s="21">
        <f>'Raw Data'!B1368</f>
        <v>0</v>
      </c>
      <c r="C1368" s="21">
        <f>'Raw Data'!C1368</f>
        <v>6</v>
      </c>
      <c r="D1368" s="21" t="str">
        <f>'Raw Data'!D1368</f>
        <v>Phone</v>
      </c>
      <c r="E1368" s="21">
        <f>'Raw Data'!E1368</f>
        <v>2</v>
      </c>
      <c r="F1368" s="21">
        <f>IF('Raw Data'!F1368="",ROUND(AVERAGE('Raw Data'!$F$2:$F$1501),1),'Raw Data'!F1368)</f>
        <v>17</v>
      </c>
      <c r="G1368" s="21" t="str">
        <f>'Raw Data'!G1368</f>
        <v>Debit Card</v>
      </c>
      <c r="H1368" s="21" t="str">
        <f>'Raw Data'!H1368</f>
        <v>Male</v>
      </c>
      <c r="I1368" s="21">
        <f>IF('Raw Data'!I1368="",ROUND(AVERAGE('Raw Data'!$I$2:$I$1501),1),'Raw Data'!I1368)</f>
        <v>2.9</v>
      </c>
      <c r="J1368" s="21">
        <f>'Raw Data'!J1368</f>
        <v>3</v>
      </c>
      <c r="K1368" s="21" t="str">
        <f>'Raw Data'!K1368</f>
        <v>Laptop &amp; Accessory</v>
      </c>
      <c r="L1368" s="21">
        <f>'Raw Data'!L1368</f>
        <v>3</v>
      </c>
      <c r="M1368" s="21" t="str">
        <f>'Raw Data'!M1368</f>
        <v>Single</v>
      </c>
      <c r="N1368" s="21">
        <f>'Raw Data'!N1368</f>
        <v>1</v>
      </c>
      <c r="O1368" s="21">
        <f>'Raw Data'!O1368</f>
        <v>0</v>
      </c>
      <c r="P1368" s="21">
        <f>IF('Raw Data'!P1368="",ROUND(AVERAGE('Raw Data'!$P$2:$P$1501),1),'Raw Data'!P1368)</f>
        <v>17.8</v>
      </c>
      <c r="Q1368" s="21">
        <f>IF('Raw Data'!Q1368="",ROUND(AVERAGE('Raw Data'!$Q$2:$Q$1501),0),'Raw Data'!Q1368)</f>
        <v>2</v>
      </c>
      <c r="R1368" s="21">
        <f>'Raw Data'!R1368</f>
        <v>5</v>
      </c>
      <c r="S1368" s="21">
        <f>IF('Raw Data'!S1368="",ROUND(AVERAGE('Raw Data'!$S$2:$S$1501),0),'Raw Data'!S1368)</f>
        <v>0</v>
      </c>
      <c r="T1368" s="21">
        <f>'Raw Data'!T1368</f>
        <v>134.15</v>
      </c>
      <c r="U1368" s="21" t="str">
        <f>INDEX('Lookup Tables'!$C$7:$C$9,MATCH(E1368,'Lookup Tables'!$B$7:$B$9,0))</f>
        <v>Tier 2 (Urban)</v>
      </c>
      <c r="V1368" s="21" t="str">
        <f t="shared" si="63"/>
        <v>0-6 months</v>
      </c>
      <c r="W1368" s="21" t="str">
        <f t="shared" si="64"/>
        <v>Medium Risk</v>
      </c>
      <c r="X1368" s="21" t="str">
        <f t="shared" si="65"/>
        <v>No</v>
      </c>
    </row>
    <row r="1369" spans="1:24" x14ac:dyDescent="0.3">
      <c r="A1369" s="21">
        <f>'Raw Data'!A1369</f>
        <v>51368</v>
      </c>
      <c r="B1369" s="21">
        <f>'Raw Data'!B1369</f>
        <v>0</v>
      </c>
      <c r="C1369" s="21">
        <f>'Raw Data'!C1369</f>
        <v>38</v>
      </c>
      <c r="D1369" s="21" t="str">
        <f>'Raw Data'!D1369</f>
        <v>Mobile Phone</v>
      </c>
      <c r="E1369" s="21">
        <f>'Raw Data'!E1369</f>
        <v>1</v>
      </c>
      <c r="F1369" s="21">
        <f>IF('Raw Data'!F1369="",ROUND(AVERAGE('Raw Data'!$F$2:$F$1501),1),'Raw Data'!F1369)</f>
        <v>24</v>
      </c>
      <c r="G1369" s="21" t="str">
        <f>'Raw Data'!G1369</f>
        <v>UPI</v>
      </c>
      <c r="H1369" s="21" t="str">
        <f>'Raw Data'!H1369</f>
        <v>Male</v>
      </c>
      <c r="I1369" s="21">
        <f>IF('Raw Data'!I1369="",ROUND(AVERAGE('Raw Data'!$I$2:$I$1501),1),'Raw Data'!I1369)</f>
        <v>2.2999999999999998</v>
      </c>
      <c r="J1369" s="21">
        <f>'Raw Data'!J1369</f>
        <v>4</v>
      </c>
      <c r="K1369" s="21" t="str">
        <f>'Raw Data'!K1369</f>
        <v>Laptop &amp; Accessory</v>
      </c>
      <c r="L1369" s="21">
        <f>'Raw Data'!L1369</f>
        <v>3</v>
      </c>
      <c r="M1369" s="21" t="str">
        <f>'Raw Data'!M1369</f>
        <v>Single</v>
      </c>
      <c r="N1369" s="21">
        <f>'Raw Data'!N1369</f>
        <v>18</v>
      </c>
      <c r="O1369" s="21">
        <f>'Raw Data'!O1369</f>
        <v>0</v>
      </c>
      <c r="P1369" s="21">
        <f>IF('Raw Data'!P1369="",ROUND(AVERAGE('Raw Data'!$P$2:$P$1501),1),'Raw Data'!P1369)</f>
        <v>16</v>
      </c>
      <c r="Q1369" s="21">
        <f>IF('Raw Data'!Q1369="",ROUND(AVERAGE('Raw Data'!$Q$2:$Q$1501),0),'Raw Data'!Q1369)</f>
        <v>1</v>
      </c>
      <c r="R1369" s="21">
        <f>'Raw Data'!R1369</f>
        <v>4</v>
      </c>
      <c r="S1369" s="21">
        <f>IF('Raw Data'!S1369="",ROUND(AVERAGE('Raw Data'!$S$2:$S$1501),0),'Raw Data'!S1369)</f>
        <v>1</v>
      </c>
      <c r="T1369" s="21">
        <f>'Raw Data'!T1369</f>
        <v>173.57</v>
      </c>
      <c r="U1369" s="21" t="str">
        <f>INDEX('Lookup Tables'!$C$7:$C$9,MATCH(E1369,'Lookup Tables'!$B$7:$B$9,0))</f>
        <v>Tier 1 (Metro)</v>
      </c>
      <c r="V1369" s="21" t="str">
        <f t="shared" si="63"/>
        <v>25+ months</v>
      </c>
      <c r="W1369" s="21" t="str">
        <f t="shared" si="64"/>
        <v>Medium Risk</v>
      </c>
      <c r="X1369" s="21" t="str">
        <f t="shared" si="65"/>
        <v>No</v>
      </c>
    </row>
    <row r="1370" spans="1:24" x14ac:dyDescent="0.3">
      <c r="A1370" s="21">
        <f>'Raw Data'!A1370</f>
        <v>51369</v>
      </c>
      <c r="B1370" s="21">
        <f>'Raw Data'!B1370</f>
        <v>0</v>
      </c>
      <c r="C1370" s="21">
        <f>'Raw Data'!C1370</f>
        <v>10</v>
      </c>
      <c r="D1370" s="21" t="str">
        <f>'Raw Data'!D1370</f>
        <v>Computer</v>
      </c>
      <c r="E1370" s="21">
        <f>'Raw Data'!E1370</f>
        <v>3</v>
      </c>
      <c r="F1370" s="21">
        <f>IF('Raw Data'!F1370="",ROUND(AVERAGE('Raw Data'!$F$2:$F$1501),1),'Raw Data'!F1370)</f>
        <v>10</v>
      </c>
      <c r="G1370" s="21" t="str">
        <f>'Raw Data'!G1370</f>
        <v>E wallet</v>
      </c>
      <c r="H1370" s="21" t="str">
        <f>'Raw Data'!H1370</f>
        <v>Male</v>
      </c>
      <c r="I1370" s="21">
        <f>IF('Raw Data'!I1370="",ROUND(AVERAGE('Raw Data'!$I$2:$I$1501),1),'Raw Data'!I1370)</f>
        <v>3.3</v>
      </c>
      <c r="J1370" s="21">
        <f>'Raw Data'!J1370</f>
        <v>2</v>
      </c>
      <c r="K1370" s="21" t="str">
        <f>'Raw Data'!K1370</f>
        <v>Grocery</v>
      </c>
      <c r="L1370" s="21">
        <f>'Raw Data'!L1370</f>
        <v>3</v>
      </c>
      <c r="M1370" s="21" t="str">
        <f>'Raw Data'!M1370</f>
        <v>Single</v>
      </c>
      <c r="N1370" s="21">
        <f>'Raw Data'!N1370</f>
        <v>5</v>
      </c>
      <c r="O1370" s="21">
        <f>'Raw Data'!O1370</f>
        <v>0</v>
      </c>
      <c r="P1370" s="21">
        <f>IF('Raw Data'!P1370="",ROUND(AVERAGE('Raw Data'!$P$2:$P$1501),1),'Raw Data'!P1370)</f>
        <v>18.399999999999999</v>
      </c>
      <c r="Q1370" s="21">
        <f>IF('Raw Data'!Q1370="",ROUND(AVERAGE('Raw Data'!$Q$2:$Q$1501),0),'Raw Data'!Q1370)</f>
        <v>1</v>
      </c>
      <c r="R1370" s="21">
        <f>'Raw Data'!R1370</f>
        <v>3</v>
      </c>
      <c r="S1370" s="21">
        <f>IF('Raw Data'!S1370="",ROUND(AVERAGE('Raw Data'!$S$2:$S$1501),0),'Raw Data'!S1370)</f>
        <v>3</v>
      </c>
      <c r="T1370" s="21">
        <f>'Raw Data'!T1370</f>
        <v>135.18</v>
      </c>
      <c r="U1370" s="21" t="str">
        <f>INDEX('Lookup Tables'!$C$7:$C$9,MATCH(E1370,'Lookup Tables'!$B$7:$B$9,0))</f>
        <v>Tier 3 (Semi-urban/Rural)</v>
      </c>
      <c r="V1370" s="21" t="str">
        <f t="shared" si="63"/>
        <v>7-12 months</v>
      </c>
      <c r="W1370" s="21" t="str">
        <f t="shared" si="64"/>
        <v>Medium Risk</v>
      </c>
      <c r="X1370" s="21" t="str">
        <f t="shared" si="65"/>
        <v>No</v>
      </c>
    </row>
    <row r="1371" spans="1:24" x14ac:dyDescent="0.3">
      <c r="A1371" s="21">
        <f>'Raw Data'!A1371</f>
        <v>51370</v>
      </c>
      <c r="B1371" s="21">
        <f>'Raw Data'!B1371</f>
        <v>0</v>
      </c>
      <c r="C1371" s="21">
        <f>'Raw Data'!C1371</f>
        <v>1</v>
      </c>
      <c r="D1371" s="21" t="str">
        <f>'Raw Data'!D1371</f>
        <v>Computer</v>
      </c>
      <c r="E1371" s="21">
        <f>'Raw Data'!E1371</f>
        <v>1</v>
      </c>
      <c r="F1371" s="21">
        <f>IF('Raw Data'!F1371="",ROUND(AVERAGE('Raw Data'!$F$2:$F$1501),1),'Raw Data'!F1371)</f>
        <v>31</v>
      </c>
      <c r="G1371" s="21" t="str">
        <f>'Raw Data'!G1371</f>
        <v>UPI</v>
      </c>
      <c r="H1371" s="21" t="str">
        <f>'Raw Data'!H1371</f>
        <v>Male</v>
      </c>
      <c r="I1371" s="21">
        <f>IF('Raw Data'!I1371="",ROUND(AVERAGE('Raw Data'!$I$2:$I$1501),1),'Raw Data'!I1371)</f>
        <v>2.6</v>
      </c>
      <c r="J1371" s="21">
        <f>'Raw Data'!J1371</f>
        <v>4</v>
      </c>
      <c r="K1371" s="21" t="str">
        <f>'Raw Data'!K1371</f>
        <v>Laptop &amp; Accessory</v>
      </c>
      <c r="L1371" s="21">
        <f>'Raw Data'!L1371</f>
        <v>4</v>
      </c>
      <c r="M1371" s="21" t="str">
        <f>'Raw Data'!M1371</f>
        <v>Single</v>
      </c>
      <c r="N1371" s="21">
        <f>'Raw Data'!N1371</f>
        <v>4</v>
      </c>
      <c r="O1371" s="21">
        <f>'Raw Data'!O1371</f>
        <v>0</v>
      </c>
      <c r="P1371" s="21">
        <f>IF('Raw Data'!P1371="",ROUND(AVERAGE('Raw Data'!$P$2:$P$1501),1),'Raw Data'!P1371)</f>
        <v>17</v>
      </c>
      <c r="Q1371" s="21">
        <f>IF('Raw Data'!Q1371="",ROUND(AVERAGE('Raw Data'!$Q$2:$Q$1501),0),'Raw Data'!Q1371)</f>
        <v>1</v>
      </c>
      <c r="R1371" s="21">
        <f>'Raw Data'!R1371</f>
        <v>3</v>
      </c>
      <c r="S1371" s="21">
        <f>IF('Raw Data'!S1371="",ROUND(AVERAGE('Raw Data'!$S$2:$S$1501),0),'Raw Data'!S1371)</f>
        <v>6</v>
      </c>
      <c r="T1371" s="21">
        <f>'Raw Data'!T1371</f>
        <v>166.62</v>
      </c>
      <c r="U1371" s="21" t="str">
        <f>INDEX('Lookup Tables'!$C$7:$C$9,MATCH(E1371,'Lookup Tables'!$B$7:$B$9,0))</f>
        <v>Tier 1 (Metro)</v>
      </c>
      <c r="V1371" s="21" t="str">
        <f t="shared" si="63"/>
        <v>0-6 months</v>
      </c>
      <c r="W1371" s="21" t="str">
        <f t="shared" si="64"/>
        <v>Low Risk</v>
      </c>
      <c r="X1371" s="21" t="str">
        <f t="shared" si="65"/>
        <v>No</v>
      </c>
    </row>
    <row r="1372" spans="1:24" x14ac:dyDescent="0.3">
      <c r="A1372" s="21">
        <f>'Raw Data'!A1372</f>
        <v>51371</v>
      </c>
      <c r="B1372" s="21">
        <f>'Raw Data'!B1372</f>
        <v>0</v>
      </c>
      <c r="C1372" s="21">
        <f>'Raw Data'!C1372</f>
        <v>11</v>
      </c>
      <c r="D1372" s="21" t="str">
        <f>'Raw Data'!D1372</f>
        <v>Mobile Phone</v>
      </c>
      <c r="E1372" s="21">
        <f>'Raw Data'!E1372</f>
        <v>1</v>
      </c>
      <c r="F1372" s="21">
        <f>IF('Raw Data'!F1372="",ROUND(AVERAGE('Raw Data'!$F$2:$F$1501),1),'Raw Data'!F1372)</f>
        <v>14.8</v>
      </c>
      <c r="G1372" s="21" t="str">
        <f>'Raw Data'!G1372</f>
        <v>Credit Card</v>
      </c>
      <c r="H1372" s="21" t="str">
        <f>'Raw Data'!H1372</f>
        <v>Male</v>
      </c>
      <c r="I1372" s="21">
        <f>IF('Raw Data'!I1372="",ROUND(AVERAGE('Raw Data'!$I$2:$I$1501),1),'Raw Data'!I1372)</f>
        <v>2</v>
      </c>
      <c r="J1372" s="21">
        <f>'Raw Data'!J1372</f>
        <v>2</v>
      </c>
      <c r="K1372" s="21" t="str">
        <f>'Raw Data'!K1372</f>
        <v>Grocery</v>
      </c>
      <c r="L1372" s="21">
        <f>'Raw Data'!L1372</f>
        <v>4</v>
      </c>
      <c r="M1372" s="21" t="str">
        <f>'Raw Data'!M1372</f>
        <v>Divorced</v>
      </c>
      <c r="N1372" s="21">
        <f>'Raw Data'!N1372</f>
        <v>1</v>
      </c>
      <c r="O1372" s="21">
        <f>'Raw Data'!O1372</f>
        <v>0</v>
      </c>
      <c r="P1372" s="21">
        <f>IF('Raw Data'!P1372="",ROUND(AVERAGE('Raw Data'!$P$2:$P$1501),1),'Raw Data'!P1372)</f>
        <v>15.8</v>
      </c>
      <c r="Q1372" s="21">
        <f>IF('Raw Data'!Q1372="",ROUND(AVERAGE('Raw Data'!$Q$2:$Q$1501),0),'Raw Data'!Q1372)</f>
        <v>0</v>
      </c>
      <c r="R1372" s="21">
        <f>'Raw Data'!R1372</f>
        <v>2</v>
      </c>
      <c r="S1372" s="21">
        <f>IF('Raw Data'!S1372="",ROUND(AVERAGE('Raw Data'!$S$2:$S$1501),0),'Raw Data'!S1372)</f>
        <v>6</v>
      </c>
      <c r="T1372" s="21">
        <f>'Raw Data'!T1372</f>
        <v>140.47999999999999</v>
      </c>
      <c r="U1372" s="21" t="str">
        <f>INDEX('Lookup Tables'!$C$7:$C$9,MATCH(E1372,'Lookup Tables'!$B$7:$B$9,0))</f>
        <v>Tier 1 (Metro)</v>
      </c>
      <c r="V1372" s="21" t="str">
        <f t="shared" si="63"/>
        <v>7-12 months</v>
      </c>
      <c r="W1372" s="21" t="str">
        <f t="shared" si="64"/>
        <v>Low Risk</v>
      </c>
      <c r="X1372" s="21" t="str">
        <f t="shared" si="65"/>
        <v>No</v>
      </c>
    </row>
    <row r="1373" spans="1:24" x14ac:dyDescent="0.3">
      <c r="A1373" s="21">
        <f>'Raw Data'!A1373</f>
        <v>51372</v>
      </c>
      <c r="B1373" s="21">
        <f>'Raw Data'!B1373</f>
        <v>0</v>
      </c>
      <c r="C1373" s="21">
        <f>'Raw Data'!C1373</f>
        <v>3</v>
      </c>
      <c r="D1373" s="21" t="str">
        <f>'Raw Data'!D1373</f>
        <v>Computer</v>
      </c>
      <c r="E1373" s="21">
        <f>'Raw Data'!E1373</f>
        <v>1</v>
      </c>
      <c r="F1373" s="21">
        <f>IF('Raw Data'!F1373="",ROUND(AVERAGE('Raw Data'!$F$2:$F$1501),1),'Raw Data'!F1373)</f>
        <v>15</v>
      </c>
      <c r="G1373" s="21" t="str">
        <f>'Raw Data'!G1373</f>
        <v>Credit Card</v>
      </c>
      <c r="H1373" s="21" t="str">
        <f>'Raw Data'!H1373</f>
        <v>Female</v>
      </c>
      <c r="I1373" s="21">
        <f>IF('Raw Data'!I1373="",ROUND(AVERAGE('Raw Data'!$I$2:$I$1501),1),'Raw Data'!I1373)</f>
        <v>2.2999999999999998</v>
      </c>
      <c r="J1373" s="21">
        <f>'Raw Data'!J1373</f>
        <v>3</v>
      </c>
      <c r="K1373" s="21" t="str">
        <f>'Raw Data'!K1373</f>
        <v>Mobile Phone</v>
      </c>
      <c r="L1373" s="21">
        <f>'Raw Data'!L1373</f>
        <v>3</v>
      </c>
      <c r="M1373" s="21" t="str">
        <f>'Raw Data'!M1373</f>
        <v>Single</v>
      </c>
      <c r="N1373" s="21">
        <f>'Raw Data'!N1373</f>
        <v>2</v>
      </c>
      <c r="O1373" s="21">
        <f>'Raw Data'!O1373</f>
        <v>1</v>
      </c>
      <c r="P1373" s="21">
        <f>IF('Raw Data'!P1373="",ROUND(AVERAGE('Raw Data'!$P$2:$P$1501),1),'Raw Data'!P1373)</f>
        <v>11.4</v>
      </c>
      <c r="Q1373" s="21">
        <f>IF('Raw Data'!Q1373="",ROUND(AVERAGE('Raw Data'!$Q$2:$Q$1501),0),'Raw Data'!Q1373)</f>
        <v>2</v>
      </c>
      <c r="R1373" s="21">
        <f>'Raw Data'!R1373</f>
        <v>4</v>
      </c>
      <c r="S1373" s="21">
        <f>IF('Raw Data'!S1373="",ROUND(AVERAGE('Raw Data'!$S$2:$S$1501),0),'Raw Data'!S1373)</f>
        <v>3</v>
      </c>
      <c r="T1373" s="21">
        <f>'Raw Data'!T1373</f>
        <v>238.03</v>
      </c>
      <c r="U1373" s="21" t="str">
        <f>INDEX('Lookup Tables'!$C$7:$C$9,MATCH(E1373,'Lookup Tables'!$B$7:$B$9,0))</f>
        <v>Tier 1 (Metro)</v>
      </c>
      <c r="V1373" s="21" t="str">
        <f t="shared" si="63"/>
        <v>0-6 months</v>
      </c>
      <c r="W1373" s="21" t="str">
        <f t="shared" si="64"/>
        <v>Medium Risk</v>
      </c>
      <c r="X1373" s="21" t="str">
        <f t="shared" si="65"/>
        <v>No</v>
      </c>
    </row>
    <row r="1374" spans="1:24" x14ac:dyDescent="0.3">
      <c r="A1374" s="21">
        <f>'Raw Data'!A1374</f>
        <v>51373</v>
      </c>
      <c r="B1374" s="21">
        <f>'Raw Data'!B1374</f>
        <v>0</v>
      </c>
      <c r="C1374" s="21">
        <f>'Raw Data'!C1374</f>
        <v>11</v>
      </c>
      <c r="D1374" s="21" t="str">
        <f>'Raw Data'!D1374</f>
        <v>Mobile Phone</v>
      </c>
      <c r="E1374" s="21">
        <f>'Raw Data'!E1374</f>
        <v>1</v>
      </c>
      <c r="F1374" s="21">
        <f>IF('Raw Data'!F1374="",ROUND(AVERAGE('Raw Data'!$F$2:$F$1501),1),'Raw Data'!F1374)</f>
        <v>9</v>
      </c>
      <c r="G1374" s="21" t="str">
        <f>'Raw Data'!G1374</f>
        <v>Cash on Delivery</v>
      </c>
      <c r="H1374" s="21" t="str">
        <f>'Raw Data'!H1374</f>
        <v>Female</v>
      </c>
      <c r="I1374" s="21">
        <f>IF('Raw Data'!I1374="",ROUND(AVERAGE('Raw Data'!$I$2:$I$1501),1),'Raw Data'!I1374)</f>
        <v>4.0999999999999996</v>
      </c>
      <c r="J1374" s="21">
        <f>'Raw Data'!J1374</f>
        <v>3</v>
      </c>
      <c r="K1374" s="21" t="str">
        <f>'Raw Data'!K1374</f>
        <v>Laptop &amp; Accessory</v>
      </c>
      <c r="L1374" s="21">
        <f>'Raw Data'!L1374</f>
        <v>2</v>
      </c>
      <c r="M1374" s="21" t="str">
        <f>'Raw Data'!M1374</f>
        <v>Single</v>
      </c>
      <c r="N1374" s="21">
        <f>'Raw Data'!N1374</f>
        <v>3</v>
      </c>
      <c r="O1374" s="21">
        <f>'Raw Data'!O1374</f>
        <v>0</v>
      </c>
      <c r="P1374" s="21">
        <f>IF('Raw Data'!P1374="",ROUND(AVERAGE('Raw Data'!$P$2:$P$1501),1),'Raw Data'!P1374)</f>
        <v>15.1</v>
      </c>
      <c r="Q1374" s="21">
        <f>IF('Raw Data'!Q1374="",ROUND(AVERAGE('Raw Data'!$Q$2:$Q$1501),0),'Raw Data'!Q1374)</f>
        <v>0</v>
      </c>
      <c r="R1374" s="21">
        <f>'Raw Data'!R1374</f>
        <v>2</v>
      </c>
      <c r="S1374" s="21">
        <f>IF('Raw Data'!S1374="",ROUND(AVERAGE('Raw Data'!$S$2:$S$1501),0),'Raw Data'!S1374)</f>
        <v>0</v>
      </c>
      <c r="T1374" s="21">
        <f>'Raw Data'!T1374</f>
        <v>184.49</v>
      </c>
      <c r="U1374" s="21" t="str">
        <f>INDEX('Lookup Tables'!$C$7:$C$9,MATCH(E1374,'Lookup Tables'!$B$7:$B$9,0))</f>
        <v>Tier 1 (Metro)</v>
      </c>
      <c r="V1374" s="21" t="str">
        <f t="shared" si="63"/>
        <v>7-12 months</v>
      </c>
      <c r="W1374" s="21" t="str">
        <f t="shared" si="64"/>
        <v>Low Risk</v>
      </c>
      <c r="X1374" s="21" t="str">
        <f t="shared" si="65"/>
        <v>No</v>
      </c>
    </row>
    <row r="1375" spans="1:24" x14ac:dyDescent="0.3">
      <c r="A1375" s="21">
        <f>'Raw Data'!A1375</f>
        <v>51374</v>
      </c>
      <c r="B1375" s="21">
        <f>'Raw Data'!B1375</f>
        <v>0</v>
      </c>
      <c r="C1375" s="21">
        <f>'Raw Data'!C1375</f>
        <v>0</v>
      </c>
      <c r="D1375" s="21" t="str">
        <f>'Raw Data'!D1375</f>
        <v>Mobile Phone</v>
      </c>
      <c r="E1375" s="21">
        <f>'Raw Data'!E1375</f>
        <v>1</v>
      </c>
      <c r="F1375" s="21">
        <f>IF('Raw Data'!F1375="",ROUND(AVERAGE('Raw Data'!$F$2:$F$1501),1),'Raw Data'!F1375)</f>
        <v>16</v>
      </c>
      <c r="G1375" s="21" t="str">
        <f>'Raw Data'!G1375</f>
        <v>UPI</v>
      </c>
      <c r="H1375" s="21" t="str">
        <f>'Raw Data'!H1375</f>
        <v>Female</v>
      </c>
      <c r="I1375" s="21">
        <f>IF('Raw Data'!I1375="",ROUND(AVERAGE('Raw Data'!$I$2:$I$1501),1),'Raw Data'!I1375)</f>
        <v>3.2</v>
      </c>
      <c r="J1375" s="21">
        <f>'Raw Data'!J1375</f>
        <v>3</v>
      </c>
      <c r="K1375" s="21" t="str">
        <f>'Raw Data'!K1375</f>
        <v>Mobile Phone</v>
      </c>
      <c r="L1375" s="21">
        <f>'Raw Data'!L1375</f>
        <v>4</v>
      </c>
      <c r="M1375" s="21" t="str">
        <f>'Raw Data'!M1375</f>
        <v>Married</v>
      </c>
      <c r="N1375" s="21">
        <f>'Raw Data'!N1375</f>
        <v>3</v>
      </c>
      <c r="O1375" s="21">
        <f>'Raw Data'!O1375</f>
        <v>0</v>
      </c>
      <c r="P1375" s="21">
        <f>IF('Raw Data'!P1375="",ROUND(AVERAGE('Raw Data'!$P$2:$P$1501),1),'Raw Data'!P1375)</f>
        <v>18.2</v>
      </c>
      <c r="Q1375" s="21">
        <f>IF('Raw Data'!Q1375="",ROUND(AVERAGE('Raw Data'!$Q$2:$Q$1501),0),'Raw Data'!Q1375)</f>
        <v>2</v>
      </c>
      <c r="R1375" s="21">
        <f>'Raw Data'!R1375</f>
        <v>7</v>
      </c>
      <c r="S1375" s="21">
        <f>IF('Raw Data'!S1375="",ROUND(AVERAGE('Raw Data'!$S$2:$S$1501),0),'Raw Data'!S1375)</f>
        <v>1</v>
      </c>
      <c r="T1375" s="21">
        <f>'Raw Data'!T1375</f>
        <v>124.84</v>
      </c>
      <c r="U1375" s="21" t="str">
        <f>INDEX('Lookup Tables'!$C$7:$C$9,MATCH(E1375,'Lookup Tables'!$B$7:$B$9,0))</f>
        <v>Tier 1 (Metro)</v>
      </c>
      <c r="V1375" s="21" t="str">
        <f t="shared" si="63"/>
        <v>0-6 months</v>
      </c>
      <c r="W1375" s="21" t="str">
        <f t="shared" si="64"/>
        <v>Low Risk</v>
      </c>
      <c r="X1375" s="21" t="str">
        <f t="shared" si="65"/>
        <v>No</v>
      </c>
    </row>
    <row r="1376" spans="1:24" x14ac:dyDescent="0.3">
      <c r="A1376" s="21">
        <f>'Raw Data'!A1376</f>
        <v>51375</v>
      </c>
      <c r="B1376" s="21">
        <f>'Raw Data'!B1376</f>
        <v>0</v>
      </c>
      <c r="C1376" s="21">
        <f>'Raw Data'!C1376</f>
        <v>1</v>
      </c>
      <c r="D1376" s="21" t="str">
        <f>'Raw Data'!D1376</f>
        <v>Mobile Phone</v>
      </c>
      <c r="E1376" s="21">
        <f>'Raw Data'!E1376</f>
        <v>3</v>
      </c>
      <c r="F1376" s="21">
        <f>IF('Raw Data'!F1376="",ROUND(AVERAGE('Raw Data'!$F$2:$F$1501),1),'Raw Data'!F1376)</f>
        <v>5</v>
      </c>
      <c r="G1376" s="21" t="str">
        <f>'Raw Data'!G1376</f>
        <v>Credit Card</v>
      </c>
      <c r="H1376" s="21" t="str">
        <f>'Raw Data'!H1376</f>
        <v>Male</v>
      </c>
      <c r="I1376" s="21">
        <f>IF('Raw Data'!I1376="",ROUND(AVERAGE('Raw Data'!$I$2:$I$1501),1),'Raw Data'!I1376)</f>
        <v>3</v>
      </c>
      <c r="J1376" s="21">
        <f>'Raw Data'!J1376</f>
        <v>2</v>
      </c>
      <c r="K1376" s="21" t="str">
        <f>'Raw Data'!K1376</f>
        <v>Laptop &amp; Accessory</v>
      </c>
      <c r="L1376" s="21">
        <f>'Raw Data'!L1376</f>
        <v>4</v>
      </c>
      <c r="M1376" s="21" t="str">
        <f>'Raw Data'!M1376</f>
        <v>Married</v>
      </c>
      <c r="N1376" s="21">
        <f>'Raw Data'!N1376</f>
        <v>4</v>
      </c>
      <c r="O1376" s="21">
        <f>'Raw Data'!O1376</f>
        <v>0</v>
      </c>
      <c r="P1376" s="21">
        <f>IF('Raw Data'!P1376="",ROUND(AVERAGE('Raw Data'!$P$2:$P$1501),1),'Raw Data'!P1376)</f>
        <v>15.6</v>
      </c>
      <c r="Q1376" s="21">
        <f>IF('Raw Data'!Q1376="",ROUND(AVERAGE('Raw Data'!$Q$2:$Q$1501),0),'Raw Data'!Q1376)</f>
        <v>1</v>
      </c>
      <c r="R1376" s="21">
        <f>'Raw Data'!R1376</f>
        <v>2</v>
      </c>
      <c r="S1376" s="21">
        <f>IF('Raw Data'!S1376="",ROUND(AVERAGE('Raw Data'!$S$2:$S$1501),0),'Raw Data'!S1376)</f>
        <v>1</v>
      </c>
      <c r="T1376" s="21">
        <f>'Raw Data'!T1376</f>
        <v>226.24</v>
      </c>
      <c r="U1376" s="21" t="str">
        <f>INDEX('Lookup Tables'!$C$7:$C$9,MATCH(E1376,'Lookup Tables'!$B$7:$B$9,0))</f>
        <v>Tier 3 (Semi-urban/Rural)</v>
      </c>
      <c r="V1376" s="21" t="str">
        <f t="shared" si="63"/>
        <v>0-6 months</v>
      </c>
      <c r="W1376" s="21" t="str">
        <f t="shared" si="64"/>
        <v>Low Risk</v>
      </c>
      <c r="X1376" s="21" t="str">
        <f t="shared" si="65"/>
        <v>No</v>
      </c>
    </row>
    <row r="1377" spans="1:24" x14ac:dyDescent="0.3">
      <c r="A1377" s="21">
        <f>'Raw Data'!A1377</f>
        <v>51376</v>
      </c>
      <c r="B1377" s="21">
        <f>'Raw Data'!B1377</f>
        <v>0</v>
      </c>
      <c r="C1377" s="21">
        <f>'Raw Data'!C1377</f>
        <v>19</v>
      </c>
      <c r="D1377" s="21" t="str">
        <f>'Raw Data'!D1377</f>
        <v>Mobile Phone</v>
      </c>
      <c r="E1377" s="21">
        <f>'Raw Data'!E1377</f>
        <v>1</v>
      </c>
      <c r="F1377" s="21">
        <f>IF('Raw Data'!F1377="",ROUND(AVERAGE('Raw Data'!$F$2:$F$1501),1),'Raw Data'!F1377)</f>
        <v>10</v>
      </c>
      <c r="G1377" s="21" t="str">
        <f>'Raw Data'!G1377</f>
        <v>Debit Card</v>
      </c>
      <c r="H1377" s="21" t="str">
        <f>'Raw Data'!H1377</f>
        <v>Female</v>
      </c>
      <c r="I1377" s="21">
        <f>IF('Raw Data'!I1377="",ROUND(AVERAGE('Raw Data'!$I$2:$I$1501),1),'Raw Data'!I1377)</f>
        <v>2.7</v>
      </c>
      <c r="J1377" s="21">
        <f>'Raw Data'!J1377</f>
        <v>3</v>
      </c>
      <c r="K1377" s="21" t="str">
        <f>'Raw Data'!K1377</f>
        <v>Fashion</v>
      </c>
      <c r="L1377" s="21">
        <f>'Raw Data'!L1377</f>
        <v>5</v>
      </c>
      <c r="M1377" s="21" t="str">
        <f>'Raw Data'!M1377</f>
        <v>Married</v>
      </c>
      <c r="N1377" s="21">
        <f>'Raw Data'!N1377</f>
        <v>1</v>
      </c>
      <c r="O1377" s="21">
        <f>'Raw Data'!O1377</f>
        <v>1</v>
      </c>
      <c r="P1377" s="21">
        <f>IF('Raw Data'!P1377="",ROUND(AVERAGE('Raw Data'!$P$2:$P$1501),1),'Raw Data'!P1377)</f>
        <v>19.2</v>
      </c>
      <c r="Q1377" s="21">
        <f>IF('Raw Data'!Q1377="",ROUND(AVERAGE('Raw Data'!$Q$2:$Q$1501),0),'Raw Data'!Q1377)</f>
        <v>2</v>
      </c>
      <c r="R1377" s="21">
        <f>'Raw Data'!R1377</f>
        <v>1</v>
      </c>
      <c r="S1377" s="21">
        <f>IF('Raw Data'!S1377="",ROUND(AVERAGE('Raw Data'!$S$2:$S$1501),0),'Raw Data'!S1377)</f>
        <v>7</v>
      </c>
      <c r="T1377" s="21">
        <f>'Raw Data'!T1377</f>
        <v>127.3</v>
      </c>
      <c r="U1377" s="21" t="str">
        <f>INDEX('Lookup Tables'!$C$7:$C$9,MATCH(E1377,'Lookup Tables'!$B$7:$B$9,0))</f>
        <v>Tier 1 (Metro)</v>
      </c>
      <c r="V1377" s="21" t="str">
        <f t="shared" si="63"/>
        <v>13-24 months</v>
      </c>
      <c r="W1377" s="21" t="str">
        <f t="shared" si="64"/>
        <v>Low Risk</v>
      </c>
      <c r="X1377" s="21" t="str">
        <f t="shared" si="65"/>
        <v>No</v>
      </c>
    </row>
    <row r="1378" spans="1:24" x14ac:dyDescent="0.3">
      <c r="A1378" s="21">
        <f>'Raw Data'!A1378</f>
        <v>51377</v>
      </c>
      <c r="B1378" s="21">
        <f>'Raw Data'!B1378</f>
        <v>0</v>
      </c>
      <c r="C1378" s="21">
        <f>'Raw Data'!C1378</f>
        <v>2</v>
      </c>
      <c r="D1378" s="21" t="str">
        <f>'Raw Data'!D1378</f>
        <v>Mobile Phone</v>
      </c>
      <c r="E1378" s="21">
        <f>'Raw Data'!E1378</f>
        <v>2</v>
      </c>
      <c r="F1378" s="21">
        <f>IF('Raw Data'!F1378="",ROUND(AVERAGE('Raw Data'!$F$2:$F$1501),1),'Raw Data'!F1378)</f>
        <v>6</v>
      </c>
      <c r="G1378" s="21" t="str">
        <f>'Raw Data'!G1378</f>
        <v>Credit Card</v>
      </c>
      <c r="H1378" s="21" t="str">
        <f>'Raw Data'!H1378</f>
        <v>Female</v>
      </c>
      <c r="I1378" s="21">
        <f>IF('Raw Data'!I1378="",ROUND(AVERAGE('Raw Data'!$I$2:$I$1501),1),'Raw Data'!I1378)</f>
        <v>3.1</v>
      </c>
      <c r="J1378" s="21">
        <f>'Raw Data'!J1378</f>
        <v>5</v>
      </c>
      <c r="K1378" s="21" t="str">
        <f>'Raw Data'!K1378</f>
        <v>Fashion</v>
      </c>
      <c r="L1378" s="21">
        <f>'Raw Data'!L1378</f>
        <v>1</v>
      </c>
      <c r="M1378" s="21" t="str">
        <f>'Raw Data'!M1378</f>
        <v>Married</v>
      </c>
      <c r="N1378" s="21">
        <f>'Raw Data'!N1378</f>
        <v>1</v>
      </c>
      <c r="O1378" s="21">
        <f>'Raw Data'!O1378</f>
        <v>0</v>
      </c>
      <c r="P1378" s="21">
        <f>IF('Raw Data'!P1378="",ROUND(AVERAGE('Raw Data'!$P$2:$P$1501),1),'Raw Data'!P1378)</f>
        <v>17.3</v>
      </c>
      <c r="Q1378" s="21">
        <f>IF('Raw Data'!Q1378="",ROUND(AVERAGE('Raw Data'!$Q$2:$Q$1501),0),'Raw Data'!Q1378)</f>
        <v>1</v>
      </c>
      <c r="R1378" s="21">
        <f>'Raw Data'!R1378</f>
        <v>5</v>
      </c>
      <c r="S1378" s="21">
        <f>IF('Raw Data'!S1378="",ROUND(AVERAGE('Raw Data'!$S$2:$S$1501),0),'Raw Data'!S1378)</f>
        <v>0</v>
      </c>
      <c r="T1378" s="21">
        <f>'Raw Data'!T1378</f>
        <v>93.98</v>
      </c>
      <c r="U1378" s="21" t="str">
        <f>INDEX('Lookup Tables'!$C$7:$C$9,MATCH(E1378,'Lookup Tables'!$B$7:$B$9,0))</f>
        <v>Tier 2 (Urban)</v>
      </c>
      <c r="V1378" s="21" t="str">
        <f t="shared" si="63"/>
        <v>0-6 months</v>
      </c>
      <c r="W1378" s="21" t="str">
        <f t="shared" si="64"/>
        <v>Low Risk</v>
      </c>
      <c r="X1378" s="21" t="str">
        <f t="shared" si="65"/>
        <v>No</v>
      </c>
    </row>
    <row r="1379" spans="1:24" x14ac:dyDescent="0.3">
      <c r="A1379" s="21">
        <f>'Raw Data'!A1379</f>
        <v>51378</v>
      </c>
      <c r="B1379" s="21">
        <f>'Raw Data'!B1379</f>
        <v>0</v>
      </c>
      <c r="C1379" s="21">
        <f>'Raw Data'!C1379</f>
        <v>18</v>
      </c>
      <c r="D1379" s="21" t="str">
        <f>'Raw Data'!D1379</f>
        <v>Mobile Phone</v>
      </c>
      <c r="E1379" s="21">
        <f>'Raw Data'!E1379</f>
        <v>1</v>
      </c>
      <c r="F1379" s="21">
        <f>IF('Raw Data'!F1379="",ROUND(AVERAGE('Raw Data'!$F$2:$F$1501),1),'Raw Data'!F1379)</f>
        <v>16</v>
      </c>
      <c r="G1379" s="21" t="str">
        <f>'Raw Data'!G1379</f>
        <v>Credit Card</v>
      </c>
      <c r="H1379" s="21" t="str">
        <f>'Raw Data'!H1379</f>
        <v>Female</v>
      </c>
      <c r="I1379" s="21">
        <f>IF('Raw Data'!I1379="",ROUND(AVERAGE('Raw Data'!$I$2:$I$1501),1),'Raw Data'!I1379)</f>
        <v>3.1</v>
      </c>
      <c r="J1379" s="21">
        <f>'Raw Data'!J1379</f>
        <v>2</v>
      </c>
      <c r="K1379" s="21" t="str">
        <f>'Raw Data'!K1379</f>
        <v>Mobile Phone</v>
      </c>
      <c r="L1379" s="21">
        <f>'Raw Data'!L1379</f>
        <v>5</v>
      </c>
      <c r="M1379" s="21" t="str">
        <f>'Raw Data'!M1379</f>
        <v>Divorced</v>
      </c>
      <c r="N1379" s="21">
        <f>'Raw Data'!N1379</f>
        <v>1</v>
      </c>
      <c r="O1379" s="21">
        <f>'Raw Data'!O1379</f>
        <v>0</v>
      </c>
      <c r="P1379" s="21">
        <f>IF('Raw Data'!P1379="",ROUND(AVERAGE('Raw Data'!$P$2:$P$1501),1),'Raw Data'!P1379)</f>
        <v>12.9</v>
      </c>
      <c r="Q1379" s="21">
        <f>IF('Raw Data'!Q1379="",ROUND(AVERAGE('Raw Data'!$Q$2:$Q$1501),0),'Raw Data'!Q1379)</f>
        <v>1</v>
      </c>
      <c r="R1379" s="21">
        <f>'Raw Data'!R1379</f>
        <v>2</v>
      </c>
      <c r="S1379" s="21">
        <f>IF('Raw Data'!S1379="",ROUND(AVERAGE('Raw Data'!$S$2:$S$1501),0),'Raw Data'!S1379)</f>
        <v>3</v>
      </c>
      <c r="T1379" s="21">
        <f>'Raw Data'!T1379</f>
        <v>179.83</v>
      </c>
      <c r="U1379" s="21" t="str">
        <f>INDEX('Lookup Tables'!$C$7:$C$9,MATCH(E1379,'Lookup Tables'!$B$7:$B$9,0))</f>
        <v>Tier 1 (Metro)</v>
      </c>
      <c r="V1379" s="21" t="str">
        <f t="shared" si="63"/>
        <v>13-24 months</v>
      </c>
      <c r="W1379" s="21" t="str">
        <f t="shared" si="64"/>
        <v>Low Risk</v>
      </c>
      <c r="X1379" s="21" t="str">
        <f t="shared" si="65"/>
        <v>No</v>
      </c>
    </row>
    <row r="1380" spans="1:24" x14ac:dyDescent="0.3">
      <c r="A1380" s="21">
        <f>'Raw Data'!A1380</f>
        <v>51379</v>
      </c>
      <c r="B1380" s="21">
        <f>'Raw Data'!B1380</f>
        <v>0</v>
      </c>
      <c r="C1380" s="21">
        <f>'Raw Data'!C1380</f>
        <v>3</v>
      </c>
      <c r="D1380" s="21" t="str">
        <f>'Raw Data'!D1380</f>
        <v>Computer</v>
      </c>
      <c r="E1380" s="21">
        <f>'Raw Data'!E1380</f>
        <v>1</v>
      </c>
      <c r="F1380" s="21">
        <f>IF('Raw Data'!F1380="",ROUND(AVERAGE('Raw Data'!$F$2:$F$1501),1),'Raw Data'!F1380)</f>
        <v>22</v>
      </c>
      <c r="G1380" s="21" t="str">
        <f>'Raw Data'!G1380</f>
        <v>Debit Card</v>
      </c>
      <c r="H1380" s="21" t="str">
        <f>'Raw Data'!H1380</f>
        <v>Female</v>
      </c>
      <c r="I1380" s="21">
        <f>IF('Raw Data'!I1380="",ROUND(AVERAGE('Raw Data'!$I$2:$I$1501),1),'Raw Data'!I1380)</f>
        <v>3.1</v>
      </c>
      <c r="J1380" s="21">
        <f>'Raw Data'!J1380</f>
        <v>5</v>
      </c>
      <c r="K1380" s="21" t="str">
        <f>'Raw Data'!K1380</f>
        <v>Laptop &amp; Accessory</v>
      </c>
      <c r="L1380" s="21">
        <f>'Raw Data'!L1380</f>
        <v>3</v>
      </c>
      <c r="M1380" s="21" t="str">
        <f>'Raw Data'!M1380</f>
        <v>Single</v>
      </c>
      <c r="N1380" s="21">
        <f>'Raw Data'!N1380</f>
        <v>1</v>
      </c>
      <c r="O1380" s="21">
        <f>'Raw Data'!O1380</f>
        <v>0</v>
      </c>
      <c r="P1380" s="21">
        <f>IF('Raw Data'!P1380="",ROUND(AVERAGE('Raw Data'!$P$2:$P$1501),1),'Raw Data'!P1380)</f>
        <v>11.4</v>
      </c>
      <c r="Q1380" s="21">
        <f>IF('Raw Data'!Q1380="",ROUND(AVERAGE('Raw Data'!$Q$2:$Q$1501),0),'Raw Data'!Q1380)</f>
        <v>1</v>
      </c>
      <c r="R1380" s="21">
        <f>'Raw Data'!R1380</f>
        <v>5</v>
      </c>
      <c r="S1380" s="21">
        <f>IF('Raw Data'!S1380="",ROUND(AVERAGE('Raw Data'!$S$2:$S$1501),0),'Raw Data'!S1380)</f>
        <v>5</v>
      </c>
      <c r="T1380" s="21">
        <f>'Raw Data'!T1380</f>
        <v>284.89999999999998</v>
      </c>
      <c r="U1380" s="21" t="str">
        <f>INDEX('Lookup Tables'!$C$7:$C$9,MATCH(E1380,'Lookup Tables'!$B$7:$B$9,0))</f>
        <v>Tier 1 (Metro)</v>
      </c>
      <c r="V1380" s="21" t="str">
        <f t="shared" si="63"/>
        <v>0-6 months</v>
      </c>
      <c r="W1380" s="21" t="str">
        <f t="shared" si="64"/>
        <v>Medium Risk</v>
      </c>
      <c r="X1380" s="21" t="str">
        <f t="shared" si="65"/>
        <v>No</v>
      </c>
    </row>
    <row r="1381" spans="1:24" x14ac:dyDescent="0.3">
      <c r="A1381" s="21">
        <f>'Raw Data'!A1381</f>
        <v>51380</v>
      </c>
      <c r="B1381" s="21">
        <f>'Raw Data'!B1381</f>
        <v>0</v>
      </c>
      <c r="C1381" s="21">
        <f>'Raw Data'!C1381</f>
        <v>10</v>
      </c>
      <c r="D1381" s="21" t="str">
        <f>'Raw Data'!D1381</f>
        <v>Mobile Phone</v>
      </c>
      <c r="E1381" s="21">
        <f>'Raw Data'!E1381</f>
        <v>1</v>
      </c>
      <c r="F1381" s="21">
        <f>IF('Raw Data'!F1381="",ROUND(AVERAGE('Raw Data'!$F$2:$F$1501),1),'Raw Data'!F1381)</f>
        <v>20</v>
      </c>
      <c r="G1381" s="21" t="str">
        <f>'Raw Data'!G1381</f>
        <v>Debit Card</v>
      </c>
      <c r="H1381" s="21" t="str">
        <f>'Raw Data'!H1381</f>
        <v>Male</v>
      </c>
      <c r="I1381" s="21">
        <f>IF('Raw Data'!I1381="",ROUND(AVERAGE('Raw Data'!$I$2:$I$1501),1),'Raw Data'!I1381)</f>
        <v>3</v>
      </c>
      <c r="J1381" s="21">
        <f>'Raw Data'!J1381</f>
        <v>3</v>
      </c>
      <c r="K1381" s="21" t="str">
        <f>'Raw Data'!K1381</f>
        <v>Fashion</v>
      </c>
      <c r="L1381" s="21">
        <f>'Raw Data'!L1381</f>
        <v>4</v>
      </c>
      <c r="M1381" s="21" t="str">
        <f>'Raw Data'!M1381</f>
        <v>Divorced</v>
      </c>
      <c r="N1381" s="21">
        <f>'Raw Data'!N1381</f>
        <v>1</v>
      </c>
      <c r="O1381" s="21">
        <f>'Raw Data'!O1381</f>
        <v>0</v>
      </c>
      <c r="P1381" s="21">
        <f>IF('Raw Data'!P1381="",ROUND(AVERAGE('Raw Data'!$P$2:$P$1501),1),'Raw Data'!P1381)</f>
        <v>15.4</v>
      </c>
      <c r="Q1381" s="21">
        <f>IF('Raw Data'!Q1381="",ROUND(AVERAGE('Raw Data'!$Q$2:$Q$1501),0),'Raw Data'!Q1381)</f>
        <v>1</v>
      </c>
      <c r="R1381" s="21">
        <f>'Raw Data'!R1381</f>
        <v>2</v>
      </c>
      <c r="S1381" s="21">
        <f>IF('Raw Data'!S1381="",ROUND(AVERAGE('Raw Data'!$S$2:$S$1501),0),'Raw Data'!S1381)</f>
        <v>4</v>
      </c>
      <c r="T1381" s="21">
        <f>'Raw Data'!T1381</f>
        <v>79.48</v>
      </c>
      <c r="U1381" s="21" t="str">
        <f>INDEX('Lookup Tables'!$C$7:$C$9,MATCH(E1381,'Lookup Tables'!$B$7:$B$9,0))</f>
        <v>Tier 1 (Metro)</v>
      </c>
      <c r="V1381" s="21" t="str">
        <f t="shared" si="63"/>
        <v>7-12 months</v>
      </c>
      <c r="W1381" s="21" t="str">
        <f t="shared" si="64"/>
        <v>Low Risk</v>
      </c>
      <c r="X1381" s="21" t="str">
        <f t="shared" si="65"/>
        <v>No</v>
      </c>
    </row>
    <row r="1382" spans="1:24" x14ac:dyDescent="0.3">
      <c r="A1382" s="21">
        <f>'Raw Data'!A1382</f>
        <v>51381</v>
      </c>
      <c r="B1382" s="21">
        <f>'Raw Data'!B1382</f>
        <v>0</v>
      </c>
      <c r="C1382" s="21">
        <f>'Raw Data'!C1382</f>
        <v>11</v>
      </c>
      <c r="D1382" s="21" t="str">
        <f>'Raw Data'!D1382</f>
        <v>Mobile Phone</v>
      </c>
      <c r="E1382" s="21">
        <f>'Raw Data'!E1382</f>
        <v>3</v>
      </c>
      <c r="F1382" s="21">
        <f>IF('Raw Data'!F1382="",ROUND(AVERAGE('Raw Data'!$F$2:$F$1501),1),'Raw Data'!F1382)</f>
        <v>5</v>
      </c>
      <c r="G1382" s="21" t="str">
        <f>'Raw Data'!G1382</f>
        <v>UPI</v>
      </c>
      <c r="H1382" s="21" t="str">
        <f>'Raw Data'!H1382</f>
        <v>Female</v>
      </c>
      <c r="I1382" s="21">
        <f>IF('Raw Data'!I1382="",ROUND(AVERAGE('Raw Data'!$I$2:$I$1501),1),'Raw Data'!I1382)</f>
        <v>3.5</v>
      </c>
      <c r="J1382" s="21">
        <f>'Raw Data'!J1382</f>
        <v>3</v>
      </c>
      <c r="K1382" s="21" t="str">
        <f>'Raw Data'!K1382</f>
        <v>Grocery</v>
      </c>
      <c r="L1382" s="21">
        <f>'Raw Data'!L1382</f>
        <v>1</v>
      </c>
      <c r="M1382" s="21" t="str">
        <f>'Raw Data'!M1382</f>
        <v>Married</v>
      </c>
      <c r="N1382" s="21">
        <f>'Raw Data'!N1382</f>
        <v>1</v>
      </c>
      <c r="O1382" s="21">
        <f>'Raw Data'!O1382</f>
        <v>0</v>
      </c>
      <c r="P1382" s="21">
        <f>IF('Raw Data'!P1382="",ROUND(AVERAGE('Raw Data'!$P$2:$P$1501),1),'Raw Data'!P1382)</f>
        <v>14.2</v>
      </c>
      <c r="Q1382" s="21">
        <f>IF('Raw Data'!Q1382="",ROUND(AVERAGE('Raw Data'!$Q$2:$Q$1501),0),'Raw Data'!Q1382)</f>
        <v>1</v>
      </c>
      <c r="R1382" s="21">
        <f>'Raw Data'!R1382</f>
        <v>4</v>
      </c>
      <c r="S1382" s="21">
        <f>IF('Raw Data'!S1382="",ROUND(AVERAGE('Raw Data'!$S$2:$S$1501),0),'Raw Data'!S1382)</f>
        <v>35</v>
      </c>
      <c r="T1382" s="21">
        <f>'Raw Data'!T1382</f>
        <v>106.8</v>
      </c>
      <c r="U1382" s="21" t="str">
        <f>INDEX('Lookup Tables'!$C$7:$C$9,MATCH(E1382,'Lookup Tables'!$B$7:$B$9,0))</f>
        <v>Tier 3 (Semi-urban/Rural)</v>
      </c>
      <c r="V1382" s="21" t="str">
        <f t="shared" si="63"/>
        <v>7-12 months</v>
      </c>
      <c r="W1382" s="21" t="str">
        <f t="shared" si="64"/>
        <v>Medium Risk</v>
      </c>
      <c r="X1382" s="21" t="str">
        <f t="shared" si="65"/>
        <v>No</v>
      </c>
    </row>
    <row r="1383" spans="1:24" x14ac:dyDescent="0.3">
      <c r="A1383" s="21">
        <f>'Raw Data'!A1383</f>
        <v>51382</v>
      </c>
      <c r="B1383" s="21">
        <f>'Raw Data'!B1383</f>
        <v>0</v>
      </c>
      <c r="C1383" s="21">
        <f>'Raw Data'!C1383</f>
        <v>7</v>
      </c>
      <c r="D1383" s="21" t="str">
        <f>'Raw Data'!D1383</f>
        <v>Mobile Phone</v>
      </c>
      <c r="E1383" s="21">
        <f>'Raw Data'!E1383</f>
        <v>1</v>
      </c>
      <c r="F1383" s="21">
        <f>IF('Raw Data'!F1383="",ROUND(AVERAGE('Raw Data'!$F$2:$F$1501),1),'Raw Data'!F1383)</f>
        <v>31</v>
      </c>
      <c r="G1383" s="21" t="str">
        <f>'Raw Data'!G1383</f>
        <v>Debit Card</v>
      </c>
      <c r="H1383" s="21" t="str">
        <f>'Raw Data'!H1383</f>
        <v>Male</v>
      </c>
      <c r="I1383" s="21">
        <f>IF('Raw Data'!I1383="",ROUND(AVERAGE('Raw Data'!$I$2:$I$1501),1),'Raw Data'!I1383)</f>
        <v>2.9</v>
      </c>
      <c r="J1383" s="21">
        <f>'Raw Data'!J1383</f>
        <v>2</v>
      </c>
      <c r="K1383" s="21" t="str">
        <f>'Raw Data'!K1383</f>
        <v>Fashion</v>
      </c>
      <c r="L1383" s="21">
        <f>'Raw Data'!L1383</f>
        <v>3</v>
      </c>
      <c r="M1383" s="21" t="str">
        <f>'Raw Data'!M1383</f>
        <v>Married</v>
      </c>
      <c r="N1383" s="21">
        <f>'Raw Data'!N1383</f>
        <v>1</v>
      </c>
      <c r="O1383" s="21">
        <f>'Raw Data'!O1383</f>
        <v>1</v>
      </c>
      <c r="P1383" s="21">
        <f>IF('Raw Data'!P1383="",ROUND(AVERAGE('Raw Data'!$P$2:$P$1501),1),'Raw Data'!P1383)</f>
        <v>17.2</v>
      </c>
      <c r="Q1383" s="21">
        <f>IF('Raw Data'!Q1383="",ROUND(AVERAGE('Raw Data'!$Q$2:$Q$1501),0),'Raw Data'!Q1383)</f>
        <v>3</v>
      </c>
      <c r="R1383" s="21">
        <f>'Raw Data'!R1383</f>
        <v>4</v>
      </c>
      <c r="S1383" s="21">
        <f>IF('Raw Data'!S1383="",ROUND(AVERAGE('Raw Data'!$S$2:$S$1501),0),'Raw Data'!S1383)</f>
        <v>15</v>
      </c>
      <c r="T1383" s="21">
        <f>'Raw Data'!T1383</f>
        <v>221.39</v>
      </c>
      <c r="U1383" s="21" t="str">
        <f>INDEX('Lookup Tables'!$C$7:$C$9,MATCH(E1383,'Lookup Tables'!$B$7:$B$9,0))</f>
        <v>Tier 1 (Metro)</v>
      </c>
      <c r="V1383" s="21" t="str">
        <f t="shared" si="63"/>
        <v>7-12 months</v>
      </c>
      <c r="W1383" s="21" t="str">
        <f t="shared" si="64"/>
        <v>Medium Risk</v>
      </c>
      <c r="X1383" s="21" t="str">
        <f t="shared" si="65"/>
        <v>No</v>
      </c>
    </row>
    <row r="1384" spans="1:24" x14ac:dyDescent="0.3">
      <c r="A1384" s="21">
        <f>'Raw Data'!A1384</f>
        <v>51383</v>
      </c>
      <c r="B1384" s="21">
        <f>'Raw Data'!B1384</f>
        <v>0</v>
      </c>
      <c r="C1384" s="21">
        <f>'Raw Data'!C1384</f>
        <v>3</v>
      </c>
      <c r="D1384" s="21" t="str">
        <f>'Raw Data'!D1384</f>
        <v>Computer</v>
      </c>
      <c r="E1384" s="21">
        <f>'Raw Data'!E1384</f>
        <v>3</v>
      </c>
      <c r="F1384" s="21">
        <f>IF('Raw Data'!F1384="",ROUND(AVERAGE('Raw Data'!$F$2:$F$1501),1),'Raw Data'!F1384)</f>
        <v>17</v>
      </c>
      <c r="G1384" s="21" t="str">
        <f>'Raw Data'!G1384</f>
        <v>E wallet</v>
      </c>
      <c r="H1384" s="21" t="str">
        <f>'Raw Data'!H1384</f>
        <v>Male</v>
      </c>
      <c r="I1384" s="21">
        <f>IF('Raw Data'!I1384="",ROUND(AVERAGE('Raw Data'!$I$2:$I$1501),1),'Raw Data'!I1384)</f>
        <v>2.9</v>
      </c>
      <c r="J1384" s="21">
        <f>'Raw Data'!J1384</f>
        <v>2</v>
      </c>
      <c r="K1384" s="21" t="str">
        <f>'Raw Data'!K1384</f>
        <v>Grocery</v>
      </c>
      <c r="L1384" s="21">
        <f>'Raw Data'!L1384</f>
        <v>2</v>
      </c>
      <c r="M1384" s="21" t="str">
        <f>'Raw Data'!M1384</f>
        <v>Married</v>
      </c>
      <c r="N1384" s="21">
        <f>'Raw Data'!N1384</f>
        <v>2</v>
      </c>
      <c r="O1384" s="21">
        <f>'Raw Data'!O1384</f>
        <v>0</v>
      </c>
      <c r="P1384" s="21">
        <f>IF('Raw Data'!P1384="",ROUND(AVERAGE('Raw Data'!$P$2:$P$1501),1),'Raw Data'!P1384)</f>
        <v>13.5</v>
      </c>
      <c r="Q1384" s="21">
        <f>IF('Raw Data'!Q1384="",ROUND(AVERAGE('Raw Data'!$Q$2:$Q$1501),0),'Raw Data'!Q1384)</f>
        <v>0</v>
      </c>
      <c r="R1384" s="21">
        <f>'Raw Data'!R1384</f>
        <v>3</v>
      </c>
      <c r="S1384" s="21">
        <f>IF('Raw Data'!S1384="",ROUND(AVERAGE('Raw Data'!$S$2:$S$1501),0),'Raw Data'!S1384)</f>
        <v>6</v>
      </c>
      <c r="T1384" s="21">
        <f>'Raw Data'!T1384</f>
        <v>144.66999999999999</v>
      </c>
      <c r="U1384" s="21" t="str">
        <f>INDEX('Lookup Tables'!$C$7:$C$9,MATCH(E1384,'Lookup Tables'!$B$7:$B$9,0))</f>
        <v>Tier 3 (Semi-urban/Rural)</v>
      </c>
      <c r="V1384" s="21" t="str">
        <f t="shared" si="63"/>
        <v>0-6 months</v>
      </c>
      <c r="W1384" s="21" t="str">
        <f t="shared" si="64"/>
        <v>Low Risk</v>
      </c>
      <c r="X1384" s="21" t="str">
        <f t="shared" si="65"/>
        <v>No</v>
      </c>
    </row>
    <row r="1385" spans="1:24" x14ac:dyDescent="0.3">
      <c r="A1385" s="21">
        <f>'Raw Data'!A1385</f>
        <v>51384</v>
      </c>
      <c r="B1385" s="21">
        <f>'Raw Data'!B1385</f>
        <v>1</v>
      </c>
      <c r="C1385" s="21">
        <f>'Raw Data'!C1385</f>
        <v>2</v>
      </c>
      <c r="D1385" s="21" t="str">
        <f>'Raw Data'!D1385</f>
        <v>Computer</v>
      </c>
      <c r="E1385" s="21">
        <f>'Raw Data'!E1385</f>
        <v>1</v>
      </c>
      <c r="F1385" s="21">
        <f>IF('Raw Data'!F1385="",ROUND(AVERAGE('Raw Data'!$F$2:$F$1501),1),'Raw Data'!F1385)</f>
        <v>8</v>
      </c>
      <c r="G1385" s="21" t="str">
        <f>'Raw Data'!G1385</f>
        <v>Debit Card</v>
      </c>
      <c r="H1385" s="21" t="str">
        <f>'Raw Data'!H1385</f>
        <v>Male</v>
      </c>
      <c r="I1385" s="21">
        <f>IF('Raw Data'!I1385="",ROUND(AVERAGE('Raw Data'!$I$2:$I$1501),1),'Raw Data'!I1385)</f>
        <v>2.5</v>
      </c>
      <c r="J1385" s="21">
        <f>'Raw Data'!J1385</f>
        <v>3</v>
      </c>
      <c r="K1385" s="21" t="str">
        <f>'Raw Data'!K1385</f>
        <v>Laptop &amp; Accessory</v>
      </c>
      <c r="L1385" s="21">
        <f>'Raw Data'!L1385</f>
        <v>3</v>
      </c>
      <c r="M1385" s="21" t="str">
        <f>'Raw Data'!M1385</f>
        <v>Married</v>
      </c>
      <c r="N1385" s="21">
        <f>'Raw Data'!N1385</f>
        <v>1</v>
      </c>
      <c r="O1385" s="21">
        <f>'Raw Data'!O1385</f>
        <v>1</v>
      </c>
      <c r="P1385" s="21">
        <f>IF('Raw Data'!P1385="",ROUND(AVERAGE('Raw Data'!$P$2:$P$1501),1),'Raw Data'!P1385)</f>
        <v>13.8</v>
      </c>
      <c r="Q1385" s="21">
        <f>IF('Raw Data'!Q1385="",ROUND(AVERAGE('Raw Data'!$Q$2:$Q$1501),0),'Raw Data'!Q1385)</f>
        <v>1</v>
      </c>
      <c r="R1385" s="21">
        <f>'Raw Data'!R1385</f>
        <v>5</v>
      </c>
      <c r="S1385" s="21">
        <f>IF('Raw Data'!S1385="",ROUND(AVERAGE('Raw Data'!$S$2:$S$1501),0),'Raw Data'!S1385)</f>
        <v>6</v>
      </c>
      <c r="T1385" s="21">
        <f>'Raw Data'!T1385</f>
        <v>213.66</v>
      </c>
      <c r="U1385" s="21" t="str">
        <f>INDEX('Lookup Tables'!$C$7:$C$9,MATCH(E1385,'Lookup Tables'!$B$7:$B$9,0))</f>
        <v>Tier 1 (Metro)</v>
      </c>
      <c r="V1385" s="21" t="str">
        <f t="shared" si="63"/>
        <v>0-6 months</v>
      </c>
      <c r="W1385" s="21" t="str">
        <f t="shared" si="64"/>
        <v>Medium Risk</v>
      </c>
      <c r="X1385" s="21" t="str">
        <f t="shared" si="65"/>
        <v>Yes</v>
      </c>
    </row>
    <row r="1386" spans="1:24" x14ac:dyDescent="0.3">
      <c r="A1386" s="21">
        <f>'Raw Data'!A1386</f>
        <v>51385</v>
      </c>
      <c r="B1386" s="21">
        <f>'Raw Data'!B1386</f>
        <v>0</v>
      </c>
      <c r="C1386" s="21">
        <f>'Raw Data'!C1386</f>
        <v>0</v>
      </c>
      <c r="D1386" s="21" t="str">
        <f>'Raw Data'!D1386</f>
        <v>Computer</v>
      </c>
      <c r="E1386" s="21">
        <f>'Raw Data'!E1386</f>
        <v>3</v>
      </c>
      <c r="F1386" s="21">
        <f>IF('Raw Data'!F1386="",ROUND(AVERAGE('Raw Data'!$F$2:$F$1501),1),'Raw Data'!F1386)</f>
        <v>16</v>
      </c>
      <c r="G1386" s="21" t="str">
        <f>'Raw Data'!G1386</f>
        <v>Debit Card</v>
      </c>
      <c r="H1386" s="21" t="str">
        <f>'Raw Data'!H1386</f>
        <v>Male</v>
      </c>
      <c r="I1386" s="21">
        <f>IF('Raw Data'!I1386="",ROUND(AVERAGE('Raw Data'!$I$2:$I$1501),1),'Raw Data'!I1386)</f>
        <v>1.5</v>
      </c>
      <c r="J1386" s="21">
        <f>'Raw Data'!J1386</f>
        <v>2</v>
      </c>
      <c r="K1386" s="21" t="str">
        <f>'Raw Data'!K1386</f>
        <v>Grocery</v>
      </c>
      <c r="L1386" s="21">
        <f>'Raw Data'!L1386</f>
        <v>3</v>
      </c>
      <c r="M1386" s="21" t="str">
        <f>'Raw Data'!M1386</f>
        <v>Single</v>
      </c>
      <c r="N1386" s="21">
        <f>'Raw Data'!N1386</f>
        <v>10</v>
      </c>
      <c r="O1386" s="21">
        <f>'Raw Data'!O1386</f>
        <v>0</v>
      </c>
      <c r="P1386" s="21">
        <f>IF('Raw Data'!P1386="",ROUND(AVERAGE('Raw Data'!$P$2:$P$1501),1),'Raw Data'!P1386)</f>
        <v>19.7</v>
      </c>
      <c r="Q1386" s="21">
        <f>IF('Raw Data'!Q1386="",ROUND(AVERAGE('Raw Data'!$Q$2:$Q$1501),0),'Raw Data'!Q1386)</f>
        <v>2</v>
      </c>
      <c r="R1386" s="21">
        <f>'Raw Data'!R1386</f>
        <v>6</v>
      </c>
      <c r="S1386" s="21">
        <f>IF('Raw Data'!S1386="",ROUND(AVERAGE('Raw Data'!$S$2:$S$1501),0),'Raw Data'!S1386)</f>
        <v>7</v>
      </c>
      <c r="T1386" s="21">
        <f>'Raw Data'!T1386</f>
        <v>133.94</v>
      </c>
      <c r="U1386" s="21" t="str">
        <f>INDEX('Lookup Tables'!$C$7:$C$9,MATCH(E1386,'Lookup Tables'!$B$7:$B$9,0))</f>
        <v>Tier 3 (Semi-urban/Rural)</v>
      </c>
      <c r="V1386" s="21" t="str">
        <f t="shared" si="63"/>
        <v>0-6 months</v>
      </c>
      <c r="W1386" s="21" t="str">
        <f t="shared" si="64"/>
        <v>Medium Risk</v>
      </c>
      <c r="X1386" s="21" t="str">
        <f t="shared" si="65"/>
        <v>No</v>
      </c>
    </row>
    <row r="1387" spans="1:24" x14ac:dyDescent="0.3">
      <c r="A1387" s="21">
        <f>'Raw Data'!A1387</f>
        <v>51386</v>
      </c>
      <c r="B1387" s="21">
        <f>'Raw Data'!B1387</f>
        <v>0</v>
      </c>
      <c r="C1387" s="21">
        <f>'Raw Data'!C1387</f>
        <v>3</v>
      </c>
      <c r="D1387" s="21" t="str">
        <f>'Raw Data'!D1387</f>
        <v>Computer</v>
      </c>
      <c r="E1387" s="21">
        <f>'Raw Data'!E1387</f>
        <v>1</v>
      </c>
      <c r="F1387" s="21">
        <f>IF('Raw Data'!F1387="",ROUND(AVERAGE('Raw Data'!$F$2:$F$1501),1),'Raw Data'!F1387)</f>
        <v>16</v>
      </c>
      <c r="G1387" s="21" t="str">
        <f>'Raw Data'!G1387</f>
        <v>Debit Card</v>
      </c>
      <c r="H1387" s="21" t="str">
        <f>'Raw Data'!H1387</f>
        <v>Female</v>
      </c>
      <c r="I1387" s="21">
        <f>IF('Raw Data'!I1387="",ROUND(AVERAGE('Raw Data'!$I$2:$I$1501),1),'Raw Data'!I1387)</f>
        <v>4.3</v>
      </c>
      <c r="J1387" s="21">
        <f>'Raw Data'!J1387</f>
        <v>3</v>
      </c>
      <c r="K1387" s="21" t="str">
        <f>'Raw Data'!K1387</f>
        <v>Mobile Phone</v>
      </c>
      <c r="L1387" s="21">
        <f>'Raw Data'!L1387</f>
        <v>4</v>
      </c>
      <c r="M1387" s="21" t="str">
        <f>'Raw Data'!M1387</f>
        <v>Single</v>
      </c>
      <c r="N1387" s="21">
        <f>'Raw Data'!N1387</f>
        <v>5</v>
      </c>
      <c r="O1387" s="21">
        <f>'Raw Data'!O1387</f>
        <v>1</v>
      </c>
      <c r="P1387" s="21">
        <f>IF('Raw Data'!P1387="",ROUND(AVERAGE('Raw Data'!$P$2:$P$1501),1),'Raw Data'!P1387)</f>
        <v>16.5</v>
      </c>
      <c r="Q1387" s="21">
        <f>IF('Raw Data'!Q1387="",ROUND(AVERAGE('Raw Data'!$Q$2:$Q$1501),0),'Raw Data'!Q1387)</f>
        <v>4</v>
      </c>
      <c r="R1387" s="21">
        <f>'Raw Data'!R1387</f>
        <v>2</v>
      </c>
      <c r="S1387" s="21">
        <f>IF('Raw Data'!S1387="",ROUND(AVERAGE('Raw Data'!$S$2:$S$1501),0),'Raw Data'!S1387)</f>
        <v>9</v>
      </c>
      <c r="T1387" s="21">
        <f>'Raw Data'!T1387</f>
        <v>187.81</v>
      </c>
      <c r="U1387" s="21" t="str">
        <f>INDEX('Lookup Tables'!$C$7:$C$9,MATCH(E1387,'Lookup Tables'!$B$7:$B$9,0))</f>
        <v>Tier 1 (Metro)</v>
      </c>
      <c r="V1387" s="21" t="str">
        <f t="shared" si="63"/>
        <v>0-6 months</v>
      </c>
      <c r="W1387" s="21" t="str">
        <f t="shared" si="64"/>
        <v>Low Risk</v>
      </c>
      <c r="X1387" s="21" t="str">
        <f t="shared" si="65"/>
        <v>No</v>
      </c>
    </row>
    <row r="1388" spans="1:24" x14ac:dyDescent="0.3">
      <c r="A1388" s="21">
        <f>'Raw Data'!A1388</f>
        <v>51387</v>
      </c>
      <c r="B1388" s="21">
        <f>'Raw Data'!B1388</f>
        <v>0</v>
      </c>
      <c r="C1388" s="21">
        <f>'Raw Data'!C1388</f>
        <v>10</v>
      </c>
      <c r="D1388" s="21" t="str">
        <f>'Raw Data'!D1388</f>
        <v>Mobile Phone</v>
      </c>
      <c r="E1388" s="21">
        <f>'Raw Data'!E1388</f>
        <v>2</v>
      </c>
      <c r="F1388" s="21">
        <f>IF('Raw Data'!F1388="",ROUND(AVERAGE('Raw Data'!$F$2:$F$1501),1),'Raw Data'!F1388)</f>
        <v>9</v>
      </c>
      <c r="G1388" s="21" t="str">
        <f>'Raw Data'!G1388</f>
        <v>Debit Card</v>
      </c>
      <c r="H1388" s="21" t="str">
        <f>'Raw Data'!H1388</f>
        <v>Male</v>
      </c>
      <c r="I1388" s="21">
        <f>IF('Raw Data'!I1388="",ROUND(AVERAGE('Raw Data'!$I$2:$I$1501),1),'Raw Data'!I1388)</f>
        <v>3.5</v>
      </c>
      <c r="J1388" s="21">
        <f>'Raw Data'!J1388</f>
        <v>3</v>
      </c>
      <c r="K1388" s="21" t="str">
        <f>'Raw Data'!K1388</f>
        <v>Laptop &amp; Accessory</v>
      </c>
      <c r="L1388" s="21">
        <f>'Raw Data'!L1388</f>
        <v>4</v>
      </c>
      <c r="M1388" s="21" t="str">
        <f>'Raw Data'!M1388</f>
        <v>Divorced</v>
      </c>
      <c r="N1388" s="21">
        <f>'Raw Data'!N1388</f>
        <v>4</v>
      </c>
      <c r="O1388" s="21">
        <f>'Raw Data'!O1388</f>
        <v>0</v>
      </c>
      <c r="P1388" s="21">
        <f>IF('Raw Data'!P1388="",ROUND(AVERAGE('Raw Data'!$P$2:$P$1501),1),'Raw Data'!P1388)</f>
        <v>13.5</v>
      </c>
      <c r="Q1388" s="21">
        <f>IF('Raw Data'!Q1388="",ROUND(AVERAGE('Raw Data'!$Q$2:$Q$1501),0),'Raw Data'!Q1388)</f>
        <v>4</v>
      </c>
      <c r="R1388" s="21">
        <f>'Raw Data'!R1388</f>
        <v>4</v>
      </c>
      <c r="S1388" s="21">
        <f>IF('Raw Data'!S1388="",ROUND(AVERAGE('Raw Data'!$S$2:$S$1501),0),'Raw Data'!S1388)</f>
        <v>15</v>
      </c>
      <c r="T1388" s="21">
        <f>'Raw Data'!T1388</f>
        <v>275.95</v>
      </c>
      <c r="U1388" s="21" t="str">
        <f>INDEX('Lookup Tables'!$C$7:$C$9,MATCH(E1388,'Lookup Tables'!$B$7:$B$9,0))</f>
        <v>Tier 2 (Urban)</v>
      </c>
      <c r="V1388" s="21" t="str">
        <f t="shared" si="63"/>
        <v>7-12 months</v>
      </c>
      <c r="W1388" s="21" t="str">
        <f t="shared" si="64"/>
        <v>Low Risk</v>
      </c>
      <c r="X1388" s="21" t="str">
        <f t="shared" si="65"/>
        <v>No</v>
      </c>
    </row>
    <row r="1389" spans="1:24" x14ac:dyDescent="0.3">
      <c r="A1389" s="21">
        <f>'Raw Data'!A1389</f>
        <v>51388</v>
      </c>
      <c r="B1389" s="21">
        <f>'Raw Data'!B1389</f>
        <v>0</v>
      </c>
      <c r="C1389" s="21">
        <f>'Raw Data'!C1389</f>
        <v>27</v>
      </c>
      <c r="D1389" s="21" t="str">
        <f>'Raw Data'!D1389</f>
        <v>Computer</v>
      </c>
      <c r="E1389" s="21">
        <f>'Raw Data'!E1389</f>
        <v>2</v>
      </c>
      <c r="F1389" s="21">
        <f>IF('Raw Data'!F1389="",ROUND(AVERAGE('Raw Data'!$F$2:$F$1501),1),'Raw Data'!F1389)</f>
        <v>16</v>
      </c>
      <c r="G1389" s="21" t="str">
        <f>'Raw Data'!G1389</f>
        <v>UPI</v>
      </c>
      <c r="H1389" s="21" t="str">
        <f>'Raw Data'!H1389</f>
        <v>Male</v>
      </c>
      <c r="I1389" s="21">
        <f>IF('Raw Data'!I1389="",ROUND(AVERAGE('Raw Data'!$I$2:$I$1501),1),'Raw Data'!I1389)</f>
        <v>2.9</v>
      </c>
      <c r="J1389" s="21">
        <f>'Raw Data'!J1389</f>
        <v>5</v>
      </c>
      <c r="K1389" s="21" t="str">
        <f>'Raw Data'!K1389</f>
        <v>Grocery</v>
      </c>
      <c r="L1389" s="21">
        <f>'Raw Data'!L1389</f>
        <v>4</v>
      </c>
      <c r="M1389" s="21" t="str">
        <f>'Raw Data'!M1389</f>
        <v>Married</v>
      </c>
      <c r="N1389" s="21">
        <f>'Raw Data'!N1389</f>
        <v>1</v>
      </c>
      <c r="O1389" s="21">
        <f>'Raw Data'!O1389</f>
        <v>0</v>
      </c>
      <c r="P1389" s="21">
        <f>IF('Raw Data'!P1389="",ROUND(AVERAGE('Raw Data'!$P$2:$P$1501),1),'Raw Data'!P1389)</f>
        <v>16.100000000000001</v>
      </c>
      <c r="Q1389" s="21">
        <f>IF('Raw Data'!Q1389="",ROUND(AVERAGE('Raw Data'!$Q$2:$Q$1501),0),'Raw Data'!Q1389)</f>
        <v>0</v>
      </c>
      <c r="R1389" s="21">
        <f>'Raw Data'!R1389</f>
        <v>7</v>
      </c>
      <c r="S1389" s="21">
        <f>IF('Raw Data'!S1389="",ROUND(AVERAGE('Raw Data'!$S$2:$S$1501),0),'Raw Data'!S1389)</f>
        <v>2</v>
      </c>
      <c r="T1389" s="21">
        <f>'Raw Data'!T1389</f>
        <v>114.3</v>
      </c>
      <c r="U1389" s="21" t="str">
        <f>INDEX('Lookup Tables'!$C$7:$C$9,MATCH(E1389,'Lookup Tables'!$B$7:$B$9,0))</f>
        <v>Tier 2 (Urban)</v>
      </c>
      <c r="V1389" s="21" t="str">
        <f t="shared" si="63"/>
        <v>25+ months</v>
      </c>
      <c r="W1389" s="21" t="str">
        <f t="shared" si="64"/>
        <v>Low Risk</v>
      </c>
      <c r="X1389" s="21" t="str">
        <f t="shared" si="65"/>
        <v>No</v>
      </c>
    </row>
    <row r="1390" spans="1:24" x14ac:dyDescent="0.3">
      <c r="A1390" s="21">
        <f>'Raw Data'!A1390</f>
        <v>51389</v>
      </c>
      <c r="B1390" s="21">
        <f>'Raw Data'!B1390</f>
        <v>0</v>
      </c>
      <c r="C1390" s="21">
        <f>'Raw Data'!C1390</f>
        <v>20</v>
      </c>
      <c r="D1390" s="21" t="str">
        <f>'Raw Data'!D1390</f>
        <v>Mobile Phone</v>
      </c>
      <c r="E1390" s="21">
        <f>'Raw Data'!E1390</f>
        <v>3</v>
      </c>
      <c r="F1390" s="21">
        <f>IF('Raw Data'!F1390="",ROUND(AVERAGE('Raw Data'!$F$2:$F$1501),1),'Raw Data'!F1390)</f>
        <v>10</v>
      </c>
      <c r="G1390" s="21" t="str">
        <f>'Raw Data'!G1390</f>
        <v>UPI</v>
      </c>
      <c r="H1390" s="21" t="str">
        <f>'Raw Data'!H1390</f>
        <v>Female</v>
      </c>
      <c r="I1390" s="21">
        <f>IF('Raw Data'!I1390="",ROUND(AVERAGE('Raw Data'!$I$2:$I$1501),1),'Raw Data'!I1390)</f>
        <v>2.7</v>
      </c>
      <c r="J1390" s="21">
        <f>'Raw Data'!J1390</f>
        <v>2</v>
      </c>
      <c r="K1390" s="21" t="str">
        <f>'Raw Data'!K1390</f>
        <v>Others</v>
      </c>
      <c r="L1390" s="21">
        <f>'Raw Data'!L1390</f>
        <v>3</v>
      </c>
      <c r="M1390" s="21" t="str">
        <f>'Raw Data'!M1390</f>
        <v>Single</v>
      </c>
      <c r="N1390" s="21">
        <f>'Raw Data'!N1390</f>
        <v>3</v>
      </c>
      <c r="O1390" s="21">
        <f>'Raw Data'!O1390</f>
        <v>0</v>
      </c>
      <c r="P1390" s="21">
        <f>IF('Raw Data'!P1390="",ROUND(AVERAGE('Raw Data'!$P$2:$P$1501),1),'Raw Data'!P1390)</f>
        <v>20.8</v>
      </c>
      <c r="Q1390" s="21">
        <f>IF('Raw Data'!Q1390="",ROUND(AVERAGE('Raw Data'!$Q$2:$Q$1501),0),'Raw Data'!Q1390)</f>
        <v>8</v>
      </c>
      <c r="R1390" s="21">
        <f>'Raw Data'!R1390</f>
        <v>2</v>
      </c>
      <c r="S1390" s="21">
        <f>IF('Raw Data'!S1390="",ROUND(AVERAGE('Raw Data'!$S$2:$S$1501),0),'Raw Data'!S1390)</f>
        <v>2</v>
      </c>
      <c r="T1390" s="21">
        <f>'Raw Data'!T1390</f>
        <v>236.31</v>
      </c>
      <c r="U1390" s="21" t="str">
        <f>INDEX('Lookup Tables'!$C$7:$C$9,MATCH(E1390,'Lookup Tables'!$B$7:$B$9,0))</f>
        <v>Tier 3 (Semi-urban/Rural)</v>
      </c>
      <c r="V1390" s="21" t="str">
        <f t="shared" si="63"/>
        <v>13-24 months</v>
      </c>
      <c r="W1390" s="21" t="str">
        <f t="shared" si="64"/>
        <v>Medium Risk</v>
      </c>
      <c r="X1390" s="21" t="str">
        <f t="shared" si="65"/>
        <v>No</v>
      </c>
    </row>
    <row r="1391" spans="1:24" x14ac:dyDescent="0.3">
      <c r="A1391" s="21">
        <f>'Raw Data'!A1391</f>
        <v>51390</v>
      </c>
      <c r="B1391" s="21">
        <f>'Raw Data'!B1391</f>
        <v>0</v>
      </c>
      <c r="C1391" s="21">
        <f>'Raw Data'!C1391</f>
        <v>14</v>
      </c>
      <c r="D1391" s="21" t="str">
        <f>'Raw Data'!D1391</f>
        <v>Mobile Phone</v>
      </c>
      <c r="E1391" s="21">
        <f>'Raw Data'!E1391</f>
        <v>1</v>
      </c>
      <c r="F1391" s="21">
        <f>IF('Raw Data'!F1391="",ROUND(AVERAGE('Raw Data'!$F$2:$F$1501),1),'Raw Data'!F1391)</f>
        <v>11</v>
      </c>
      <c r="G1391" s="21" t="str">
        <f>'Raw Data'!G1391</f>
        <v>Debit Card</v>
      </c>
      <c r="H1391" s="21" t="str">
        <f>'Raw Data'!H1391</f>
        <v>Male</v>
      </c>
      <c r="I1391" s="21">
        <f>IF('Raw Data'!I1391="",ROUND(AVERAGE('Raw Data'!$I$2:$I$1501),1),'Raw Data'!I1391)</f>
        <v>2.5</v>
      </c>
      <c r="J1391" s="21">
        <f>'Raw Data'!J1391</f>
        <v>3</v>
      </c>
      <c r="K1391" s="21" t="str">
        <f>'Raw Data'!K1391</f>
        <v>Fashion</v>
      </c>
      <c r="L1391" s="21">
        <f>'Raw Data'!L1391</f>
        <v>3</v>
      </c>
      <c r="M1391" s="21" t="str">
        <f>'Raw Data'!M1391</f>
        <v>Married</v>
      </c>
      <c r="N1391" s="21">
        <f>'Raw Data'!N1391</f>
        <v>2</v>
      </c>
      <c r="O1391" s="21">
        <f>'Raw Data'!O1391</f>
        <v>0</v>
      </c>
      <c r="P1391" s="21">
        <f>IF('Raw Data'!P1391="",ROUND(AVERAGE('Raw Data'!$P$2:$P$1501),1),'Raw Data'!P1391)</f>
        <v>17</v>
      </c>
      <c r="Q1391" s="21">
        <f>IF('Raw Data'!Q1391="",ROUND(AVERAGE('Raw Data'!$Q$2:$Q$1501),0),'Raw Data'!Q1391)</f>
        <v>1</v>
      </c>
      <c r="R1391" s="21">
        <f>'Raw Data'!R1391</f>
        <v>4</v>
      </c>
      <c r="S1391" s="21">
        <f>IF('Raw Data'!S1391="",ROUND(AVERAGE('Raw Data'!$S$2:$S$1501),0),'Raw Data'!S1391)</f>
        <v>3</v>
      </c>
      <c r="T1391" s="21">
        <f>'Raw Data'!T1391</f>
        <v>217.38</v>
      </c>
      <c r="U1391" s="21" t="str">
        <f>INDEX('Lookup Tables'!$C$7:$C$9,MATCH(E1391,'Lookup Tables'!$B$7:$B$9,0))</f>
        <v>Tier 1 (Metro)</v>
      </c>
      <c r="V1391" s="21" t="str">
        <f t="shared" si="63"/>
        <v>13-24 months</v>
      </c>
      <c r="W1391" s="21" t="str">
        <f t="shared" si="64"/>
        <v>Medium Risk</v>
      </c>
      <c r="X1391" s="21" t="str">
        <f t="shared" si="65"/>
        <v>No</v>
      </c>
    </row>
    <row r="1392" spans="1:24" x14ac:dyDescent="0.3">
      <c r="A1392" s="21">
        <f>'Raw Data'!A1392</f>
        <v>51391</v>
      </c>
      <c r="B1392" s="21">
        <f>'Raw Data'!B1392</f>
        <v>0</v>
      </c>
      <c r="C1392" s="21">
        <f>'Raw Data'!C1392</f>
        <v>15</v>
      </c>
      <c r="D1392" s="21" t="str">
        <f>'Raw Data'!D1392</f>
        <v>Computer</v>
      </c>
      <c r="E1392" s="21">
        <f>'Raw Data'!E1392</f>
        <v>1</v>
      </c>
      <c r="F1392" s="21">
        <f>IF('Raw Data'!F1392="",ROUND(AVERAGE('Raw Data'!$F$2:$F$1501),1),'Raw Data'!F1392)</f>
        <v>9</v>
      </c>
      <c r="G1392" s="21" t="str">
        <f>'Raw Data'!G1392</f>
        <v>Credit Card</v>
      </c>
      <c r="H1392" s="21" t="str">
        <f>'Raw Data'!H1392</f>
        <v>Male</v>
      </c>
      <c r="I1392" s="21">
        <f>IF('Raw Data'!I1392="",ROUND(AVERAGE('Raw Data'!$I$2:$I$1501),1),'Raw Data'!I1392)</f>
        <v>4</v>
      </c>
      <c r="J1392" s="21">
        <f>'Raw Data'!J1392</f>
        <v>3</v>
      </c>
      <c r="K1392" s="21" t="str">
        <f>'Raw Data'!K1392</f>
        <v>Laptop &amp; Accessory</v>
      </c>
      <c r="L1392" s="21">
        <f>'Raw Data'!L1392</f>
        <v>5</v>
      </c>
      <c r="M1392" s="21" t="str">
        <f>'Raw Data'!M1392</f>
        <v>Married</v>
      </c>
      <c r="N1392" s="21">
        <f>'Raw Data'!N1392</f>
        <v>14</v>
      </c>
      <c r="O1392" s="21">
        <f>'Raw Data'!O1392</f>
        <v>1</v>
      </c>
      <c r="P1392" s="21">
        <f>IF('Raw Data'!P1392="",ROUND(AVERAGE('Raw Data'!$P$2:$P$1501),1),'Raw Data'!P1392)</f>
        <v>18.100000000000001</v>
      </c>
      <c r="Q1392" s="21">
        <f>IF('Raw Data'!Q1392="",ROUND(AVERAGE('Raw Data'!$Q$2:$Q$1501),0),'Raw Data'!Q1392)</f>
        <v>0</v>
      </c>
      <c r="R1392" s="21">
        <f>'Raw Data'!R1392</f>
        <v>2</v>
      </c>
      <c r="S1392" s="21">
        <f>IF('Raw Data'!S1392="",ROUND(AVERAGE('Raw Data'!$S$2:$S$1501),0),'Raw Data'!S1392)</f>
        <v>5</v>
      </c>
      <c r="T1392" s="21">
        <f>'Raw Data'!T1392</f>
        <v>98.09</v>
      </c>
      <c r="U1392" s="21" t="str">
        <f>INDEX('Lookup Tables'!$C$7:$C$9,MATCH(E1392,'Lookup Tables'!$B$7:$B$9,0))</f>
        <v>Tier 1 (Metro)</v>
      </c>
      <c r="V1392" s="21" t="str">
        <f t="shared" si="63"/>
        <v>13-24 months</v>
      </c>
      <c r="W1392" s="21" t="str">
        <f t="shared" si="64"/>
        <v>Low Risk</v>
      </c>
      <c r="X1392" s="21" t="str">
        <f t="shared" si="65"/>
        <v>No</v>
      </c>
    </row>
    <row r="1393" spans="1:24" x14ac:dyDescent="0.3">
      <c r="A1393" s="21">
        <f>'Raw Data'!A1393</f>
        <v>51392</v>
      </c>
      <c r="B1393" s="21">
        <f>'Raw Data'!B1393</f>
        <v>0</v>
      </c>
      <c r="C1393" s="21">
        <f>'Raw Data'!C1393</f>
        <v>10</v>
      </c>
      <c r="D1393" s="21" t="str">
        <f>'Raw Data'!D1393</f>
        <v>Mobile Phone</v>
      </c>
      <c r="E1393" s="21">
        <f>'Raw Data'!E1393</f>
        <v>1</v>
      </c>
      <c r="F1393" s="21">
        <f>IF('Raw Data'!F1393="",ROUND(AVERAGE('Raw Data'!$F$2:$F$1501),1),'Raw Data'!F1393)</f>
        <v>5</v>
      </c>
      <c r="G1393" s="21" t="str">
        <f>'Raw Data'!G1393</f>
        <v>Credit Card</v>
      </c>
      <c r="H1393" s="21" t="str">
        <f>'Raw Data'!H1393</f>
        <v>Female</v>
      </c>
      <c r="I1393" s="21">
        <f>IF('Raw Data'!I1393="",ROUND(AVERAGE('Raw Data'!$I$2:$I$1501),1),'Raw Data'!I1393)</f>
        <v>1.9</v>
      </c>
      <c r="J1393" s="21">
        <f>'Raw Data'!J1393</f>
        <v>2</v>
      </c>
      <c r="K1393" s="21" t="str">
        <f>'Raw Data'!K1393</f>
        <v>Laptop &amp; Accessory</v>
      </c>
      <c r="L1393" s="21">
        <f>'Raw Data'!L1393</f>
        <v>4</v>
      </c>
      <c r="M1393" s="21" t="str">
        <f>'Raw Data'!M1393</f>
        <v>Single</v>
      </c>
      <c r="N1393" s="21">
        <f>'Raw Data'!N1393</f>
        <v>4</v>
      </c>
      <c r="O1393" s="21">
        <f>'Raw Data'!O1393</f>
        <v>0</v>
      </c>
      <c r="P1393" s="21">
        <f>IF('Raw Data'!P1393="",ROUND(AVERAGE('Raw Data'!$P$2:$P$1501),1),'Raw Data'!P1393)</f>
        <v>13.4</v>
      </c>
      <c r="Q1393" s="21">
        <f>IF('Raw Data'!Q1393="",ROUND(AVERAGE('Raw Data'!$Q$2:$Q$1501),0),'Raw Data'!Q1393)</f>
        <v>0</v>
      </c>
      <c r="R1393" s="21">
        <f>'Raw Data'!R1393</f>
        <v>4</v>
      </c>
      <c r="S1393" s="21">
        <f>IF('Raw Data'!S1393="",ROUND(AVERAGE('Raw Data'!$S$2:$S$1501),0),'Raw Data'!S1393)</f>
        <v>7</v>
      </c>
      <c r="T1393" s="21">
        <f>'Raw Data'!T1393</f>
        <v>210.74</v>
      </c>
      <c r="U1393" s="21" t="str">
        <f>INDEX('Lookup Tables'!$C$7:$C$9,MATCH(E1393,'Lookup Tables'!$B$7:$B$9,0))</f>
        <v>Tier 1 (Metro)</v>
      </c>
      <c r="V1393" s="21" t="str">
        <f t="shared" si="63"/>
        <v>7-12 months</v>
      </c>
      <c r="W1393" s="21" t="str">
        <f t="shared" si="64"/>
        <v>Low Risk</v>
      </c>
      <c r="X1393" s="21" t="str">
        <f t="shared" si="65"/>
        <v>No</v>
      </c>
    </row>
    <row r="1394" spans="1:24" x14ac:dyDescent="0.3">
      <c r="A1394" s="21">
        <f>'Raw Data'!A1394</f>
        <v>51393</v>
      </c>
      <c r="B1394" s="21">
        <f>'Raw Data'!B1394</f>
        <v>1</v>
      </c>
      <c r="C1394" s="21">
        <f>'Raw Data'!C1394</f>
        <v>3</v>
      </c>
      <c r="D1394" s="21" t="str">
        <f>'Raw Data'!D1394</f>
        <v>Computer</v>
      </c>
      <c r="E1394" s="21">
        <f>'Raw Data'!E1394</f>
        <v>3</v>
      </c>
      <c r="F1394" s="21">
        <f>IF('Raw Data'!F1394="",ROUND(AVERAGE('Raw Data'!$F$2:$F$1501),1),'Raw Data'!F1394)</f>
        <v>16</v>
      </c>
      <c r="G1394" s="21" t="str">
        <f>'Raw Data'!G1394</f>
        <v>UPI</v>
      </c>
      <c r="H1394" s="21" t="str">
        <f>'Raw Data'!H1394</f>
        <v>Female</v>
      </c>
      <c r="I1394" s="21">
        <f>IF('Raw Data'!I1394="",ROUND(AVERAGE('Raw Data'!$I$2:$I$1501),1),'Raw Data'!I1394)</f>
        <v>3</v>
      </c>
      <c r="J1394" s="21">
        <f>'Raw Data'!J1394</f>
        <v>4</v>
      </c>
      <c r="K1394" s="21" t="str">
        <f>'Raw Data'!K1394</f>
        <v>Mobile Phone</v>
      </c>
      <c r="L1394" s="21">
        <f>'Raw Data'!L1394</f>
        <v>3</v>
      </c>
      <c r="M1394" s="21" t="str">
        <f>'Raw Data'!M1394</f>
        <v>Married</v>
      </c>
      <c r="N1394" s="21">
        <f>'Raw Data'!N1394</f>
        <v>3</v>
      </c>
      <c r="O1394" s="21">
        <f>'Raw Data'!O1394</f>
        <v>0</v>
      </c>
      <c r="P1394" s="21">
        <f>IF('Raw Data'!P1394="",ROUND(AVERAGE('Raw Data'!$P$2:$P$1501),1),'Raw Data'!P1394)</f>
        <v>16.3</v>
      </c>
      <c r="Q1394" s="21">
        <f>IF('Raw Data'!Q1394="",ROUND(AVERAGE('Raw Data'!$Q$2:$Q$1501),0),'Raw Data'!Q1394)</f>
        <v>0</v>
      </c>
      <c r="R1394" s="21">
        <f>'Raw Data'!R1394</f>
        <v>5</v>
      </c>
      <c r="S1394" s="21">
        <f>IF('Raw Data'!S1394="",ROUND(AVERAGE('Raw Data'!$S$2:$S$1501),0),'Raw Data'!S1394)</f>
        <v>10</v>
      </c>
      <c r="T1394" s="21">
        <f>'Raw Data'!T1394</f>
        <v>184</v>
      </c>
      <c r="U1394" s="21" t="str">
        <f>INDEX('Lookup Tables'!$C$7:$C$9,MATCH(E1394,'Lookup Tables'!$B$7:$B$9,0))</f>
        <v>Tier 3 (Semi-urban/Rural)</v>
      </c>
      <c r="V1394" s="21" t="str">
        <f t="shared" si="63"/>
        <v>0-6 months</v>
      </c>
      <c r="W1394" s="21" t="str">
        <f t="shared" si="64"/>
        <v>Medium Risk</v>
      </c>
      <c r="X1394" s="21" t="str">
        <f t="shared" si="65"/>
        <v>Yes</v>
      </c>
    </row>
    <row r="1395" spans="1:24" x14ac:dyDescent="0.3">
      <c r="A1395" s="21">
        <f>'Raw Data'!A1395</f>
        <v>51394</v>
      </c>
      <c r="B1395" s="21">
        <f>'Raw Data'!B1395</f>
        <v>0</v>
      </c>
      <c r="C1395" s="21">
        <f>'Raw Data'!C1395</f>
        <v>23</v>
      </c>
      <c r="D1395" s="21" t="str">
        <f>'Raw Data'!D1395</f>
        <v>Computer</v>
      </c>
      <c r="E1395" s="21">
        <f>'Raw Data'!E1395</f>
        <v>2</v>
      </c>
      <c r="F1395" s="21">
        <f>IF('Raw Data'!F1395="",ROUND(AVERAGE('Raw Data'!$F$2:$F$1501),1),'Raw Data'!F1395)</f>
        <v>19</v>
      </c>
      <c r="G1395" s="21" t="str">
        <f>'Raw Data'!G1395</f>
        <v>UPI</v>
      </c>
      <c r="H1395" s="21" t="str">
        <f>'Raw Data'!H1395</f>
        <v>Male</v>
      </c>
      <c r="I1395" s="21">
        <f>IF('Raw Data'!I1395="",ROUND(AVERAGE('Raw Data'!$I$2:$I$1501),1),'Raw Data'!I1395)</f>
        <v>2.8</v>
      </c>
      <c r="J1395" s="21">
        <f>'Raw Data'!J1395</f>
        <v>3</v>
      </c>
      <c r="K1395" s="21" t="str">
        <f>'Raw Data'!K1395</f>
        <v>Grocery</v>
      </c>
      <c r="L1395" s="21">
        <f>'Raw Data'!L1395</f>
        <v>2</v>
      </c>
      <c r="M1395" s="21" t="str">
        <f>'Raw Data'!M1395</f>
        <v>Married</v>
      </c>
      <c r="N1395" s="21">
        <f>'Raw Data'!N1395</f>
        <v>6</v>
      </c>
      <c r="O1395" s="21">
        <f>'Raw Data'!O1395</f>
        <v>0</v>
      </c>
      <c r="P1395" s="21">
        <f>IF('Raw Data'!P1395="",ROUND(AVERAGE('Raw Data'!$P$2:$P$1501),1),'Raw Data'!P1395)</f>
        <v>24.1</v>
      </c>
      <c r="Q1395" s="21">
        <f>IF('Raw Data'!Q1395="",ROUND(AVERAGE('Raw Data'!$Q$2:$Q$1501),0),'Raw Data'!Q1395)</f>
        <v>0</v>
      </c>
      <c r="R1395" s="21">
        <f>'Raw Data'!R1395</f>
        <v>5</v>
      </c>
      <c r="S1395" s="21">
        <f>IF('Raw Data'!S1395="",ROUND(AVERAGE('Raw Data'!$S$2:$S$1501),0),'Raw Data'!S1395)</f>
        <v>3</v>
      </c>
      <c r="T1395" s="21">
        <f>'Raw Data'!T1395</f>
        <v>185.01</v>
      </c>
      <c r="U1395" s="21" t="str">
        <f>INDEX('Lookup Tables'!$C$7:$C$9,MATCH(E1395,'Lookup Tables'!$B$7:$B$9,0))</f>
        <v>Tier 2 (Urban)</v>
      </c>
      <c r="V1395" s="21" t="str">
        <f t="shared" si="63"/>
        <v>13-24 months</v>
      </c>
      <c r="W1395" s="21" t="str">
        <f t="shared" si="64"/>
        <v>Low Risk</v>
      </c>
      <c r="X1395" s="21" t="str">
        <f t="shared" si="65"/>
        <v>No</v>
      </c>
    </row>
    <row r="1396" spans="1:24" x14ac:dyDescent="0.3">
      <c r="A1396" s="21">
        <f>'Raw Data'!A1396</f>
        <v>51395</v>
      </c>
      <c r="B1396" s="21">
        <f>'Raw Data'!B1396</f>
        <v>0</v>
      </c>
      <c r="C1396" s="21">
        <f>'Raw Data'!C1396</f>
        <v>11</v>
      </c>
      <c r="D1396" s="21" t="str">
        <f>'Raw Data'!D1396</f>
        <v>Mobile Phone</v>
      </c>
      <c r="E1396" s="21">
        <f>'Raw Data'!E1396</f>
        <v>3</v>
      </c>
      <c r="F1396" s="21">
        <f>IF('Raw Data'!F1396="",ROUND(AVERAGE('Raw Data'!$F$2:$F$1501),1),'Raw Data'!F1396)</f>
        <v>19</v>
      </c>
      <c r="G1396" s="21" t="str">
        <f>'Raw Data'!G1396</f>
        <v>Credit Card</v>
      </c>
      <c r="H1396" s="21" t="str">
        <f>'Raw Data'!H1396</f>
        <v>Female</v>
      </c>
      <c r="I1396" s="21">
        <f>IF('Raw Data'!I1396="",ROUND(AVERAGE('Raw Data'!$I$2:$I$1501),1),'Raw Data'!I1396)</f>
        <v>3.5</v>
      </c>
      <c r="J1396" s="21">
        <f>'Raw Data'!J1396</f>
        <v>1</v>
      </c>
      <c r="K1396" s="21" t="str">
        <f>'Raw Data'!K1396</f>
        <v>Laptop &amp; Accessory</v>
      </c>
      <c r="L1396" s="21">
        <f>'Raw Data'!L1396</f>
        <v>4</v>
      </c>
      <c r="M1396" s="21" t="str">
        <f>'Raw Data'!M1396</f>
        <v>Single</v>
      </c>
      <c r="N1396" s="21">
        <f>'Raw Data'!N1396</f>
        <v>1</v>
      </c>
      <c r="O1396" s="21">
        <f>'Raw Data'!O1396</f>
        <v>1</v>
      </c>
      <c r="P1396" s="21">
        <f>IF('Raw Data'!P1396="",ROUND(AVERAGE('Raw Data'!$P$2:$P$1501),1),'Raw Data'!P1396)</f>
        <v>13.2</v>
      </c>
      <c r="Q1396" s="21">
        <f>IF('Raw Data'!Q1396="",ROUND(AVERAGE('Raw Data'!$Q$2:$Q$1501),0),'Raw Data'!Q1396)</f>
        <v>3</v>
      </c>
      <c r="R1396" s="21">
        <f>'Raw Data'!R1396</f>
        <v>4</v>
      </c>
      <c r="S1396" s="21">
        <f>IF('Raw Data'!S1396="",ROUND(AVERAGE('Raw Data'!$S$2:$S$1501),0),'Raw Data'!S1396)</f>
        <v>2</v>
      </c>
      <c r="T1396" s="21">
        <f>'Raw Data'!T1396</f>
        <v>198.51</v>
      </c>
      <c r="U1396" s="21" t="str">
        <f>INDEX('Lookup Tables'!$C$7:$C$9,MATCH(E1396,'Lookup Tables'!$B$7:$B$9,0))</f>
        <v>Tier 3 (Semi-urban/Rural)</v>
      </c>
      <c r="V1396" s="21" t="str">
        <f t="shared" si="63"/>
        <v>7-12 months</v>
      </c>
      <c r="W1396" s="21" t="str">
        <f t="shared" si="64"/>
        <v>Low Risk</v>
      </c>
      <c r="X1396" s="21" t="str">
        <f t="shared" si="65"/>
        <v>No</v>
      </c>
    </row>
    <row r="1397" spans="1:24" x14ac:dyDescent="0.3">
      <c r="A1397" s="21">
        <f>'Raw Data'!A1397</f>
        <v>51396</v>
      </c>
      <c r="B1397" s="21">
        <f>'Raw Data'!B1397</f>
        <v>0</v>
      </c>
      <c r="C1397" s="21">
        <f>'Raw Data'!C1397</f>
        <v>8</v>
      </c>
      <c r="D1397" s="21" t="str">
        <f>'Raw Data'!D1397</f>
        <v>Mobile Phone</v>
      </c>
      <c r="E1397" s="21">
        <f>'Raw Data'!E1397</f>
        <v>1</v>
      </c>
      <c r="F1397" s="21">
        <f>IF('Raw Data'!F1397="",ROUND(AVERAGE('Raw Data'!$F$2:$F$1501),1),'Raw Data'!F1397)</f>
        <v>21</v>
      </c>
      <c r="G1397" s="21" t="str">
        <f>'Raw Data'!G1397</f>
        <v>E wallet</v>
      </c>
      <c r="H1397" s="21" t="str">
        <f>'Raw Data'!H1397</f>
        <v>Male</v>
      </c>
      <c r="I1397" s="21">
        <f>IF('Raw Data'!I1397="",ROUND(AVERAGE('Raw Data'!$I$2:$I$1501),1),'Raw Data'!I1397)</f>
        <v>2.8</v>
      </c>
      <c r="J1397" s="21">
        <f>'Raw Data'!J1397</f>
        <v>4</v>
      </c>
      <c r="K1397" s="21" t="str">
        <f>'Raw Data'!K1397</f>
        <v>Grocery</v>
      </c>
      <c r="L1397" s="21">
        <f>'Raw Data'!L1397</f>
        <v>3</v>
      </c>
      <c r="M1397" s="21" t="str">
        <f>'Raw Data'!M1397</f>
        <v>Divorced</v>
      </c>
      <c r="N1397" s="21">
        <f>'Raw Data'!N1397</f>
        <v>1</v>
      </c>
      <c r="O1397" s="21">
        <f>'Raw Data'!O1397</f>
        <v>0</v>
      </c>
      <c r="P1397" s="21">
        <f>IF('Raw Data'!P1397="",ROUND(AVERAGE('Raw Data'!$P$2:$P$1501),1),'Raw Data'!P1397)</f>
        <v>16.3</v>
      </c>
      <c r="Q1397" s="21">
        <f>IF('Raw Data'!Q1397="",ROUND(AVERAGE('Raw Data'!$Q$2:$Q$1501),0),'Raw Data'!Q1397)</f>
        <v>2</v>
      </c>
      <c r="R1397" s="21">
        <f>'Raw Data'!R1397</f>
        <v>4</v>
      </c>
      <c r="S1397" s="21">
        <f>IF('Raw Data'!S1397="",ROUND(AVERAGE('Raw Data'!$S$2:$S$1501),0),'Raw Data'!S1397)</f>
        <v>20</v>
      </c>
      <c r="T1397" s="21">
        <f>'Raw Data'!T1397</f>
        <v>160.72999999999999</v>
      </c>
      <c r="U1397" s="21" t="str">
        <f>INDEX('Lookup Tables'!$C$7:$C$9,MATCH(E1397,'Lookup Tables'!$B$7:$B$9,0))</f>
        <v>Tier 1 (Metro)</v>
      </c>
      <c r="V1397" s="21" t="str">
        <f t="shared" si="63"/>
        <v>7-12 months</v>
      </c>
      <c r="W1397" s="21" t="str">
        <f t="shared" si="64"/>
        <v>Medium Risk</v>
      </c>
      <c r="X1397" s="21" t="str">
        <f t="shared" si="65"/>
        <v>No</v>
      </c>
    </row>
    <row r="1398" spans="1:24" x14ac:dyDescent="0.3">
      <c r="A1398" s="21">
        <f>'Raw Data'!A1398</f>
        <v>51397</v>
      </c>
      <c r="B1398" s="21">
        <f>'Raw Data'!B1398</f>
        <v>0</v>
      </c>
      <c r="C1398" s="21">
        <f>'Raw Data'!C1398</f>
        <v>1</v>
      </c>
      <c r="D1398" s="21" t="str">
        <f>'Raw Data'!D1398</f>
        <v>Mobile Phone</v>
      </c>
      <c r="E1398" s="21">
        <f>'Raw Data'!E1398</f>
        <v>1</v>
      </c>
      <c r="F1398" s="21">
        <f>IF('Raw Data'!F1398="",ROUND(AVERAGE('Raw Data'!$F$2:$F$1501),1),'Raw Data'!F1398)</f>
        <v>14.8</v>
      </c>
      <c r="G1398" s="21" t="str">
        <f>'Raw Data'!G1398</f>
        <v>UPI</v>
      </c>
      <c r="H1398" s="21" t="str">
        <f>'Raw Data'!H1398</f>
        <v>Male</v>
      </c>
      <c r="I1398" s="21">
        <f>IF('Raw Data'!I1398="",ROUND(AVERAGE('Raw Data'!$I$2:$I$1501),1),'Raw Data'!I1398)</f>
        <v>1.7</v>
      </c>
      <c r="J1398" s="21">
        <f>'Raw Data'!J1398</f>
        <v>2</v>
      </c>
      <c r="K1398" s="21" t="str">
        <f>'Raw Data'!K1398</f>
        <v>Laptop &amp; Accessory</v>
      </c>
      <c r="L1398" s="21">
        <f>'Raw Data'!L1398</f>
        <v>1</v>
      </c>
      <c r="M1398" s="21" t="str">
        <f>'Raw Data'!M1398</f>
        <v>Single</v>
      </c>
      <c r="N1398" s="21">
        <f>'Raw Data'!N1398</f>
        <v>4</v>
      </c>
      <c r="O1398" s="21">
        <f>'Raw Data'!O1398</f>
        <v>1</v>
      </c>
      <c r="P1398" s="21">
        <f>IF('Raw Data'!P1398="",ROUND(AVERAGE('Raw Data'!$P$2:$P$1501),1),'Raw Data'!P1398)</f>
        <v>16.600000000000001</v>
      </c>
      <c r="Q1398" s="21">
        <f>IF('Raw Data'!Q1398="",ROUND(AVERAGE('Raw Data'!$Q$2:$Q$1501),0),'Raw Data'!Q1398)</f>
        <v>3</v>
      </c>
      <c r="R1398" s="21">
        <f>'Raw Data'!R1398</f>
        <v>4</v>
      </c>
      <c r="S1398" s="21">
        <f>IF('Raw Data'!S1398="",ROUND(AVERAGE('Raw Data'!$S$2:$S$1501),0),'Raw Data'!S1398)</f>
        <v>1</v>
      </c>
      <c r="T1398" s="21">
        <f>'Raw Data'!T1398</f>
        <v>183.86</v>
      </c>
      <c r="U1398" s="21" t="str">
        <f>INDEX('Lookup Tables'!$C$7:$C$9,MATCH(E1398,'Lookup Tables'!$B$7:$B$9,0))</f>
        <v>Tier 1 (Metro)</v>
      </c>
      <c r="V1398" s="21" t="str">
        <f t="shared" si="63"/>
        <v>0-6 months</v>
      </c>
      <c r="W1398" s="21" t="str">
        <f t="shared" si="64"/>
        <v>High Risk</v>
      </c>
      <c r="X1398" s="21" t="str">
        <f t="shared" si="65"/>
        <v>No</v>
      </c>
    </row>
    <row r="1399" spans="1:24" x14ac:dyDescent="0.3">
      <c r="A1399" s="21">
        <f>'Raw Data'!A1399</f>
        <v>51398</v>
      </c>
      <c r="B1399" s="21">
        <f>'Raw Data'!B1399</f>
        <v>0</v>
      </c>
      <c r="C1399" s="21">
        <f>'Raw Data'!C1399</f>
        <v>5</v>
      </c>
      <c r="D1399" s="21" t="str">
        <f>'Raw Data'!D1399</f>
        <v>Phone</v>
      </c>
      <c r="E1399" s="21">
        <f>'Raw Data'!E1399</f>
        <v>1</v>
      </c>
      <c r="F1399" s="21">
        <f>IF('Raw Data'!F1399="",ROUND(AVERAGE('Raw Data'!$F$2:$F$1501),1),'Raw Data'!F1399)</f>
        <v>10</v>
      </c>
      <c r="G1399" s="21" t="str">
        <f>'Raw Data'!G1399</f>
        <v>Debit Card</v>
      </c>
      <c r="H1399" s="21" t="str">
        <f>'Raw Data'!H1399</f>
        <v>Male</v>
      </c>
      <c r="I1399" s="21">
        <f>IF('Raw Data'!I1399="",ROUND(AVERAGE('Raw Data'!$I$2:$I$1501),1),'Raw Data'!I1399)</f>
        <v>2.7</v>
      </c>
      <c r="J1399" s="21">
        <f>'Raw Data'!J1399</f>
        <v>2</v>
      </c>
      <c r="K1399" s="21" t="str">
        <f>'Raw Data'!K1399</f>
        <v>Grocery</v>
      </c>
      <c r="L1399" s="21">
        <f>'Raw Data'!L1399</f>
        <v>5</v>
      </c>
      <c r="M1399" s="21" t="str">
        <f>'Raw Data'!M1399</f>
        <v>Married</v>
      </c>
      <c r="N1399" s="21">
        <f>'Raw Data'!N1399</f>
        <v>1</v>
      </c>
      <c r="O1399" s="21">
        <f>'Raw Data'!O1399</f>
        <v>1</v>
      </c>
      <c r="P1399" s="21">
        <f>IF('Raw Data'!P1399="",ROUND(AVERAGE('Raw Data'!$P$2:$P$1501),1),'Raw Data'!P1399)</f>
        <v>19.100000000000001</v>
      </c>
      <c r="Q1399" s="21">
        <f>IF('Raw Data'!Q1399="",ROUND(AVERAGE('Raw Data'!$Q$2:$Q$1501),0),'Raw Data'!Q1399)</f>
        <v>2</v>
      </c>
      <c r="R1399" s="21">
        <f>'Raw Data'!R1399</f>
        <v>2</v>
      </c>
      <c r="S1399" s="21">
        <f>IF('Raw Data'!S1399="",ROUND(AVERAGE('Raw Data'!$S$2:$S$1501),0),'Raw Data'!S1399)</f>
        <v>1</v>
      </c>
      <c r="T1399" s="21">
        <f>'Raw Data'!T1399</f>
        <v>193.28</v>
      </c>
      <c r="U1399" s="21" t="str">
        <f>INDEX('Lookup Tables'!$C$7:$C$9,MATCH(E1399,'Lookup Tables'!$B$7:$B$9,0))</f>
        <v>Tier 1 (Metro)</v>
      </c>
      <c r="V1399" s="21" t="str">
        <f t="shared" si="63"/>
        <v>0-6 months</v>
      </c>
      <c r="W1399" s="21" t="str">
        <f t="shared" si="64"/>
        <v>Low Risk</v>
      </c>
      <c r="X1399" s="21" t="str">
        <f t="shared" si="65"/>
        <v>No</v>
      </c>
    </row>
    <row r="1400" spans="1:24" x14ac:dyDescent="0.3">
      <c r="A1400" s="21">
        <f>'Raw Data'!A1400</f>
        <v>51399</v>
      </c>
      <c r="B1400" s="21">
        <f>'Raw Data'!B1400</f>
        <v>0</v>
      </c>
      <c r="C1400" s="21">
        <f>'Raw Data'!C1400</f>
        <v>6</v>
      </c>
      <c r="D1400" s="21" t="str">
        <f>'Raw Data'!D1400</f>
        <v>Computer</v>
      </c>
      <c r="E1400" s="21">
        <f>'Raw Data'!E1400</f>
        <v>3</v>
      </c>
      <c r="F1400" s="21">
        <f>IF('Raw Data'!F1400="",ROUND(AVERAGE('Raw Data'!$F$2:$F$1501),1),'Raw Data'!F1400)</f>
        <v>21</v>
      </c>
      <c r="G1400" s="21" t="str">
        <f>'Raw Data'!G1400</f>
        <v>Credit Card</v>
      </c>
      <c r="H1400" s="21" t="str">
        <f>'Raw Data'!H1400</f>
        <v>Male</v>
      </c>
      <c r="I1400" s="21">
        <f>IF('Raw Data'!I1400="",ROUND(AVERAGE('Raw Data'!$I$2:$I$1501),1),'Raw Data'!I1400)</f>
        <v>2.2000000000000002</v>
      </c>
      <c r="J1400" s="21">
        <f>'Raw Data'!J1400</f>
        <v>4</v>
      </c>
      <c r="K1400" s="21" t="str">
        <f>'Raw Data'!K1400</f>
        <v>Others</v>
      </c>
      <c r="L1400" s="21">
        <f>'Raw Data'!L1400</f>
        <v>4</v>
      </c>
      <c r="M1400" s="21" t="str">
        <f>'Raw Data'!M1400</f>
        <v>Single</v>
      </c>
      <c r="N1400" s="21">
        <f>'Raw Data'!N1400</f>
        <v>1</v>
      </c>
      <c r="O1400" s="21">
        <f>'Raw Data'!O1400</f>
        <v>1</v>
      </c>
      <c r="P1400" s="21">
        <f>IF('Raw Data'!P1400="",ROUND(AVERAGE('Raw Data'!$P$2:$P$1501),1),'Raw Data'!P1400)</f>
        <v>15.7</v>
      </c>
      <c r="Q1400" s="21">
        <f>IF('Raw Data'!Q1400="",ROUND(AVERAGE('Raw Data'!$Q$2:$Q$1501),0),'Raw Data'!Q1400)</f>
        <v>1</v>
      </c>
      <c r="R1400" s="21">
        <f>'Raw Data'!R1400</f>
        <v>3</v>
      </c>
      <c r="S1400" s="21">
        <f>IF('Raw Data'!S1400="",ROUND(AVERAGE('Raw Data'!$S$2:$S$1501),0),'Raw Data'!S1400)</f>
        <v>6</v>
      </c>
      <c r="T1400" s="21">
        <f>'Raw Data'!T1400</f>
        <v>221.03</v>
      </c>
      <c r="U1400" s="21" t="str">
        <f>INDEX('Lookup Tables'!$C$7:$C$9,MATCH(E1400,'Lookup Tables'!$B$7:$B$9,0))</f>
        <v>Tier 3 (Semi-urban/Rural)</v>
      </c>
      <c r="V1400" s="21" t="str">
        <f t="shared" si="63"/>
        <v>0-6 months</v>
      </c>
      <c r="W1400" s="21" t="str">
        <f t="shared" si="64"/>
        <v>Low Risk</v>
      </c>
      <c r="X1400" s="21" t="str">
        <f t="shared" si="65"/>
        <v>No</v>
      </c>
    </row>
    <row r="1401" spans="1:24" x14ac:dyDescent="0.3">
      <c r="A1401" s="21">
        <f>'Raw Data'!A1401</f>
        <v>51400</v>
      </c>
      <c r="B1401" s="21">
        <f>'Raw Data'!B1401</f>
        <v>0</v>
      </c>
      <c r="C1401" s="21">
        <f>'Raw Data'!C1401</f>
        <v>19</v>
      </c>
      <c r="D1401" s="21" t="str">
        <f>'Raw Data'!D1401</f>
        <v>Mobile Phone</v>
      </c>
      <c r="E1401" s="21">
        <f>'Raw Data'!E1401</f>
        <v>2</v>
      </c>
      <c r="F1401" s="21">
        <f>IF('Raw Data'!F1401="",ROUND(AVERAGE('Raw Data'!$F$2:$F$1501),1),'Raw Data'!F1401)</f>
        <v>5</v>
      </c>
      <c r="G1401" s="21" t="str">
        <f>'Raw Data'!G1401</f>
        <v>Cash on Delivery</v>
      </c>
      <c r="H1401" s="21" t="str">
        <f>'Raw Data'!H1401</f>
        <v>Female</v>
      </c>
      <c r="I1401" s="21">
        <f>IF('Raw Data'!I1401="",ROUND(AVERAGE('Raw Data'!$I$2:$I$1501),1),'Raw Data'!I1401)</f>
        <v>3</v>
      </c>
      <c r="J1401" s="21">
        <f>'Raw Data'!J1401</f>
        <v>3</v>
      </c>
      <c r="K1401" s="21" t="str">
        <f>'Raw Data'!K1401</f>
        <v>Mobile Phone</v>
      </c>
      <c r="L1401" s="21">
        <f>'Raw Data'!L1401</f>
        <v>4</v>
      </c>
      <c r="M1401" s="21" t="str">
        <f>'Raw Data'!M1401</f>
        <v>Married</v>
      </c>
      <c r="N1401" s="21">
        <f>'Raw Data'!N1401</f>
        <v>4</v>
      </c>
      <c r="O1401" s="21">
        <f>'Raw Data'!O1401</f>
        <v>0</v>
      </c>
      <c r="P1401" s="21">
        <f>IF('Raw Data'!P1401="",ROUND(AVERAGE('Raw Data'!$P$2:$P$1501),1),'Raw Data'!P1401)</f>
        <v>12.3</v>
      </c>
      <c r="Q1401" s="21">
        <f>IF('Raw Data'!Q1401="",ROUND(AVERAGE('Raw Data'!$Q$2:$Q$1501),0),'Raw Data'!Q1401)</f>
        <v>3</v>
      </c>
      <c r="R1401" s="21">
        <f>'Raw Data'!R1401</f>
        <v>5</v>
      </c>
      <c r="S1401" s="21">
        <f>IF('Raw Data'!S1401="",ROUND(AVERAGE('Raw Data'!$S$2:$S$1501),0),'Raw Data'!S1401)</f>
        <v>0</v>
      </c>
      <c r="T1401" s="21">
        <f>'Raw Data'!T1401</f>
        <v>96.01</v>
      </c>
      <c r="U1401" s="21" t="str">
        <f>INDEX('Lookup Tables'!$C$7:$C$9,MATCH(E1401,'Lookup Tables'!$B$7:$B$9,0))</f>
        <v>Tier 2 (Urban)</v>
      </c>
      <c r="V1401" s="21" t="str">
        <f t="shared" si="63"/>
        <v>13-24 months</v>
      </c>
      <c r="W1401" s="21" t="str">
        <f t="shared" si="64"/>
        <v>Low Risk</v>
      </c>
      <c r="X1401" s="21" t="str">
        <f t="shared" si="65"/>
        <v>No</v>
      </c>
    </row>
    <row r="1402" spans="1:24" x14ac:dyDescent="0.3">
      <c r="A1402" s="21">
        <f>'Raw Data'!A1402</f>
        <v>51401</v>
      </c>
      <c r="B1402" s="21">
        <f>'Raw Data'!B1402</f>
        <v>0</v>
      </c>
      <c r="C1402" s="21">
        <f>'Raw Data'!C1402</f>
        <v>7</v>
      </c>
      <c r="D1402" s="21" t="str">
        <f>'Raw Data'!D1402</f>
        <v>Mobile Phone</v>
      </c>
      <c r="E1402" s="21">
        <f>'Raw Data'!E1402</f>
        <v>3</v>
      </c>
      <c r="F1402" s="21">
        <f>IF('Raw Data'!F1402="",ROUND(AVERAGE('Raw Data'!$F$2:$F$1501),1),'Raw Data'!F1402)</f>
        <v>7</v>
      </c>
      <c r="G1402" s="21" t="str">
        <f>'Raw Data'!G1402</f>
        <v>E wallet</v>
      </c>
      <c r="H1402" s="21" t="str">
        <f>'Raw Data'!H1402</f>
        <v>Female</v>
      </c>
      <c r="I1402" s="21">
        <f>IF('Raw Data'!I1402="",ROUND(AVERAGE('Raw Data'!$I$2:$I$1501),1),'Raw Data'!I1402)</f>
        <v>3.9</v>
      </c>
      <c r="J1402" s="21">
        <f>'Raw Data'!J1402</f>
        <v>4</v>
      </c>
      <c r="K1402" s="21" t="str">
        <f>'Raw Data'!K1402</f>
        <v>Mobile Phone</v>
      </c>
      <c r="L1402" s="21">
        <f>'Raw Data'!L1402</f>
        <v>1</v>
      </c>
      <c r="M1402" s="21" t="str">
        <f>'Raw Data'!M1402</f>
        <v>Single</v>
      </c>
      <c r="N1402" s="21">
        <f>'Raw Data'!N1402</f>
        <v>1</v>
      </c>
      <c r="O1402" s="21">
        <f>'Raw Data'!O1402</f>
        <v>0</v>
      </c>
      <c r="P1402" s="21">
        <f>IF('Raw Data'!P1402="",ROUND(AVERAGE('Raw Data'!$P$2:$P$1501),1),'Raw Data'!P1402)</f>
        <v>15.6</v>
      </c>
      <c r="Q1402" s="21">
        <f>IF('Raw Data'!Q1402="",ROUND(AVERAGE('Raw Data'!$Q$2:$Q$1501),0),'Raw Data'!Q1402)</f>
        <v>0</v>
      </c>
      <c r="R1402" s="21">
        <f>'Raw Data'!R1402</f>
        <v>3</v>
      </c>
      <c r="S1402" s="21">
        <f>IF('Raw Data'!S1402="",ROUND(AVERAGE('Raw Data'!$S$2:$S$1501),0),'Raw Data'!S1402)</f>
        <v>2</v>
      </c>
      <c r="T1402" s="21">
        <f>'Raw Data'!T1402</f>
        <v>251</v>
      </c>
      <c r="U1402" s="21" t="str">
        <f>INDEX('Lookup Tables'!$C$7:$C$9,MATCH(E1402,'Lookup Tables'!$B$7:$B$9,0))</f>
        <v>Tier 3 (Semi-urban/Rural)</v>
      </c>
      <c r="V1402" s="21" t="str">
        <f t="shared" si="63"/>
        <v>7-12 months</v>
      </c>
      <c r="W1402" s="21" t="str">
        <f t="shared" si="64"/>
        <v>Low Risk</v>
      </c>
      <c r="X1402" s="21" t="str">
        <f t="shared" si="65"/>
        <v>No</v>
      </c>
    </row>
    <row r="1403" spans="1:24" x14ac:dyDescent="0.3">
      <c r="A1403" s="21">
        <f>'Raw Data'!A1403</f>
        <v>51402</v>
      </c>
      <c r="B1403" s="21">
        <f>'Raw Data'!B1403</f>
        <v>1</v>
      </c>
      <c r="C1403" s="21">
        <f>'Raw Data'!C1403</f>
        <v>4</v>
      </c>
      <c r="D1403" s="21" t="str">
        <f>'Raw Data'!D1403</f>
        <v>Computer</v>
      </c>
      <c r="E1403" s="21">
        <f>'Raw Data'!E1403</f>
        <v>1</v>
      </c>
      <c r="F1403" s="21">
        <f>IF('Raw Data'!F1403="",ROUND(AVERAGE('Raw Data'!$F$2:$F$1501),1),'Raw Data'!F1403)</f>
        <v>14.8</v>
      </c>
      <c r="G1403" s="21" t="str">
        <f>'Raw Data'!G1403</f>
        <v>Credit Card</v>
      </c>
      <c r="H1403" s="21" t="str">
        <f>'Raw Data'!H1403</f>
        <v>Male</v>
      </c>
      <c r="I1403" s="21">
        <f>IF('Raw Data'!I1403="",ROUND(AVERAGE('Raw Data'!$I$2:$I$1501),1),'Raw Data'!I1403)</f>
        <v>2.9</v>
      </c>
      <c r="J1403" s="21">
        <f>'Raw Data'!J1403</f>
        <v>4</v>
      </c>
      <c r="K1403" s="21" t="str">
        <f>'Raw Data'!K1403</f>
        <v>Grocery</v>
      </c>
      <c r="L1403" s="21">
        <f>'Raw Data'!L1403</f>
        <v>3</v>
      </c>
      <c r="M1403" s="21" t="str">
        <f>'Raw Data'!M1403</f>
        <v>Single</v>
      </c>
      <c r="N1403" s="21">
        <f>'Raw Data'!N1403</f>
        <v>3</v>
      </c>
      <c r="O1403" s="21">
        <f>'Raw Data'!O1403</f>
        <v>0</v>
      </c>
      <c r="P1403" s="21">
        <f>IF('Raw Data'!P1403="",ROUND(AVERAGE('Raw Data'!$P$2:$P$1501),1),'Raw Data'!P1403)</f>
        <v>18.100000000000001</v>
      </c>
      <c r="Q1403" s="21">
        <f>IF('Raw Data'!Q1403="",ROUND(AVERAGE('Raw Data'!$Q$2:$Q$1501),0),'Raw Data'!Q1403)</f>
        <v>1</v>
      </c>
      <c r="R1403" s="21">
        <f>'Raw Data'!R1403</f>
        <v>6</v>
      </c>
      <c r="S1403" s="21">
        <f>IF('Raw Data'!S1403="",ROUND(AVERAGE('Raw Data'!$S$2:$S$1501),0),'Raw Data'!S1403)</f>
        <v>1</v>
      </c>
      <c r="T1403" s="21">
        <f>'Raw Data'!T1403</f>
        <v>116.46</v>
      </c>
      <c r="U1403" s="21" t="str">
        <f>INDEX('Lookup Tables'!$C$7:$C$9,MATCH(E1403,'Lookup Tables'!$B$7:$B$9,0))</f>
        <v>Tier 1 (Metro)</v>
      </c>
      <c r="V1403" s="21" t="str">
        <f t="shared" si="63"/>
        <v>0-6 months</v>
      </c>
      <c r="W1403" s="21" t="str">
        <f t="shared" si="64"/>
        <v>Medium Risk</v>
      </c>
      <c r="X1403" s="21" t="str">
        <f t="shared" si="65"/>
        <v>Yes</v>
      </c>
    </row>
    <row r="1404" spans="1:24" x14ac:dyDescent="0.3">
      <c r="A1404" s="21">
        <f>'Raw Data'!A1404</f>
        <v>51403</v>
      </c>
      <c r="B1404" s="21">
        <f>'Raw Data'!B1404</f>
        <v>0</v>
      </c>
      <c r="C1404" s="21">
        <f>'Raw Data'!C1404</f>
        <v>37</v>
      </c>
      <c r="D1404" s="21" t="str">
        <f>'Raw Data'!D1404</f>
        <v>Phone</v>
      </c>
      <c r="E1404" s="21">
        <f>'Raw Data'!E1404</f>
        <v>2</v>
      </c>
      <c r="F1404" s="21">
        <f>IF('Raw Data'!F1404="",ROUND(AVERAGE('Raw Data'!$F$2:$F$1501),1),'Raw Data'!F1404)</f>
        <v>23</v>
      </c>
      <c r="G1404" s="21" t="str">
        <f>'Raw Data'!G1404</f>
        <v>Credit Card</v>
      </c>
      <c r="H1404" s="21" t="str">
        <f>'Raw Data'!H1404</f>
        <v>Male</v>
      </c>
      <c r="I1404" s="21">
        <f>IF('Raw Data'!I1404="",ROUND(AVERAGE('Raw Data'!$I$2:$I$1501),1),'Raw Data'!I1404)</f>
        <v>2.2999999999999998</v>
      </c>
      <c r="J1404" s="21">
        <f>'Raw Data'!J1404</f>
        <v>3</v>
      </c>
      <c r="K1404" s="21" t="str">
        <f>'Raw Data'!K1404</f>
        <v>Mobile Phone</v>
      </c>
      <c r="L1404" s="21">
        <f>'Raw Data'!L1404</f>
        <v>5</v>
      </c>
      <c r="M1404" s="21" t="str">
        <f>'Raw Data'!M1404</f>
        <v>Married</v>
      </c>
      <c r="N1404" s="21">
        <f>'Raw Data'!N1404</f>
        <v>8</v>
      </c>
      <c r="O1404" s="21">
        <f>'Raw Data'!O1404</f>
        <v>1</v>
      </c>
      <c r="P1404" s="21">
        <f>IF('Raw Data'!P1404="",ROUND(AVERAGE('Raw Data'!$P$2:$P$1501),1),'Raw Data'!P1404)</f>
        <v>16.3</v>
      </c>
      <c r="Q1404" s="21">
        <f>IF('Raw Data'!Q1404="",ROUND(AVERAGE('Raw Data'!$Q$2:$Q$1501),0),'Raw Data'!Q1404)</f>
        <v>3</v>
      </c>
      <c r="R1404" s="21">
        <f>'Raw Data'!R1404</f>
        <v>1</v>
      </c>
      <c r="S1404" s="21">
        <f>IF('Raw Data'!S1404="",ROUND(AVERAGE('Raw Data'!$S$2:$S$1501),0),'Raw Data'!S1404)</f>
        <v>4</v>
      </c>
      <c r="T1404" s="21">
        <f>'Raw Data'!T1404</f>
        <v>221.89</v>
      </c>
      <c r="U1404" s="21" t="str">
        <f>INDEX('Lookup Tables'!$C$7:$C$9,MATCH(E1404,'Lookup Tables'!$B$7:$B$9,0))</f>
        <v>Tier 2 (Urban)</v>
      </c>
      <c r="V1404" s="21" t="str">
        <f t="shared" si="63"/>
        <v>25+ months</v>
      </c>
      <c r="W1404" s="21" t="str">
        <f t="shared" si="64"/>
        <v>Low Risk</v>
      </c>
      <c r="X1404" s="21" t="str">
        <f t="shared" si="65"/>
        <v>No</v>
      </c>
    </row>
    <row r="1405" spans="1:24" x14ac:dyDescent="0.3">
      <c r="A1405" s="21">
        <f>'Raw Data'!A1405</f>
        <v>51404</v>
      </c>
      <c r="B1405" s="21">
        <f>'Raw Data'!B1405</f>
        <v>0</v>
      </c>
      <c r="C1405" s="21">
        <f>'Raw Data'!C1405</f>
        <v>1</v>
      </c>
      <c r="D1405" s="21" t="str">
        <f>'Raw Data'!D1405</f>
        <v>Mobile Phone</v>
      </c>
      <c r="E1405" s="21">
        <f>'Raw Data'!E1405</f>
        <v>2</v>
      </c>
      <c r="F1405" s="21">
        <f>IF('Raw Data'!F1405="",ROUND(AVERAGE('Raw Data'!$F$2:$F$1501),1),'Raw Data'!F1405)</f>
        <v>22</v>
      </c>
      <c r="G1405" s="21" t="str">
        <f>'Raw Data'!G1405</f>
        <v>Debit Card</v>
      </c>
      <c r="H1405" s="21" t="str">
        <f>'Raw Data'!H1405</f>
        <v>Female</v>
      </c>
      <c r="I1405" s="21">
        <f>IF('Raw Data'!I1405="",ROUND(AVERAGE('Raw Data'!$I$2:$I$1501),1),'Raw Data'!I1405)</f>
        <v>2.5</v>
      </c>
      <c r="J1405" s="21">
        <f>'Raw Data'!J1405</f>
        <v>4</v>
      </c>
      <c r="K1405" s="21" t="str">
        <f>'Raw Data'!K1405</f>
        <v>Fashion</v>
      </c>
      <c r="L1405" s="21">
        <f>'Raw Data'!L1405</f>
        <v>5</v>
      </c>
      <c r="M1405" s="21" t="str">
        <f>'Raw Data'!M1405</f>
        <v>Single</v>
      </c>
      <c r="N1405" s="21">
        <f>'Raw Data'!N1405</f>
        <v>1</v>
      </c>
      <c r="O1405" s="21">
        <f>'Raw Data'!O1405</f>
        <v>1</v>
      </c>
      <c r="P1405" s="21">
        <f>IF('Raw Data'!P1405="",ROUND(AVERAGE('Raw Data'!$P$2:$P$1501),1),'Raw Data'!P1405)</f>
        <v>18.100000000000001</v>
      </c>
      <c r="Q1405" s="21">
        <f>IF('Raw Data'!Q1405="",ROUND(AVERAGE('Raw Data'!$Q$2:$Q$1501),0),'Raw Data'!Q1405)</f>
        <v>4</v>
      </c>
      <c r="R1405" s="21">
        <f>'Raw Data'!R1405</f>
        <v>4</v>
      </c>
      <c r="S1405" s="21">
        <f>IF('Raw Data'!S1405="",ROUND(AVERAGE('Raw Data'!$S$2:$S$1501),0),'Raw Data'!S1405)</f>
        <v>4</v>
      </c>
      <c r="T1405" s="21">
        <f>'Raw Data'!T1405</f>
        <v>184.37</v>
      </c>
      <c r="U1405" s="21" t="str">
        <f>INDEX('Lookup Tables'!$C$7:$C$9,MATCH(E1405,'Lookup Tables'!$B$7:$B$9,0))</f>
        <v>Tier 2 (Urban)</v>
      </c>
      <c r="V1405" s="21" t="str">
        <f t="shared" si="63"/>
        <v>0-6 months</v>
      </c>
      <c r="W1405" s="21" t="str">
        <f t="shared" si="64"/>
        <v>Low Risk</v>
      </c>
      <c r="X1405" s="21" t="str">
        <f t="shared" si="65"/>
        <v>No</v>
      </c>
    </row>
    <row r="1406" spans="1:24" x14ac:dyDescent="0.3">
      <c r="A1406" s="21">
        <f>'Raw Data'!A1406</f>
        <v>51405</v>
      </c>
      <c r="B1406" s="21">
        <f>'Raw Data'!B1406</f>
        <v>0</v>
      </c>
      <c r="C1406" s="21">
        <f>'Raw Data'!C1406</f>
        <v>5</v>
      </c>
      <c r="D1406" s="21" t="str">
        <f>'Raw Data'!D1406</f>
        <v>Mobile Phone</v>
      </c>
      <c r="E1406" s="21">
        <f>'Raw Data'!E1406</f>
        <v>1</v>
      </c>
      <c r="F1406" s="21">
        <f>IF('Raw Data'!F1406="",ROUND(AVERAGE('Raw Data'!$F$2:$F$1501),1),'Raw Data'!F1406)</f>
        <v>18</v>
      </c>
      <c r="G1406" s="21" t="str">
        <f>'Raw Data'!G1406</f>
        <v>Credit Card</v>
      </c>
      <c r="H1406" s="21" t="str">
        <f>'Raw Data'!H1406</f>
        <v>Male</v>
      </c>
      <c r="I1406" s="21">
        <f>IF('Raw Data'!I1406="",ROUND(AVERAGE('Raw Data'!$I$2:$I$1501),1),'Raw Data'!I1406)</f>
        <v>2.6</v>
      </c>
      <c r="J1406" s="21">
        <f>'Raw Data'!J1406</f>
        <v>2</v>
      </c>
      <c r="K1406" s="21" t="str">
        <f>'Raw Data'!K1406</f>
        <v>Fashion</v>
      </c>
      <c r="L1406" s="21">
        <f>'Raw Data'!L1406</f>
        <v>3</v>
      </c>
      <c r="M1406" s="21" t="str">
        <f>'Raw Data'!M1406</f>
        <v>Married</v>
      </c>
      <c r="N1406" s="21">
        <f>'Raw Data'!N1406</f>
        <v>1</v>
      </c>
      <c r="O1406" s="21">
        <f>'Raw Data'!O1406</f>
        <v>0</v>
      </c>
      <c r="P1406" s="21">
        <f>IF('Raw Data'!P1406="",ROUND(AVERAGE('Raw Data'!$P$2:$P$1501),1),'Raw Data'!P1406)</f>
        <v>20.100000000000001</v>
      </c>
      <c r="Q1406" s="21">
        <f>IF('Raw Data'!Q1406="",ROUND(AVERAGE('Raw Data'!$Q$2:$Q$1501),0),'Raw Data'!Q1406)</f>
        <v>1</v>
      </c>
      <c r="R1406" s="21">
        <f>'Raw Data'!R1406</f>
        <v>3</v>
      </c>
      <c r="S1406" s="21">
        <f>IF('Raw Data'!S1406="",ROUND(AVERAGE('Raw Data'!$S$2:$S$1501),0),'Raw Data'!S1406)</f>
        <v>2</v>
      </c>
      <c r="T1406" s="21">
        <f>'Raw Data'!T1406</f>
        <v>109.54</v>
      </c>
      <c r="U1406" s="21" t="str">
        <f>INDEX('Lookup Tables'!$C$7:$C$9,MATCH(E1406,'Lookup Tables'!$B$7:$B$9,0))</f>
        <v>Tier 1 (Metro)</v>
      </c>
      <c r="V1406" s="21" t="str">
        <f t="shared" si="63"/>
        <v>0-6 months</v>
      </c>
      <c r="W1406" s="21" t="str">
        <f t="shared" si="64"/>
        <v>Medium Risk</v>
      </c>
      <c r="X1406" s="21" t="str">
        <f t="shared" si="65"/>
        <v>No</v>
      </c>
    </row>
    <row r="1407" spans="1:24" x14ac:dyDescent="0.3">
      <c r="A1407" s="21">
        <f>'Raw Data'!A1407</f>
        <v>51406</v>
      </c>
      <c r="B1407" s="21">
        <f>'Raw Data'!B1407</f>
        <v>0</v>
      </c>
      <c r="C1407" s="21">
        <f>'Raw Data'!C1407</f>
        <v>0</v>
      </c>
      <c r="D1407" s="21" t="str">
        <f>'Raw Data'!D1407</f>
        <v>Phone</v>
      </c>
      <c r="E1407" s="21">
        <f>'Raw Data'!E1407</f>
        <v>3</v>
      </c>
      <c r="F1407" s="21">
        <f>IF('Raw Data'!F1407="",ROUND(AVERAGE('Raw Data'!$F$2:$F$1501),1),'Raw Data'!F1407)</f>
        <v>23</v>
      </c>
      <c r="G1407" s="21" t="str">
        <f>'Raw Data'!G1407</f>
        <v>E wallet</v>
      </c>
      <c r="H1407" s="21" t="str">
        <f>'Raw Data'!H1407</f>
        <v>Male</v>
      </c>
      <c r="I1407" s="21">
        <f>IF('Raw Data'!I1407="",ROUND(AVERAGE('Raw Data'!$I$2:$I$1501),1),'Raw Data'!I1407)</f>
        <v>3.4</v>
      </c>
      <c r="J1407" s="21">
        <f>'Raw Data'!J1407</f>
        <v>5</v>
      </c>
      <c r="K1407" s="21" t="str">
        <f>'Raw Data'!K1407</f>
        <v>Laptop &amp; Accessory</v>
      </c>
      <c r="L1407" s="21">
        <f>'Raw Data'!L1407</f>
        <v>2</v>
      </c>
      <c r="M1407" s="21" t="str">
        <f>'Raw Data'!M1407</f>
        <v>Married</v>
      </c>
      <c r="N1407" s="21">
        <f>'Raw Data'!N1407</f>
        <v>1</v>
      </c>
      <c r="O1407" s="21">
        <f>'Raw Data'!O1407</f>
        <v>1</v>
      </c>
      <c r="P1407" s="21">
        <f>IF('Raw Data'!P1407="",ROUND(AVERAGE('Raw Data'!$P$2:$P$1501),1),'Raw Data'!P1407)</f>
        <v>16.8</v>
      </c>
      <c r="Q1407" s="21">
        <f>IF('Raw Data'!Q1407="",ROUND(AVERAGE('Raw Data'!$Q$2:$Q$1501),0),'Raw Data'!Q1407)</f>
        <v>1</v>
      </c>
      <c r="R1407" s="21">
        <f>'Raw Data'!R1407</f>
        <v>6</v>
      </c>
      <c r="S1407" s="21">
        <f>IF('Raw Data'!S1407="",ROUND(AVERAGE('Raw Data'!$S$2:$S$1501),0),'Raw Data'!S1407)</f>
        <v>3</v>
      </c>
      <c r="T1407" s="21">
        <f>'Raw Data'!T1407</f>
        <v>209.05</v>
      </c>
      <c r="U1407" s="21" t="str">
        <f>INDEX('Lookup Tables'!$C$7:$C$9,MATCH(E1407,'Lookup Tables'!$B$7:$B$9,0))</f>
        <v>Tier 3 (Semi-urban/Rural)</v>
      </c>
      <c r="V1407" s="21" t="str">
        <f t="shared" si="63"/>
        <v>0-6 months</v>
      </c>
      <c r="W1407" s="21" t="str">
        <f t="shared" si="64"/>
        <v>High Risk</v>
      </c>
      <c r="X1407" s="21" t="str">
        <f t="shared" si="65"/>
        <v>No</v>
      </c>
    </row>
    <row r="1408" spans="1:24" x14ac:dyDescent="0.3">
      <c r="A1408" s="21">
        <f>'Raw Data'!A1408</f>
        <v>51407</v>
      </c>
      <c r="B1408" s="21">
        <f>'Raw Data'!B1408</f>
        <v>0</v>
      </c>
      <c r="C1408" s="21">
        <f>'Raw Data'!C1408</f>
        <v>13</v>
      </c>
      <c r="D1408" s="21" t="str">
        <f>'Raw Data'!D1408</f>
        <v>Mobile Phone</v>
      </c>
      <c r="E1408" s="21">
        <f>'Raw Data'!E1408</f>
        <v>3</v>
      </c>
      <c r="F1408" s="21">
        <f>IF('Raw Data'!F1408="",ROUND(AVERAGE('Raw Data'!$F$2:$F$1501),1),'Raw Data'!F1408)</f>
        <v>7</v>
      </c>
      <c r="G1408" s="21" t="str">
        <f>'Raw Data'!G1408</f>
        <v>Credit Card</v>
      </c>
      <c r="H1408" s="21" t="str">
        <f>'Raw Data'!H1408</f>
        <v>Female</v>
      </c>
      <c r="I1408" s="21">
        <f>IF('Raw Data'!I1408="",ROUND(AVERAGE('Raw Data'!$I$2:$I$1501),1),'Raw Data'!I1408)</f>
        <v>2.8</v>
      </c>
      <c r="J1408" s="21">
        <f>'Raw Data'!J1408</f>
        <v>3</v>
      </c>
      <c r="K1408" s="21" t="str">
        <f>'Raw Data'!K1408</f>
        <v>Grocery</v>
      </c>
      <c r="L1408" s="21">
        <f>'Raw Data'!L1408</f>
        <v>3</v>
      </c>
      <c r="M1408" s="21" t="str">
        <f>'Raw Data'!M1408</f>
        <v>Divorced</v>
      </c>
      <c r="N1408" s="21">
        <f>'Raw Data'!N1408</f>
        <v>1</v>
      </c>
      <c r="O1408" s="21">
        <f>'Raw Data'!O1408</f>
        <v>0</v>
      </c>
      <c r="P1408" s="21">
        <f>IF('Raw Data'!P1408="",ROUND(AVERAGE('Raw Data'!$P$2:$P$1501),1),'Raw Data'!P1408)</f>
        <v>15.9</v>
      </c>
      <c r="Q1408" s="21">
        <f>IF('Raw Data'!Q1408="",ROUND(AVERAGE('Raw Data'!$Q$2:$Q$1501),0),'Raw Data'!Q1408)</f>
        <v>3</v>
      </c>
      <c r="R1408" s="21">
        <f>'Raw Data'!R1408</f>
        <v>7</v>
      </c>
      <c r="S1408" s="21">
        <f>IF('Raw Data'!S1408="",ROUND(AVERAGE('Raw Data'!$S$2:$S$1501),0),'Raw Data'!S1408)</f>
        <v>1</v>
      </c>
      <c r="T1408" s="21">
        <f>'Raw Data'!T1408</f>
        <v>128</v>
      </c>
      <c r="U1408" s="21" t="str">
        <f>INDEX('Lookup Tables'!$C$7:$C$9,MATCH(E1408,'Lookup Tables'!$B$7:$B$9,0))</f>
        <v>Tier 3 (Semi-urban/Rural)</v>
      </c>
      <c r="V1408" s="21" t="str">
        <f t="shared" si="63"/>
        <v>13-24 months</v>
      </c>
      <c r="W1408" s="21" t="str">
        <f t="shared" si="64"/>
        <v>Medium Risk</v>
      </c>
      <c r="X1408" s="21" t="str">
        <f t="shared" si="65"/>
        <v>No</v>
      </c>
    </row>
    <row r="1409" spans="1:24" x14ac:dyDescent="0.3">
      <c r="A1409" s="21">
        <f>'Raw Data'!A1409</f>
        <v>51408</v>
      </c>
      <c r="B1409" s="21">
        <f>'Raw Data'!B1409</f>
        <v>0</v>
      </c>
      <c r="C1409" s="21">
        <f>'Raw Data'!C1409</f>
        <v>25</v>
      </c>
      <c r="D1409" s="21" t="str">
        <f>'Raw Data'!D1409</f>
        <v>Mobile Phone</v>
      </c>
      <c r="E1409" s="21">
        <f>'Raw Data'!E1409</f>
        <v>3</v>
      </c>
      <c r="F1409" s="21">
        <f>IF('Raw Data'!F1409="",ROUND(AVERAGE('Raw Data'!$F$2:$F$1501),1),'Raw Data'!F1409)</f>
        <v>17</v>
      </c>
      <c r="G1409" s="21" t="str">
        <f>'Raw Data'!G1409</f>
        <v>E wallet</v>
      </c>
      <c r="H1409" s="21" t="str">
        <f>'Raw Data'!H1409</f>
        <v>Female</v>
      </c>
      <c r="I1409" s="21">
        <f>IF('Raw Data'!I1409="",ROUND(AVERAGE('Raw Data'!$I$2:$I$1501),1),'Raw Data'!I1409)</f>
        <v>3.2</v>
      </c>
      <c r="J1409" s="21">
        <f>'Raw Data'!J1409</f>
        <v>4</v>
      </c>
      <c r="K1409" s="21" t="str">
        <f>'Raw Data'!K1409</f>
        <v>Laptop &amp; Accessory</v>
      </c>
      <c r="L1409" s="21">
        <f>'Raw Data'!L1409</f>
        <v>3</v>
      </c>
      <c r="M1409" s="21" t="str">
        <f>'Raw Data'!M1409</f>
        <v>Married</v>
      </c>
      <c r="N1409" s="21">
        <f>'Raw Data'!N1409</f>
        <v>1</v>
      </c>
      <c r="O1409" s="21">
        <f>'Raw Data'!O1409</f>
        <v>0</v>
      </c>
      <c r="P1409" s="21">
        <f>IF('Raw Data'!P1409="",ROUND(AVERAGE('Raw Data'!$P$2:$P$1501),1),'Raw Data'!P1409)</f>
        <v>18.899999999999999</v>
      </c>
      <c r="Q1409" s="21">
        <f>IF('Raw Data'!Q1409="",ROUND(AVERAGE('Raw Data'!$Q$2:$Q$1501),0),'Raw Data'!Q1409)</f>
        <v>2</v>
      </c>
      <c r="R1409" s="21">
        <f>'Raw Data'!R1409</f>
        <v>4</v>
      </c>
      <c r="S1409" s="21">
        <f>IF('Raw Data'!S1409="",ROUND(AVERAGE('Raw Data'!$S$2:$S$1501),0),'Raw Data'!S1409)</f>
        <v>7</v>
      </c>
      <c r="T1409" s="21">
        <f>'Raw Data'!T1409</f>
        <v>238.78</v>
      </c>
      <c r="U1409" s="21" t="str">
        <f>INDEX('Lookup Tables'!$C$7:$C$9,MATCH(E1409,'Lookup Tables'!$B$7:$B$9,0))</f>
        <v>Tier 3 (Semi-urban/Rural)</v>
      </c>
      <c r="V1409" s="21" t="str">
        <f t="shared" si="63"/>
        <v>25+ months</v>
      </c>
      <c r="W1409" s="21" t="str">
        <f t="shared" si="64"/>
        <v>Medium Risk</v>
      </c>
      <c r="X1409" s="21" t="str">
        <f t="shared" si="65"/>
        <v>No</v>
      </c>
    </row>
    <row r="1410" spans="1:24" x14ac:dyDescent="0.3">
      <c r="A1410" s="21">
        <f>'Raw Data'!A1410</f>
        <v>51409</v>
      </c>
      <c r="B1410" s="21">
        <f>'Raw Data'!B1410</f>
        <v>0</v>
      </c>
      <c r="C1410" s="21">
        <f>'Raw Data'!C1410</f>
        <v>3</v>
      </c>
      <c r="D1410" s="21" t="str">
        <f>'Raw Data'!D1410</f>
        <v>Phone</v>
      </c>
      <c r="E1410" s="21">
        <f>'Raw Data'!E1410</f>
        <v>3</v>
      </c>
      <c r="F1410" s="21">
        <f>IF('Raw Data'!F1410="",ROUND(AVERAGE('Raw Data'!$F$2:$F$1501),1),'Raw Data'!F1410)</f>
        <v>13</v>
      </c>
      <c r="G1410" s="21" t="str">
        <f>'Raw Data'!G1410</f>
        <v>UPI</v>
      </c>
      <c r="H1410" s="21" t="str">
        <f>'Raw Data'!H1410</f>
        <v>Female</v>
      </c>
      <c r="I1410" s="21">
        <f>IF('Raw Data'!I1410="",ROUND(AVERAGE('Raw Data'!$I$2:$I$1501),1),'Raw Data'!I1410)</f>
        <v>2.5</v>
      </c>
      <c r="J1410" s="21">
        <f>'Raw Data'!J1410</f>
        <v>4</v>
      </c>
      <c r="K1410" s="21" t="str">
        <f>'Raw Data'!K1410</f>
        <v>Others</v>
      </c>
      <c r="L1410" s="21">
        <f>'Raw Data'!L1410</f>
        <v>4</v>
      </c>
      <c r="M1410" s="21" t="str">
        <f>'Raw Data'!M1410</f>
        <v>Single</v>
      </c>
      <c r="N1410" s="21">
        <f>'Raw Data'!N1410</f>
        <v>1</v>
      </c>
      <c r="O1410" s="21">
        <f>'Raw Data'!O1410</f>
        <v>0</v>
      </c>
      <c r="P1410" s="21">
        <f>IF('Raw Data'!P1410="",ROUND(AVERAGE('Raw Data'!$P$2:$P$1501),1),'Raw Data'!P1410)</f>
        <v>13</v>
      </c>
      <c r="Q1410" s="21">
        <f>IF('Raw Data'!Q1410="",ROUND(AVERAGE('Raw Data'!$Q$2:$Q$1501),0),'Raw Data'!Q1410)</f>
        <v>0</v>
      </c>
      <c r="R1410" s="21">
        <f>'Raw Data'!R1410</f>
        <v>2</v>
      </c>
      <c r="S1410" s="21">
        <f>IF('Raw Data'!S1410="",ROUND(AVERAGE('Raw Data'!$S$2:$S$1501),0),'Raw Data'!S1410)</f>
        <v>1</v>
      </c>
      <c r="T1410" s="21">
        <f>'Raw Data'!T1410</f>
        <v>140.9</v>
      </c>
      <c r="U1410" s="21" t="str">
        <f>INDEX('Lookup Tables'!$C$7:$C$9,MATCH(E1410,'Lookup Tables'!$B$7:$B$9,0))</f>
        <v>Tier 3 (Semi-urban/Rural)</v>
      </c>
      <c r="V1410" s="21" t="str">
        <f t="shared" ref="V1410:V1473" si="66">IF(C1410&lt;=6,"0-6 months",IF(C1410&lt;=12,"7-12 months",IF(C1410&lt;=24,"13-24 months","25+ months")))</f>
        <v>0-6 months</v>
      </c>
      <c r="W1410" s="21" t="str">
        <f t="shared" ref="W1410:W1473" si="67">IF(AND(O1410=1,L1410&lt;=2),"High Risk",IF(OR(L1410=3,S1410&gt;15),"Medium Risk","Low Risk"))</f>
        <v>Low Risk</v>
      </c>
      <c r="X1410" s="21" t="str">
        <f t="shared" ref="X1410:X1473" si="68">IF(B1410=1,"Yes","No")</f>
        <v>No</v>
      </c>
    </row>
    <row r="1411" spans="1:24" x14ac:dyDescent="0.3">
      <c r="A1411" s="21">
        <f>'Raw Data'!A1411</f>
        <v>51410</v>
      </c>
      <c r="B1411" s="21">
        <f>'Raw Data'!B1411</f>
        <v>0</v>
      </c>
      <c r="C1411" s="21">
        <f>'Raw Data'!C1411</f>
        <v>19</v>
      </c>
      <c r="D1411" s="21" t="str">
        <f>'Raw Data'!D1411</f>
        <v>Computer</v>
      </c>
      <c r="E1411" s="21">
        <f>'Raw Data'!E1411</f>
        <v>1</v>
      </c>
      <c r="F1411" s="21">
        <f>IF('Raw Data'!F1411="",ROUND(AVERAGE('Raw Data'!$F$2:$F$1501),1),'Raw Data'!F1411)</f>
        <v>21</v>
      </c>
      <c r="G1411" s="21" t="str">
        <f>'Raw Data'!G1411</f>
        <v>Debit Card</v>
      </c>
      <c r="H1411" s="21" t="str">
        <f>'Raw Data'!H1411</f>
        <v>Male</v>
      </c>
      <c r="I1411" s="21">
        <f>IF('Raw Data'!I1411="",ROUND(AVERAGE('Raw Data'!$I$2:$I$1501),1),'Raw Data'!I1411)</f>
        <v>3.1</v>
      </c>
      <c r="J1411" s="21">
        <f>'Raw Data'!J1411</f>
        <v>4</v>
      </c>
      <c r="K1411" s="21" t="str">
        <f>'Raw Data'!K1411</f>
        <v>Laptop &amp; Accessory</v>
      </c>
      <c r="L1411" s="21">
        <f>'Raw Data'!L1411</f>
        <v>5</v>
      </c>
      <c r="M1411" s="21" t="str">
        <f>'Raw Data'!M1411</f>
        <v>Single</v>
      </c>
      <c r="N1411" s="21">
        <f>'Raw Data'!N1411</f>
        <v>1</v>
      </c>
      <c r="O1411" s="21">
        <f>'Raw Data'!O1411</f>
        <v>1</v>
      </c>
      <c r="P1411" s="21">
        <f>IF('Raw Data'!P1411="",ROUND(AVERAGE('Raw Data'!$P$2:$P$1501),1),'Raw Data'!P1411)</f>
        <v>12.7</v>
      </c>
      <c r="Q1411" s="21">
        <f>IF('Raw Data'!Q1411="",ROUND(AVERAGE('Raw Data'!$Q$2:$Q$1501),0),'Raw Data'!Q1411)</f>
        <v>2</v>
      </c>
      <c r="R1411" s="21">
        <f>'Raw Data'!R1411</f>
        <v>5</v>
      </c>
      <c r="S1411" s="21">
        <f>IF('Raw Data'!S1411="",ROUND(AVERAGE('Raw Data'!$S$2:$S$1501),0),'Raw Data'!S1411)</f>
        <v>2</v>
      </c>
      <c r="T1411" s="21">
        <f>'Raw Data'!T1411</f>
        <v>97.78</v>
      </c>
      <c r="U1411" s="21" t="str">
        <f>INDEX('Lookup Tables'!$C$7:$C$9,MATCH(E1411,'Lookup Tables'!$B$7:$B$9,0))</f>
        <v>Tier 1 (Metro)</v>
      </c>
      <c r="V1411" s="21" t="str">
        <f t="shared" si="66"/>
        <v>13-24 months</v>
      </c>
      <c r="W1411" s="21" t="str">
        <f t="shared" si="67"/>
        <v>Low Risk</v>
      </c>
      <c r="X1411" s="21" t="str">
        <f t="shared" si="68"/>
        <v>No</v>
      </c>
    </row>
    <row r="1412" spans="1:24" x14ac:dyDescent="0.3">
      <c r="A1412" s="21">
        <f>'Raw Data'!A1412</f>
        <v>51411</v>
      </c>
      <c r="B1412" s="21">
        <f>'Raw Data'!B1412</f>
        <v>1</v>
      </c>
      <c r="C1412" s="21">
        <f>'Raw Data'!C1412</f>
        <v>3</v>
      </c>
      <c r="D1412" s="21" t="str">
        <f>'Raw Data'!D1412</f>
        <v>Mobile Phone</v>
      </c>
      <c r="E1412" s="21">
        <f>'Raw Data'!E1412</f>
        <v>1</v>
      </c>
      <c r="F1412" s="21">
        <f>IF('Raw Data'!F1412="",ROUND(AVERAGE('Raw Data'!$F$2:$F$1501),1),'Raw Data'!F1412)</f>
        <v>14</v>
      </c>
      <c r="G1412" s="21" t="str">
        <f>'Raw Data'!G1412</f>
        <v>Credit Card</v>
      </c>
      <c r="H1412" s="21" t="str">
        <f>'Raw Data'!H1412</f>
        <v>Female</v>
      </c>
      <c r="I1412" s="21">
        <f>IF('Raw Data'!I1412="",ROUND(AVERAGE('Raw Data'!$I$2:$I$1501),1),'Raw Data'!I1412)</f>
        <v>3.4</v>
      </c>
      <c r="J1412" s="21">
        <f>'Raw Data'!J1412</f>
        <v>3</v>
      </c>
      <c r="K1412" s="21" t="str">
        <f>'Raw Data'!K1412</f>
        <v>Fashion</v>
      </c>
      <c r="L1412" s="21">
        <f>'Raw Data'!L1412</f>
        <v>3</v>
      </c>
      <c r="M1412" s="21" t="str">
        <f>'Raw Data'!M1412</f>
        <v>Divorced</v>
      </c>
      <c r="N1412" s="21">
        <f>'Raw Data'!N1412</f>
        <v>1</v>
      </c>
      <c r="O1412" s="21">
        <f>'Raw Data'!O1412</f>
        <v>1</v>
      </c>
      <c r="P1412" s="21">
        <f>IF('Raw Data'!P1412="",ROUND(AVERAGE('Raw Data'!$P$2:$P$1501),1),'Raw Data'!P1412)</f>
        <v>15.1</v>
      </c>
      <c r="Q1412" s="21">
        <f>IF('Raw Data'!Q1412="",ROUND(AVERAGE('Raw Data'!$Q$2:$Q$1501),0),'Raw Data'!Q1412)</f>
        <v>0</v>
      </c>
      <c r="R1412" s="21">
        <f>'Raw Data'!R1412</f>
        <v>2</v>
      </c>
      <c r="S1412" s="21">
        <f>IF('Raw Data'!S1412="",ROUND(AVERAGE('Raw Data'!$S$2:$S$1501),0),'Raw Data'!S1412)</f>
        <v>1</v>
      </c>
      <c r="T1412" s="21">
        <f>'Raw Data'!T1412</f>
        <v>264.36</v>
      </c>
      <c r="U1412" s="21" t="str">
        <f>INDEX('Lookup Tables'!$C$7:$C$9,MATCH(E1412,'Lookup Tables'!$B$7:$B$9,0))</f>
        <v>Tier 1 (Metro)</v>
      </c>
      <c r="V1412" s="21" t="str">
        <f t="shared" si="66"/>
        <v>0-6 months</v>
      </c>
      <c r="W1412" s="21" t="str">
        <f t="shared" si="67"/>
        <v>Medium Risk</v>
      </c>
      <c r="X1412" s="21" t="str">
        <f t="shared" si="68"/>
        <v>Yes</v>
      </c>
    </row>
    <row r="1413" spans="1:24" x14ac:dyDescent="0.3">
      <c r="A1413" s="21">
        <f>'Raw Data'!A1413</f>
        <v>51412</v>
      </c>
      <c r="B1413" s="21">
        <f>'Raw Data'!B1413</f>
        <v>0</v>
      </c>
      <c r="C1413" s="21">
        <f>'Raw Data'!C1413</f>
        <v>24</v>
      </c>
      <c r="D1413" s="21" t="str">
        <f>'Raw Data'!D1413</f>
        <v>Mobile Phone</v>
      </c>
      <c r="E1413" s="21">
        <f>'Raw Data'!E1413</f>
        <v>3</v>
      </c>
      <c r="F1413" s="21">
        <f>IF('Raw Data'!F1413="",ROUND(AVERAGE('Raw Data'!$F$2:$F$1501),1),'Raw Data'!F1413)</f>
        <v>11</v>
      </c>
      <c r="G1413" s="21" t="str">
        <f>'Raw Data'!G1413</f>
        <v>Credit Card</v>
      </c>
      <c r="H1413" s="21" t="str">
        <f>'Raw Data'!H1413</f>
        <v>Male</v>
      </c>
      <c r="I1413" s="21">
        <f>IF('Raw Data'!I1413="",ROUND(AVERAGE('Raw Data'!$I$2:$I$1501),1),'Raw Data'!I1413)</f>
        <v>2.4</v>
      </c>
      <c r="J1413" s="21">
        <f>'Raw Data'!J1413</f>
        <v>3</v>
      </c>
      <c r="K1413" s="21" t="str">
        <f>'Raw Data'!K1413</f>
        <v>Laptop &amp; Accessory</v>
      </c>
      <c r="L1413" s="21">
        <f>'Raw Data'!L1413</f>
        <v>1</v>
      </c>
      <c r="M1413" s="21" t="str">
        <f>'Raw Data'!M1413</f>
        <v>Married</v>
      </c>
      <c r="N1413" s="21">
        <f>'Raw Data'!N1413</f>
        <v>4</v>
      </c>
      <c r="O1413" s="21">
        <f>'Raw Data'!O1413</f>
        <v>1</v>
      </c>
      <c r="P1413" s="21">
        <f>IF('Raw Data'!P1413="",ROUND(AVERAGE('Raw Data'!$P$2:$P$1501),1),'Raw Data'!P1413)</f>
        <v>14.3</v>
      </c>
      <c r="Q1413" s="21">
        <f>IF('Raw Data'!Q1413="",ROUND(AVERAGE('Raw Data'!$Q$2:$Q$1501),0),'Raw Data'!Q1413)</f>
        <v>0</v>
      </c>
      <c r="R1413" s="21">
        <f>'Raw Data'!R1413</f>
        <v>5</v>
      </c>
      <c r="S1413" s="21">
        <f>IF('Raw Data'!S1413="",ROUND(AVERAGE('Raw Data'!$S$2:$S$1501),0),'Raw Data'!S1413)</f>
        <v>2</v>
      </c>
      <c r="T1413" s="21">
        <f>'Raw Data'!T1413</f>
        <v>189.97</v>
      </c>
      <c r="U1413" s="21" t="str">
        <f>INDEX('Lookup Tables'!$C$7:$C$9,MATCH(E1413,'Lookup Tables'!$B$7:$B$9,0))</f>
        <v>Tier 3 (Semi-urban/Rural)</v>
      </c>
      <c r="V1413" s="21" t="str">
        <f t="shared" si="66"/>
        <v>13-24 months</v>
      </c>
      <c r="W1413" s="21" t="str">
        <f t="shared" si="67"/>
        <v>High Risk</v>
      </c>
      <c r="X1413" s="21" t="str">
        <f t="shared" si="68"/>
        <v>No</v>
      </c>
    </row>
    <row r="1414" spans="1:24" x14ac:dyDescent="0.3">
      <c r="A1414" s="21">
        <f>'Raw Data'!A1414</f>
        <v>51413</v>
      </c>
      <c r="B1414" s="21">
        <f>'Raw Data'!B1414</f>
        <v>0</v>
      </c>
      <c r="C1414" s="21">
        <f>'Raw Data'!C1414</f>
        <v>14</v>
      </c>
      <c r="D1414" s="21" t="str">
        <f>'Raw Data'!D1414</f>
        <v>Mobile Phone</v>
      </c>
      <c r="E1414" s="21">
        <f>'Raw Data'!E1414</f>
        <v>1</v>
      </c>
      <c r="F1414" s="21">
        <f>IF('Raw Data'!F1414="",ROUND(AVERAGE('Raw Data'!$F$2:$F$1501),1),'Raw Data'!F1414)</f>
        <v>19</v>
      </c>
      <c r="G1414" s="21" t="str">
        <f>'Raw Data'!G1414</f>
        <v>E wallet</v>
      </c>
      <c r="H1414" s="21" t="str">
        <f>'Raw Data'!H1414</f>
        <v>Male</v>
      </c>
      <c r="I1414" s="21">
        <f>IF('Raw Data'!I1414="",ROUND(AVERAGE('Raw Data'!$I$2:$I$1501),1),'Raw Data'!I1414)</f>
        <v>3.4</v>
      </c>
      <c r="J1414" s="21">
        <f>'Raw Data'!J1414</f>
        <v>1</v>
      </c>
      <c r="K1414" s="21" t="str">
        <f>'Raw Data'!K1414</f>
        <v>Laptop &amp; Accessory</v>
      </c>
      <c r="L1414" s="21">
        <f>'Raw Data'!L1414</f>
        <v>5</v>
      </c>
      <c r="M1414" s="21" t="str">
        <f>'Raw Data'!M1414</f>
        <v>Single</v>
      </c>
      <c r="N1414" s="21">
        <f>'Raw Data'!N1414</f>
        <v>7</v>
      </c>
      <c r="O1414" s="21">
        <f>'Raw Data'!O1414</f>
        <v>1</v>
      </c>
      <c r="P1414" s="21">
        <f>IF('Raw Data'!P1414="",ROUND(AVERAGE('Raw Data'!$P$2:$P$1501),1),'Raw Data'!P1414)</f>
        <v>13.2</v>
      </c>
      <c r="Q1414" s="21">
        <f>IF('Raw Data'!Q1414="",ROUND(AVERAGE('Raw Data'!$Q$2:$Q$1501),0),'Raw Data'!Q1414)</f>
        <v>5</v>
      </c>
      <c r="R1414" s="21">
        <f>'Raw Data'!R1414</f>
        <v>2</v>
      </c>
      <c r="S1414" s="21">
        <f>IF('Raw Data'!S1414="",ROUND(AVERAGE('Raw Data'!$S$2:$S$1501),0),'Raw Data'!S1414)</f>
        <v>3</v>
      </c>
      <c r="T1414" s="21">
        <f>'Raw Data'!T1414</f>
        <v>227.7</v>
      </c>
      <c r="U1414" s="21" t="str">
        <f>INDEX('Lookup Tables'!$C$7:$C$9,MATCH(E1414,'Lookup Tables'!$B$7:$B$9,0))</f>
        <v>Tier 1 (Metro)</v>
      </c>
      <c r="V1414" s="21" t="str">
        <f t="shared" si="66"/>
        <v>13-24 months</v>
      </c>
      <c r="W1414" s="21" t="str">
        <f t="shared" si="67"/>
        <v>Low Risk</v>
      </c>
      <c r="X1414" s="21" t="str">
        <f t="shared" si="68"/>
        <v>No</v>
      </c>
    </row>
    <row r="1415" spans="1:24" x14ac:dyDescent="0.3">
      <c r="A1415" s="21">
        <f>'Raw Data'!A1415</f>
        <v>51414</v>
      </c>
      <c r="B1415" s="21">
        <f>'Raw Data'!B1415</f>
        <v>0</v>
      </c>
      <c r="C1415" s="21">
        <f>'Raw Data'!C1415</f>
        <v>16</v>
      </c>
      <c r="D1415" s="21" t="str">
        <f>'Raw Data'!D1415</f>
        <v>Mobile Phone</v>
      </c>
      <c r="E1415" s="21">
        <f>'Raw Data'!E1415</f>
        <v>3</v>
      </c>
      <c r="F1415" s="21">
        <f>IF('Raw Data'!F1415="",ROUND(AVERAGE('Raw Data'!$F$2:$F$1501),1),'Raw Data'!F1415)</f>
        <v>22</v>
      </c>
      <c r="G1415" s="21" t="str">
        <f>'Raw Data'!G1415</f>
        <v>Debit Card</v>
      </c>
      <c r="H1415" s="21" t="str">
        <f>'Raw Data'!H1415</f>
        <v>Male</v>
      </c>
      <c r="I1415" s="21">
        <f>IF('Raw Data'!I1415="",ROUND(AVERAGE('Raw Data'!$I$2:$I$1501),1),'Raw Data'!I1415)</f>
        <v>2.9</v>
      </c>
      <c r="J1415" s="21">
        <f>'Raw Data'!J1415</f>
        <v>3</v>
      </c>
      <c r="K1415" s="21" t="str">
        <f>'Raw Data'!K1415</f>
        <v>Laptop &amp; Accessory</v>
      </c>
      <c r="L1415" s="21">
        <f>'Raw Data'!L1415</f>
        <v>1</v>
      </c>
      <c r="M1415" s="21" t="str">
        <f>'Raw Data'!M1415</f>
        <v>Married</v>
      </c>
      <c r="N1415" s="21">
        <f>'Raw Data'!N1415</f>
        <v>5</v>
      </c>
      <c r="O1415" s="21">
        <f>'Raw Data'!O1415</f>
        <v>0</v>
      </c>
      <c r="P1415" s="21">
        <f>IF('Raw Data'!P1415="",ROUND(AVERAGE('Raw Data'!$P$2:$P$1501),1),'Raw Data'!P1415)</f>
        <v>22.4</v>
      </c>
      <c r="Q1415" s="21">
        <f>IF('Raw Data'!Q1415="",ROUND(AVERAGE('Raw Data'!$Q$2:$Q$1501),0),'Raw Data'!Q1415)</f>
        <v>2</v>
      </c>
      <c r="R1415" s="21">
        <f>'Raw Data'!R1415</f>
        <v>5</v>
      </c>
      <c r="S1415" s="21">
        <f>IF('Raw Data'!S1415="",ROUND(AVERAGE('Raw Data'!$S$2:$S$1501),0),'Raw Data'!S1415)</f>
        <v>3</v>
      </c>
      <c r="T1415" s="21">
        <f>'Raw Data'!T1415</f>
        <v>133.16999999999999</v>
      </c>
      <c r="U1415" s="21" t="str">
        <f>INDEX('Lookup Tables'!$C$7:$C$9,MATCH(E1415,'Lookup Tables'!$B$7:$B$9,0))</f>
        <v>Tier 3 (Semi-urban/Rural)</v>
      </c>
      <c r="V1415" s="21" t="str">
        <f t="shared" si="66"/>
        <v>13-24 months</v>
      </c>
      <c r="W1415" s="21" t="str">
        <f t="shared" si="67"/>
        <v>Low Risk</v>
      </c>
      <c r="X1415" s="21" t="str">
        <f t="shared" si="68"/>
        <v>No</v>
      </c>
    </row>
    <row r="1416" spans="1:24" x14ac:dyDescent="0.3">
      <c r="A1416" s="21">
        <f>'Raw Data'!A1416</f>
        <v>51415</v>
      </c>
      <c r="B1416" s="21">
        <f>'Raw Data'!B1416</f>
        <v>1</v>
      </c>
      <c r="C1416" s="21">
        <f>'Raw Data'!C1416</f>
        <v>0</v>
      </c>
      <c r="D1416" s="21" t="str">
        <f>'Raw Data'!D1416</f>
        <v>Phone</v>
      </c>
      <c r="E1416" s="21">
        <f>'Raw Data'!E1416</f>
        <v>3</v>
      </c>
      <c r="F1416" s="21">
        <f>IF('Raw Data'!F1416="",ROUND(AVERAGE('Raw Data'!$F$2:$F$1501),1),'Raw Data'!F1416)</f>
        <v>9</v>
      </c>
      <c r="G1416" s="21" t="str">
        <f>'Raw Data'!G1416</f>
        <v>E wallet</v>
      </c>
      <c r="H1416" s="21" t="str">
        <f>'Raw Data'!H1416</f>
        <v>Male</v>
      </c>
      <c r="I1416" s="21">
        <f>IF('Raw Data'!I1416="",ROUND(AVERAGE('Raw Data'!$I$2:$I$1501),1),'Raw Data'!I1416)</f>
        <v>3.6</v>
      </c>
      <c r="J1416" s="21">
        <f>'Raw Data'!J1416</f>
        <v>4</v>
      </c>
      <c r="K1416" s="21" t="str">
        <f>'Raw Data'!K1416</f>
        <v>Fashion</v>
      </c>
      <c r="L1416" s="21">
        <f>'Raw Data'!L1416</f>
        <v>5</v>
      </c>
      <c r="M1416" s="21" t="str">
        <f>'Raw Data'!M1416</f>
        <v>Married</v>
      </c>
      <c r="N1416" s="21">
        <f>'Raw Data'!N1416</f>
        <v>2</v>
      </c>
      <c r="O1416" s="21">
        <f>'Raw Data'!O1416</f>
        <v>1</v>
      </c>
      <c r="P1416" s="21">
        <f>IF('Raw Data'!P1416="",ROUND(AVERAGE('Raw Data'!$P$2:$P$1501),1),'Raw Data'!P1416)</f>
        <v>23.6</v>
      </c>
      <c r="Q1416" s="21">
        <f>IF('Raw Data'!Q1416="",ROUND(AVERAGE('Raw Data'!$Q$2:$Q$1501),0),'Raw Data'!Q1416)</f>
        <v>1</v>
      </c>
      <c r="R1416" s="21">
        <f>'Raw Data'!R1416</f>
        <v>2</v>
      </c>
      <c r="S1416" s="21">
        <f>IF('Raw Data'!S1416="",ROUND(AVERAGE('Raw Data'!$S$2:$S$1501),0),'Raw Data'!S1416)</f>
        <v>17</v>
      </c>
      <c r="T1416" s="21">
        <f>'Raw Data'!T1416</f>
        <v>75.95</v>
      </c>
      <c r="U1416" s="21" t="str">
        <f>INDEX('Lookup Tables'!$C$7:$C$9,MATCH(E1416,'Lookup Tables'!$B$7:$B$9,0))</f>
        <v>Tier 3 (Semi-urban/Rural)</v>
      </c>
      <c r="V1416" s="21" t="str">
        <f t="shared" si="66"/>
        <v>0-6 months</v>
      </c>
      <c r="W1416" s="21" t="str">
        <f t="shared" si="67"/>
        <v>Medium Risk</v>
      </c>
      <c r="X1416" s="21" t="str">
        <f t="shared" si="68"/>
        <v>Yes</v>
      </c>
    </row>
    <row r="1417" spans="1:24" x14ac:dyDescent="0.3">
      <c r="A1417" s="21">
        <f>'Raw Data'!A1417</f>
        <v>51416</v>
      </c>
      <c r="B1417" s="21">
        <f>'Raw Data'!B1417</f>
        <v>0</v>
      </c>
      <c r="C1417" s="21">
        <f>'Raw Data'!C1417</f>
        <v>32</v>
      </c>
      <c r="D1417" s="21" t="str">
        <f>'Raw Data'!D1417</f>
        <v>Mobile Phone</v>
      </c>
      <c r="E1417" s="21">
        <f>'Raw Data'!E1417</f>
        <v>2</v>
      </c>
      <c r="F1417" s="21">
        <f>IF('Raw Data'!F1417="",ROUND(AVERAGE('Raw Data'!$F$2:$F$1501),1),'Raw Data'!F1417)</f>
        <v>14</v>
      </c>
      <c r="G1417" s="21" t="str">
        <f>'Raw Data'!G1417</f>
        <v>UPI</v>
      </c>
      <c r="H1417" s="21" t="str">
        <f>'Raw Data'!H1417</f>
        <v>Male</v>
      </c>
      <c r="I1417" s="21">
        <f>IF('Raw Data'!I1417="",ROUND(AVERAGE('Raw Data'!$I$2:$I$1501),1),'Raw Data'!I1417)</f>
        <v>2.8</v>
      </c>
      <c r="J1417" s="21">
        <f>'Raw Data'!J1417</f>
        <v>3</v>
      </c>
      <c r="K1417" s="21" t="str">
        <f>'Raw Data'!K1417</f>
        <v>Mobile Phone</v>
      </c>
      <c r="L1417" s="21">
        <f>'Raw Data'!L1417</f>
        <v>4</v>
      </c>
      <c r="M1417" s="21" t="str">
        <f>'Raw Data'!M1417</f>
        <v>Divorced</v>
      </c>
      <c r="N1417" s="21">
        <f>'Raw Data'!N1417</f>
        <v>1</v>
      </c>
      <c r="O1417" s="21">
        <f>'Raw Data'!O1417</f>
        <v>0</v>
      </c>
      <c r="P1417" s="21">
        <f>IF('Raw Data'!P1417="",ROUND(AVERAGE('Raw Data'!$P$2:$P$1501),1),'Raw Data'!P1417)</f>
        <v>14.8</v>
      </c>
      <c r="Q1417" s="21">
        <f>IF('Raw Data'!Q1417="",ROUND(AVERAGE('Raw Data'!$Q$2:$Q$1501),0),'Raw Data'!Q1417)</f>
        <v>1</v>
      </c>
      <c r="R1417" s="21">
        <f>'Raw Data'!R1417</f>
        <v>6</v>
      </c>
      <c r="S1417" s="21">
        <f>IF('Raw Data'!S1417="",ROUND(AVERAGE('Raw Data'!$S$2:$S$1501),0),'Raw Data'!S1417)</f>
        <v>11</v>
      </c>
      <c r="T1417" s="21">
        <f>'Raw Data'!T1417</f>
        <v>272.14</v>
      </c>
      <c r="U1417" s="21" t="str">
        <f>INDEX('Lookup Tables'!$C$7:$C$9,MATCH(E1417,'Lookup Tables'!$B$7:$B$9,0))</f>
        <v>Tier 2 (Urban)</v>
      </c>
      <c r="V1417" s="21" t="str">
        <f t="shared" si="66"/>
        <v>25+ months</v>
      </c>
      <c r="W1417" s="21" t="str">
        <f t="shared" si="67"/>
        <v>Low Risk</v>
      </c>
      <c r="X1417" s="21" t="str">
        <f t="shared" si="68"/>
        <v>No</v>
      </c>
    </row>
    <row r="1418" spans="1:24" x14ac:dyDescent="0.3">
      <c r="A1418" s="21">
        <f>'Raw Data'!A1418</f>
        <v>51417</v>
      </c>
      <c r="B1418" s="21">
        <f>'Raw Data'!B1418</f>
        <v>0</v>
      </c>
      <c r="C1418" s="21">
        <f>'Raw Data'!C1418</f>
        <v>12</v>
      </c>
      <c r="D1418" s="21" t="str">
        <f>'Raw Data'!D1418</f>
        <v>Computer</v>
      </c>
      <c r="E1418" s="21">
        <f>'Raw Data'!E1418</f>
        <v>3</v>
      </c>
      <c r="F1418" s="21">
        <f>IF('Raw Data'!F1418="",ROUND(AVERAGE('Raw Data'!$F$2:$F$1501),1),'Raw Data'!F1418)</f>
        <v>6</v>
      </c>
      <c r="G1418" s="21" t="str">
        <f>'Raw Data'!G1418</f>
        <v>Credit Card</v>
      </c>
      <c r="H1418" s="21" t="str">
        <f>'Raw Data'!H1418</f>
        <v>Male</v>
      </c>
      <c r="I1418" s="21">
        <f>IF('Raw Data'!I1418="",ROUND(AVERAGE('Raw Data'!$I$2:$I$1501),1),'Raw Data'!I1418)</f>
        <v>3.2</v>
      </c>
      <c r="J1418" s="21">
        <f>'Raw Data'!J1418</f>
        <v>1</v>
      </c>
      <c r="K1418" s="21" t="str">
        <f>'Raw Data'!K1418</f>
        <v>Grocery</v>
      </c>
      <c r="L1418" s="21">
        <f>'Raw Data'!L1418</f>
        <v>5</v>
      </c>
      <c r="M1418" s="21" t="str">
        <f>'Raw Data'!M1418</f>
        <v>Divorced</v>
      </c>
      <c r="N1418" s="21">
        <f>'Raw Data'!N1418</f>
        <v>4</v>
      </c>
      <c r="O1418" s="21">
        <f>'Raw Data'!O1418</f>
        <v>1</v>
      </c>
      <c r="P1418" s="21">
        <f>IF('Raw Data'!P1418="",ROUND(AVERAGE('Raw Data'!$P$2:$P$1501),1),'Raw Data'!P1418)</f>
        <v>16.3</v>
      </c>
      <c r="Q1418" s="21">
        <f>IF('Raw Data'!Q1418="",ROUND(AVERAGE('Raw Data'!$Q$2:$Q$1501),0),'Raw Data'!Q1418)</f>
        <v>2</v>
      </c>
      <c r="R1418" s="21">
        <f>'Raw Data'!R1418</f>
        <v>3</v>
      </c>
      <c r="S1418" s="21">
        <f>IF('Raw Data'!S1418="",ROUND(AVERAGE('Raw Data'!$S$2:$S$1501),0),'Raw Data'!S1418)</f>
        <v>4</v>
      </c>
      <c r="T1418" s="21">
        <f>'Raw Data'!T1418</f>
        <v>179.65</v>
      </c>
      <c r="U1418" s="21" t="str">
        <f>INDEX('Lookup Tables'!$C$7:$C$9,MATCH(E1418,'Lookup Tables'!$B$7:$B$9,0))</f>
        <v>Tier 3 (Semi-urban/Rural)</v>
      </c>
      <c r="V1418" s="21" t="str">
        <f t="shared" si="66"/>
        <v>7-12 months</v>
      </c>
      <c r="W1418" s="21" t="str">
        <f t="shared" si="67"/>
        <v>Low Risk</v>
      </c>
      <c r="X1418" s="21" t="str">
        <f t="shared" si="68"/>
        <v>No</v>
      </c>
    </row>
    <row r="1419" spans="1:24" x14ac:dyDescent="0.3">
      <c r="A1419" s="21">
        <f>'Raw Data'!A1419</f>
        <v>51418</v>
      </c>
      <c r="B1419" s="21">
        <f>'Raw Data'!B1419</f>
        <v>0</v>
      </c>
      <c r="C1419" s="21">
        <f>'Raw Data'!C1419</f>
        <v>3</v>
      </c>
      <c r="D1419" s="21" t="str">
        <f>'Raw Data'!D1419</f>
        <v>Phone</v>
      </c>
      <c r="E1419" s="21">
        <f>'Raw Data'!E1419</f>
        <v>1</v>
      </c>
      <c r="F1419" s="21">
        <f>IF('Raw Data'!F1419="",ROUND(AVERAGE('Raw Data'!$F$2:$F$1501),1),'Raw Data'!F1419)</f>
        <v>5</v>
      </c>
      <c r="G1419" s="21" t="str">
        <f>'Raw Data'!G1419</f>
        <v>Cash on Delivery</v>
      </c>
      <c r="H1419" s="21" t="str">
        <f>'Raw Data'!H1419</f>
        <v>Male</v>
      </c>
      <c r="I1419" s="21">
        <f>IF('Raw Data'!I1419="",ROUND(AVERAGE('Raw Data'!$I$2:$I$1501),1),'Raw Data'!I1419)</f>
        <v>2.9</v>
      </c>
      <c r="J1419" s="21">
        <f>'Raw Data'!J1419</f>
        <v>2</v>
      </c>
      <c r="K1419" s="21" t="str">
        <f>'Raw Data'!K1419</f>
        <v>Laptop &amp; Accessory</v>
      </c>
      <c r="L1419" s="21">
        <f>'Raw Data'!L1419</f>
        <v>2</v>
      </c>
      <c r="M1419" s="21" t="str">
        <f>'Raw Data'!M1419</f>
        <v>Divorced</v>
      </c>
      <c r="N1419" s="21">
        <f>'Raw Data'!N1419</f>
        <v>1</v>
      </c>
      <c r="O1419" s="21">
        <f>'Raw Data'!O1419</f>
        <v>1</v>
      </c>
      <c r="P1419" s="21">
        <f>IF('Raw Data'!P1419="",ROUND(AVERAGE('Raw Data'!$P$2:$P$1501),1),'Raw Data'!P1419)</f>
        <v>15.3</v>
      </c>
      <c r="Q1419" s="21">
        <f>IF('Raw Data'!Q1419="",ROUND(AVERAGE('Raw Data'!$Q$2:$Q$1501),0),'Raw Data'!Q1419)</f>
        <v>3</v>
      </c>
      <c r="R1419" s="21">
        <f>'Raw Data'!R1419</f>
        <v>6</v>
      </c>
      <c r="S1419" s="21">
        <f>IF('Raw Data'!S1419="",ROUND(AVERAGE('Raw Data'!$S$2:$S$1501),0),'Raw Data'!S1419)</f>
        <v>0</v>
      </c>
      <c r="T1419" s="21">
        <f>'Raw Data'!T1419</f>
        <v>207.02</v>
      </c>
      <c r="U1419" s="21" t="str">
        <f>INDEX('Lookup Tables'!$C$7:$C$9,MATCH(E1419,'Lookup Tables'!$B$7:$B$9,0))</f>
        <v>Tier 1 (Metro)</v>
      </c>
      <c r="V1419" s="21" t="str">
        <f t="shared" si="66"/>
        <v>0-6 months</v>
      </c>
      <c r="W1419" s="21" t="str">
        <f t="shared" si="67"/>
        <v>High Risk</v>
      </c>
      <c r="X1419" s="21" t="str">
        <f t="shared" si="68"/>
        <v>No</v>
      </c>
    </row>
    <row r="1420" spans="1:24" x14ac:dyDescent="0.3">
      <c r="A1420" s="21">
        <f>'Raw Data'!A1420</f>
        <v>51419</v>
      </c>
      <c r="B1420" s="21">
        <f>'Raw Data'!B1420</f>
        <v>0</v>
      </c>
      <c r="C1420" s="21">
        <f>'Raw Data'!C1420</f>
        <v>17</v>
      </c>
      <c r="D1420" s="21" t="str">
        <f>'Raw Data'!D1420</f>
        <v>Mobile Phone</v>
      </c>
      <c r="E1420" s="21">
        <f>'Raw Data'!E1420</f>
        <v>1</v>
      </c>
      <c r="F1420" s="21">
        <f>IF('Raw Data'!F1420="",ROUND(AVERAGE('Raw Data'!$F$2:$F$1501),1),'Raw Data'!F1420)</f>
        <v>16</v>
      </c>
      <c r="G1420" s="21" t="str">
        <f>'Raw Data'!G1420</f>
        <v>Cash on Delivery</v>
      </c>
      <c r="H1420" s="21" t="str">
        <f>'Raw Data'!H1420</f>
        <v>Female</v>
      </c>
      <c r="I1420" s="21">
        <f>IF('Raw Data'!I1420="",ROUND(AVERAGE('Raw Data'!$I$2:$I$1501),1),'Raw Data'!I1420)</f>
        <v>2.8</v>
      </c>
      <c r="J1420" s="21">
        <f>'Raw Data'!J1420</f>
        <v>2</v>
      </c>
      <c r="K1420" s="21" t="str">
        <f>'Raw Data'!K1420</f>
        <v>Fashion</v>
      </c>
      <c r="L1420" s="21">
        <f>'Raw Data'!L1420</f>
        <v>1</v>
      </c>
      <c r="M1420" s="21" t="str">
        <f>'Raw Data'!M1420</f>
        <v>Married</v>
      </c>
      <c r="N1420" s="21">
        <f>'Raw Data'!N1420</f>
        <v>1</v>
      </c>
      <c r="O1420" s="21">
        <f>'Raw Data'!O1420</f>
        <v>0</v>
      </c>
      <c r="P1420" s="21">
        <f>IF('Raw Data'!P1420="",ROUND(AVERAGE('Raw Data'!$P$2:$P$1501),1),'Raw Data'!P1420)</f>
        <v>19.899999999999999</v>
      </c>
      <c r="Q1420" s="21">
        <f>IF('Raw Data'!Q1420="",ROUND(AVERAGE('Raw Data'!$Q$2:$Q$1501),0),'Raw Data'!Q1420)</f>
        <v>1</v>
      </c>
      <c r="R1420" s="21">
        <f>'Raw Data'!R1420</f>
        <v>3</v>
      </c>
      <c r="S1420" s="21">
        <f>IF('Raw Data'!S1420="",ROUND(AVERAGE('Raw Data'!$S$2:$S$1501),0),'Raw Data'!S1420)</f>
        <v>4</v>
      </c>
      <c r="T1420" s="21">
        <f>'Raw Data'!T1420</f>
        <v>216.11</v>
      </c>
      <c r="U1420" s="21" t="str">
        <f>INDEX('Lookup Tables'!$C$7:$C$9,MATCH(E1420,'Lookup Tables'!$B$7:$B$9,0))</f>
        <v>Tier 1 (Metro)</v>
      </c>
      <c r="V1420" s="21" t="str">
        <f t="shared" si="66"/>
        <v>13-24 months</v>
      </c>
      <c r="W1420" s="21" t="str">
        <f t="shared" si="67"/>
        <v>Low Risk</v>
      </c>
      <c r="X1420" s="21" t="str">
        <f t="shared" si="68"/>
        <v>No</v>
      </c>
    </row>
    <row r="1421" spans="1:24" x14ac:dyDescent="0.3">
      <c r="A1421" s="21">
        <f>'Raw Data'!A1421</f>
        <v>51420</v>
      </c>
      <c r="B1421" s="21">
        <f>'Raw Data'!B1421</f>
        <v>0</v>
      </c>
      <c r="C1421" s="21">
        <f>'Raw Data'!C1421</f>
        <v>3</v>
      </c>
      <c r="D1421" s="21" t="str">
        <f>'Raw Data'!D1421</f>
        <v>Mobile Phone</v>
      </c>
      <c r="E1421" s="21">
        <f>'Raw Data'!E1421</f>
        <v>1</v>
      </c>
      <c r="F1421" s="21">
        <f>IF('Raw Data'!F1421="",ROUND(AVERAGE('Raw Data'!$F$2:$F$1501),1),'Raw Data'!F1421)</f>
        <v>19</v>
      </c>
      <c r="G1421" s="21" t="str">
        <f>'Raw Data'!G1421</f>
        <v>Debit Card</v>
      </c>
      <c r="H1421" s="21" t="str">
        <f>'Raw Data'!H1421</f>
        <v>Male</v>
      </c>
      <c r="I1421" s="21">
        <f>IF('Raw Data'!I1421="",ROUND(AVERAGE('Raw Data'!$I$2:$I$1501),1),'Raw Data'!I1421)</f>
        <v>3.1</v>
      </c>
      <c r="J1421" s="21">
        <f>'Raw Data'!J1421</f>
        <v>3</v>
      </c>
      <c r="K1421" s="21" t="str">
        <f>'Raw Data'!K1421</f>
        <v>Fashion</v>
      </c>
      <c r="L1421" s="21">
        <f>'Raw Data'!L1421</f>
        <v>3</v>
      </c>
      <c r="M1421" s="21" t="str">
        <f>'Raw Data'!M1421</f>
        <v>Divorced</v>
      </c>
      <c r="N1421" s="21">
        <f>'Raw Data'!N1421</f>
        <v>6</v>
      </c>
      <c r="O1421" s="21">
        <f>'Raw Data'!O1421</f>
        <v>0</v>
      </c>
      <c r="P1421" s="21">
        <f>IF('Raw Data'!P1421="",ROUND(AVERAGE('Raw Data'!$P$2:$P$1501),1),'Raw Data'!P1421)</f>
        <v>20.6</v>
      </c>
      <c r="Q1421" s="21">
        <f>IF('Raw Data'!Q1421="",ROUND(AVERAGE('Raw Data'!$Q$2:$Q$1501),0),'Raw Data'!Q1421)</f>
        <v>3</v>
      </c>
      <c r="R1421" s="21">
        <f>'Raw Data'!R1421</f>
        <v>4</v>
      </c>
      <c r="S1421" s="21">
        <f>IF('Raw Data'!S1421="",ROUND(AVERAGE('Raw Data'!$S$2:$S$1501),0),'Raw Data'!S1421)</f>
        <v>0</v>
      </c>
      <c r="T1421" s="21">
        <f>'Raw Data'!T1421</f>
        <v>161.55000000000001</v>
      </c>
      <c r="U1421" s="21" t="str">
        <f>INDEX('Lookup Tables'!$C$7:$C$9,MATCH(E1421,'Lookup Tables'!$B$7:$B$9,0))</f>
        <v>Tier 1 (Metro)</v>
      </c>
      <c r="V1421" s="21" t="str">
        <f t="shared" si="66"/>
        <v>0-6 months</v>
      </c>
      <c r="W1421" s="21" t="str">
        <f t="shared" si="67"/>
        <v>Medium Risk</v>
      </c>
      <c r="X1421" s="21" t="str">
        <f t="shared" si="68"/>
        <v>No</v>
      </c>
    </row>
    <row r="1422" spans="1:24" x14ac:dyDescent="0.3">
      <c r="A1422" s="21">
        <f>'Raw Data'!A1422</f>
        <v>51421</v>
      </c>
      <c r="B1422" s="21">
        <f>'Raw Data'!B1422</f>
        <v>0</v>
      </c>
      <c r="C1422" s="21">
        <f>'Raw Data'!C1422</f>
        <v>20</v>
      </c>
      <c r="D1422" s="21" t="str">
        <f>'Raw Data'!D1422</f>
        <v>Mobile Phone</v>
      </c>
      <c r="E1422" s="21">
        <f>'Raw Data'!E1422</f>
        <v>1</v>
      </c>
      <c r="F1422" s="21">
        <f>IF('Raw Data'!F1422="",ROUND(AVERAGE('Raw Data'!$F$2:$F$1501),1),'Raw Data'!F1422)</f>
        <v>17</v>
      </c>
      <c r="G1422" s="21" t="str">
        <f>'Raw Data'!G1422</f>
        <v>Debit Card</v>
      </c>
      <c r="H1422" s="21" t="str">
        <f>'Raw Data'!H1422</f>
        <v>Male</v>
      </c>
      <c r="I1422" s="21">
        <f>IF('Raw Data'!I1422="",ROUND(AVERAGE('Raw Data'!$I$2:$I$1501),1),'Raw Data'!I1422)</f>
        <v>3.3</v>
      </c>
      <c r="J1422" s="21">
        <f>'Raw Data'!J1422</f>
        <v>3</v>
      </c>
      <c r="K1422" s="21" t="str">
        <f>'Raw Data'!K1422</f>
        <v>Laptop &amp; Accessory</v>
      </c>
      <c r="L1422" s="21">
        <f>'Raw Data'!L1422</f>
        <v>3</v>
      </c>
      <c r="M1422" s="21" t="str">
        <f>'Raw Data'!M1422</f>
        <v>Single</v>
      </c>
      <c r="N1422" s="21">
        <f>'Raw Data'!N1422</f>
        <v>1</v>
      </c>
      <c r="O1422" s="21">
        <f>'Raw Data'!O1422</f>
        <v>0</v>
      </c>
      <c r="P1422" s="21">
        <f>IF('Raw Data'!P1422="",ROUND(AVERAGE('Raw Data'!$P$2:$P$1501),1),'Raw Data'!P1422)</f>
        <v>11</v>
      </c>
      <c r="Q1422" s="21">
        <f>IF('Raw Data'!Q1422="",ROUND(AVERAGE('Raw Data'!$Q$2:$Q$1501),0),'Raw Data'!Q1422)</f>
        <v>4</v>
      </c>
      <c r="R1422" s="21">
        <f>'Raw Data'!R1422</f>
        <v>3</v>
      </c>
      <c r="S1422" s="21">
        <f>IF('Raw Data'!S1422="",ROUND(AVERAGE('Raw Data'!$S$2:$S$1501),0),'Raw Data'!S1422)</f>
        <v>6</v>
      </c>
      <c r="T1422" s="21">
        <f>'Raw Data'!T1422</f>
        <v>192.44</v>
      </c>
      <c r="U1422" s="21" t="str">
        <f>INDEX('Lookup Tables'!$C$7:$C$9,MATCH(E1422,'Lookup Tables'!$B$7:$B$9,0))</f>
        <v>Tier 1 (Metro)</v>
      </c>
      <c r="V1422" s="21" t="str">
        <f t="shared" si="66"/>
        <v>13-24 months</v>
      </c>
      <c r="W1422" s="21" t="str">
        <f t="shared" si="67"/>
        <v>Medium Risk</v>
      </c>
      <c r="X1422" s="21" t="str">
        <f t="shared" si="68"/>
        <v>No</v>
      </c>
    </row>
    <row r="1423" spans="1:24" x14ac:dyDescent="0.3">
      <c r="A1423" s="21">
        <f>'Raw Data'!A1423</f>
        <v>51422</v>
      </c>
      <c r="B1423" s="21">
        <f>'Raw Data'!B1423</f>
        <v>0</v>
      </c>
      <c r="C1423" s="21">
        <f>'Raw Data'!C1423</f>
        <v>1</v>
      </c>
      <c r="D1423" s="21" t="str">
        <f>'Raw Data'!D1423</f>
        <v>Phone</v>
      </c>
      <c r="E1423" s="21">
        <f>'Raw Data'!E1423</f>
        <v>1</v>
      </c>
      <c r="F1423" s="21">
        <f>IF('Raw Data'!F1423="",ROUND(AVERAGE('Raw Data'!$F$2:$F$1501),1),'Raw Data'!F1423)</f>
        <v>5</v>
      </c>
      <c r="G1423" s="21" t="str">
        <f>'Raw Data'!G1423</f>
        <v>Cash on Delivery</v>
      </c>
      <c r="H1423" s="21" t="str">
        <f>'Raw Data'!H1423</f>
        <v>Male</v>
      </c>
      <c r="I1423" s="21">
        <f>IF('Raw Data'!I1423="",ROUND(AVERAGE('Raw Data'!$I$2:$I$1501),1),'Raw Data'!I1423)</f>
        <v>2</v>
      </c>
      <c r="J1423" s="21">
        <f>'Raw Data'!J1423</f>
        <v>3</v>
      </c>
      <c r="K1423" s="21" t="str">
        <f>'Raw Data'!K1423</f>
        <v>Mobile Phone</v>
      </c>
      <c r="L1423" s="21">
        <f>'Raw Data'!L1423</f>
        <v>3</v>
      </c>
      <c r="M1423" s="21" t="str">
        <f>'Raw Data'!M1423</f>
        <v>Married</v>
      </c>
      <c r="N1423" s="21">
        <f>'Raw Data'!N1423</f>
        <v>1</v>
      </c>
      <c r="O1423" s="21">
        <f>'Raw Data'!O1423</f>
        <v>1</v>
      </c>
      <c r="P1423" s="21">
        <f>IF('Raw Data'!P1423="",ROUND(AVERAGE('Raw Data'!$P$2:$P$1501),1),'Raw Data'!P1423)</f>
        <v>17.7</v>
      </c>
      <c r="Q1423" s="21">
        <f>IF('Raw Data'!Q1423="",ROUND(AVERAGE('Raw Data'!$Q$2:$Q$1501),0),'Raw Data'!Q1423)</f>
        <v>1</v>
      </c>
      <c r="R1423" s="21">
        <f>'Raw Data'!R1423</f>
        <v>2</v>
      </c>
      <c r="S1423" s="21">
        <f>IF('Raw Data'!S1423="",ROUND(AVERAGE('Raw Data'!$S$2:$S$1501),0),'Raw Data'!S1423)</f>
        <v>2</v>
      </c>
      <c r="T1423" s="21">
        <f>'Raw Data'!T1423</f>
        <v>267.67</v>
      </c>
      <c r="U1423" s="21" t="str">
        <f>INDEX('Lookup Tables'!$C$7:$C$9,MATCH(E1423,'Lookup Tables'!$B$7:$B$9,0))</f>
        <v>Tier 1 (Metro)</v>
      </c>
      <c r="V1423" s="21" t="str">
        <f t="shared" si="66"/>
        <v>0-6 months</v>
      </c>
      <c r="W1423" s="21" t="str">
        <f t="shared" si="67"/>
        <v>Medium Risk</v>
      </c>
      <c r="X1423" s="21" t="str">
        <f t="shared" si="68"/>
        <v>No</v>
      </c>
    </row>
    <row r="1424" spans="1:24" x14ac:dyDescent="0.3">
      <c r="A1424" s="21">
        <f>'Raw Data'!A1424</f>
        <v>51423</v>
      </c>
      <c r="B1424" s="21">
        <f>'Raw Data'!B1424</f>
        <v>0</v>
      </c>
      <c r="C1424" s="21">
        <f>'Raw Data'!C1424</f>
        <v>12</v>
      </c>
      <c r="D1424" s="21" t="str">
        <f>'Raw Data'!D1424</f>
        <v>Phone</v>
      </c>
      <c r="E1424" s="21">
        <f>'Raw Data'!E1424</f>
        <v>1</v>
      </c>
      <c r="F1424" s="21">
        <f>IF('Raw Data'!F1424="",ROUND(AVERAGE('Raw Data'!$F$2:$F$1501),1),'Raw Data'!F1424)</f>
        <v>12</v>
      </c>
      <c r="G1424" s="21" t="str">
        <f>'Raw Data'!G1424</f>
        <v>Cash on Delivery</v>
      </c>
      <c r="H1424" s="21" t="str">
        <f>'Raw Data'!H1424</f>
        <v>Male</v>
      </c>
      <c r="I1424" s="21">
        <f>IF('Raw Data'!I1424="",ROUND(AVERAGE('Raw Data'!$I$2:$I$1501),1),'Raw Data'!I1424)</f>
        <v>3.9</v>
      </c>
      <c r="J1424" s="21">
        <f>'Raw Data'!J1424</f>
        <v>4</v>
      </c>
      <c r="K1424" s="21" t="str">
        <f>'Raw Data'!K1424</f>
        <v>Mobile Phone</v>
      </c>
      <c r="L1424" s="21">
        <f>'Raw Data'!L1424</f>
        <v>5</v>
      </c>
      <c r="M1424" s="21" t="str">
        <f>'Raw Data'!M1424</f>
        <v>Married</v>
      </c>
      <c r="N1424" s="21">
        <f>'Raw Data'!N1424</f>
        <v>7</v>
      </c>
      <c r="O1424" s="21">
        <f>'Raw Data'!O1424</f>
        <v>0</v>
      </c>
      <c r="P1424" s="21">
        <f>IF('Raw Data'!P1424="",ROUND(AVERAGE('Raw Data'!$P$2:$P$1501),1),'Raw Data'!P1424)</f>
        <v>11.4</v>
      </c>
      <c r="Q1424" s="21">
        <f>IF('Raw Data'!Q1424="",ROUND(AVERAGE('Raw Data'!$Q$2:$Q$1501),0),'Raw Data'!Q1424)</f>
        <v>2</v>
      </c>
      <c r="R1424" s="21">
        <f>'Raw Data'!R1424</f>
        <v>8</v>
      </c>
      <c r="S1424" s="21">
        <f>IF('Raw Data'!S1424="",ROUND(AVERAGE('Raw Data'!$S$2:$S$1501),0),'Raw Data'!S1424)</f>
        <v>9</v>
      </c>
      <c r="T1424" s="21">
        <f>'Raw Data'!T1424</f>
        <v>178.22</v>
      </c>
      <c r="U1424" s="21" t="str">
        <f>INDEX('Lookup Tables'!$C$7:$C$9,MATCH(E1424,'Lookup Tables'!$B$7:$B$9,0))</f>
        <v>Tier 1 (Metro)</v>
      </c>
      <c r="V1424" s="21" t="str">
        <f t="shared" si="66"/>
        <v>7-12 months</v>
      </c>
      <c r="W1424" s="21" t="str">
        <f t="shared" si="67"/>
        <v>Low Risk</v>
      </c>
      <c r="X1424" s="21" t="str">
        <f t="shared" si="68"/>
        <v>No</v>
      </c>
    </row>
    <row r="1425" spans="1:24" x14ac:dyDescent="0.3">
      <c r="A1425" s="21">
        <f>'Raw Data'!A1425</f>
        <v>51424</v>
      </c>
      <c r="B1425" s="21">
        <f>'Raw Data'!B1425</f>
        <v>0</v>
      </c>
      <c r="C1425" s="21">
        <f>'Raw Data'!C1425</f>
        <v>7</v>
      </c>
      <c r="D1425" s="21" t="str">
        <f>'Raw Data'!D1425</f>
        <v>Mobile Phone</v>
      </c>
      <c r="E1425" s="21">
        <f>'Raw Data'!E1425</f>
        <v>3</v>
      </c>
      <c r="F1425" s="21">
        <f>IF('Raw Data'!F1425="",ROUND(AVERAGE('Raw Data'!$F$2:$F$1501),1),'Raw Data'!F1425)</f>
        <v>5</v>
      </c>
      <c r="G1425" s="21" t="str">
        <f>'Raw Data'!G1425</f>
        <v>Debit Card</v>
      </c>
      <c r="H1425" s="21" t="str">
        <f>'Raw Data'!H1425</f>
        <v>Female</v>
      </c>
      <c r="I1425" s="21">
        <f>IF('Raw Data'!I1425="",ROUND(AVERAGE('Raw Data'!$I$2:$I$1501),1),'Raw Data'!I1425)</f>
        <v>1.6</v>
      </c>
      <c r="J1425" s="21">
        <f>'Raw Data'!J1425</f>
        <v>2</v>
      </c>
      <c r="K1425" s="21" t="str">
        <f>'Raw Data'!K1425</f>
        <v>Mobile Phone</v>
      </c>
      <c r="L1425" s="21">
        <f>'Raw Data'!L1425</f>
        <v>4</v>
      </c>
      <c r="M1425" s="21" t="str">
        <f>'Raw Data'!M1425</f>
        <v>Divorced</v>
      </c>
      <c r="N1425" s="21">
        <f>'Raw Data'!N1425</f>
        <v>8</v>
      </c>
      <c r="O1425" s="21">
        <f>'Raw Data'!O1425</f>
        <v>0</v>
      </c>
      <c r="P1425" s="21">
        <f>IF('Raw Data'!P1425="",ROUND(AVERAGE('Raw Data'!$P$2:$P$1501),1),'Raw Data'!P1425)</f>
        <v>22.2</v>
      </c>
      <c r="Q1425" s="21">
        <f>IF('Raw Data'!Q1425="",ROUND(AVERAGE('Raw Data'!$Q$2:$Q$1501),0),'Raw Data'!Q1425)</f>
        <v>3</v>
      </c>
      <c r="R1425" s="21">
        <f>'Raw Data'!R1425</f>
        <v>5</v>
      </c>
      <c r="S1425" s="21">
        <f>IF('Raw Data'!S1425="",ROUND(AVERAGE('Raw Data'!$S$2:$S$1501),0),'Raw Data'!S1425)</f>
        <v>14</v>
      </c>
      <c r="T1425" s="21">
        <f>'Raw Data'!T1425</f>
        <v>231.82</v>
      </c>
      <c r="U1425" s="21" t="str">
        <f>INDEX('Lookup Tables'!$C$7:$C$9,MATCH(E1425,'Lookup Tables'!$B$7:$B$9,0))</f>
        <v>Tier 3 (Semi-urban/Rural)</v>
      </c>
      <c r="V1425" s="21" t="str">
        <f t="shared" si="66"/>
        <v>7-12 months</v>
      </c>
      <c r="W1425" s="21" t="str">
        <f t="shared" si="67"/>
        <v>Low Risk</v>
      </c>
      <c r="X1425" s="21" t="str">
        <f t="shared" si="68"/>
        <v>No</v>
      </c>
    </row>
    <row r="1426" spans="1:24" x14ac:dyDescent="0.3">
      <c r="A1426" s="21">
        <f>'Raw Data'!A1426</f>
        <v>51425</v>
      </c>
      <c r="B1426" s="21">
        <f>'Raw Data'!B1426</f>
        <v>0</v>
      </c>
      <c r="C1426" s="21">
        <f>'Raw Data'!C1426</f>
        <v>1</v>
      </c>
      <c r="D1426" s="21" t="str">
        <f>'Raw Data'!D1426</f>
        <v>Computer</v>
      </c>
      <c r="E1426" s="21">
        <f>'Raw Data'!E1426</f>
        <v>3</v>
      </c>
      <c r="F1426" s="21">
        <f>IF('Raw Data'!F1426="",ROUND(AVERAGE('Raw Data'!$F$2:$F$1501),1),'Raw Data'!F1426)</f>
        <v>25</v>
      </c>
      <c r="G1426" s="21" t="str">
        <f>'Raw Data'!G1426</f>
        <v>Debit Card</v>
      </c>
      <c r="H1426" s="21" t="str">
        <f>'Raw Data'!H1426</f>
        <v>Male</v>
      </c>
      <c r="I1426" s="21">
        <f>IF('Raw Data'!I1426="",ROUND(AVERAGE('Raw Data'!$I$2:$I$1501),1),'Raw Data'!I1426)</f>
        <v>2.4</v>
      </c>
      <c r="J1426" s="21">
        <f>'Raw Data'!J1426</f>
        <v>4</v>
      </c>
      <c r="K1426" s="21" t="str">
        <f>'Raw Data'!K1426</f>
        <v>Mobile Phone</v>
      </c>
      <c r="L1426" s="21">
        <f>'Raw Data'!L1426</f>
        <v>4</v>
      </c>
      <c r="M1426" s="21" t="str">
        <f>'Raw Data'!M1426</f>
        <v>Married</v>
      </c>
      <c r="N1426" s="21">
        <f>'Raw Data'!N1426</f>
        <v>1</v>
      </c>
      <c r="O1426" s="21">
        <f>'Raw Data'!O1426</f>
        <v>1</v>
      </c>
      <c r="P1426" s="21">
        <f>IF('Raw Data'!P1426="",ROUND(AVERAGE('Raw Data'!$P$2:$P$1501),1),'Raw Data'!P1426)</f>
        <v>17.5</v>
      </c>
      <c r="Q1426" s="21">
        <f>IF('Raw Data'!Q1426="",ROUND(AVERAGE('Raw Data'!$Q$2:$Q$1501),0),'Raw Data'!Q1426)</f>
        <v>3</v>
      </c>
      <c r="R1426" s="21">
        <f>'Raw Data'!R1426</f>
        <v>4</v>
      </c>
      <c r="S1426" s="21">
        <f>IF('Raw Data'!S1426="",ROUND(AVERAGE('Raw Data'!$S$2:$S$1501),0),'Raw Data'!S1426)</f>
        <v>2</v>
      </c>
      <c r="T1426" s="21">
        <f>'Raw Data'!T1426</f>
        <v>70.48</v>
      </c>
      <c r="U1426" s="21" t="str">
        <f>INDEX('Lookup Tables'!$C$7:$C$9,MATCH(E1426,'Lookup Tables'!$B$7:$B$9,0))</f>
        <v>Tier 3 (Semi-urban/Rural)</v>
      </c>
      <c r="V1426" s="21" t="str">
        <f t="shared" si="66"/>
        <v>0-6 months</v>
      </c>
      <c r="W1426" s="21" t="str">
        <f t="shared" si="67"/>
        <v>Low Risk</v>
      </c>
      <c r="X1426" s="21" t="str">
        <f t="shared" si="68"/>
        <v>No</v>
      </c>
    </row>
    <row r="1427" spans="1:24" x14ac:dyDescent="0.3">
      <c r="A1427" s="21">
        <f>'Raw Data'!A1427</f>
        <v>51426</v>
      </c>
      <c r="B1427" s="21">
        <f>'Raw Data'!B1427</f>
        <v>0</v>
      </c>
      <c r="C1427" s="21">
        <f>'Raw Data'!C1427</f>
        <v>2</v>
      </c>
      <c r="D1427" s="21" t="str">
        <f>'Raw Data'!D1427</f>
        <v>Computer</v>
      </c>
      <c r="E1427" s="21">
        <f>'Raw Data'!E1427</f>
        <v>1</v>
      </c>
      <c r="F1427" s="21">
        <f>IF('Raw Data'!F1427="",ROUND(AVERAGE('Raw Data'!$F$2:$F$1501),1),'Raw Data'!F1427)</f>
        <v>6</v>
      </c>
      <c r="G1427" s="21" t="str">
        <f>'Raw Data'!G1427</f>
        <v>Debit Card</v>
      </c>
      <c r="H1427" s="21" t="str">
        <f>'Raw Data'!H1427</f>
        <v>Female</v>
      </c>
      <c r="I1427" s="21">
        <f>IF('Raw Data'!I1427="",ROUND(AVERAGE('Raw Data'!$I$2:$I$1501),1),'Raw Data'!I1427)</f>
        <v>2.9</v>
      </c>
      <c r="J1427" s="21">
        <f>'Raw Data'!J1427</f>
        <v>4</v>
      </c>
      <c r="K1427" s="21" t="str">
        <f>'Raw Data'!K1427</f>
        <v>Fashion</v>
      </c>
      <c r="L1427" s="21">
        <f>'Raw Data'!L1427</f>
        <v>2</v>
      </c>
      <c r="M1427" s="21" t="str">
        <f>'Raw Data'!M1427</f>
        <v>Single</v>
      </c>
      <c r="N1427" s="21">
        <f>'Raw Data'!N1427</f>
        <v>1</v>
      </c>
      <c r="O1427" s="21">
        <f>'Raw Data'!O1427</f>
        <v>0</v>
      </c>
      <c r="P1427" s="21">
        <f>IF('Raw Data'!P1427="",ROUND(AVERAGE('Raw Data'!$P$2:$P$1501),1),'Raw Data'!P1427)</f>
        <v>13.1</v>
      </c>
      <c r="Q1427" s="21">
        <f>IF('Raw Data'!Q1427="",ROUND(AVERAGE('Raw Data'!$Q$2:$Q$1501),0),'Raw Data'!Q1427)</f>
        <v>0</v>
      </c>
      <c r="R1427" s="21">
        <f>'Raw Data'!R1427</f>
        <v>7</v>
      </c>
      <c r="S1427" s="21">
        <f>IF('Raw Data'!S1427="",ROUND(AVERAGE('Raw Data'!$S$2:$S$1501),0),'Raw Data'!S1427)</f>
        <v>3</v>
      </c>
      <c r="T1427" s="21">
        <f>'Raw Data'!T1427</f>
        <v>241.81</v>
      </c>
      <c r="U1427" s="21" t="str">
        <f>INDEX('Lookup Tables'!$C$7:$C$9,MATCH(E1427,'Lookup Tables'!$B$7:$B$9,0))</f>
        <v>Tier 1 (Metro)</v>
      </c>
      <c r="V1427" s="21" t="str">
        <f t="shared" si="66"/>
        <v>0-6 months</v>
      </c>
      <c r="W1427" s="21" t="str">
        <f t="shared" si="67"/>
        <v>Low Risk</v>
      </c>
      <c r="X1427" s="21" t="str">
        <f t="shared" si="68"/>
        <v>No</v>
      </c>
    </row>
    <row r="1428" spans="1:24" x14ac:dyDescent="0.3">
      <c r="A1428" s="21">
        <f>'Raw Data'!A1428</f>
        <v>51427</v>
      </c>
      <c r="B1428" s="21">
        <f>'Raw Data'!B1428</f>
        <v>0</v>
      </c>
      <c r="C1428" s="21">
        <f>'Raw Data'!C1428</f>
        <v>0</v>
      </c>
      <c r="D1428" s="21" t="str">
        <f>'Raw Data'!D1428</f>
        <v>Phone</v>
      </c>
      <c r="E1428" s="21">
        <f>'Raw Data'!E1428</f>
        <v>1</v>
      </c>
      <c r="F1428" s="21">
        <f>IF('Raw Data'!F1428="",ROUND(AVERAGE('Raw Data'!$F$2:$F$1501),1),'Raw Data'!F1428)</f>
        <v>25</v>
      </c>
      <c r="G1428" s="21" t="str">
        <f>'Raw Data'!G1428</f>
        <v>Cash on Delivery</v>
      </c>
      <c r="H1428" s="21" t="str">
        <f>'Raw Data'!H1428</f>
        <v>Male</v>
      </c>
      <c r="I1428" s="21">
        <f>IF('Raw Data'!I1428="",ROUND(AVERAGE('Raw Data'!$I$2:$I$1501),1),'Raw Data'!I1428)</f>
        <v>3.2</v>
      </c>
      <c r="J1428" s="21">
        <f>'Raw Data'!J1428</f>
        <v>4</v>
      </c>
      <c r="K1428" s="21" t="str">
        <f>'Raw Data'!K1428</f>
        <v>Laptop &amp; Accessory</v>
      </c>
      <c r="L1428" s="21">
        <f>'Raw Data'!L1428</f>
        <v>4</v>
      </c>
      <c r="M1428" s="21" t="str">
        <f>'Raw Data'!M1428</f>
        <v>Married</v>
      </c>
      <c r="N1428" s="21">
        <f>'Raw Data'!N1428</f>
        <v>3</v>
      </c>
      <c r="O1428" s="21">
        <f>'Raw Data'!O1428</f>
        <v>0</v>
      </c>
      <c r="P1428" s="21">
        <f>IF('Raw Data'!P1428="",ROUND(AVERAGE('Raw Data'!$P$2:$P$1501),1),'Raw Data'!P1428)</f>
        <v>15.2</v>
      </c>
      <c r="Q1428" s="21">
        <f>IF('Raw Data'!Q1428="",ROUND(AVERAGE('Raw Data'!$Q$2:$Q$1501),0),'Raw Data'!Q1428)</f>
        <v>2</v>
      </c>
      <c r="R1428" s="21">
        <f>'Raw Data'!R1428</f>
        <v>2</v>
      </c>
      <c r="S1428" s="21">
        <f>IF('Raw Data'!S1428="",ROUND(AVERAGE('Raw Data'!$S$2:$S$1501),0),'Raw Data'!S1428)</f>
        <v>4</v>
      </c>
      <c r="T1428" s="21">
        <f>'Raw Data'!T1428</f>
        <v>96.29</v>
      </c>
      <c r="U1428" s="21" t="str">
        <f>INDEX('Lookup Tables'!$C$7:$C$9,MATCH(E1428,'Lookup Tables'!$B$7:$B$9,0))</f>
        <v>Tier 1 (Metro)</v>
      </c>
      <c r="V1428" s="21" t="str">
        <f t="shared" si="66"/>
        <v>0-6 months</v>
      </c>
      <c r="W1428" s="21" t="str">
        <f t="shared" si="67"/>
        <v>Low Risk</v>
      </c>
      <c r="X1428" s="21" t="str">
        <f t="shared" si="68"/>
        <v>No</v>
      </c>
    </row>
    <row r="1429" spans="1:24" x14ac:dyDescent="0.3">
      <c r="A1429" s="21">
        <f>'Raw Data'!A1429</f>
        <v>51428</v>
      </c>
      <c r="B1429" s="21">
        <f>'Raw Data'!B1429</f>
        <v>0</v>
      </c>
      <c r="C1429" s="21">
        <f>'Raw Data'!C1429</f>
        <v>6</v>
      </c>
      <c r="D1429" s="21" t="str">
        <f>'Raw Data'!D1429</f>
        <v>Mobile Phone</v>
      </c>
      <c r="E1429" s="21">
        <f>'Raw Data'!E1429</f>
        <v>3</v>
      </c>
      <c r="F1429" s="21">
        <f>IF('Raw Data'!F1429="",ROUND(AVERAGE('Raw Data'!$F$2:$F$1501),1),'Raw Data'!F1429)</f>
        <v>22</v>
      </c>
      <c r="G1429" s="21" t="str">
        <f>'Raw Data'!G1429</f>
        <v>Debit Card</v>
      </c>
      <c r="H1429" s="21" t="str">
        <f>'Raw Data'!H1429</f>
        <v>Male</v>
      </c>
      <c r="I1429" s="21">
        <f>IF('Raw Data'!I1429="",ROUND(AVERAGE('Raw Data'!$I$2:$I$1501),1),'Raw Data'!I1429)</f>
        <v>4</v>
      </c>
      <c r="J1429" s="21">
        <f>'Raw Data'!J1429</f>
        <v>3</v>
      </c>
      <c r="K1429" s="21" t="str">
        <f>'Raw Data'!K1429</f>
        <v>Fashion</v>
      </c>
      <c r="L1429" s="21">
        <f>'Raw Data'!L1429</f>
        <v>4</v>
      </c>
      <c r="M1429" s="21" t="str">
        <f>'Raw Data'!M1429</f>
        <v>Married</v>
      </c>
      <c r="N1429" s="21">
        <f>'Raw Data'!N1429</f>
        <v>4</v>
      </c>
      <c r="O1429" s="21">
        <f>'Raw Data'!O1429</f>
        <v>0</v>
      </c>
      <c r="P1429" s="21">
        <f>IF('Raw Data'!P1429="",ROUND(AVERAGE('Raw Data'!$P$2:$P$1501),1),'Raw Data'!P1429)</f>
        <v>15</v>
      </c>
      <c r="Q1429" s="21">
        <f>IF('Raw Data'!Q1429="",ROUND(AVERAGE('Raw Data'!$Q$2:$Q$1501),0),'Raw Data'!Q1429)</f>
        <v>3</v>
      </c>
      <c r="R1429" s="21">
        <f>'Raw Data'!R1429</f>
        <v>4</v>
      </c>
      <c r="S1429" s="21">
        <f>IF('Raw Data'!S1429="",ROUND(AVERAGE('Raw Data'!$S$2:$S$1501),0),'Raw Data'!S1429)</f>
        <v>1</v>
      </c>
      <c r="T1429" s="21">
        <f>'Raw Data'!T1429</f>
        <v>235.52</v>
      </c>
      <c r="U1429" s="21" t="str">
        <f>INDEX('Lookup Tables'!$C$7:$C$9,MATCH(E1429,'Lookup Tables'!$B$7:$B$9,0))</f>
        <v>Tier 3 (Semi-urban/Rural)</v>
      </c>
      <c r="V1429" s="21" t="str">
        <f t="shared" si="66"/>
        <v>0-6 months</v>
      </c>
      <c r="W1429" s="21" t="str">
        <f t="shared" si="67"/>
        <v>Low Risk</v>
      </c>
      <c r="X1429" s="21" t="str">
        <f t="shared" si="68"/>
        <v>No</v>
      </c>
    </row>
    <row r="1430" spans="1:24" x14ac:dyDescent="0.3">
      <c r="A1430" s="21">
        <f>'Raw Data'!A1430</f>
        <v>51429</v>
      </c>
      <c r="B1430" s="21">
        <f>'Raw Data'!B1430</f>
        <v>0</v>
      </c>
      <c r="C1430" s="21">
        <f>'Raw Data'!C1430</f>
        <v>3</v>
      </c>
      <c r="D1430" s="21" t="str">
        <f>'Raw Data'!D1430</f>
        <v>Mobile Phone</v>
      </c>
      <c r="E1430" s="21">
        <f>'Raw Data'!E1430</f>
        <v>1</v>
      </c>
      <c r="F1430" s="21">
        <f>IF('Raw Data'!F1430="",ROUND(AVERAGE('Raw Data'!$F$2:$F$1501),1),'Raw Data'!F1430)</f>
        <v>7</v>
      </c>
      <c r="G1430" s="21" t="str">
        <f>'Raw Data'!G1430</f>
        <v>Credit Card</v>
      </c>
      <c r="H1430" s="21" t="str">
        <f>'Raw Data'!H1430</f>
        <v>Female</v>
      </c>
      <c r="I1430" s="21">
        <f>IF('Raw Data'!I1430="",ROUND(AVERAGE('Raw Data'!$I$2:$I$1501),1),'Raw Data'!I1430)</f>
        <v>1.6</v>
      </c>
      <c r="J1430" s="21">
        <f>'Raw Data'!J1430</f>
        <v>5</v>
      </c>
      <c r="K1430" s="21" t="str">
        <f>'Raw Data'!K1430</f>
        <v>Others</v>
      </c>
      <c r="L1430" s="21">
        <f>'Raw Data'!L1430</f>
        <v>3</v>
      </c>
      <c r="M1430" s="21" t="str">
        <f>'Raw Data'!M1430</f>
        <v>Single</v>
      </c>
      <c r="N1430" s="21">
        <f>'Raw Data'!N1430</f>
        <v>1</v>
      </c>
      <c r="O1430" s="21">
        <f>'Raw Data'!O1430</f>
        <v>0</v>
      </c>
      <c r="P1430" s="21">
        <f>IF('Raw Data'!P1430="",ROUND(AVERAGE('Raw Data'!$P$2:$P$1501),1),'Raw Data'!P1430)</f>
        <v>17.8</v>
      </c>
      <c r="Q1430" s="21">
        <f>IF('Raw Data'!Q1430="",ROUND(AVERAGE('Raw Data'!$Q$2:$Q$1501),0),'Raw Data'!Q1430)</f>
        <v>2</v>
      </c>
      <c r="R1430" s="21">
        <f>'Raw Data'!R1430</f>
        <v>6</v>
      </c>
      <c r="S1430" s="21">
        <f>IF('Raw Data'!S1430="",ROUND(AVERAGE('Raw Data'!$S$2:$S$1501),0),'Raw Data'!S1430)</f>
        <v>13</v>
      </c>
      <c r="T1430" s="21">
        <f>'Raw Data'!T1430</f>
        <v>201.48</v>
      </c>
      <c r="U1430" s="21" t="str">
        <f>INDEX('Lookup Tables'!$C$7:$C$9,MATCH(E1430,'Lookup Tables'!$B$7:$B$9,0))</f>
        <v>Tier 1 (Metro)</v>
      </c>
      <c r="V1430" s="21" t="str">
        <f t="shared" si="66"/>
        <v>0-6 months</v>
      </c>
      <c r="W1430" s="21" t="str">
        <f t="shared" si="67"/>
        <v>Medium Risk</v>
      </c>
      <c r="X1430" s="21" t="str">
        <f t="shared" si="68"/>
        <v>No</v>
      </c>
    </row>
    <row r="1431" spans="1:24" x14ac:dyDescent="0.3">
      <c r="A1431" s="21">
        <f>'Raw Data'!A1431</f>
        <v>51430</v>
      </c>
      <c r="B1431" s="21">
        <f>'Raw Data'!B1431</f>
        <v>0</v>
      </c>
      <c r="C1431" s="21">
        <f>'Raw Data'!C1431</f>
        <v>9</v>
      </c>
      <c r="D1431" s="21" t="str">
        <f>'Raw Data'!D1431</f>
        <v>Phone</v>
      </c>
      <c r="E1431" s="21">
        <f>'Raw Data'!E1431</f>
        <v>1</v>
      </c>
      <c r="F1431" s="21">
        <f>IF('Raw Data'!F1431="",ROUND(AVERAGE('Raw Data'!$F$2:$F$1501),1),'Raw Data'!F1431)</f>
        <v>5</v>
      </c>
      <c r="G1431" s="21" t="str">
        <f>'Raw Data'!G1431</f>
        <v>UPI</v>
      </c>
      <c r="H1431" s="21" t="str">
        <f>'Raw Data'!H1431</f>
        <v>Female</v>
      </c>
      <c r="I1431" s="21">
        <f>IF('Raw Data'!I1431="",ROUND(AVERAGE('Raw Data'!$I$2:$I$1501),1),'Raw Data'!I1431)</f>
        <v>2.9</v>
      </c>
      <c r="J1431" s="21">
        <f>'Raw Data'!J1431</f>
        <v>4</v>
      </c>
      <c r="K1431" s="21" t="str">
        <f>'Raw Data'!K1431</f>
        <v>Mobile Phone</v>
      </c>
      <c r="L1431" s="21">
        <f>'Raw Data'!L1431</f>
        <v>5</v>
      </c>
      <c r="M1431" s="21" t="str">
        <f>'Raw Data'!M1431</f>
        <v>Single</v>
      </c>
      <c r="N1431" s="21">
        <f>'Raw Data'!N1431</f>
        <v>3</v>
      </c>
      <c r="O1431" s="21">
        <f>'Raw Data'!O1431</f>
        <v>1</v>
      </c>
      <c r="P1431" s="21">
        <f>IF('Raw Data'!P1431="",ROUND(AVERAGE('Raw Data'!$P$2:$P$1501),1),'Raw Data'!P1431)</f>
        <v>19.600000000000001</v>
      </c>
      <c r="Q1431" s="21">
        <f>IF('Raw Data'!Q1431="",ROUND(AVERAGE('Raw Data'!$Q$2:$Q$1501),0),'Raw Data'!Q1431)</f>
        <v>1</v>
      </c>
      <c r="R1431" s="21">
        <f>'Raw Data'!R1431</f>
        <v>4</v>
      </c>
      <c r="S1431" s="21">
        <f>IF('Raw Data'!S1431="",ROUND(AVERAGE('Raw Data'!$S$2:$S$1501),0),'Raw Data'!S1431)</f>
        <v>2</v>
      </c>
      <c r="T1431" s="21">
        <f>'Raw Data'!T1431</f>
        <v>174.72</v>
      </c>
      <c r="U1431" s="21" t="str">
        <f>INDEX('Lookup Tables'!$C$7:$C$9,MATCH(E1431,'Lookup Tables'!$B$7:$B$9,0))</f>
        <v>Tier 1 (Metro)</v>
      </c>
      <c r="V1431" s="21" t="str">
        <f t="shared" si="66"/>
        <v>7-12 months</v>
      </c>
      <c r="W1431" s="21" t="str">
        <f t="shared" si="67"/>
        <v>Low Risk</v>
      </c>
      <c r="X1431" s="21" t="str">
        <f t="shared" si="68"/>
        <v>No</v>
      </c>
    </row>
    <row r="1432" spans="1:24" x14ac:dyDescent="0.3">
      <c r="A1432" s="21">
        <f>'Raw Data'!A1432</f>
        <v>51431</v>
      </c>
      <c r="B1432" s="21">
        <f>'Raw Data'!B1432</f>
        <v>0</v>
      </c>
      <c r="C1432" s="21">
        <f>'Raw Data'!C1432</f>
        <v>3</v>
      </c>
      <c r="D1432" s="21" t="str">
        <f>'Raw Data'!D1432</f>
        <v>Mobile Phone</v>
      </c>
      <c r="E1432" s="21">
        <f>'Raw Data'!E1432</f>
        <v>1</v>
      </c>
      <c r="F1432" s="21">
        <f>IF('Raw Data'!F1432="",ROUND(AVERAGE('Raw Data'!$F$2:$F$1501),1),'Raw Data'!F1432)</f>
        <v>17</v>
      </c>
      <c r="G1432" s="21" t="str">
        <f>'Raw Data'!G1432</f>
        <v>Debit Card</v>
      </c>
      <c r="H1432" s="21" t="str">
        <f>'Raw Data'!H1432</f>
        <v>Male</v>
      </c>
      <c r="I1432" s="21">
        <f>IF('Raw Data'!I1432="",ROUND(AVERAGE('Raw Data'!$I$2:$I$1501),1),'Raw Data'!I1432)</f>
        <v>1.4</v>
      </c>
      <c r="J1432" s="21">
        <f>'Raw Data'!J1432</f>
        <v>2</v>
      </c>
      <c r="K1432" s="21" t="str">
        <f>'Raw Data'!K1432</f>
        <v>Fashion</v>
      </c>
      <c r="L1432" s="21">
        <f>'Raw Data'!L1432</f>
        <v>2</v>
      </c>
      <c r="M1432" s="21" t="str">
        <f>'Raw Data'!M1432</f>
        <v>Married</v>
      </c>
      <c r="N1432" s="21">
        <f>'Raw Data'!N1432</f>
        <v>10</v>
      </c>
      <c r="O1432" s="21">
        <f>'Raw Data'!O1432</f>
        <v>0</v>
      </c>
      <c r="P1432" s="21">
        <f>IF('Raw Data'!P1432="",ROUND(AVERAGE('Raw Data'!$P$2:$P$1501),1),'Raw Data'!P1432)</f>
        <v>12</v>
      </c>
      <c r="Q1432" s="21">
        <f>IF('Raw Data'!Q1432="",ROUND(AVERAGE('Raw Data'!$Q$2:$Q$1501),0),'Raw Data'!Q1432)</f>
        <v>2</v>
      </c>
      <c r="R1432" s="21">
        <f>'Raw Data'!R1432</f>
        <v>4</v>
      </c>
      <c r="S1432" s="21">
        <f>IF('Raw Data'!S1432="",ROUND(AVERAGE('Raw Data'!$S$2:$S$1501),0),'Raw Data'!S1432)</f>
        <v>0</v>
      </c>
      <c r="T1432" s="21">
        <f>'Raw Data'!T1432</f>
        <v>174.52</v>
      </c>
      <c r="U1432" s="21" t="str">
        <f>INDEX('Lookup Tables'!$C$7:$C$9,MATCH(E1432,'Lookup Tables'!$B$7:$B$9,0))</f>
        <v>Tier 1 (Metro)</v>
      </c>
      <c r="V1432" s="21" t="str">
        <f t="shared" si="66"/>
        <v>0-6 months</v>
      </c>
      <c r="W1432" s="21" t="str">
        <f t="shared" si="67"/>
        <v>Low Risk</v>
      </c>
      <c r="X1432" s="21" t="str">
        <f t="shared" si="68"/>
        <v>No</v>
      </c>
    </row>
    <row r="1433" spans="1:24" x14ac:dyDescent="0.3">
      <c r="A1433" s="21">
        <f>'Raw Data'!A1433</f>
        <v>51432</v>
      </c>
      <c r="B1433" s="21">
        <f>'Raw Data'!B1433</f>
        <v>1</v>
      </c>
      <c r="C1433" s="21">
        <f>'Raw Data'!C1433</f>
        <v>3</v>
      </c>
      <c r="D1433" s="21" t="str">
        <f>'Raw Data'!D1433</f>
        <v>Mobile Phone</v>
      </c>
      <c r="E1433" s="21">
        <f>'Raw Data'!E1433</f>
        <v>2</v>
      </c>
      <c r="F1433" s="21">
        <f>IF('Raw Data'!F1433="",ROUND(AVERAGE('Raw Data'!$F$2:$F$1501),1),'Raw Data'!F1433)</f>
        <v>8</v>
      </c>
      <c r="G1433" s="21" t="str">
        <f>'Raw Data'!G1433</f>
        <v>E wallet</v>
      </c>
      <c r="H1433" s="21" t="str">
        <f>'Raw Data'!H1433</f>
        <v>Female</v>
      </c>
      <c r="I1433" s="21">
        <f>IF('Raw Data'!I1433="",ROUND(AVERAGE('Raw Data'!$I$2:$I$1501),1),'Raw Data'!I1433)</f>
        <v>2.9</v>
      </c>
      <c r="J1433" s="21">
        <f>'Raw Data'!J1433</f>
        <v>3</v>
      </c>
      <c r="K1433" s="21" t="str">
        <f>'Raw Data'!K1433</f>
        <v>Laptop &amp; Accessory</v>
      </c>
      <c r="L1433" s="21">
        <f>'Raw Data'!L1433</f>
        <v>3</v>
      </c>
      <c r="M1433" s="21" t="str">
        <f>'Raw Data'!M1433</f>
        <v>Single</v>
      </c>
      <c r="N1433" s="21">
        <f>'Raw Data'!N1433</f>
        <v>1</v>
      </c>
      <c r="O1433" s="21">
        <f>'Raw Data'!O1433</f>
        <v>0</v>
      </c>
      <c r="P1433" s="21">
        <f>IF('Raw Data'!P1433="",ROUND(AVERAGE('Raw Data'!$P$2:$P$1501),1),'Raw Data'!P1433)</f>
        <v>22.4</v>
      </c>
      <c r="Q1433" s="21">
        <f>IF('Raw Data'!Q1433="",ROUND(AVERAGE('Raw Data'!$Q$2:$Q$1501),0),'Raw Data'!Q1433)</f>
        <v>1</v>
      </c>
      <c r="R1433" s="21">
        <f>'Raw Data'!R1433</f>
        <v>2</v>
      </c>
      <c r="S1433" s="21">
        <f>IF('Raw Data'!S1433="",ROUND(AVERAGE('Raw Data'!$S$2:$S$1501),0),'Raw Data'!S1433)</f>
        <v>7</v>
      </c>
      <c r="T1433" s="21">
        <f>'Raw Data'!T1433</f>
        <v>166.1</v>
      </c>
      <c r="U1433" s="21" t="str">
        <f>INDEX('Lookup Tables'!$C$7:$C$9,MATCH(E1433,'Lookup Tables'!$B$7:$B$9,0))</f>
        <v>Tier 2 (Urban)</v>
      </c>
      <c r="V1433" s="21" t="str">
        <f t="shared" si="66"/>
        <v>0-6 months</v>
      </c>
      <c r="W1433" s="21" t="str">
        <f t="shared" si="67"/>
        <v>Medium Risk</v>
      </c>
      <c r="X1433" s="21" t="str">
        <f t="shared" si="68"/>
        <v>Yes</v>
      </c>
    </row>
    <row r="1434" spans="1:24" x14ac:dyDescent="0.3">
      <c r="A1434" s="21">
        <f>'Raw Data'!A1434</f>
        <v>51433</v>
      </c>
      <c r="B1434" s="21">
        <f>'Raw Data'!B1434</f>
        <v>0</v>
      </c>
      <c r="C1434" s="21">
        <f>'Raw Data'!C1434</f>
        <v>13</v>
      </c>
      <c r="D1434" s="21" t="str">
        <f>'Raw Data'!D1434</f>
        <v>Mobile Phone</v>
      </c>
      <c r="E1434" s="21">
        <f>'Raw Data'!E1434</f>
        <v>1</v>
      </c>
      <c r="F1434" s="21">
        <f>IF('Raw Data'!F1434="",ROUND(AVERAGE('Raw Data'!$F$2:$F$1501),1),'Raw Data'!F1434)</f>
        <v>15</v>
      </c>
      <c r="G1434" s="21" t="str">
        <f>'Raw Data'!G1434</f>
        <v>Debit Card</v>
      </c>
      <c r="H1434" s="21" t="str">
        <f>'Raw Data'!H1434</f>
        <v>Male</v>
      </c>
      <c r="I1434" s="21">
        <f>IF('Raw Data'!I1434="",ROUND(AVERAGE('Raw Data'!$I$2:$I$1501),1),'Raw Data'!I1434)</f>
        <v>3.1</v>
      </c>
      <c r="J1434" s="21">
        <f>'Raw Data'!J1434</f>
        <v>4</v>
      </c>
      <c r="K1434" s="21" t="str">
        <f>'Raw Data'!K1434</f>
        <v>Grocery</v>
      </c>
      <c r="L1434" s="21">
        <f>'Raw Data'!L1434</f>
        <v>1</v>
      </c>
      <c r="M1434" s="21" t="str">
        <f>'Raw Data'!M1434</f>
        <v>Single</v>
      </c>
      <c r="N1434" s="21">
        <f>'Raw Data'!N1434</f>
        <v>8</v>
      </c>
      <c r="O1434" s="21">
        <f>'Raw Data'!O1434</f>
        <v>0</v>
      </c>
      <c r="P1434" s="21">
        <f>IF('Raw Data'!P1434="",ROUND(AVERAGE('Raw Data'!$P$2:$P$1501),1),'Raw Data'!P1434)</f>
        <v>21.6</v>
      </c>
      <c r="Q1434" s="21">
        <f>IF('Raw Data'!Q1434="",ROUND(AVERAGE('Raw Data'!$Q$2:$Q$1501),0),'Raw Data'!Q1434)</f>
        <v>3</v>
      </c>
      <c r="R1434" s="21">
        <f>'Raw Data'!R1434</f>
        <v>5</v>
      </c>
      <c r="S1434" s="21">
        <f>IF('Raw Data'!S1434="",ROUND(AVERAGE('Raw Data'!$S$2:$S$1501),0),'Raw Data'!S1434)</f>
        <v>1</v>
      </c>
      <c r="T1434" s="21">
        <f>'Raw Data'!T1434</f>
        <v>134.86000000000001</v>
      </c>
      <c r="U1434" s="21" t="str">
        <f>INDEX('Lookup Tables'!$C$7:$C$9,MATCH(E1434,'Lookup Tables'!$B$7:$B$9,0))</f>
        <v>Tier 1 (Metro)</v>
      </c>
      <c r="V1434" s="21" t="str">
        <f t="shared" si="66"/>
        <v>13-24 months</v>
      </c>
      <c r="W1434" s="21" t="str">
        <f t="shared" si="67"/>
        <v>Low Risk</v>
      </c>
      <c r="X1434" s="21" t="str">
        <f t="shared" si="68"/>
        <v>No</v>
      </c>
    </row>
    <row r="1435" spans="1:24" x14ac:dyDescent="0.3">
      <c r="A1435" s="21">
        <f>'Raw Data'!A1435</f>
        <v>51434</v>
      </c>
      <c r="B1435" s="21">
        <f>'Raw Data'!B1435</f>
        <v>0</v>
      </c>
      <c r="C1435" s="21">
        <f>'Raw Data'!C1435</f>
        <v>0</v>
      </c>
      <c r="D1435" s="21" t="str">
        <f>'Raw Data'!D1435</f>
        <v>Mobile Phone</v>
      </c>
      <c r="E1435" s="21">
        <f>'Raw Data'!E1435</f>
        <v>3</v>
      </c>
      <c r="F1435" s="21">
        <f>IF('Raw Data'!F1435="",ROUND(AVERAGE('Raw Data'!$F$2:$F$1501),1),'Raw Data'!F1435)</f>
        <v>11</v>
      </c>
      <c r="G1435" s="21" t="str">
        <f>'Raw Data'!G1435</f>
        <v>UPI</v>
      </c>
      <c r="H1435" s="21" t="str">
        <f>'Raw Data'!H1435</f>
        <v>Female</v>
      </c>
      <c r="I1435" s="21">
        <f>IF('Raw Data'!I1435="",ROUND(AVERAGE('Raw Data'!$I$2:$I$1501),1),'Raw Data'!I1435)</f>
        <v>4</v>
      </c>
      <c r="J1435" s="21">
        <f>'Raw Data'!J1435</f>
        <v>3</v>
      </c>
      <c r="K1435" s="21" t="str">
        <f>'Raw Data'!K1435</f>
        <v>Laptop &amp; Accessory</v>
      </c>
      <c r="L1435" s="21">
        <f>'Raw Data'!L1435</f>
        <v>4</v>
      </c>
      <c r="M1435" s="21" t="str">
        <f>'Raw Data'!M1435</f>
        <v>Single</v>
      </c>
      <c r="N1435" s="21">
        <f>'Raw Data'!N1435</f>
        <v>10</v>
      </c>
      <c r="O1435" s="21">
        <f>'Raw Data'!O1435</f>
        <v>0</v>
      </c>
      <c r="P1435" s="21">
        <f>IF('Raw Data'!P1435="",ROUND(AVERAGE('Raw Data'!$P$2:$P$1501),1),'Raw Data'!P1435)</f>
        <v>12.9</v>
      </c>
      <c r="Q1435" s="21">
        <f>IF('Raw Data'!Q1435="",ROUND(AVERAGE('Raw Data'!$Q$2:$Q$1501),0),'Raw Data'!Q1435)</f>
        <v>2</v>
      </c>
      <c r="R1435" s="21">
        <f>'Raw Data'!R1435</f>
        <v>5</v>
      </c>
      <c r="S1435" s="21">
        <f>IF('Raw Data'!S1435="",ROUND(AVERAGE('Raw Data'!$S$2:$S$1501),0),'Raw Data'!S1435)</f>
        <v>0</v>
      </c>
      <c r="T1435" s="21">
        <f>'Raw Data'!T1435</f>
        <v>168.67</v>
      </c>
      <c r="U1435" s="21" t="str">
        <f>INDEX('Lookup Tables'!$C$7:$C$9,MATCH(E1435,'Lookup Tables'!$B$7:$B$9,0))</f>
        <v>Tier 3 (Semi-urban/Rural)</v>
      </c>
      <c r="V1435" s="21" t="str">
        <f t="shared" si="66"/>
        <v>0-6 months</v>
      </c>
      <c r="W1435" s="21" t="str">
        <f t="shared" si="67"/>
        <v>Low Risk</v>
      </c>
      <c r="X1435" s="21" t="str">
        <f t="shared" si="68"/>
        <v>No</v>
      </c>
    </row>
    <row r="1436" spans="1:24" x14ac:dyDescent="0.3">
      <c r="A1436" s="21">
        <f>'Raw Data'!A1436</f>
        <v>51435</v>
      </c>
      <c r="B1436" s="21">
        <f>'Raw Data'!B1436</f>
        <v>0</v>
      </c>
      <c r="C1436" s="21">
        <f>'Raw Data'!C1436</f>
        <v>23</v>
      </c>
      <c r="D1436" s="21" t="str">
        <f>'Raw Data'!D1436</f>
        <v>Mobile Phone</v>
      </c>
      <c r="E1436" s="21">
        <f>'Raw Data'!E1436</f>
        <v>1</v>
      </c>
      <c r="F1436" s="21">
        <f>IF('Raw Data'!F1436="",ROUND(AVERAGE('Raw Data'!$F$2:$F$1501),1),'Raw Data'!F1436)</f>
        <v>5</v>
      </c>
      <c r="G1436" s="21" t="str">
        <f>'Raw Data'!G1436</f>
        <v>Debit Card</v>
      </c>
      <c r="H1436" s="21" t="str">
        <f>'Raw Data'!H1436</f>
        <v>Female</v>
      </c>
      <c r="I1436" s="21">
        <f>IF('Raw Data'!I1436="",ROUND(AVERAGE('Raw Data'!$I$2:$I$1501),1),'Raw Data'!I1436)</f>
        <v>3</v>
      </c>
      <c r="J1436" s="21">
        <f>'Raw Data'!J1436</f>
        <v>4</v>
      </c>
      <c r="K1436" s="21" t="str">
        <f>'Raw Data'!K1436</f>
        <v>Fashion</v>
      </c>
      <c r="L1436" s="21">
        <f>'Raw Data'!L1436</f>
        <v>4</v>
      </c>
      <c r="M1436" s="21" t="str">
        <f>'Raw Data'!M1436</f>
        <v>Divorced</v>
      </c>
      <c r="N1436" s="21">
        <f>'Raw Data'!N1436</f>
        <v>1</v>
      </c>
      <c r="O1436" s="21">
        <f>'Raw Data'!O1436</f>
        <v>1</v>
      </c>
      <c r="P1436" s="21">
        <f>IF('Raw Data'!P1436="",ROUND(AVERAGE('Raw Data'!$P$2:$P$1501),1),'Raw Data'!P1436)</f>
        <v>16.3</v>
      </c>
      <c r="Q1436" s="21">
        <f>IF('Raw Data'!Q1436="",ROUND(AVERAGE('Raw Data'!$Q$2:$Q$1501),0),'Raw Data'!Q1436)</f>
        <v>1</v>
      </c>
      <c r="R1436" s="21">
        <f>'Raw Data'!R1436</f>
        <v>6</v>
      </c>
      <c r="S1436" s="21">
        <f>IF('Raw Data'!S1436="",ROUND(AVERAGE('Raw Data'!$S$2:$S$1501),0),'Raw Data'!S1436)</f>
        <v>4</v>
      </c>
      <c r="T1436" s="21">
        <f>'Raw Data'!T1436</f>
        <v>301.44</v>
      </c>
      <c r="U1436" s="21" t="str">
        <f>INDEX('Lookup Tables'!$C$7:$C$9,MATCH(E1436,'Lookup Tables'!$B$7:$B$9,0))</f>
        <v>Tier 1 (Metro)</v>
      </c>
      <c r="V1436" s="21" t="str">
        <f t="shared" si="66"/>
        <v>13-24 months</v>
      </c>
      <c r="W1436" s="21" t="str">
        <f t="shared" si="67"/>
        <v>Low Risk</v>
      </c>
      <c r="X1436" s="21" t="str">
        <f t="shared" si="68"/>
        <v>No</v>
      </c>
    </row>
    <row r="1437" spans="1:24" x14ac:dyDescent="0.3">
      <c r="A1437" s="21">
        <f>'Raw Data'!A1437</f>
        <v>51436</v>
      </c>
      <c r="B1437" s="21">
        <f>'Raw Data'!B1437</f>
        <v>0</v>
      </c>
      <c r="C1437" s="21">
        <f>'Raw Data'!C1437</f>
        <v>19</v>
      </c>
      <c r="D1437" s="21" t="str">
        <f>'Raw Data'!D1437</f>
        <v>Phone</v>
      </c>
      <c r="E1437" s="21">
        <f>'Raw Data'!E1437</f>
        <v>2</v>
      </c>
      <c r="F1437" s="21">
        <f>IF('Raw Data'!F1437="",ROUND(AVERAGE('Raw Data'!$F$2:$F$1501),1),'Raw Data'!F1437)</f>
        <v>5</v>
      </c>
      <c r="G1437" s="21" t="str">
        <f>'Raw Data'!G1437</f>
        <v>E wallet</v>
      </c>
      <c r="H1437" s="21" t="str">
        <f>'Raw Data'!H1437</f>
        <v>Female</v>
      </c>
      <c r="I1437" s="21">
        <f>IF('Raw Data'!I1437="",ROUND(AVERAGE('Raw Data'!$I$2:$I$1501),1),'Raw Data'!I1437)</f>
        <v>3.6</v>
      </c>
      <c r="J1437" s="21">
        <f>'Raw Data'!J1437</f>
        <v>4</v>
      </c>
      <c r="K1437" s="21" t="str">
        <f>'Raw Data'!K1437</f>
        <v>Others</v>
      </c>
      <c r="L1437" s="21">
        <f>'Raw Data'!L1437</f>
        <v>3</v>
      </c>
      <c r="M1437" s="21" t="str">
        <f>'Raw Data'!M1437</f>
        <v>Married</v>
      </c>
      <c r="N1437" s="21">
        <f>'Raw Data'!N1437</f>
        <v>4</v>
      </c>
      <c r="O1437" s="21">
        <f>'Raw Data'!O1437</f>
        <v>1</v>
      </c>
      <c r="P1437" s="21">
        <f>IF('Raw Data'!P1437="",ROUND(AVERAGE('Raw Data'!$P$2:$P$1501),1),'Raw Data'!P1437)</f>
        <v>22</v>
      </c>
      <c r="Q1437" s="21">
        <f>IF('Raw Data'!Q1437="",ROUND(AVERAGE('Raw Data'!$Q$2:$Q$1501),0),'Raw Data'!Q1437)</f>
        <v>3</v>
      </c>
      <c r="R1437" s="21">
        <f>'Raw Data'!R1437</f>
        <v>3</v>
      </c>
      <c r="S1437" s="21">
        <f>IF('Raw Data'!S1437="",ROUND(AVERAGE('Raw Data'!$S$2:$S$1501),0),'Raw Data'!S1437)</f>
        <v>5</v>
      </c>
      <c r="T1437" s="21">
        <f>'Raw Data'!T1437</f>
        <v>251.63</v>
      </c>
      <c r="U1437" s="21" t="str">
        <f>INDEX('Lookup Tables'!$C$7:$C$9,MATCH(E1437,'Lookup Tables'!$B$7:$B$9,0))</f>
        <v>Tier 2 (Urban)</v>
      </c>
      <c r="V1437" s="21" t="str">
        <f t="shared" si="66"/>
        <v>13-24 months</v>
      </c>
      <c r="W1437" s="21" t="str">
        <f t="shared" si="67"/>
        <v>Medium Risk</v>
      </c>
      <c r="X1437" s="21" t="str">
        <f t="shared" si="68"/>
        <v>No</v>
      </c>
    </row>
    <row r="1438" spans="1:24" x14ac:dyDescent="0.3">
      <c r="A1438" s="21">
        <f>'Raw Data'!A1438</f>
        <v>51437</v>
      </c>
      <c r="B1438" s="21">
        <f>'Raw Data'!B1438</f>
        <v>0</v>
      </c>
      <c r="C1438" s="21">
        <f>'Raw Data'!C1438</f>
        <v>11</v>
      </c>
      <c r="D1438" s="21" t="str">
        <f>'Raw Data'!D1438</f>
        <v>Mobile Phone</v>
      </c>
      <c r="E1438" s="21">
        <f>'Raw Data'!E1438</f>
        <v>1</v>
      </c>
      <c r="F1438" s="21">
        <f>IF('Raw Data'!F1438="",ROUND(AVERAGE('Raw Data'!$F$2:$F$1501),1),'Raw Data'!F1438)</f>
        <v>16</v>
      </c>
      <c r="G1438" s="21" t="str">
        <f>'Raw Data'!G1438</f>
        <v>E wallet</v>
      </c>
      <c r="H1438" s="21" t="str">
        <f>'Raw Data'!H1438</f>
        <v>Female</v>
      </c>
      <c r="I1438" s="21">
        <f>IF('Raw Data'!I1438="",ROUND(AVERAGE('Raw Data'!$I$2:$I$1501),1),'Raw Data'!I1438)</f>
        <v>3.3</v>
      </c>
      <c r="J1438" s="21">
        <f>'Raw Data'!J1438</f>
        <v>1</v>
      </c>
      <c r="K1438" s="21" t="str">
        <f>'Raw Data'!K1438</f>
        <v>Mobile Phone</v>
      </c>
      <c r="L1438" s="21">
        <f>'Raw Data'!L1438</f>
        <v>2</v>
      </c>
      <c r="M1438" s="21" t="str">
        <f>'Raw Data'!M1438</f>
        <v>Single</v>
      </c>
      <c r="N1438" s="21">
        <f>'Raw Data'!N1438</f>
        <v>1</v>
      </c>
      <c r="O1438" s="21">
        <f>'Raw Data'!O1438</f>
        <v>0</v>
      </c>
      <c r="P1438" s="21">
        <f>IF('Raw Data'!P1438="",ROUND(AVERAGE('Raw Data'!$P$2:$P$1501),1),'Raw Data'!P1438)</f>
        <v>20.3</v>
      </c>
      <c r="Q1438" s="21">
        <f>IF('Raw Data'!Q1438="",ROUND(AVERAGE('Raw Data'!$Q$2:$Q$1501),0),'Raw Data'!Q1438)</f>
        <v>5</v>
      </c>
      <c r="R1438" s="21">
        <f>'Raw Data'!R1438</f>
        <v>3</v>
      </c>
      <c r="S1438" s="21">
        <f>IF('Raw Data'!S1438="",ROUND(AVERAGE('Raw Data'!$S$2:$S$1501),0),'Raw Data'!S1438)</f>
        <v>4</v>
      </c>
      <c r="T1438" s="21">
        <f>'Raw Data'!T1438</f>
        <v>132.09</v>
      </c>
      <c r="U1438" s="21" t="str">
        <f>INDEX('Lookup Tables'!$C$7:$C$9,MATCH(E1438,'Lookup Tables'!$B$7:$B$9,0))</f>
        <v>Tier 1 (Metro)</v>
      </c>
      <c r="V1438" s="21" t="str">
        <f t="shared" si="66"/>
        <v>7-12 months</v>
      </c>
      <c r="W1438" s="21" t="str">
        <f t="shared" si="67"/>
        <v>Low Risk</v>
      </c>
      <c r="X1438" s="21" t="str">
        <f t="shared" si="68"/>
        <v>No</v>
      </c>
    </row>
    <row r="1439" spans="1:24" x14ac:dyDescent="0.3">
      <c r="A1439" s="21">
        <f>'Raw Data'!A1439</f>
        <v>51438</v>
      </c>
      <c r="B1439" s="21">
        <f>'Raw Data'!B1439</f>
        <v>0</v>
      </c>
      <c r="C1439" s="21">
        <f>'Raw Data'!C1439</f>
        <v>8</v>
      </c>
      <c r="D1439" s="21" t="str">
        <f>'Raw Data'!D1439</f>
        <v>Mobile Phone</v>
      </c>
      <c r="E1439" s="21">
        <f>'Raw Data'!E1439</f>
        <v>1</v>
      </c>
      <c r="F1439" s="21">
        <f>IF('Raw Data'!F1439="",ROUND(AVERAGE('Raw Data'!$F$2:$F$1501),1),'Raw Data'!F1439)</f>
        <v>10</v>
      </c>
      <c r="G1439" s="21" t="str">
        <f>'Raw Data'!G1439</f>
        <v>Debit Card</v>
      </c>
      <c r="H1439" s="21" t="str">
        <f>'Raw Data'!H1439</f>
        <v>Male</v>
      </c>
      <c r="I1439" s="21">
        <f>IF('Raw Data'!I1439="",ROUND(AVERAGE('Raw Data'!$I$2:$I$1501),1),'Raw Data'!I1439)</f>
        <v>2.6</v>
      </c>
      <c r="J1439" s="21">
        <f>'Raw Data'!J1439</f>
        <v>3</v>
      </c>
      <c r="K1439" s="21" t="str">
        <f>'Raw Data'!K1439</f>
        <v>Fashion</v>
      </c>
      <c r="L1439" s="21">
        <f>'Raw Data'!L1439</f>
        <v>1</v>
      </c>
      <c r="M1439" s="21" t="str">
        <f>'Raw Data'!M1439</f>
        <v>Married</v>
      </c>
      <c r="N1439" s="21">
        <f>'Raw Data'!N1439</f>
        <v>4</v>
      </c>
      <c r="O1439" s="21">
        <f>'Raw Data'!O1439</f>
        <v>0</v>
      </c>
      <c r="P1439" s="21">
        <f>IF('Raw Data'!P1439="",ROUND(AVERAGE('Raw Data'!$P$2:$P$1501),1),'Raw Data'!P1439)</f>
        <v>14.8</v>
      </c>
      <c r="Q1439" s="21">
        <f>IF('Raw Data'!Q1439="",ROUND(AVERAGE('Raw Data'!$Q$2:$Q$1501),0),'Raw Data'!Q1439)</f>
        <v>2</v>
      </c>
      <c r="R1439" s="21">
        <f>'Raw Data'!R1439</f>
        <v>3</v>
      </c>
      <c r="S1439" s="21">
        <f>IF('Raw Data'!S1439="",ROUND(AVERAGE('Raw Data'!$S$2:$S$1501),0),'Raw Data'!S1439)</f>
        <v>5</v>
      </c>
      <c r="T1439" s="21">
        <f>'Raw Data'!T1439</f>
        <v>194.72</v>
      </c>
      <c r="U1439" s="21" t="str">
        <f>INDEX('Lookup Tables'!$C$7:$C$9,MATCH(E1439,'Lookup Tables'!$B$7:$B$9,0))</f>
        <v>Tier 1 (Metro)</v>
      </c>
      <c r="V1439" s="21" t="str">
        <f t="shared" si="66"/>
        <v>7-12 months</v>
      </c>
      <c r="W1439" s="21" t="str">
        <f t="shared" si="67"/>
        <v>Low Risk</v>
      </c>
      <c r="X1439" s="21" t="str">
        <f t="shared" si="68"/>
        <v>No</v>
      </c>
    </row>
    <row r="1440" spans="1:24" x14ac:dyDescent="0.3">
      <c r="A1440" s="21">
        <f>'Raw Data'!A1440</f>
        <v>51439</v>
      </c>
      <c r="B1440" s="21">
        <f>'Raw Data'!B1440</f>
        <v>0</v>
      </c>
      <c r="C1440" s="21">
        <f>'Raw Data'!C1440</f>
        <v>22</v>
      </c>
      <c r="D1440" s="21" t="str">
        <f>'Raw Data'!D1440</f>
        <v>Computer</v>
      </c>
      <c r="E1440" s="21">
        <f>'Raw Data'!E1440</f>
        <v>2</v>
      </c>
      <c r="F1440" s="21">
        <f>IF('Raw Data'!F1440="",ROUND(AVERAGE('Raw Data'!$F$2:$F$1501),1),'Raw Data'!F1440)</f>
        <v>10</v>
      </c>
      <c r="G1440" s="21" t="str">
        <f>'Raw Data'!G1440</f>
        <v>Debit Card</v>
      </c>
      <c r="H1440" s="21" t="str">
        <f>'Raw Data'!H1440</f>
        <v>Female</v>
      </c>
      <c r="I1440" s="21">
        <f>IF('Raw Data'!I1440="",ROUND(AVERAGE('Raw Data'!$I$2:$I$1501),1),'Raw Data'!I1440)</f>
        <v>1.9</v>
      </c>
      <c r="J1440" s="21">
        <f>'Raw Data'!J1440</f>
        <v>3</v>
      </c>
      <c r="K1440" s="21" t="str">
        <f>'Raw Data'!K1440</f>
        <v>Mobile Phone</v>
      </c>
      <c r="L1440" s="21">
        <f>'Raw Data'!L1440</f>
        <v>2</v>
      </c>
      <c r="M1440" s="21" t="str">
        <f>'Raw Data'!M1440</f>
        <v>Married</v>
      </c>
      <c r="N1440" s="21">
        <f>'Raw Data'!N1440</f>
        <v>5</v>
      </c>
      <c r="O1440" s="21">
        <f>'Raw Data'!O1440</f>
        <v>0</v>
      </c>
      <c r="P1440" s="21">
        <f>IF('Raw Data'!P1440="",ROUND(AVERAGE('Raw Data'!$P$2:$P$1501),1),'Raw Data'!P1440)</f>
        <v>18.899999999999999</v>
      </c>
      <c r="Q1440" s="21">
        <f>IF('Raw Data'!Q1440="",ROUND(AVERAGE('Raw Data'!$Q$2:$Q$1501),0),'Raw Data'!Q1440)</f>
        <v>0</v>
      </c>
      <c r="R1440" s="21">
        <f>'Raw Data'!R1440</f>
        <v>4</v>
      </c>
      <c r="S1440" s="21">
        <f>IF('Raw Data'!S1440="",ROUND(AVERAGE('Raw Data'!$S$2:$S$1501),0),'Raw Data'!S1440)</f>
        <v>0</v>
      </c>
      <c r="T1440" s="21">
        <f>'Raw Data'!T1440</f>
        <v>185.28</v>
      </c>
      <c r="U1440" s="21" t="str">
        <f>INDEX('Lookup Tables'!$C$7:$C$9,MATCH(E1440,'Lookup Tables'!$B$7:$B$9,0))</f>
        <v>Tier 2 (Urban)</v>
      </c>
      <c r="V1440" s="21" t="str">
        <f t="shared" si="66"/>
        <v>13-24 months</v>
      </c>
      <c r="W1440" s="21" t="str">
        <f t="shared" si="67"/>
        <v>Low Risk</v>
      </c>
      <c r="X1440" s="21" t="str">
        <f t="shared" si="68"/>
        <v>No</v>
      </c>
    </row>
    <row r="1441" spans="1:24" x14ac:dyDescent="0.3">
      <c r="A1441" s="21">
        <f>'Raw Data'!A1441</f>
        <v>51440</v>
      </c>
      <c r="B1441" s="21">
        <f>'Raw Data'!B1441</f>
        <v>0</v>
      </c>
      <c r="C1441" s="21">
        <f>'Raw Data'!C1441</f>
        <v>2</v>
      </c>
      <c r="D1441" s="21" t="str">
        <f>'Raw Data'!D1441</f>
        <v>Mobile Phone</v>
      </c>
      <c r="E1441" s="21">
        <f>'Raw Data'!E1441</f>
        <v>3</v>
      </c>
      <c r="F1441" s="21">
        <f>IF('Raw Data'!F1441="",ROUND(AVERAGE('Raw Data'!$F$2:$F$1501),1),'Raw Data'!F1441)</f>
        <v>20</v>
      </c>
      <c r="G1441" s="21" t="str">
        <f>'Raw Data'!G1441</f>
        <v>Credit Card</v>
      </c>
      <c r="H1441" s="21" t="str">
        <f>'Raw Data'!H1441</f>
        <v>Male</v>
      </c>
      <c r="I1441" s="21">
        <f>IF('Raw Data'!I1441="",ROUND(AVERAGE('Raw Data'!$I$2:$I$1501),1),'Raw Data'!I1441)</f>
        <v>3.1</v>
      </c>
      <c r="J1441" s="21">
        <f>'Raw Data'!J1441</f>
        <v>4</v>
      </c>
      <c r="K1441" s="21" t="str">
        <f>'Raw Data'!K1441</f>
        <v>Laptop &amp; Accessory</v>
      </c>
      <c r="L1441" s="21">
        <f>'Raw Data'!L1441</f>
        <v>3</v>
      </c>
      <c r="M1441" s="21" t="str">
        <f>'Raw Data'!M1441</f>
        <v>Single</v>
      </c>
      <c r="N1441" s="21">
        <f>'Raw Data'!N1441</f>
        <v>1</v>
      </c>
      <c r="O1441" s="21">
        <f>'Raw Data'!O1441</f>
        <v>0</v>
      </c>
      <c r="P1441" s="21">
        <f>IF('Raw Data'!P1441="",ROUND(AVERAGE('Raw Data'!$P$2:$P$1501),1),'Raw Data'!P1441)</f>
        <v>26</v>
      </c>
      <c r="Q1441" s="21">
        <f>IF('Raw Data'!Q1441="",ROUND(AVERAGE('Raw Data'!$Q$2:$Q$1501),0),'Raw Data'!Q1441)</f>
        <v>1</v>
      </c>
      <c r="R1441" s="21">
        <f>'Raw Data'!R1441</f>
        <v>4</v>
      </c>
      <c r="S1441" s="21">
        <f>IF('Raw Data'!S1441="",ROUND(AVERAGE('Raw Data'!$S$2:$S$1501),0),'Raw Data'!S1441)</f>
        <v>3</v>
      </c>
      <c r="T1441" s="21">
        <f>'Raw Data'!T1441</f>
        <v>172.17</v>
      </c>
      <c r="U1441" s="21" t="str">
        <f>INDEX('Lookup Tables'!$C$7:$C$9,MATCH(E1441,'Lookup Tables'!$B$7:$B$9,0))</f>
        <v>Tier 3 (Semi-urban/Rural)</v>
      </c>
      <c r="V1441" s="21" t="str">
        <f t="shared" si="66"/>
        <v>0-6 months</v>
      </c>
      <c r="W1441" s="21" t="str">
        <f t="shared" si="67"/>
        <v>Medium Risk</v>
      </c>
      <c r="X1441" s="21" t="str">
        <f t="shared" si="68"/>
        <v>No</v>
      </c>
    </row>
    <row r="1442" spans="1:24" x14ac:dyDescent="0.3">
      <c r="A1442" s="21">
        <f>'Raw Data'!A1442</f>
        <v>51441</v>
      </c>
      <c r="B1442" s="21">
        <f>'Raw Data'!B1442</f>
        <v>0</v>
      </c>
      <c r="C1442" s="21">
        <f>'Raw Data'!C1442</f>
        <v>0</v>
      </c>
      <c r="D1442" s="21" t="str">
        <f>'Raw Data'!D1442</f>
        <v>Mobile Phone</v>
      </c>
      <c r="E1442" s="21">
        <f>'Raw Data'!E1442</f>
        <v>3</v>
      </c>
      <c r="F1442" s="21">
        <f>IF('Raw Data'!F1442="",ROUND(AVERAGE('Raw Data'!$F$2:$F$1501),1),'Raw Data'!F1442)</f>
        <v>24</v>
      </c>
      <c r="G1442" s="21" t="str">
        <f>'Raw Data'!G1442</f>
        <v>Debit Card</v>
      </c>
      <c r="H1442" s="21" t="str">
        <f>'Raw Data'!H1442</f>
        <v>Male</v>
      </c>
      <c r="I1442" s="21">
        <f>IF('Raw Data'!I1442="",ROUND(AVERAGE('Raw Data'!$I$2:$I$1501),1),'Raw Data'!I1442)</f>
        <v>1.9</v>
      </c>
      <c r="J1442" s="21">
        <f>'Raw Data'!J1442</f>
        <v>4</v>
      </c>
      <c r="K1442" s="21" t="str">
        <f>'Raw Data'!K1442</f>
        <v>Grocery</v>
      </c>
      <c r="L1442" s="21">
        <f>'Raw Data'!L1442</f>
        <v>2</v>
      </c>
      <c r="M1442" s="21" t="str">
        <f>'Raw Data'!M1442</f>
        <v>Single</v>
      </c>
      <c r="N1442" s="21">
        <f>'Raw Data'!N1442</f>
        <v>4</v>
      </c>
      <c r="O1442" s="21">
        <f>'Raw Data'!O1442</f>
        <v>0</v>
      </c>
      <c r="P1442" s="21">
        <f>IF('Raw Data'!P1442="",ROUND(AVERAGE('Raw Data'!$P$2:$P$1501),1),'Raw Data'!P1442)</f>
        <v>16.399999999999999</v>
      </c>
      <c r="Q1442" s="21">
        <f>IF('Raw Data'!Q1442="",ROUND(AVERAGE('Raw Data'!$Q$2:$Q$1501),0),'Raw Data'!Q1442)</f>
        <v>3</v>
      </c>
      <c r="R1442" s="21">
        <f>'Raw Data'!R1442</f>
        <v>3</v>
      </c>
      <c r="S1442" s="21">
        <f>IF('Raw Data'!S1442="",ROUND(AVERAGE('Raw Data'!$S$2:$S$1501),0),'Raw Data'!S1442)</f>
        <v>2</v>
      </c>
      <c r="T1442" s="21">
        <f>'Raw Data'!T1442</f>
        <v>124.85</v>
      </c>
      <c r="U1442" s="21" t="str">
        <f>INDEX('Lookup Tables'!$C$7:$C$9,MATCH(E1442,'Lookup Tables'!$B$7:$B$9,0))</f>
        <v>Tier 3 (Semi-urban/Rural)</v>
      </c>
      <c r="V1442" s="21" t="str">
        <f t="shared" si="66"/>
        <v>0-6 months</v>
      </c>
      <c r="W1442" s="21" t="str">
        <f t="shared" si="67"/>
        <v>Low Risk</v>
      </c>
      <c r="X1442" s="21" t="str">
        <f t="shared" si="68"/>
        <v>No</v>
      </c>
    </row>
    <row r="1443" spans="1:24" x14ac:dyDescent="0.3">
      <c r="A1443" s="21">
        <f>'Raw Data'!A1443</f>
        <v>51442</v>
      </c>
      <c r="B1443" s="21">
        <f>'Raw Data'!B1443</f>
        <v>0</v>
      </c>
      <c r="C1443" s="21">
        <f>'Raw Data'!C1443</f>
        <v>2</v>
      </c>
      <c r="D1443" s="21" t="str">
        <f>'Raw Data'!D1443</f>
        <v>Computer</v>
      </c>
      <c r="E1443" s="21">
        <f>'Raw Data'!E1443</f>
        <v>2</v>
      </c>
      <c r="F1443" s="21">
        <f>IF('Raw Data'!F1443="",ROUND(AVERAGE('Raw Data'!$F$2:$F$1501),1),'Raw Data'!F1443)</f>
        <v>14.8</v>
      </c>
      <c r="G1443" s="21" t="str">
        <f>'Raw Data'!G1443</f>
        <v>UPI</v>
      </c>
      <c r="H1443" s="21" t="str">
        <f>'Raw Data'!H1443</f>
        <v>Male</v>
      </c>
      <c r="I1443" s="21">
        <f>IF('Raw Data'!I1443="",ROUND(AVERAGE('Raw Data'!$I$2:$I$1501),1),'Raw Data'!I1443)</f>
        <v>3.8</v>
      </c>
      <c r="J1443" s="21">
        <f>'Raw Data'!J1443</f>
        <v>3</v>
      </c>
      <c r="K1443" s="21" t="str">
        <f>'Raw Data'!K1443</f>
        <v>Laptop &amp; Accessory</v>
      </c>
      <c r="L1443" s="21">
        <f>'Raw Data'!L1443</f>
        <v>3</v>
      </c>
      <c r="M1443" s="21" t="str">
        <f>'Raw Data'!M1443</f>
        <v>Married</v>
      </c>
      <c r="N1443" s="21">
        <f>'Raw Data'!N1443</f>
        <v>5</v>
      </c>
      <c r="O1443" s="21">
        <f>'Raw Data'!O1443</f>
        <v>1</v>
      </c>
      <c r="P1443" s="21">
        <f>IF('Raw Data'!P1443="",ROUND(AVERAGE('Raw Data'!$P$2:$P$1501),1),'Raw Data'!P1443)</f>
        <v>13.8</v>
      </c>
      <c r="Q1443" s="21">
        <f>IF('Raw Data'!Q1443="",ROUND(AVERAGE('Raw Data'!$Q$2:$Q$1501),0),'Raw Data'!Q1443)</f>
        <v>3</v>
      </c>
      <c r="R1443" s="21">
        <f>'Raw Data'!R1443</f>
        <v>3</v>
      </c>
      <c r="S1443" s="21">
        <f>IF('Raw Data'!S1443="",ROUND(AVERAGE('Raw Data'!$S$2:$S$1501),0),'Raw Data'!S1443)</f>
        <v>18</v>
      </c>
      <c r="T1443" s="21">
        <f>'Raw Data'!T1443</f>
        <v>204.52</v>
      </c>
      <c r="U1443" s="21" t="str">
        <f>INDEX('Lookup Tables'!$C$7:$C$9,MATCH(E1443,'Lookup Tables'!$B$7:$B$9,0))</f>
        <v>Tier 2 (Urban)</v>
      </c>
      <c r="V1443" s="21" t="str">
        <f t="shared" si="66"/>
        <v>0-6 months</v>
      </c>
      <c r="W1443" s="21" t="str">
        <f t="shared" si="67"/>
        <v>Medium Risk</v>
      </c>
      <c r="X1443" s="21" t="str">
        <f t="shared" si="68"/>
        <v>No</v>
      </c>
    </row>
    <row r="1444" spans="1:24" x14ac:dyDescent="0.3">
      <c r="A1444" s="21">
        <f>'Raw Data'!A1444</f>
        <v>51443</v>
      </c>
      <c r="B1444" s="21">
        <f>'Raw Data'!B1444</f>
        <v>0</v>
      </c>
      <c r="C1444" s="21">
        <f>'Raw Data'!C1444</f>
        <v>15</v>
      </c>
      <c r="D1444" s="21" t="str">
        <f>'Raw Data'!D1444</f>
        <v>Phone</v>
      </c>
      <c r="E1444" s="21">
        <f>'Raw Data'!E1444</f>
        <v>3</v>
      </c>
      <c r="F1444" s="21">
        <f>IF('Raw Data'!F1444="",ROUND(AVERAGE('Raw Data'!$F$2:$F$1501),1),'Raw Data'!F1444)</f>
        <v>14.8</v>
      </c>
      <c r="G1444" s="21" t="str">
        <f>'Raw Data'!G1444</f>
        <v>UPI</v>
      </c>
      <c r="H1444" s="21" t="str">
        <f>'Raw Data'!H1444</f>
        <v>Male</v>
      </c>
      <c r="I1444" s="21">
        <f>IF('Raw Data'!I1444="",ROUND(AVERAGE('Raw Data'!$I$2:$I$1501),1),'Raw Data'!I1444)</f>
        <v>2.8</v>
      </c>
      <c r="J1444" s="21">
        <f>'Raw Data'!J1444</f>
        <v>5</v>
      </c>
      <c r="K1444" s="21" t="str">
        <f>'Raw Data'!K1444</f>
        <v>Fashion</v>
      </c>
      <c r="L1444" s="21">
        <f>'Raw Data'!L1444</f>
        <v>5</v>
      </c>
      <c r="M1444" s="21" t="str">
        <f>'Raw Data'!M1444</f>
        <v>Married</v>
      </c>
      <c r="N1444" s="21">
        <f>'Raw Data'!N1444</f>
        <v>1</v>
      </c>
      <c r="O1444" s="21">
        <f>'Raw Data'!O1444</f>
        <v>0</v>
      </c>
      <c r="P1444" s="21">
        <f>IF('Raw Data'!P1444="",ROUND(AVERAGE('Raw Data'!$P$2:$P$1501),1),'Raw Data'!P1444)</f>
        <v>16.600000000000001</v>
      </c>
      <c r="Q1444" s="21">
        <f>IF('Raw Data'!Q1444="",ROUND(AVERAGE('Raw Data'!$Q$2:$Q$1501),0),'Raw Data'!Q1444)</f>
        <v>2</v>
      </c>
      <c r="R1444" s="21">
        <f>'Raw Data'!R1444</f>
        <v>3</v>
      </c>
      <c r="S1444" s="21">
        <f>IF('Raw Data'!S1444="",ROUND(AVERAGE('Raw Data'!$S$2:$S$1501),0),'Raw Data'!S1444)</f>
        <v>0</v>
      </c>
      <c r="T1444" s="21">
        <f>'Raw Data'!T1444</f>
        <v>226.53</v>
      </c>
      <c r="U1444" s="21" t="str">
        <f>INDEX('Lookup Tables'!$C$7:$C$9,MATCH(E1444,'Lookup Tables'!$B$7:$B$9,0))</f>
        <v>Tier 3 (Semi-urban/Rural)</v>
      </c>
      <c r="V1444" s="21" t="str">
        <f t="shared" si="66"/>
        <v>13-24 months</v>
      </c>
      <c r="W1444" s="21" t="str">
        <f t="shared" si="67"/>
        <v>Low Risk</v>
      </c>
      <c r="X1444" s="21" t="str">
        <f t="shared" si="68"/>
        <v>No</v>
      </c>
    </row>
    <row r="1445" spans="1:24" x14ac:dyDescent="0.3">
      <c r="A1445" s="21">
        <f>'Raw Data'!A1445</f>
        <v>51444</v>
      </c>
      <c r="B1445" s="21">
        <f>'Raw Data'!B1445</f>
        <v>0</v>
      </c>
      <c r="C1445" s="21">
        <f>'Raw Data'!C1445</f>
        <v>0</v>
      </c>
      <c r="D1445" s="21" t="str">
        <f>'Raw Data'!D1445</f>
        <v>Computer</v>
      </c>
      <c r="E1445" s="21">
        <f>'Raw Data'!E1445</f>
        <v>3</v>
      </c>
      <c r="F1445" s="21">
        <f>IF('Raw Data'!F1445="",ROUND(AVERAGE('Raw Data'!$F$2:$F$1501),1),'Raw Data'!F1445)</f>
        <v>19</v>
      </c>
      <c r="G1445" s="21" t="str">
        <f>'Raw Data'!G1445</f>
        <v>Credit Card</v>
      </c>
      <c r="H1445" s="21" t="str">
        <f>'Raw Data'!H1445</f>
        <v>Female</v>
      </c>
      <c r="I1445" s="21">
        <f>IF('Raw Data'!I1445="",ROUND(AVERAGE('Raw Data'!$I$2:$I$1501),1),'Raw Data'!I1445)</f>
        <v>3.7</v>
      </c>
      <c r="J1445" s="21">
        <f>'Raw Data'!J1445</f>
        <v>3</v>
      </c>
      <c r="K1445" s="21" t="str">
        <f>'Raw Data'!K1445</f>
        <v>Laptop &amp; Accessory</v>
      </c>
      <c r="L1445" s="21">
        <f>'Raw Data'!L1445</f>
        <v>3</v>
      </c>
      <c r="M1445" s="21" t="str">
        <f>'Raw Data'!M1445</f>
        <v>Married</v>
      </c>
      <c r="N1445" s="21">
        <f>'Raw Data'!N1445</f>
        <v>1</v>
      </c>
      <c r="O1445" s="21">
        <f>'Raw Data'!O1445</f>
        <v>0</v>
      </c>
      <c r="P1445" s="21">
        <f>IF('Raw Data'!P1445="",ROUND(AVERAGE('Raw Data'!$P$2:$P$1501),1),'Raw Data'!P1445)</f>
        <v>16.899999999999999</v>
      </c>
      <c r="Q1445" s="21">
        <f>IF('Raw Data'!Q1445="",ROUND(AVERAGE('Raw Data'!$Q$2:$Q$1501),0),'Raw Data'!Q1445)</f>
        <v>2</v>
      </c>
      <c r="R1445" s="21">
        <f>'Raw Data'!R1445</f>
        <v>6</v>
      </c>
      <c r="S1445" s="21">
        <f>IF('Raw Data'!S1445="",ROUND(AVERAGE('Raw Data'!$S$2:$S$1501),0),'Raw Data'!S1445)</f>
        <v>1</v>
      </c>
      <c r="T1445" s="21">
        <f>'Raw Data'!T1445</f>
        <v>134.13999999999999</v>
      </c>
      <c r="U1445" s="21" t="str">
        <f>INDEX('Lookup Tables'!$C$7:$C$9,MATCH(E1445,'Lookup Tables'!$B$7:$B$9,0))</f>
        <v>Tier 3 (Semi-urban/Rural)</v>
      </c>
      <c r="V1445" s="21" t="str">
        <f t="shared" si="66"/>
        <v>0-6 months</v>
      </c>
      <c r="W1445" s="21" t="str">
        <f t="shared" si="67"/>
        <v>Medium Risk</v>
      </c>
      <c r="X1445" s="21" t="str">
        <f t="shared" si="68"/>
        <v>No</v>
      </c>
    </row>
    <row r="1446" spans="1:24" x14ac:dyDescent="0.3">
      <c r="A1446" s="21">
        <f>'Raw Data'!A1446</f>
        <v>51445</v>
      </c>
      <c r="B1446" s="21">
        <f>'Raw Data'!B1446</f>
        <v>0</v>
      </c>
      <c r="C1446" s="21">
        <f>'Raw Data'!C1446</f>
        <v>8</v>
      </c>
      <c r="D1446" s="21" t="str">
        <f>'Raw Data'!D1446</f>
        <v>Computer</v>
      </c>
      <c r="E1446" s="21">
        <f>'Raw Data'!E1446</f>
        <v>3</v>
      </c>
      <c r="F1446" s="21">
        <f>IF('Raw Data'!F1446="",ROUND(AVERAGE('Raw Data'!$F$2:$F$1501),1),'Raw Data'!F1446)</f>
        <v>5</v>
      </c>
      <c r="G1446" s="21" t="str">
        <f>'Raw Data'!G1446</f>
        <v>E wallet</v>
      </c>
      <c r="H1446" s="21" t="str">
        <f>'Raw Data'!H1446</f>
        <v>Male</v>
      </c>
      <c r="I1446" s="21">
        <f>IF('Raw Data'!I1446="",ROUND(AVERAGE('Raw Data'!$I$2:$I$1501),1),'Raw Data'!I1446)</f>
        <v>2.6</v>
      </c>
      <c r="J1446" s="21">
        <f>'Raw Data'!J1446</f>
        <v>4</v>
      </c>
      <c r="K1446" s="21" t="str">
        <f>'Raw Data'!K1446</f>
        <v>Grocery</v>
      </c>
      <c r="L1446" s="21">
        <f>'Raw Data'!L1446</f>
        <v>4</v>
      </c>
      <c r="M1446" s="21" t="str">
        <f>'Raw Data'!M1446</f>
        <v>Married</v>
      </c>
      <c r="N1446" s="21">
        <f>'Raw Data'!N1446</f>
        <v>1</v>
      </c>
      <c r="O1446" s="21">
        <f>'Raw Data'!O1446</f>
        <v>0</v>
      </c>
      <c r="P1446" s="21">
        <f>IF('Raw Data'!P1446="",ROUND(AVERAGE('Raw Data'!$P$2:$P$1501),1),'Raw Data'!P1446)</f>
        <v>14.2</v>
      </c>
      <c r="Q1446" s="21">
        <f>IF('Raw Data'!Q1446="",ROUND(AVERAGE('Raw Data'!$Q$2:$Q$1501),0),'Raw Data'!Q1446)</f>
        <v>1</v>
      </c>
      <c r="R1446" s="21">
        <f>'Raw Data'!R1446</f>
        <v>3</v>
      </c>
      <c r="S1446" s="21">
        <f>IF('Raw Data'!S1446="",ROUND(AVERAGE('Raw Data'!$S$2:$S$1501),0),'Raw Data'!S1446)</f>
        <v>14</v>
      </c>
      <c r="T1446" s="21">
        <f>'Raw Data'!T1446</f>
        <v>287.55</v>
      </c>
      <c r="U1446" s="21" t="str">
        <f>INDEX('Lookup Tables'!$C$7:$C$9,MATCH(E1446,'Lookup Tables'!$B$7:$B$9,0))</f>
        <v>Tier 3 (Semi-urban/Rural)</v>
      </c>
      <c r="V1446" s="21" t="str">
        <f t="shared" si="66"/>
        <v>7-12 months</v>
      </c>
      <c r="W1446" s="21" t="str">
        <f t="shared" si="67"/>
        <v>Low Risk</v>
      </c>
      <c r="X1446" s="21" t="str">
        <f t="shared" si="68"/>
        <v>No</v>
      </c>
    </row>
    <row r="1447" spans="1:24" x14ac:dyDescent="0.3">
      <c r="A1447" s="21">
        <f>'Raw Data'!A1447</f>
        <v>51446</v>
      </c>
      <c r="B1447" s="21">
        <f>'Raw Data'!B1447</f>
        <v>0</v>
      </c>
      <c r="C1447" s="21">
        <f>'Raw Data'!C1447</f>
        <v>53</v>
      </c>
      <c r="D1447" s="21" t="str">
        <f>'Raw Data'!D1447</f>
        <v>Mobile Phone</v>
      </c>
      <c r="E1447" s="21">
        <f>'Raw Data'!E1447</f>
        <v>1</v>
      </c>
      <c r="F1447" s="21">
        <f>IF('Raw Data'!F1447="",ROUND(AVERAGE('Raw Data'!$F$2:$F$1501),1),'Raw Data'!F1447)</f>
        <v>16</v>
      </c>
      <c r="G1447" s="21" t="str">
        <f>'Raw Data'!G1447</f>
        <v>E wallet</v>
      </c>
      <c r="H1447" s="21" t="str">
        <f>'Raw Data'!H1447</f>
        <v>Male</v>
      </c>
      <c r="I1447" s="21">
        <f>IF('Raw Data'!I1447="",ROUND(AVERAGE('Raw Data'!$I$2:$I$1501),1),'Raw Data'!I1447)</f>
        <v>3.1</v>
      </c>
      <c r="J1447" s="21">
        <f>'Raw Data'!J1447</f>
        <v>4</v>
      </c>
      <c r="K1447" s="21" t="str">
        <f>'Raw Data'!K1447</f>
        <v>Laptop &amp; Accessory</v>
      </c>
      <c r="L1447" s="21">
        <f>'Raw Data'!L1447</f>
        <v>1</v>
      </c>
      <c r="M1447" s="21" t="str">
        <f>'Raw Data'!M1447</f>
        <v>Single</v>
      </c>
      <c r="N1447" s="21">
        <f>'Raw Data'!N1447</f>
        <v>2</v>
      </c>
      <c r="O1447" s="21">
        <f>'Raw Data'!O1447</f>
        <v>0</v>
      </c>
      <c r="P1447" s="21">
        <f>IF('Raw Data'!P1447="",ROUND(AVERAGE('Raw Data'!$P$2:$P$1501),1),'Raw Data'!P1447)</f>
        <v>17.5</v>
      </c>
      <c r="Q1447" s="21">
        <f>IF('Raw Data'!Q1447="",ROUND(AVERAGE('Raw Data'!$Q$2:$Q$1501),0),'Raw Data'!Q1447)</f>
        <v>2</v>
      </c>
      <c r="R1447" s="21">
        <f>'Raw Data'!R1447</f>
        <v>4</v>
      </c>
      <c r="S1447" s="21">
        <f>IF('Raw Data'!S1447="",ROUND(AVERAGE('Raw Data'!$S$2:$S$1501),0),'Raw Data'!S1447)</f>
        <v>20</v>
      </c>
      <c r="T1447" s="21">
        <f>'Raw Data'!T1447</f>
        <v>263.70999999999998</v>
      </c>
      <c r="U1447" s="21" t="str">
        <f>INDEX('Lookup Tables'!$C$7:$C$9,MATCH(E1447,'Lookup Tables'!$B$7:$B$9,0))</f>
        <v>Tier 1 (Metro)</v>
      </c>
      <c r="V1447" s="21" t="str">
        <f t="shared" si="66"/>
        <v>25+ months</v>
      </c>
      <c r="W1447" s="21" t="str">
        <f t="shared" si="67"/>
        <v>Medium Risk</v>
      </c>
      <c r="X1447" s="21" t="str">
        <f t="shared" si="68"/>
        <v>No</v>
      </c>
    </row>
    <row r="1448" spans="1:24" x14ac:dyDescent="0.3">
      <c r="A1448" s="21">
        <f>'Raw Data'!A1448</f>
        <v>51447</v>
      </c>
      <c r="B1448" s="21">
        <f>'Raw Data'!B1448</f>
        <v>0</v>
      </c>
      <c r="C1448" s="21">
        <f>'Raw Data'!C1448</f>
        <v>19</v>
      </c>
      <c r="D1448" s="21" t="str">
        <f>'Raw Data'!D1448</f>
        <v>Phone</v>
      </c>
      <c r="E1448" s="21">
        <f>'Raw Data'!E1448</f>
        <v>1</v>
      </c>
      <c r="F1448" s="21">
        <f>IF('Raw Data'!F1448="",ROUND(AVERAGE('Raw Data'!$F$2:$F$1501),1),'Raw Data'!F1448)</f>
        <v>19</v>
      </c>
      <c r="G1448" s="21" t="str">
        <f>'Raw Data'!G1448</f>
        <v>UPI</v>
      </c>
      <c r="H1448" s="21" t="str">
        <f>'Raw Data'!H1448</f>
        <v>Male</v>
      </c>
      <c r="I1448" s="21">
        <f>IF('Raw Data'!I1448="",ROUND(AVERAGE('Raw Data'!$I$2:$I$1501),1),'Raw Data'!I1448)</f>
        <v>3</v>
      </c>
      <c r="J1448" s="21">
        <f>'Raw Data'!J1448</f>
        <v>3</v>
      </c>
      <c r="K1448" s="21" t="str">
        <f>'Raw Data'!K1448</f>
        <v>Mobile Phone</v>
      </c>
      <c r="L1448" s="21">
        <f>'Raw Data'!L1448</f>
        <v>3</v>
      </c>
      <c r="M1448" s="21" t="str">
        <f>'Raw Data'!M1448</f>
        <v>Divorced</v>
      </c>
      <c r="N1448" s="21">
        <f>'Raw Data'!N1448</f>
        <v>13</v>
      </c>
      <c r="O1448" s="21">
        <f>'Raw Data'!O1448</f>
        <v>0</v>
      </c>
      <c r="P1448" s="21">
        <f>IF('Raw Data'!P1448="",ROUND(AVERAGE('Raw Data'!$P$2:$P$1501),1),'Raw Data'!P1448)</f>
        <v>11.6</v>
      </c>
      <c r="Q1448" s="21">
        <f>IF('Raw Data'!Q1448="",ROUND(AVERAGE('Raw Data'!$Q$2:$Q$1501),0),'Raw Data'!Q1448)</f>
        <v>3</v>
      </c>
      <c r="R1448" s="21">
        <f>'Raw Data'!R1448</f>
        <v>5</v>
      </c>
      <c r="S1448" s="21">
        <f>IF('Raw Data'!S1448="",ROUND(AVERAGE('Raw Data'!$S$2:$S$1501),0),'Raw Data'!S1448)</f>
        <v>8</v>
      </c>
      <c r="T1448" s="21">
        <f>'Raw Data'!T1448</f>
        <v>210.15</v>
      </c>
      <c r="U1448" s="21" t="str">
        <f>INDEX('Lookup Tables'!$C$7:$C$9,MATCH(E1448,'Lookup Tables'!$B$7:$B$9,0))</f>
        <v>Tier 1 (Metro)</v>
      </c>
      <c r="V1448" s="21" t="str">
        <f t="shared" si="66"/>
        <v>13-24 months</v>
      </c>
      <c r="W1448" s="21" t="str">
        <f t="shared" si="67"/>
        <v>Medium Risk</v>
      </c>
      <c r="X1448" s="21" t="str">
        <f t="shared" si="68"/>
        <v>No</v>
      </c>
    </row>
    <row r="1449" spans="1:24" x14ac:dyDescent="0.3">
      <c r="A1449" s="21">
        <f>'Raw Data'!A1449</f>
        <v>51448</v>
      </c>
      <c r="B1449" s="21">
        <f>'Raw Data'!B1449</f>
        <v>0</v>
      </c>
      <c r="C1449" s="21">
        <f>'Raw Data'!C1449</f>
        <v>7</v>
      </c>
      <c r="D1449" s="21" t="str">
        <f>'Raw Data'!D1449</f>
        <v>Mobile Phone</v>
      </c>
      <c r="E1449" s="21">
        <f>'Raw Data'!E1449</f>
        <v>1</v>
      </c>
      <c r="F1449" s="21">
        <f>IF('Raw Data'!F1449="",ROUND(AVERAGE('Raw Data'!$F$2:$F$1501),1),'Raw Data'!F1449)</f>
        <v>20</v>
      </c>
      <c r="G1449" s="21" t="str">
        <f>'Raw Data'!G1449</f>
        <v>Credit Card</v>
      </c>
      <c r="H1449" s="21" t="str">
        <f>'Raw Data'!H1449</f>
        <v>Male</v>
      </c>
      <c r="I1449" s="21">
        <f>IF('Raw Data'!I1449="",ROUND(AVERAGE('Raw Data'!$I$2:$I$1501),1),'Raw Data'!I1449)</f>
        <v>2.9</v>
      </c>
      <c r="J1449" s="21">
        <f>'Raw Data'!J1449</f>
        <v>4</v>
      </c>
      <c r="K1449" s="21" t="str">
        <f>'Raw Data'!K1449</f>
        <v>Mobile Phone</v>
      </c>
      <c r="L1449" s="21">
        <f>'Raw Data'!L1449</f>
        <v>3</v>
      </c>
      <c r="M1449" s="21" t="str">
        <f>'Raw Data'!M1449</f>
        <v>Single</v>
      </c>
      <c r="N1449" s="21">
        <f>'Raw Data'!N1449</f>
        <v>6</v>
      </c>
      <c r="O1449" s="21">
        <f>'Raw Data'!O1449</f>
        <v>0</v>
      </c>
      <c r="P1449" s="21">
        <f>IF('Raw Data'!P1449="",ROUND(AVERAGE('Raw Data'!$P$2:$P$1501),1),'Raw Data'!P1449)</f>
        <v>13.7</v>
      </c>
      <c r="Q1449" s="21">
        <f>IF('Raw Data'!Q1449="",ROUND(AVERAGE('Raw Data'!$Q$2:$Q$1501),0),'Raw Data'!Q1449)</f>
        <v>0</v>
      </c>
      <c r="R1449" s="21">
        <f>'Raw Data'!R1449</f>
        <v>3</v>
      </c>
      <c r="S1449" s="21">
        <f>IF('Raw Data'!S1449="",ROUND(AVERAGE('Raw Data'!$S$2:$S$1501),0),'Raw Data'!S1449)</f>
        <v>0</v>
      </c>
      <c r="T1449" s="21">
        <f>'Raw Data'!T1449</f>
        <v>112.26</v>
      </c>
      <c r="U1449" s="21" t="str">
        <f>INDEX('Lookup Tables'!$C$7:$C$9,MATCH(E1449,'Lookup Tables'!$B$7:$B$9,0))</f>
        <v>Tier 1 (Metro)</v>
      </c>
      <c r="V1449" s="21" t="str">
        <f t="shared" si="66"/>
        <v>7-12 months</v>
      </c>
      <c r="W1449" s="21" t="str">
        <f t="shared" si="67"/>
        <v>Medium Risk</v>
      </c>
      <c r="X1449" s="21" t="str">
        <f t="shared" si="68"/>
        <v>No</v>
      </c>
    </row>
    <row r="1450" spans="1:24" x14ac:dyDescent="0.3">
      <c r="A1450" s="21">
        <f>'Raw Data'!A1450</f>
        <v>51449</v>
      </c>
      <c r="B1450" s="21">
        <f>'Raw Data'!B1450</f>
        <v>0</v>
      </c>
      <c r="C1450" s="21">
        <f>'Raw Data'!C1450</f>
        <v>0</v>
      </c>
      <c r="D1450" s="21" t="str">
        <f>'Raw Data'!D1450</f>
        <v>Computer</v>
      </c>
      <c r="E1450" s="21">
        <f>'Raw Data'!E1450</f>
        <v>2</v>
      </c>
      <c r="F1450" s="21">
        <f>IF('Raw Data'!F1450="",ROUND(AVERAGE('Raw Data'!$F$2:$F$1501),1),'Raw Data'!F1450)</f>
        <v>5</v>
      </c>
      <c r="G1450" s="21" t="str">
        <f>'Raw Data'!G1450</f>
        <v>Debit Card</v>
      </c>
      <c r="H1450" s="21" t="str">
        <f>'Raw Data'!H1450</f>
        <v>Female</v>
      </c>
      <c r="I1450" s="21">
        <f>IF('Raw Data'!I1450="",ROUND(AVERAGE('Raw Data'!$I$2:$I$1501),1),'Raw Data'!I1450)</f>
        <v>2.6</v>
      </c>
      <c r="J1450" s="21">
        <f>'Raw Data'!J1450</f>
        <v>3</v>
      </c>
      <c r="K1450" s="21" t="str">
        <f>'Raw Data'!K1450</f>
        <v>Mobile Phone</v>
      </c>
      <c r="L1450" s="21">
        <f>'Raw Data'!L1450</f>
        <v>2</v>
      </c>
      <c r="M1450" s="21" t="str">
        <f>'Raw Data'!M1450</f>
        <v>Married</v>
      </c>
      <c r="N1450" s="21">
        <f>'Raw Data'!N1450</f>
        <v>2</v>
      </c>
      <c r="O1450" s="21">
        <f>'Raw Data'!O1450</f>
        <v>0</v>
      </c>
      <c r="P1450" s="21">
        <f>IF('Raw Data'!P1450="",ROUND(AVERAGE('Raw Data'!$P$2:$P$1501),1),'Raw Data'!P1450)</f>
        <v>18.7</v>
      </c>
      <c r="Q1450" s="21">
        <f>IF('Raw Data'!Q1450="",ROUND(AVERAGE('Raw Data'!$Q$2:$Q$1501),0),'Raw Data'!Q1450)</f>
        <v>2</v>
      </c>
      <c r="R1450" s="21">
        <f>'Raw Data'!R1450</f>
        <v>2</v>
      </c>
      <c r="S1450" s="21">
        <f>IF('Raw Data'!S1450="",ROUND(AVERAGE('Raw Data'!$S$2:$S$1501),0),'Raw Data'!S1450)</f>
        <v>4</v>
      </c>
      <c r="T1450" s="21">
        <f>'Raw Data'!T1450</f>
        <v>202.08</v>
      </c>
      <c r="U1450" s="21" t="str">
        <f>INDEX('Lookup Tables'!$C$7:$C$9,MATCH(E1450,'Lookup Tables'!$B$7:$B$9,0))</f>
        <v>Tier 2 (Urban)</v>
      </c>
      <c r="V1450" s="21" t="str">
        <f t="shared" si="66"/>
        <v>0-6 months</v>
      </c>
      <c r="W1450" s="21" t="str">
        <f t="shared" si="67"/>
        <v>Low Risk</v>
      </c>
      <c r="X1450" s="21" t="str">
        <f t="shared" si="68"/>
        <v>No</v>
      </c>
    </row>
    <row r="1451" spans="1:24" x14ac:dyDescent="0.3">
      <c r="A1451" s="21">
        <f>'Raw Data'!A1451</f>
        <v>51450</v>
      </c>
      <c r="B1451" s="21">
        <f>'Raw Data'!B1451</f>
        <v>0</v>
      </c>
      <c r="C1451" s="21">
        <f>'Raw Data'!C1451</f>
        <v>17</v>
      </c>
      <c r="D1451" s="21" t="str">
        <f>'Raw Data'!D1451</f>
        <v>Mobile Phone</v>
      </c>
      <c r="E1451" s="21">
        <f>'Raw Data'!E1451</f>
        <v>1</v>
      </c>
      <c r="F1451" s="21">
        <f>IF('Raw Data'!F1451="",ROUND(AVERAGE('Raw Data'!$F$2:$F$1501),1),'Raw Data'!F1451)</f>
        <v>8</v>
      </c>
      <c r="G1451" s="21" t="str">
        <f>'Raw Data'!G1451</f>
        <v>Debit Card</v>
      </c>
      <c r="H1451" s="21" t="str">
        <f>'Raw Data'!H1451</f>
        <v>Male</v>
      </c>
      <c r="I1451" s="21">
        <f>IF('Raw Data'!I1451="",ROUND(AVERAGE('Raw Data'!$I$2:$I$1501),1),'Raw Data'!I1451)</f>
        <v>3.2</v>
      </c>
      <c r="J1451" s="21">
        <f>'Raw Data'!J1451</f>
        <v>3</v>
      </c>
      <c r="K1451" s="21" t="str">
        <f>'Raw Data'!K1451</f>
        <v>Mobile Phone</v>
      </c>
      <c r="L1451" s="21">
        <f>'Raw Data'!L1451</f>
        <v>2</v>
      </c>
      <c r="M1451" s="21" t="str">
        <f>'Raw Data'!M1451</f>
        <v>Single</v>
      </c>
      <c r="N1451" s="21">
        <f>'Raw Data'!N1451</f>
        <v>2</v>
      </c>
      <c r="O1451" s="21">
        <f>'Raw Data'!O1451</f>
        <v>0</v>
      </c>
      <c r="P1451" s="21">
        <f>IF('Raw Data'!P1451="",ROUND(AVERAGE('Raw Data'!$P$2:$P$1501),1),'Raw Data'!P1451)</f>
        <v>11</v>
      </c>
      <c r="Q1451" s="21">
        <f>IF('Raw Data'!Q1451="",ROUND(AVERAGE('Raw Data'!$Q$2:$Q$1501),0),'Raw Data'!Q1451)</f>
        <v>2</v>
      </c>
      <c r="R1451" s="21">
        <f>'Raw Data'!R1451</f>
        <v>6</v>
      </c>
      <c r="S1451" s="21">
        <f>IF('Raw Data'!S1451="",ROUND(AVERAGE('Raw Data'!$S$2:$S$1501),0),'Raw Data'!S1451)</f>
        <v>2</v>
      </c>
      <c r="T1451" s="21">
        <f>'Raw Data'!T1451</f>
        <v>195.51</v>
      </c>
      <c r="U1451" s="21" t="str">
        <f>INDEX('Lookup Tables'!$C$7:$C$9,MATCH(E1451,'Lookup Tables'!$B$7:$B$9,0))</f>
        <v>Tier 1 (Metro)</v>
      </c>
      <c r="V1451" s="21" t="str">
        <f t="shared" si="66"/>
        <v>13-24 months</v>
      </c>
      <c r="W1451" s="21" t="str">
        <f t="shared" si="67"/>
        <v>Low Risk</v>
      </c>
      <c r="X1451" s="21" t="str">
        <f t="shared" si="68"/>
        <v>No</v>
      </c>
    </row>
    <row r="1452" spans="1:24" x14ac:dyDescent="0.3">
      <c r="A1452" s="21">
        <f>'Raw Data'!A1452</f>
        <v>51451</v>
      </c>
      <c r="B1452" s="21">
        <f>'Raw Data'!B1452</f>
        <v>0</v>
      </c>
      <c r="C1452" s="21">
        <f>'Raw Data'!C1452</f>
        <v>9</v>
      </c>
      <c r="D1452" s="21" t="str">
        <f>'Raw Data'!D1452</f>
        <v>Phone</v>
      </c>
      <c r="E1452" s="21">
        <f>'Raw Data'!E1452</f>
        <v>1</v>
      </c>
      <c r="F1452" s="21">
        <f>IF('Raw Data'!F1452="",ROUND(AVERAGE('Raw Data'!$F$2:$F$1501),1),'Raw Data'!F1452)</f>
        <v>7</v>
      </c>
      <c r="G1452" s="21" t="str">
        <f>'Raw Data'!G1452</f>
        <v>Credit Card</v>
      </c>
      <c r="H1452" s="21" t="str">
        <f>'Raw Data'!H1452</f>
        <v>Female</v>
      </c>
      <c r="I1452" s="21">
        <f>IF('Raw Data'!I1452="",ROUND(AVERAGE('Raw Data'!$I$2:$I$1501),1),'Raw Data'!I1452)</f>
        <v>2.2999999999999998</v>
      </c>
      <c r="J1452" s="21">
        <f>'Raw Data'!J1452</f>
        <v>2</v>
      </c>
      <c r="K1452" s="21" t="str">
        <f>'Raw Data'!K1452</f>
        <v>Mobile Phone</v>
      </c>
      <c r="L1452" s="21">
        <f>'Raw Data'!L1452</f>
        <v>5</v>
      </c>
      <c r="M1452" s="21" t="str">
        <f>'Raw Data'!M1452</f>
        <v>Single</v>
      </c>
      <c r="N1452" s="21">
        <f>'Raw Data'!N1452</f>
        <v>1</v>
      </c>
      <c r="O1452" s="21">
        <f>'Raw Data'!O1452</f>
        <v>1</v>
      </c>
      <c r="P1452" s="21">
        <f>IF('Raw Data'!P1452="",ROUND(AVERAGE('Raw Data'!$P$2:$P$1501),1),'Raw Data'!P1452)</f>
        <v>19.2</v>
      </c>
      <c r="Q1452" s="21">
        <f>IF('Raw Data'!Q1452="",ROUND(AVERAGE('Raw Data'!$Q$2:$Q$1501),0),'Raw Data'!Q1452)</f>
        <v>0</v>
      </c>
      <c r="R1452" s="21">
        <f>'Raw Data'!R1452</f>
        <v>5</v>
      </c>
      <c r="S1452" s="21">
        <f>IF('Raw Data'!S1452="",ROUND(AVERAGE('Raw Data'!$S$2:$S$1501),0),'Raw Data'!S1452)</f>
        <v>8</v>
      </c>
      <c r="T1452" s="21">
        <f>'Raw Data'!T1452</f>
        <v>208.22</v>
      </c>
      <c r="U1452" s="21" t="str">
        <f>INDEX('Lookup Tables'!$C$7:$C$9,MATCH(E1452,'Lookup Tables'!$B$7:$B$9,0))</f>
        <v>Tier 1 (Metro)</v>
      </c>
      <c r="V1452" s="21" t="str">
        <f t="shared" si="66"/>
        <v>7-12 months</v>
      </c>
      <c r="W1452" s="21" t="str">
        <f t="shared" si="67"/>
        <v>Low Risk</v>
      </c>
      <c r="X1452" s="21" t="str">
        <f t="shared" si="68"/>
        <v>No</v>
      </c>
    </row>
    <row r="1453" spans="1:24" x14ac:dyDescent="0.3">
      <c r="A1453" s="21">
        <f>'Raw Data'!A1453</f>
        <v>51452</v>
      </c>
      <c r="B1453" s="21">
        <f>'Raw Data'!B1453</f>
        <v>0</v>
      </c>
      <c r="C1453" s="21">
        <f>'Raw Data'!C1453</f>
        <v>1</v>
      </c>
      <c r="D1453" s="21" t="str">
        <f>'Raw Data'!D1453</f>
        <v>Computer</v>
      </c>
      <c r="E1453" s="21">
        <f>'Raw Data'!E1453</f>
        <v>3</v>
      </c>
      <c r="F1453" s="21">
        <f>IF('Raw Data'!F1453="",ROUND(AVERAGE('Raw Data'!$F$2:$F$1501),1),'Raw Data'!F1453)</f>
        <v>15</v>
      </c>
      <c r="G1453" s="21" t="str">
        <f>'Raw Data'!G1453</f>
        <v>Credit Card</v>
      </c>
      <c r="H1453" s="21" t="str">
        <f>'Raw Data'!H1453</f>
        <v>Female</v>
      </c>
      <c r="I1453" s="21">
        <f>IF('Raw Data'!I1453="",ROUND(AVERAGE('Raw Data'!$I$2:$I$1501),1),'Raw Data'!I1453)</f>
        <v>2.1</v>
      </c>
      <c r="J1453" s="21">
        <f>'Raw Data'!J1453</f>
        <v>3</v>
      </c>
      <c r="K1453" s="21" t="str">
        <f>'Raw Data'!K1453</f>
        <v>Laptop &amp; Accessory</v>
      </c>
      <c r="L1453" s="21">
        <f>'Raw Data'!L1453</f>
        <v>5</v>
      </c>
      <c r="M1453" s="21" t="str">
        <f>'Raw Data'!M1453</f>
        <v>Married</v>
      </c>
      <c r="N1453" s="21">
        <f>'Raw Data'!N1453</f>
        <v>1</v>
      </c>
      <c r="O1453" s="21">
        <f>'Raw Data'!O1453</f>
        <v>0</v>
      </c>
      <c r="P1453" s="21">
        <f>IF('Raw Data'!P1453="",ROUND(AVERAGE('Raw Data'!$P$2:$P$1501),1),'Raw Data'!P1453)</f>
        <v>11</v>
      </c>
      <c r="Q1453" s="21">
        <f>IF('Raw Data'!Q1453="",ROUND(AVERAGE('Raw Data'!$Q$2:$Q$1501),0),'Raw Data'!Q1453)</f>
        <v>3</v>
      </c>
      <c r="R1453" s="21">
        <f>'Raw Data'!R1453</f>
        <v>5</v>
      </c>
      <c r="S1453" s="21">
        <f>IF('Raw Data'!S1453="",ROUND(AVERAGE('Raw Data'!$S$2:$S$1501),0),'Raw Data'!S1453)</f>
        <v>0</v>
      </c>
      <c r="T1453" s="21">
        <f>'Raw Data'!T1453</f>
        <v>267.48</v>
      </c>
      <c r="U1453" s="21" t="str">
        <f>INDEX('Lookup Tables'!$C$7:$C$9,MATCH(E1453,'Lookup Tables'!$B$7:$B$9,0))</f>
        <v>Tier 3 (Semi-urban/Rural)</v>
      </c>
      <c r="V1453" s="21" t="str">
        <f t="shared" si="66"/>
        <v>0-6 months</v>
      </c>
      <c r="W1453" s="21" t="str">
        <f t="shared" si="67"/>
        <v>Low Risk</v>
      </c>
      <c r="X1453" s="21" t="str">
        <f t="shared" si="68"/>
        <v>No</v>
      </c>
    </row>
    <row r="1454" spans="1:24" x14ac:dyDescent="0.3">
      <c r="A1454" s="21">
        <f>'Raw Data'!A1454</f>
        <v>51453</v>
      </c>
      <c r="B1454" s="21">
        <f>'Raw Data'!B1454</f>
        <v>1</v>
      </c>
      <c r="C1454" s="21">
        <f>'Raw Data'!C1454</f>
        <v>0</v>
      </c>
      <c r="D1454" s="21" t="str">
        <f>'Raw Data'!D1454</f>
        <v>Computer</v>
      </c>
      <c r="E1454" s="21">
        <f>'Raw Data'!E1454</f>
        <v>3</v>
      </c>
      <c r="F1454" s="21">
        <f>IF('Raw Data'!F1454="",ROUND(AVERAGE('Raw Data'!$F$2:$F$1501),1),'Raw Data'!F1454)</f>
        <v>18</v>
      </c>
      <c r="G1454" s="21" t="str">
        <f>'Raw Data'!G1454</f>
        <v>Credit Card</v>
      </c>
      <c r="H1454" s="21" t="str">
        <f>'Raw Data'!H1454</f>
        <v>Female</v>
      </c>
      <c r="I1454" s="21">
        <f>IF('Raw Data'!I1454="",ROUND(AVERAGE('Raw Data'!$I$2:$I$1501),1),'Raw Data'!I1454)</f>
        <v>3.8</v>
      </c>
      <c r="J1454" s="21">
        <f>'Raw Data'!J1454</f>
        <v>4</v>
      </c>
      <c r="K1454" s="21" t="str">
        <f>'Raw Data'!K1454</f>
        <v>Mobile Phone</v>
      </c>
      <c r="L1454" s="21">
        <f>'Raw Data'!L1454</f>
        <v>1</v>
      </c>
      <c r="M1454" s="21" t="str">
        <f>'Raw Data'!M1454</f>
        <v>Single</v>
      </c>
      <c r="N1454" s="21">
        <f>'Raw Data'!N1454</f>
        <v>2</v>
      </c>
      <c r="O1454" s="21">
        <f>'Raw Data'!O1454</f>
        <v>1</v>
      </c>
      <c r="P1454" s="21">
        <f>IF('Raw Data'!P1454="",ROUND(AVERAGE('Raw Data'!$P$2:$P$1501),1),'Raw Data'!P1454)</f>
        <v>11</v>
      </c>
      <c r="Q1454" s="21">
        <f>IF('Raw Data'!Q1454="",ROUND(AVERAGE('Raw Data'!$Q$2:$Q$1501),0),'Raw Data'!Q1454)</f>
        <v>3</v>
      </c>
      <c r="R1454" s="21">
        <f>'Raw Data'!R1454</f>
        <v>4</v>
      </c>
      <c r="S1454" s="21">
        <f>IF('Raw Data'!S1454="",ROUND(AVERAGE('Raw Data'!$S$2:$S$1501),0),'Raw Data'!S1454)</f>
        <v>1</v>
      </c>
      <c r="T1454" s="21">
        <f>'Raw Data'!T1454</f>
        <v>170.32</v>
      </c>
      <c r="U1454" s="21" t="str">
        <f>INDEX('Lookup Tables'!$C$7:$C$9,MATCH(E1454,'Lookup Tables'!$B$7:$B$9,0))</f>
        <v>Tier 3 (Semi-urban/Rural)</v>
      </c>
      <c r="V1454" s="21" t="str">
        <f t="shared" si="66"/>
        <v>0-6 months</v>
      </c>
      <c r="W1454" s="21" t="str">
        <f t="shared" si="67"/>
        <v>High Risk</v>
      </c>
      <c r="X1454" s="21" t="str">
        <f t="shared" si="68"/>
        <v>Yes</v>
      </c>
    </row>
    <row r="1455" spans="1:24" x14ac:dyDescent="0.3">
      <c r="A1455" s="21">
        <f>'Raw Data'!A1455</f>
        <v>51454</v>
      </c>
      <c r="B1455" s="21">
        <f>'Raw Data'!B1455</f>
        <v>0</v>
      </c>
      <c r="C1455" s="21">
        <f>'Raw Data'!C1455</f>
        <v>24</v>
      </c>
      <c r="D1455" s="21" t="str">
        <f>'Raw Data'!D1455</f>
        <v>Mobile Phone</v>
      </c>
      <c r="E1455" s="21">
        <f>'Raw Data'!E1455</f>
        <v>3</v>
      </c>
      <c r="F1455" s="21">
        <f>IF('Raw Data'!F1455="",ROUND(AVERAGE('Raw Data'!$F$2:$F$1501),1),'Raw Data'!F1455)</f>
        <v>26</v>
      </c>
      <c r="G1455" s="21" t="str">
        <f>'Raw Data'!G1455</f>
        <v>Debit Card</v>
      </c>
      <c r="H1455" s="21" t="str">
        <f>'Raw Data'!H1455</f>
        <v>Male</v>
      </c>
      <c r="I1455" s="21">
        <f>IF('Raw Data'!I1455="",ROUND(AVERAGE('Raw Data'!$I$2:$I$1501),1),'Raw Data'!I1455)</f>
        <v>3.4</v>
      </c>
      <c r="J1455" s="21">
        <f>'Raw Data'!J1455</f>
        <v>4</v>
      </c>
      <c r="K1455" s="21" t="str">
        <f>'Raw Data'!K1455</f>
        <v>Mobile Phone</v>
      </c>
      <c r="L1455" s="21">
        <f>'Raw Data'!L1455</f>
        <v>3</v>
      </c>
      <c r="M1455" s="21" t="str">
        <f>'Raw Data'!M1455</f>
        <v>Married</v>
      </c>
      <c r="N1455" s="21">
        <f>'Raw Data'!N1455</f>
        <v>2</v>
      </c>
      <c r="O1455" s="21">
        <f>'Raw Data'!O1455</f>
        <v>0</v>
      </c>
      <c r="P1455" s="21">
        <f>IF('Raw Data'!P1455="",ROUND(AVERAGE('Raw Data'!$P$2:$P$1501),1),'Raw Data'!P1455)</f>
        <v>14.3</v>
      </c>
      <c r="Q1455" s="21">
        <f>IF('Raw Data'!Q1455="",ROUND(AVERAGE('Raw Data'!$Q$2:$Q$1501),0),'Raw Data'!Q1455)</f>
        <v>2</v>
      </c>
      <c r="R1455" s="21">
        <f>'Raw Data'!R1455</f>
        <v>4</v>
      </c>
      <c r="S1455" s="21">
        <f>IF('Raw Data'!S1455="",ROUND(AVERAGE('Raw Data'!$S$2:$S$1501),0),'Raw Data'!S1455)</f>
        <v>3</v>
      </c>
      <c r="T1455" s="21">
        <f>'Raw Data'!T1455</f>
        <v>292.63</v>
      </c>
      <c r="U1455" s="21" t="str">
        <f>INDEX('Lookup Tables'!$C$7:$C$9,MATCH(E1455,'Lookup Tables'!$B$7:$B$9,0))</f>
        <v>Tier 3 (Semi-urban/Rural)</v>
      </c>
      <c r="V1455" s="21" t="str">
        <f t="shared" si="66"/>
        <v>13-24 months</v>
      </c>
      <c r="W1455" s="21" t="str">
        <f t="shared" si="67"/>
        <v>Medium Risk</v>
      </c>
      <c r="X1455" s="21" t="str">
        <f t="shared" si="68"/>
        <v>No</v>
      </c>
    </row>
    <row r="1456" spans="1:24" x14ac:dyDescent="0.3">
      <c r="A1456" s="21">
        <f>'Raw Data'!A1456</f>
        <v>51455</v>
      </c>
      <c r="B1456" s="21">
        <f>'Raw Data'!B1456</f>
        <v>0</v>
      </c>
      <c r="C1456" s="21">
        <f>'Raw Data'!C1456</f>
        <v>11</v>
      </c>
      <c r="D1456" s="21" t="str">
        <f>'Raw Data'!D1456</f>
        <v>Mobile Phone</v>
      </c>
      <c r="E1456" s="21">
        <f>'Raw Data'!E1456</f>
        <v>1</v>
      </c>
      <c r="F1456" s="21">
        <f>IF('Raw Data'!F1456="",ROUND(AVERAGE('Raw Data'!$F$2:$F$1501),1),'Raw Data'!F1456)</f>
        <v>11</v>
      </c>
      <c r="G1456" s="21" t="str">
        <f>'Raw Data'!G1456</f>
        <v>E wallet</v>
      </c>
      <c r="H1456" s="21" t="str">
        <f>'Raw Data'!H1456</f>
        <v>Female</v>
      </c>
      <c r="I1456" s="21">
        <f>IF('Raw Data'!I1456="",ROUND(AVERAGE('Raw Data'!$I$2:$I$1501),1),'Raw Data'!I1456)</f>
        <v>2.9</v>
      </c>
      <c r="J1456" s="21">
        <f>'Raw Data'!J1456</f>
        <v>4</v>
      </c>
      <c r="K1456" s="21" t="str">
        <f>'Raw Data'!K1456</f>
        <v>Mobile Phone</v>
      </c>
      <c r="L1456" s="21">
        <f>'Raw Data'!L1456</f>
        <v>5</v>
      </c>
      <c r="M1456" s="21" t="str">
        <f>'Raw Data'!M1456</f>
        <v>Single</v>
      </c>
      <c r="N1456" s="21">
        <f>'Raw Data'!N1456</f>
        <v>2</v>
      </c>
      <c r="O1456" s="21">
        <f>'Raw Data'!O1456</f>
        <v>1</v>
      </c>
      <c r="P1456" s="21">
        <f>IF('Raw Data'!P1456="",ROUND(AVERAGE('Raw Data'!$P$2:$P$1501),1),'Raw Data'!P1456)</f>
        <v>17</v>
      </c>
      <c r="Q1456" s="21">
        <f>IF('Raw Data'!Q1456="",ROUND(AVERAGE('Raw Data'!$Q$2:$Q$1501),0),'Raw Data'!Q1456)</f>
        <v>1</v>
      </c>
      <c r="R1456" s="21">
        <f>'Raw Data'!R1456</f>
        <v>7</v>
      </c>
      <c r="S1456" s="21">
        <f>IF('Raw Data'!S1456="",ROUND(AVERAGE('Raw Data'!$S$2:$S$1501),0),'Raw Data'!S1456)</f>
        <v>0</v>
      </c>
      <c r="T1456" s="21">
        <f>'Raw Data'!T1456</f>
        <v>202.36</v>
      </c>
      <c r="U1456" s="21" t="str">
        <f>INDEX('Lookup Tables'!$C$7:$C$9,MATCH(E1456,'Lookup Tables'!$B$7:$B$9,0))</f>
        <v>Tier 1 (Metro)</v>
      </c>
      <c r="V1456" s="21" t="str">
        <f t="shared" si="66"/>
        <v>7-12 months</v>
      </c>
      <c r="W1456" s="21" t="str">
        <f t="shared" si="67"/>
        <v>Low Risk</v>
      </c>
      <c r="X1456" s="21" t="str">
        <f t="shared" si="68"/>
        <v>No</v>
      </c>
    </row>
    <row r="1457" spans="1:24" x14ac:dyDescent="0.3">
      <c r="A1457" s="21">
        <f>'Raw Data'!A1457</f>
        <v>51456</v>
      </c>
      <c r="B1457" s="21">
        <f>'Raw Data'!B1457</f>
        <v>0</v>
      </c>
      <c r="C1457" s="21">
        <f>'Raw Data'!C1457</f>
        <v>17</v>
      </c>
      <c r="D1457" s="21" t="str">
        <f>'Raw Data'!D1457</f>
        <v>Computer</v>
      </c>
      <c r="E1457" s="21">
        <f>'Raw Data'!E1457</f>
        <v>2</v>
      </c>
      <c r="F1457" s="21">
        <f>IF('Raw Data'!F1457="",ROUND(AVERAGE('Raw Data'!$F$2:$F$1501),1),'Raw Data'!F1457)</f>
        <v>11</v>
      </c>
      <c r="G1457" s="21" t="str">
        <f>'Raw Data'!G1457</f>
        <v>Debit Card</v>
      </c>
      <c r="H1457" s="21" t="str">
        <f>'Raw Data'!H1457</f>
        <v>Male</v>
      </c>
      <c r="I1457" s="21">
        <f>IF('Raw Data'!I1457="",ROUND(AVERAGE('Raw Data'!$I$2:$I$1501),1),'Raw Data'!I1457)</f>
        <v>4.0999999999999996</v>
      </c>
      <c r="J1457" s="21">
        <f>'Raw Data'!J1457</f>
        <v>3</v>
      </c>
      <c r="K1457" s="21" t="str">
        <f>'Raw Data'!K1457</f>
        <v>Laptop &amp; Accessory</v>
      </c>
      <c r="L1457" s="21">
        <f>'Raw Data'!L1457</f>
        <v>1</v>
      </c>
      <c r="M1457" s="21" t="str">
        <f>'Raw Data'!M1457</f>
        <v>Married</v>
      </c>
      <c r="N1457" s="21">
        <f>'Raw Data'!N1457</f>
        <v>10</v>
      </c>
      <c r="O1457" s="21">
        <f>'Raw Data'!O1457</f>
        <v>1</v>
      </c>
      <c r="P1457" s="21">
        <f>IF('Raw Data'!P1457="",ROUND(AVERAGE('Raw Data'!$P$2:$P$1501),1),'Raw Data'!P1457)</f>
        <v>20.6</v>
      </c>
      <c r="Q1457" s="21">
        <f>IF('Raw Data'!Q1457="",ROUND(AVERAGE('Raw Data'!$Q$2:$Q$1501),0),'Raw Data'!Q1457)</f>
        <v>2</v>
      </c>
      <c r="R1457" s="21">
        <f>'Raw Data'!R1457</f>
        <v>2</v>
      </c>
      <c r="S1457" s="21">
        <f>IF('Raw Data'!S1457="",ROUND(AVERAGE('Raw Data'!$S$2:$S$1501),0),'Raw Data'!S1457)</f>
        <v>5</v>
      </c>
      <c r="T1457" s="21">
        <f>'Raw Data'!T1457</f>
        <v>164.02</v>
      </c>
      <c r="U1457" s="21" t="str">
        <f>INDEX('Lookup Tables'!$C$7:$C$9,MATCH(E1457,'Lookup Tables'!$B$7:$B$9,0))</f>
        <v>Tier 2 (Urban)</v>
      </c>
      <c r="V1457" s="21" t="str">
        <f t="shared" si="66"/>
        <v>13-24 months</v>
      </c>
      <c r="W1457" s="21" t="str">
        <f t="shared" si="67"/>
        <v>High Risk</v>
      </c>
      <c r="X1457" s="21" t="str">
        <f t="shared" si="68"/>
        <v>No</v>
      </c>
    </row>
    <row r="1458" spans="1:24" x14ac:dyDescent="0.3">
      <c r="A1458" s="21">
        <f>'Raw Data'!A1458</f>
        <v>51457</v>
      </c>
      <c r="B1458" s="21">
        <f>'Raw Data'!B1458</f>
        <v>0</v>
      </c>
      <c r="C1458" s="21">
        <f>'Raw Data'!C1458</f>
        <v>21</v>
      </c>
      <c r="D1458" s="21" t="str">
        <f>'Raw Data'!D1458</f>
        <v>Computer</v>
      </c>
      <c r="E1458" s="21">
        <f>'Raw Data'!E1458</f>
        <v>1</v>
      </c>
      <c r="F1458" s="21">
        <f>IF('Raw Data'!F1458="",ROUND(AVERAGE('Raw Data'!$F$2:$F$1501),1),'Raw Data'!F1458)</f>
        <v>24</v>
      </c>
      <c r="G1458" s="21" t="str">
        <f>'Raw Data'!G1458</f>
        <v>Debit Card</v>
      </c>
      <c r="H1458" s="21" t="str">
        <f>'Raw Data'!H1458</f>
        <v>Female</v>
      </c>
      <c r="I1458" s="21">
        <f>IF('Raw Data'!I1458="",ROUND(AVERAGE('Raw Data'!$I$2:$I$1501),1),'Raw Data'!I1458)</f>
        <v>2.7</v>
      </c>
      <c r="J1458" s="21">
        <f>'Raw Data'!J1458</f>
        <v>2</v>
      </c>
      <c r="K1458" s="21" t="str">
        <f>'Raw Data'!K1458</f>
        <v>Others</v>
      </c>
      <c r="L1458" s="21">
        <f>'Raw Data'!L1458</f>
        <v>4</v>
      </c>
      <c r="M1458" s="21" t="str">
        <f>'Raw Data'!M1458</f>
        <v>Married</v>
      </c>
      <c r="N1458" s="21">
        <f>'Raw Data'!N1458</f>
        <v>3</v>
      </c>
      <c r="O1458" s="21">
        <f>'Raw Data'!O1458</f>
        <v>0</v>
      </c>
      <c r="P1458" s="21">
        <f>IF('Raw Data'!P1458="",ROUND(AVERAGE('Raw Data'!$P$2:$P$1501),1),'Raw Data'!P1458)</f>
        <v>16.2</v>
      </c>
      <c r="Q1458" s="21">
        <f>IF('Raw Data'!Q1458="",ROUND(AVERAGE('Raw Data'!$Q$2:$Q$1501),0),'Raw Data'!Q1458)</f>
        <v>3</v>
      </c>
      <c r="R1458" s="21">
        <f>'Raw Data'!R1458</f>
        <v>6</v>
      </c>
      <c r="S1458" s="21">
        <f>IF('Raw Data'!S1458="",ROUND(AVERAGE('Raw Data'!$S$2:$S$1501),0),'Raw Data'!S1458)</f>
        <v>8</v>
      </c>
      <c r="T1458" s="21">
        <f>'Raw Data'!T1458</f>
        <v>311.97000000000003</v>
      </c>
      <c r="U1458" s="21" t="str">
        <f>INDEX('Lookup Tables'!$C$7:$C$9,MATCH(E1458,'Lookup Tables'!$B$7:$B$9,0))</f>
        <v>Tier 1 (Metro)</v>
      </c>
      <c r="V1458" s="21" t="str">
        <f t="shared" si="66"/>
        <v>13-24 months</v>
      </c>
      <c r="W1458" s="21" t="str">
        <f t="shared" si="67"/>
        <v>Low Risk</v>
      </c>
      <c r="X1458" s="21" t="str">
        <f t="shared" si="68"/>
        <v>No</v>
      </c>
    </row>
    <row r="1459" spans="1:24" x14ac:dyDescent="0.3">
      <c r="A1459" s="21">
        <f>'Raw Data'!A1459</f>
        <v>51458</v>
      </c>
      <c r="B1459" s="21">
        <f>'Raw Data'!B1459</f>
        <v>0</v>
      </c>
      <c r="C1459" s="21">
        <f>'Raw Data'!C1459</f>
        <v>8</v>
      </c>
      <c r="D1459" s="21" t="str">
        <f>'Raw Data'!D1459</f>
        <v>Mobile Phone</v>
      </c>
      <c r="E1459" s="21">
        <f>'Raw Data'!E1459</f>
        <v>1</v>
      </c>
      <c r="F1459" s="21">
        <f>IF('Raw Data'!F1459="",ROUND(AVERAGE('Raw Data'!$F$2:$F$1501),1),'Raw Data'!F1459)</f>
        <v>17</v>
      </c>
      <c r="G1459" s="21" t="str">
        <f>'Raw Data'!G1459</f>
        <v>Credit Card</v>
      </c>
      <c r="H1459" s="21" t="str">
        <f>'Raw Data'!H1459</f>
        <v>Male</v>
      </c>
      <c r="I1459" s="21">
        <f>IF('Raw Data'!I1459="",ROUND(AVERAGE('Raw Data'!$I$2:$I$1501),1),'Raw Data'!I1459)</f>
        <v>3.8</v>
      </c>
      <c r="J1459" s="21">
        <f>'Raw Data'!J1459</f>
        <v>4</v>
      </c>
      <c r="K1459" s="21" t="str">
        <f>'Raw Data'!K1459</f>
        <v>Mobile Phone</v>
      </c>
      <c r="L1459" s="21">
        <f>'Raw Data'!L1459</f>
        <v>5</v>
      </c>
      <c r="M1459" s="21" t="str">
        <f>'Raw Data'!M1459</f>
        <v>Single</v>
      </c>
      <c r="N1459" s="21">
        <f>'Raw Data'!N1459</f>
        <v>3</v>
      </c>
      <c r="O1459" s="21">
        <f>'Raw Data'!O1459</f>
        <v>1</v>
      </c>
      <c r="P1459" s="21">
        <f>IF('Raw Data'!P1459="",ROUND(AVERAGE('Raw Data'!$P$2:$P$1501),1),'Raw Data'!P1459)</f>
        <v>15.1</v>
      </c>
      <c r="Q1459" s="21">
        <f>IF('Raw Data'!Q1459="",ROUND(AVERAGE('Raw Data'!$Q$2:$Q$1501),0),'Raw Data'!Q1459)</f>
        <v>2</v>
      </c>
      <c r="R1459" s="21">
        <f>'Raw Data'!R1459</f>
        <v>6</v>
      </c>
      <c r="S1459" s="21">
        <f>IF('Raw Data'!S1459="",ROUND(AVERAGE('Raw Data'!$S$2:$S$1501),0),'Raw Data'!S1459)</f>
        <v>6</v>
      </c>
      <c r="T1459" s="21">
        <f>'Raw Data'!T1459</f>
        <v>225.64</v>
      </c>
      <c r="U1459" s="21" t="str">
        <f>INDEX('Lookup Tables'!$C$7:$C$9,MATCH(E1459,'Lookup Tables'!$B$7:$B$9,0))</f>
        <v>Tier 1 (Metro)</v>
      </c>
      <c r="V1459" s="21" t="str">
        <f t="shared" si="66"/>
        <v>7-12 months</v>
      </c>
      <c r="W1459" s="21" t="str">
        <f t="shared" si="67"/>
        <v>Low Risk</v>
      </c>
      <c r="X1459" s="21" t="str">
        <f t="shared" si="68"/>
        <v>No</v>
      </c>
    </row>
    <row r="1460" spans="1:24" x14ac:dyDescent="0.3">
      <c r="A1460" s="21">
        <f>'Raw Data'!A1460</f>
        <v>51459</v>
      </c>
      <c r="B1460" s="21">
        <f>'Raw Data'!B1460</f>
        <v>0</v>
      </c>
      <c r="C1460" s="21">
        <f>'Raw Data'!C1460</f>
        <v>7</v>
      </c>
      <c r="D1460" s="21" t="str">
        <f>'Raw Data'!D1460</f>
        <v>Phone</v>
      </c>
      <c r="E1460" s="21">
        <f>'Raw Data'!E1460</f>
        <v>1</v>
      </c>
      <c r="F1460" s="21">
        <f>IF('Raw Data'!F1460="",ROUND(AVERAGE('Raw Data'!$F$2:$F$1501),1),'Raw Data'!F1460)</f>
        <v>14.8</v>
      </c>
      <c r="G1460" s="21" t="str">
        <f>'Raw Data'!G1460</f>
        <v>Debit Card</v>
      </c>
      <c r="H1460" s="21" t="str">
        <f>'Raw Data'!H1460</f>
        <v>Male</v>
      </c>
      <c r="I1460" s="21">
        <f>IF('Raw Data'!I1460="",ROUND(AVERAGE('Raw Data'!$I$2:$I$1501),1),'Raw Data'!I1460)</f>
        <v>3</v>
      </c>
      <c r="J1460" s="21">
        <f>'Raw Data'!J1460</f>
        <v>4</v>
      </c>
      <c r="K1460" s="21" t="str">
        <f>'Raw Data'!K1460</f>
        <v>Laptop &amp; Accessory</v>
      </c>
      <c r="L1460" s="21">
        <f>'Raw Data'!L1460</f>
        <v>5</v>
      </c>
      <c r="M1460" s="21" t="str">
        <f>'Raw Data'!M1460</f>
        <v>Married</v>
      </c>
      <c r="N1460" s="21">
        <f>'Raw Data'!N1460</f>
        <v>1</v>
      </c>
      <c r="O1460" s="21">
        <f>'Raw Data'!O1460</f>
        <v>0</v>
      </c>
      <c r="P1460" s="21">
        <f>IF('Raw Data'!P1460="",ROUND(AVERAGE('Raw Data'!$P$2:$P$1501),1),'Raw Data'!P1460)</f>
        <v>18</v>
      </c>
      <c r="Q1460" s="21">
        <f>IF('Raw Data'!Q1460="",ROUND(AVERAGE('Raw Data'!$Q$2:$Q$1501),0),'Raw Data'!Q1460)</f>
        <v>2</v>
      </c>
      <c r="R1460" s="21">
        <f>'Raw Data'!R1460</f>
        <v>6</v>
      </c>
      <c r="S1460" s="21">
        <f>IF('Raw Data'!S1460="",ROUND(AVERAGE('Raw Data'!$S$2:$S$1501),0),'Raw Data'!S1460)</f>
        <v>2</v>
      </c>
      <c r="T1460" s="21">
        <f>'Raw Data'!T1460</f>
        <v>154.99</v>
      </c>
      <c r="U1460" s="21" t="str">
        <f>INDEX('Lookup Tables'!$C$7:$C$9,MATCH(E1460,'Lookup Tables'!$B$7:$B$9,0))</f>
        <v>Tier 1 (Metro)</v>
      </c>
      <c r="V1460" s="21" t="str">
        <f t="shared" si="66"/>
        <v>7-12 months</v>
      </c>
      <c r="W1460" s="21" t="str">
        <f t="shared" si="67"/>
        <v>Low Risk</v>
      </c>
      <c r="X1460" s="21" t="str">
        <f t="shared" si="68"/>
        <v>No</v>
      </c>
    </row>
    <row r="1461" spans="1:24" x14ac:dyDescent="0.3">
      <c r="A1461" s="21">
        <f>'Raw Data'!A1461</f>
        <v>51460</v>
      </c>
      <c r="B1461" s="21">
        <f>'Raw Data'!B1461</f>
        <v>0</v>
      </c>
      <c r="C1461" s="21">
        <f>'Raw Data'!C1461</f>
        <v>5</v>
      </c>
      <c r="D1461" s="21" t="str">
        <f>'Raw Data'!D1461</f>
        <v>Phone</v>
      </c>
      <c r="E1461" s="21">
        <f>'Raw Data'!E1461</f>
        <v>1</v>
      </c>
      <c r="F1461" s="21">
        <f>IF('Raw Data'!F1461="",ROUND(AVERAGE('Raw Data'!$F$2:$F$1501),1),'Raw Data'!F1461)</f>
        <v>17</v>
      </c>
      <c r="G1461" s="21" t="str">
        <f>'Raw Data'!G1461</f>
        <v>Credit Card</v>
      </c>
      <c r="H1461" s="21" t="str">
        <f>'Raw Data'!H1461</f>
        <v>Male</v>
      </c>
      <c r="I1461" s="21">
        <f>IF('Raw Data'!I1461="",ROUND(AVERAGE('Raw Data'!$I$2:$I$1501),1),'Raw Data'!I1461)</f>
        <v>2.2000000000000002</v>
      </c>
      <c r="J1461" s="21">
        <f>'Raw Data'!J1461</f>
        <v>4</v>
      </c>
      <c r="K1461" s="21" t="str">
        <f>'Raw Data'!K1461</f>
        <v>Mobile Phone</v>
      </c>
      <c r="L1461" s="21">
        <f>'Raw Data'!L1461</f>
        <v>3</v>
      </c>
      <c r="M1461" s="21" t="str">
        <f>'Raw Data'!M1461</f>
        <v>Single</v>
      </c>
      <c r="N1461" s="21">
        <f>'Raw Data'!N1461</f>
        <v>19</v>
      </c>
      <c r="O1461" s="21">
        <f>'Raw Data'!O1461</f>
        <v>0</v>
      </c>
      <c r="P1461" s="21">
        <f>IF('Raw Data'!P1461="",ROUND(AVERAGE('Raw Data'!$P$2:$P$1501),1),'Raw Data'!P1461)</f>
        <v>13</v>
      </c>
      <c r="Q1461" s="21">
        <f>IF('Raw Data'!Q1461="",ROUND(AVERAGE('Raw Data'!$Q$2:$Q$1501),0),'Raw Data'!Q1461)</f>
        <v>3</v>
      </c>
      <c r="R1461" s="21">
        <f>'Raw Data'!R1461</f>
        <v>7</v>
      </c>
      <c r="S1461" s="21">
        <f>IF('Raw Data'!S1461="",ROUND(AVERAGE('Raw Data'!$S$2:$S$1501),0),'Raw Data'!S1461)</f>
        <v>10</v>
      </c>
      <c r="T1461" s="21">
        <f>'Raw Data'!T1461</f>
        <v>184.63</v>
      </c>
      <c r="U1461" s="21" t="str">
        <f>INDEX('Lookup Tables'!$C$7:$C$9,MATCH(E1461,'Lookup Tables'!$B$7:$B$9,0))</f>
        <v>Tier 1 (Metro)</v>
      </c>
      <c r="V1461" s="21" t="str">
        <f t="shared" si="66"/>
        <v>0-6 months</v>
      </c>
      <c r="W1461" s="21" t="str">
        <f t="shared" si="67"/>
        <v>Medium Risk</v>
      </c>
      <c r="X1461" s="21" t="str">
        <f t="shared" si="68"/>
        <v>No</v>
      </c>
    </row>
    <row r="1462" spans="1:24" x14ac:dyDescent="0.3">
      <c r="A1462" s="21">
        <f>'Raw Data'!A1462</f>
        <v>51461</v>
      </c>
      <c r="B1462" s="21">
        <f>'Raw Data'!B1462</f>
        <v>1</v>
      </c>
      <c r="C1462" s="21">
        <f>'Raw Data'!C1462</f>
        <v>3</v>
      </c>
      <c r="D1462" s="21" t="str">
        <f>'Raw Data'!D1462</f>
        <v>Mobile Phone</v>
      </c>
      <c r="E1462" s="21">
        <f>'Raw Data'!E1462</f>
        <v>1</v>
      </c>
      <c r="F1462" s="21">
        <f>IF('Raw Data'!F1462="",ROUND(AVERAGE('Raw Data'!$F$2:$F$1501),1),'Raw Data'!F1462)</f>
        <v>5</v>
      </c>
      <c r="G1462" s="21" t="str">
        <f>'Raw Data'!G1462</f>
        <v>Credit Card</v>
      </c>
      <c r="H1462" s="21" t="str">
        <f>'Raw Data'!H1462</f>
        <v>Female</v>
      </c>
      <c r="I1462" s="21">
        <f>IF('Raw Data'!I1462="",ROUND(AVERAGE('Raw Data'!$I$2:$I$1501),1),'Raw Data'!I1462)</f>
        <v>4.2</v>
      </c>
      <c r="J1462" s="21">
        <f>'Raw Data'!J1462</f>
        <v>4</v>
      </c>
      <c r="K1462" s="21" t="str">
        <f>'Raw Data'!K1462</f>
        <v>Grocery</v>
      </c>
      <c r="L1462" s="21">
        <f>'Raw Data'!L1462</f>
        <v>2</v>
      </c>
      <c r="M1462" s="21" t="str">
        <f>'Raw Data'!M1462</f>
        <v>Single</v>
      </c>
      <c r="N1462" s="21">
        <f>'Raw Data'!N1462</f>
        <v>5</v>
      </c>
      <c r="O1462" s="21">
        <f>'Raw Data'!O1462</f>
        <v>0</v>
      </c>
      <c r="P1462" s="21">
        <f>IF('Raw Data'!P1462="",ROUND(AVERAGE('Raw Data'!$P$2:$P$1501),1),'Raw Data'!P1462)</f>
        <v>16.5</v>
      </c>
      <c r="Q1462" s="21">
        <f>IF('Raw Data'!Q1462="",ROUND(AVERAGE('Raw Data'!$Q$2:$Q$1501),0),'Raw Data'!Q1462)</f>
        <v>2</v>
      </c>
      <c r="R1462" s="21">
        <f>'Raw Data'!R1462</f>
        <v>3</v>
      </c>
      <c r="S1462" s="21">
        <f>IF('Raw Data'!S1462="",ROUND(AVERAGE('Raw Data'!$S$2:$S$1501),0),'Raw Data'!S1462)</f>
        <v>0</v>
      </c>
      <c r="T1462" s="21">
        <f>'Raw Data'!T1462</f>
        <v>214.94</v>
      </c>
      <c r="U1462" s="21" t="str">
        <f>INDEX('Lookup Tables'!$C$7:$C$9,MATCH(E1462,'Lookup Tables'!$B$7:$B$9,0))</f>
        <v>Tier 1 (Metro)</v>
      </c>
      <c r="V1462" s="21" t="str">
        <f t="shared" si="66"/>
        <v>0-6 months</v>
      </c>
      <c r="W1462" s="21" t="str">
        <f t="shared" si="67"/>
        <v>Low Risk</v>
      </c>
      <c r="X1462" s="21" t="str">
        <f t="shared" si="68"/>
        <v>Yes</v>
      </c>
    </row>
    <row r="1463" spans="1:24" x14ac:dyDescent="0.3">
      <c r="A1463" s="21">
        <f>'Raw Data'!A1463</f>
        <v>51462</v>
      </c>
      <c r="B1463" s="21">
        <f>'Raw Data'!B1463</f>
        <v>0</v>
      </c>
      <c r="C1463" s="21">
        <f>'Raw Data'!C1463</f>
        <v>5</v>
      </c>
      <c r="D1463" s="21" t="str">
        <f>'Raw Data'!D1463</f>
        <v>Phone</v>
      </c>
      <c r="E1463" s="21">
        <f>'Raw Data'!E1463</f>
        <v>3</v>
      </c>
      <c r="F1463" s="21">
        <f>IF('Raw Data'!F1463="",ROUND(AVERAGE('Raw Data'!$F$2:$F$1501),1),'Raw Data'!F1463)</f>
        <v>5</v>
      </c>
      <c r="G1463" s="21" t="str">
        <f>'Raw Data'!G1463</f>
        <v>Credit Card</v>
      </c>
      <c r="H1463" s="21" t="str">
        <f>'Raw Data'!H1463</f>
        <v>Male</v>
      </c>
      <c r="I1463" s="21">
        <f>IF('Raw Data'!I1463="",ROUND(AVERAGE('Raw Data'!$I$2:$I$1501),1),'Raw Data'!I1463)</f>
        <v>3.6</v>
      </c>
      <c r="J1463" s="21">
        <f>'Raw Data'!J1463</f>
        <v>3</v>
      </c>
      <c r="K1463" s="21" t="str">
        <f>'Raw Data'!K1463</f>
        <v>Laptop &amp; Accessory</v>
      </c>
      <c r="L1463" s="21">
        <f>'Raw Data'!L1463</f>
        <v>2</v>
      </c>
      <c r="M1463" s="21" t="str">
        <f>'Raw Data'!M1463</f>
        <v>Married</v>
      </c>
      <c r="N1463" s="21">
        <f>'Raw Data'!N1463</f>
        <v>7</v>
      </c>
      <c r="O1463" s="21">
        <f>'Raw Data'!O1463</f>
        <v>0</v>
      </c>
      <c r="P1463" s="21">
        <f>IF('Raw Data'!P1463="",ROUND(AVERAGE('Raw Data'!$P$2:$P$1501),1),'Raw Data'!P1463)</f>
        <v>11.8</v>
      </c>
      <c r="Q1463" s="21">
        <f>IF('Raw Data'!Q1463="",ROUND(AVERAGE('Raw Data'!$Q$2:$Q$1501),0),'Raw Data'!Q1463)</f>
        <v>1</v>
      </c>
      <c r="R1463" s="21">
        <f>'Raw Data'!R1463</f>
        <v>4</v>
      </c>
      <c r="S1463" s="21">
        <f>IF('Raw Data'!S1463="",ROUND(AVERAGE('Raw Data'!$S$2:$S$1501),0),'Raw Data'!S1463)</f>
        <v>1</v>
      </c>
      <c r="T1463" s="21">
        <f>'Raw Data'!T1463</f>
        <v>171.7</v>
      </c>
      <c r="U1463" s="21" t="str">
        <f>INDEX('Lookup Tables'!$C$7:$C$9,MATCH(E1463,'Lookup Tables'!$B$7:$B$9,0))</f>
        <v>Tier 3 (Semi-urban/Rural)</v>
      </c>
      <c r="V1463" s="21" t="str">
        <f t="shared" si="66"/>
        <v>0-6 months</v>
      </c>
      <c r="W1463" s="21" t="str">
        <f t="shared" si="67"/>
        <v>Low Risk</v>
      </c>
      <c r="X1463" s="21" t="str">
        <f t="shared" si="68"/>
        <v>No</v>
      </c>
    </row>
    <row r="1464" spans="1:24" x14ac:dyDescent="0.3">
      <c r="A1464" s="21">
        <f>'Raw Data'!A1464</f>
        <v>51463</v>
      </c>
      <c r="B1464" s="21">
        <f>'Raw Data'!B1464</f>
        <v>0</v>
      </c>
      <c r="C1464" s="21">
        <f>'Raw Data'!C1464</f>
        <v>14</v>
      </c>
      <c r="D1464" s="21" t="str">
        <f>'Raw Data'!D1464</f>
        <v>Mobile Phone</v>
      </c>
      <c r="E1464" s="21">
        <f>'Raw Data'!E1464</f>
        <v>1</v>
      </c>
      <c r="F1464" s="21">
        <f>IF('Raw Data'!F1464="",ROUND(AVERAGE('Raw Data'!$F$2:$F$1501),1),'Raw Data'!F1464)</f>
        <v>5</v>
      </c>
      <c r="G1464" s="21" t="str">
        <f>'Raw Data'!G1464</f>
        <v>Credit Card</v>
      </c>
      <c r="H1464" s="21" t="str">
        <f>'Raw Data'!H1464</f>
        <v>Male</v>
      </c>
      <c r="I1464" s="21">
        <f>IF('Raw Data'!I1464="",ROUND(AVERAGE('Raw Data'!$I$2:$I$1501),1),'Raw Data'!I1464)</f>
        <v>2.8</v>
      </c>
      <c r="J1464" s="21">
        <f>'Raw Data'!J1464</f>
        <v>3</v>
      </c>
      <c r="K1464" s="21" t="str">
        <f>'Raw Data'!K1464</f>
        <v>Fashion</v>
      </c>
      <c r="L1464" s="21">
        <f>'Raw Data'!L1464</f>
        <v>5</v>
      </c>
      <c r="M1464" s="21" t="str">
        <f>'Raw Data'!M1464</f>
        <v>Married</v>
      </c>
      <c r="N1464" s="21">
        <f>'Raw Data'!N1464</f>
        <v>1</v>
      </c>
      <c r="O1464" s="21">
        <f>'Raw Data'!O1464</f>
        <v>0</v>
      </c>
      <c r="P1464" s="21">
        <f>IF('Raw Data'!P1464="",ROUND(AVERAGE('Raw Data'!$P$2:$P$1501),1),'Raw Data'!P1464)</f>
        <v>16.3</v>
      </c>
      <c r="Q1464" s="21">
        <f>IF('Raw Data'!Q1464="",ROUND(AVERAGE('Raw Data'!$Q$2:$Q$1501),0),'Raw Data'!Q1464)</f>
        <v>1</v>
      </c>
      <c r="R1464" s="21">
        <f>'Raw Data'!R1464</f>
        <v>7</v>
      </c>
      <c r="S1464" s="21">
        <f>IF('Raw Data'!S1464="",ROUND(AVERAGE('Raw Data'!$S$2:$S$1501),0),'Raw Data'!S1464)</f>
        <v>3</v>
      </c>
      <c r="T1464" s="21">
        <f>'Raw Data'!T1464</f>
        <v>187.36</v>
      </c>
      <c r="U1464" s="21" t="str">
        <f>INDEX('Lookup Tables'!$C$7:$C$9,MATCH(E1464,'Lookup Tables'!$B$7:$B$9,0))</f>
        <v>Tier 1 (Metro)</v>
      </c>
      <c r="V1464" s="21" t="str">
        <f t="shared" si="66"/>
        <v>13-24 months</v>
      </c>
      <c r="W1464" s="21" t="str">
        <f t="shared" si="67"/>
        <v>Low Risk</v>
      </c>
      <c r="X1464" s="21" t="str">
        <f t="shared" si="68"/>
        <v>No</v>
      </c>
    </row>
    <row r="1465" spans="1:24" x14ac:dyDescent="0.3">
      <c r="A1465" s="21">
        <f>'Raw Data'!A1465</f>
        <v>51464</v>
      </c>
      <c r="B1465" s="21">
        <f>'Raw Data'!B1465</f>
        <v>1</v>
      </c>
      <c r="C1465" s="21">
        <f>'Raw Data'!C1465</f>
        <v>9</v>
      </c>
      <c r="D1465" s="21" t="str">
        <f>'Raw Data'!D1465</f>
        <v>Mobile Phone</v>
      </c>
      <c r="E1465" s="21">
        <f>'Raw Data'!E1465</f>
        <v>3</v>
      </c>
      <c r="F1465" s="21">
        <f>IF('Raw Data'!F1465="",ROUND(AVERAGE('Raw Data'!$F$2:$F$1501),1),'Raw Data'!F1465)</f>
        <v>20</v>
      </c>
      <c r="G1465" s="21" t="str">
        <f>'Raw Data'!G1465</f>
        <v>Debit Card</v>
      </c>
      <c r="H1465" s="21" t="str">
        <f>'Raw Data'!H1465</f>
        <v>Male</v>
      </c>
      <c r="I1465" s="21">
        <f>IF('Raw Data'!I1465="",ROUND(AVERAGE('Raw Data'!$I$2:$I$1501),1),'Raw Data'!I1465)</f>
        <v>3.4</v>
      </c>
      <c r="J1465" s="21">
        <f>'Raw Data'!J1465</f>
        <v>2</v>
      </c>
      <c r="K1465" s="21" t="str">
        <f>'Raw Data'!K1465</f>
        <v>Mobile Phone</v>
      </c>
      <c r="L1465" s="21">
        <f>'Raw Data'!L1465</f>
        <v>5</v>
      </c>
      <c r="M1465" s="21" t="str">
        <f>'Raw Data'!M1465</f>
        <v>Married</v>
      </c>
      <c r="N1465" s="21">
        <f>'Raw Data'!N1465</f>
        <v>2</v>
      </c>
      <c r="O1465" s="21">
        <f>'Raw Data'!O1465</f>
        <v>1</v>
      </c>
      <c r="P1465" s="21">
        <f>IF('Raw Data'!P1465="",ROUND(AVERAGE('Raw Data'!$P$2:$P$1501),1),'Raw Data'!P1465)</f>
        <v>15.5</v>
      </c>
      <c r="Q1465" s="21">
        <f>IF('Raw Data'!Q1465="",ROUND(AVERAGE('Raw Data'!$Q$2:$Q$1501),0),'Raw Data'!Q1465)</f>
        <v>2</v>
      </c>
      <c r="R1465" s="21">
        <f>'Raw Data'!R1465</f>
        <v>2</v>
      </c>
      <c r="S1465" s="21">
        <f>IF('Raw Data'!S1465="",ROUND(AVERAGE('Raw Data'!$S$2:$S$1501),0),'Raw Data'!S1465)</f>
        <v>0</v>
      </c>
      <c r="T1465" s="21">
        <f>'Raw Data'!T1465</f>
        <v>135.05000000000001</v>
      </c>
      <c r="U1465" s="21" t="str">
        <f>INDEX('Lookup Tables'!$C$7:$C$9,MATCH(E1465,'Lookup Tables'!$B$7:$B$9,0))</f>
        <v>Tier 3 (Semi-urban/Rural)</v>
      </c>
      <c r="V1465" s="21" t="str">
        <f t="shared" si="66"/>
        <v>7-12 months</v>
      </c>
      <c r="W1465" s="21" t="str">
        <f t="shared" si="67"/>
        <v>Low Risk</v>
      </c>
      <c r="X1465" s="21" t="str">
        <f t="shared" si="68"/>
        <v>Yes</v>
      </c>
    </row>
    <row r="1466" spans="1:24" x14ac:dyDescent="0.3">
      <c r="A1466" s="21">
        <f>'Raw Data'!A1466</f>
        <v>51465</v>
      </c>
      <c r="B1466" s="21">
        <f>'Raw Data'!B1466</f>
        <v>0</v>
      </c>
      <c r="C1466" s="21">
        <f>'Raw Data'!C1466</f>
        <v>22</v>
      </c>
      <c r="D1466" s="21" t="str">
        <f>'Raw Data'!D1466</f>
        <v>Mobile Phone</v>
      </c>
      <c r="E1466" s="21">
        <f>'Raw Data'!E1466</f>
        <v>2</v>
      </c>
      <c r="F1466" s="21">
        <f>IF('Raw Data'!F1466="",ROUND(AVERAGE('Raw Data'!$F$2:$F$1501),1),'Raw Data'!F1466)</f>
        <v>24</v>
      </c>
      <c r="G1466" s="21" t="str">
        <f>'Raw Data'!G1466</f>
        <v>Debit Card</v>
      </c>
      <c r="H1466" s="21" t="str">
        <f>'Raw Data'!H1466</f>
        <v>Female</v>
      </c>
      <c r="I1466" s="21">
        <f>IF('Raw Data'!I1466="",ROUND(AVERAGE('Raw Data'!$I$2:$I$1501),1),'Raw Data'!I1466)</f>
        <v>2.6</v>
      </c>
      <c r="J1466" s="21">
        <f>'Raw Data'!J1466</f>
        <v>3</v>
      </c>
      <c r="K1466" s="21" t="str">
        <f>'Raw Data'!K1466</f>
        <v>Laptop &amp; Accessory</v>
      </c>
      <c r="L1466" s="21">
        <f>'Raw Data'!L1466</f>
        <v>4</v>
      </c>
      <c r="M1466" s="21" t="str">
        <f>'Raw Data'!M1466</f>
        <v>Single</v>
      </c>
      <c r="N1466" s="21">
        <f>'Raw Data'!N1466</f>
        <v>2</v>
      </c>
      <c r="O1466" s="21">
        <f>'Raw Data'!O1466</f>
        <v>1</v>
      </c>
      <c r="P1466" s="21">
        <f>IF('Raw Data'!P1466="",ROUND(AVERAGE('Raw Data'!$P$2:$P$1501),1),'Raw Data'!P1466)</f>
        <v>13.2</v>
      </c>
      <c r="Q1466" s="21">
        <f>IF('Raw Data'!Q1466="",ROUND(AVERAGE('Raw Data'!$Q$2:$Q$1501),0),'Raw Data'!Q1466)</f>
        <v>1</v>
      </c>
      <c r="R1466" s="21">
        <f>'Raw Data'!R1466</f>
        <v>3</v>
      </c>
      <c r="S1466" s="21">
        <f>IF('Raw Data'!S1466="",ROUND(AVERAGE('Raw Data'!$S$2:$S$1501),0),'Raw Data'!S1466)</f>
        <v>0</v>
      </c>
      <c r="T1466" s="21">
        <f>'Raw Data'!T1466</f>
        <v>87.31</v>
      </c>
      <c r="U1466" s="21" t="str">
        <f>INDEX('Lookup Tables'!$C$7:$C$9,MATCH(E1466,'Lookup Tables'!$B$7:$B$9,0))</f>
        <v>Tier 2 (Urban)</v>
      </c>
      <c r="V1466" s="21" t="str">
        <f t="shared" si="66"/>
        <v>13-24 months</v>
      </c>
      <c r="W1466" s="21" t="str">
        <f t="shared" si="67"/>
        <v>Low Risk</v>
      </c>
      <c r="X1466" s="21" t="str">
        <f t="shared" si="68"/>
        <v>No</v>
      </c>
    </row>
    <row r="1467" spans="1:24" x14ac:dyDescent="0.3">
      <c r="A1467" s="21">
        <f>'Raw Data'!A1467</f>
        <v>51466</v>
      </c>
      <c r="B1467" s="21">
        <f>'Raw Data'!B1467</f>
        <v>0</v>
      </c>
      <c r="C1467" s="21">
        <f>'Raw Data'!C1467</f>
        <v>5</v>
      </c>
      <c r="D1467" s="21" t="str">
        <f>'Raw Data'!D1467</f>
        <v>Computer</v>
      </c>
      <c r="E1467" s="21">
        <f>'Raw Data'!E1467</f>
        <v>1</v>
      </c>
      <c r="F1467" s="21">
        <f>IF('Raw Data'!F1467="",ROUND(AVERAGE('Raw Data'!$F$2:$F$1501),1),'Raw Data'!F1467)</f>
        <v>29</v>
      </c>
      <c r="G1467" s="21" t="str">
        <f>'Raw Data'!G1467</f>
        <v>UPI</v>
      </c>
      <c r="H1467" s="21" t="str">
        <f>'Raw Data'!H1467</f>
        <v>Female</v>
      </c>
      <c r="I1467" s="21">
        <f>IF('Raw Data'!I1467="",ROUND(AVERAGE('Raw Data'!$I$2:$I$1501),1),'Raw Data'!I1467)</f>
        <v>3.5</v>
      </c>
      <c r="J1467" s="21">
        <f>'Raw Data'!J1467</f>
        <v>3</v>
      </c>
      <c r="K1467" s="21" t="str">
        <f>'Raw Data'!K1467</f>
        <v>Grocery</v>
      </c>
      <c r="L1467" s="21">
        <f>'Raw Data'!L1467</f>
        <v>4</v>
      </c>
      <c r="M1467" s="21" t="str">
        <f>'Raw Data'!M1467</f>
        <v>Married</v>
      </c>
      <c r="N1467" s="21">
        <f>'Raw Data'!N1467</f>
        <v>1</v>
      </c>
      <c r="O1467" s="21">
        <f>'Raw Data'!O1467</f>
        <v>0</v>
      </c>
      <c r="P1467" s="21">
        <f>IF('Raw Data'!P1467="",ROUND(AVERAGE('Raw Data'!$P$2:$P$1501),1),'Raw Data'!P1467)</f>
        <v>16.600000000000001</v>
      </c>
      <c r="Q1467" s="21">
        <f>IF('Raw Data'!Q1467="",ROUND(AVERAGE('Raw Data'!$Q$2:$Q$1501),0),'Raw Data'!Q1467)</f>
        <v>0</v>
      </c>
      <c r="R1467" s="21">
        <f>'Raw Data'!R1467</f>
        <v>5</v>
      </c>
      <c r="S1467" s="21">
        <f>IF('Raw Data'!S1467="",ROUND(AVERAGE('Raw Data'!$S$2:$S$1501),0),'Raw Data'!S1467)</f>
        <v>2</v>
      </c>
      <c r="T1467" s="21">
        <f>'Raw Data'!T1467</f>
        <v>185.85</v>
      </c>
      <c r="U1467" s="21" t="str">
        <f>INDEX('Lookup Tables'!$C$7:$C$9,MATCH(E1467,'Lookup Tables'!$B$7:$B$9,0))</f>
        <v>Tier 1 (Metro)</v>
      </c>
      <c r="V1467" s="21" t="str">
        <f t="shared" si="66"/>
        <v>0-6 months</v>
      </c>
      <c r="W1467" s="21" t="str">
        <f t="shared" si="67"/>
        <v>Low Risk</v>
      </c>
      <c r="X1467" s="21" t="str">
        <f t="shared" si="68"/>
        <v>No</v>
      </c>
    </row>
    <row r="1468" spans="1:24" x14ac:dyDescent="0.3">
      <c r="A1468" s="21">
        <f>'Raw Data'!A1468</f>
        <v>51467</v>
      </c>
      <c r="B1468" s="21">
        <f>'Raw Data'!B1468</f>
        <v>0</v>
      </c>
      <c r="C1468" s="21">
        <f>'Raw Data'!C1468</f>
        <v>9</v>
      </c>
      <c r="D1468" s="21" t="str">
        <f>'Raw Data'!D1468</f>
        <v>Computer</v>
      </c>
      <c r="E1468" s="21">
        <f>'Raw Data'!E1468</f>
        <v>1</v>
      </c>
      <c r="F1468" s="21">
        <f>IF('Raw Data'!F1468="",ROUND(AVERAGE('Raw Data'!$F$2:$F$1501),1),'Raw Data'!F1468)</f>
        <v>21</v>
      </c>
      <c r="G1468" s="21" t="str">
        <f>'Raw Data'!G1468</f>
        <v>Credit Card</v>
      </c>
      <c r="H1468" s="21" t="str">
        <f>'Raw Data'!H1468</f>
        <v>Male</v>
      </c>
      <c r="I1468" s="21">
        <f>IF('Raw Data'!I1468="",ROUND(AVERAGE('Raw Data'!$I$2:$I$1501),1),'Raw Data'!I1468)</f>
        <v>1.2</v>
      </c>
      <c r="J1468" s="21">
        <f>'Raw Data'!J1468</f>
        <v>3</v>
      </c>
      <c r="K1468" s="21" t="str">
        <f>'Raw Data'!K1468</f>
        <v>Mobile Phone</v>
      </c>
      <c r="L1468" s="21">
        <f>'Raw Data'!L1468</f>
        <v>4</v>
      </c>
      <c r="M1468" s="21" t="str">
        <f>'Raw Data'!M1468</f>
        <v>Married</v>
      </c>
      <c r="N1468" s="21">
        <f>'Raw Data'!N1468</f>
        <v>4</v>
      </c>
      <c r="O1468" s="21">
        <f>'Raw Data'!O1468</f>
        <v>1</v>
      </c>
      <c r="P1468" s="21">
        <f>IF('Raw Data'!P1468="",ROUND(AVERAGE('Raw Data'!$P$2:$P$1501),1),'Raw Data'!P1468)</f>
        <v>16.3</v>
      </c>
      <c r="Q1468" s="21">
        <f>IF('Raw Data'!Q1468="",ROUND(AVERAGE('Raw Data'!$Q$2:$Q$1501),0),'Raw Data'!Q1468)</f>
        <v>3</v>
      </c>
      <c r="R1468" s="21">
        <f>'Raw Data'!R1468</f>
        <v>2</v>
      </c>
      <c r="S1468" s="21">
        <f>IF('Raw Data'!S1468="",ROUND(AVERAGE('Raw Data'!$S$2:$S$1501),0),'Raw Data'!S1468)</f>
        <v>14</v>
      </c>
      <c r="T1468" s="21">
        <f>'Raw Data'!T1468</f>
        <v>187.7</v>
      </c>
      <c r="U1468" s="21" t="str">
        <f>INDEX('Lookup Tables'!$C$7:$C$9,MATCH(E1468,'Lookup Tables'!$B$7:$B$9,0))</f>
        <v>Tier 1 (Metro)</v>
      </c>
      <c r="V1468" s="21" t="str">
        <f t="shared" si="66"/>
        <v>7-12 months</v>
      </c>
      <c r="W1468" s="21" t="str">
        <f t="shared" si="67"/>
        <v>Low Risk</v>
      </c>
      <c r="X1468" s="21" t="str">
        <f t="shared" si="68"/>
        <v>No</v>
      </c>
    </row>
    <row r="1469" spans="1:24" x14ac:dyDescent="0.3">
      <c r="A1469" s="21">
        <f>'Raw Data'!A1469</f>
        <v>51468</v>
      </c>
      <c r="B1469" s="21">
        <f>'Raw Data'!B1469</f>
        <v>0</v>
      </c>
      <c r="C1469" s="21">
        <f>'Raw Data'!C1469</f>
        <v>9</v>
      </c>
      <c r="D1469" s="21" t="str">
        <f>'Raw Data'!D1469</f>
        <v>Mobile Phone</v>
      </c>
      <c r="E1469" s="21">
        <f>'Raw Data'!E1469</f>
        <v>1</v>
      </c>
      <c r="F1469" s="21">
        <f>IF('Raw Data'!F1469="",ROUND(AVERAGE('Raw Data'!$F$2:$F$1501),1),'Raw Data'!F1469)</f>
        <v>24</v>
      </c>
      <c r="G1469" s="21" t="str">
        <f>'Raw Data'!G1469</f>
        <v>Credit Card</v>
      </c>
      <c r="H1469" s="21" t="str">
        <f>'Raw Data'!H1469</f>
        <v>Female</v>
      </c>
      <c r="I1469" s="21">
        <f>IF('Raw Data'!I1469="",ROUND(AVERAGE('Raw Data'!$I$2:$I$1501),1),'Raw Data'!I1469)</f>
        <v>2.2000000000000002</v>
      </c>
      <c r="J1469" s="21">
        <f>'Raw Data'!J1469</f>
        <v>3</v>
      </c>
      <c r="K1469" s="21" t="str">
        <f>'Raw Data'!K1469</f>
        <v>Laptop &amp; Accessory</v>
      </c>
      <c r="L1469" s="21">
        <f>'Raw Data'!L1469</f>
        <v>4</v>
      </c>
      <c r="M1469" s="21" t="str">
        <f>'Raw Data'!M1469</f>
        <v>Single</v>
      </c>
      <c r="N1469" s="21">
        <f>'Raw Data'!N1469</f>
        <v>8</v>
      </c>
      <c r="O1469" s="21">
        <f>'Raw Data'!O1469</f>
        <v>0</v>
      </c>
      <c r="P1469" s="21">
        <f>IF('Raw Data'!P1469="",ROUND(AVERAGE('Raw Data'!$P$2:$P$1501),1),'Raw Data'!P1469)</f>
        <v>20.100000000000001</v>
      </c>
      <c r="Q1469" s="21">
        <f>IF('Raw Data'!Q1469="",ROUND(AVERAGE('Raw Data'!$Q$2:$Q$1501),0),'Raw Data'!Q1469)</f>
        <v>2</v>
      </c>
      <c r="R1469" s="21">
        <f>'Raw Data'!R1469</f>
        <v>3</v>
      </c>
      <c r="S1469" s="21">
        <f>IF('Raw Data'!S1469="",ROUND(AVERAGE('Raw Data'!$S$2:$S$1501),0),'Raw Data'!S1469)</f>
        <v>11</v>
      </c>
      <c r="T1469" s="21">
        <f>'Raw Data'!T1469</f>
        <v>208.99</v>
      </c>
      <c r="U1469" s="21" t="str">
        <f>INDEX('Lookup Tables'!$C$7:$C$9,MATCH(E1469,'Lookup Tables'!$B$7:$B$9,0))</f>
        <v>Tier 1 (Metro)</v>
      </c>
      <c r="V1469" s="21" t="str">
        <f t="shared" si="66"/>
        <v>7-12 months</v>
      </c>
      <c r="W1469" s="21" t="str">
        <f t="shared" si="67"/>
        <v>Low Risk</v>
      </c>
      <c r="X1469" s="21" t="str">
        <f t="shared" si="68"/>
        <v>No</v>
      </c>
    </row>
    <row r="1470" spans="1:24" x14ac:dyDescent="0.3">
      <c r="A1470" s="21">
        <f>'Raw Data'!A1470</f>
        <v>51469</v>
      </c>
      <c r="B1470" s="21">
        <f>'Raw Data'!B1470</f>
        <v>0</v>
      </c>
      <c r="C1470" s="21">
        <f>'Raw Data'!C1470</f>
        <v>8</v>
      </c>
      <c r="D1470" s="21" t="str">
        <f>'Raw Data'!D1470</f>
        <v>Computer</v>
      </c>
      <c r="E1470" s="21">
        <f>'Raw Data'!E1470</f>
        <v>2</v>
      </c>
      <c r="F1470" s="21">
        <f>IF('Raw Data'!F1470="",ROUND(AVERAGE('Raw Data'!$F$2:$F$1501),1),'Raw Data'!F1470)</f>
        <v>10</v>
      </c>
      <c r="G1470" s="21" t="str">
        <f>'Raw Data'!G1470</f>
        <v>Debit Card</v>
      </c>
      <c r="H1470" s="21" t="str">
        <f>'Raw Data'!H1470</f>
        <v>Male</v>
      </c>
      <c r="I1470" s="21">
        <f>IF('Raw Data'!I1470="",ROUND(AVERAGE('Raw Data'!$I$2:$I$1501),1),'Raw Data'!I1470)</f>
        <v>3.6</v>
      </c>
      <c r="J1470" s="21">
        <f>'Raw Data'!J1470</f>
        <v>3</v>
      </c>
      <c r="K1470" s="21" t="str">
        <f>'Raw Data'!K1470</f>
        <v>Grocery</v>
      </c>
      <c r="L1470" s="21">
        <f>'Raw Data'!L1470</f>
        <v>4</v>
      </c>
      <c r="M1470" s="21" t="str">
        <f>'Raw Data'!M1470</f>
        <v>Single</v>
      </c>
      <c r="N1470" s="21">
        <f>'Raw Data'!N1470</f>
        <v>1</v>
      </c>
      <c r="O1470" s="21">
        <f>'Raw Data'!O1470</f>
        <v>0</v>
      </c>
      <c r="P1470" s="21">
        <f>IF('Raw Data'!P1470="",ROUND(AVERAGE('Raw Data'!$P$2:$P$1501),1),'Raw Data'!P1470)</f>
        <v>11</v>
      </c>
      <c r="Q1470" s="21">
        <f>IF('Raw Data'!Q1470="",ROUND(AVERAGE('Raw Data'!$Q$2:$Q$1501),0),'Raw Data'!Q1470)</f>
        <v>4</v>
      </c>
      <c r="R1470" s="21">
        <f>'Raw Data'!R1470</f>
        <v>4</v>
      </c>
      <c r="S1470" s="21">
        <f>IF('Raw Data'!S1470="",ROUND(AVERAGE('Raw Data'!$S$2:$S$1501),0),'Raw Data'!S1470)</f>
        <v>3</v>
      </c>
      <c r="T1470" s="21">
        <f>'Raw Data'!T1470</f>
        <v>148.31</v>
      </c>
      <c r="U1470" s="21" t="str">
        <f>INDEX('Lookup Tables'!$C$7:$C$9,MATCH(E1470,'Lookup Tables'!$B$7:$B$9,0))</f>
        <v>Tier 2 (Urban)</v>
      </c>
      <c r="V1470" s="21" t="str">
        <f t="shared" si="66"/>
        <v>7-12 months</v>
      </c>
      <c r="W1470" s="21" t="str">
        <f t="shared" si="67"/>
        <v>Low Risk</v>
      </c>
      <c r="X1470" s="21" t="str">
        <f t="shared" si="68"/>
        <v>No</v>
      </c>
    </row>
    <row r="1471" spans="1:24" x14ac:dyDescent="0.3">
      <c r="A1471" s="21">
        <f>'Raw Data'!A1471</f>
        <v>51470</v>
      </c>
      <c r="B1471" s="21">
        <f>'Raw Data'!B1471</f>
        <v>0</v>
      </c>
      <c r="C1471" s="21">
        <f>'Raw Data'!C1471</f>
        <v>12</v>
      </c>
      <c r="D1471" s="21" t="str">
        <f>'Raw Data'!D1471</f>
        <v>Computer</v>
      </c>
      <c r="E1471" s="21">
        <f>'Raw Data'!E1471</f>
        <v>1</v>
      </c>
      <c r="F1471" s="21">
        <f>IF('Raw Data'!F1471="",ROUND(AVERAGE('Raw Data'!$F$2:$F$1501),1),'Raw Data'!F1471)</f>
        <v>5</v>
      </c>
      <c r="G1471" s="21" t="str">
        <f>'Raw Data'!G1471</f>
        <v>Credit Card</v>
      </c>
      <c r="H1471" s="21" t="str">
        <f>'Raw Data'!H1471</f>
        <v>Male</v>
      </c>
      <c r="I1471" s="21">
        <f>IF('Raw Data'!I1471="",ROUND(AVERAGE('Raw Data'!$I$2:$I$1501),1),'Raw Data'!I1471)</f>
        <v>2.7</v>
      </c>
      <c r="J1471" s="21">
        <f>'Raw Data'!J1471</f>
        <v>2</v>
      </c>
      <c r="K1471" s="21" t="str">
        <f>'Raw Data'!K1471</f>
        <v>Fashion</v>
      </c>
      <c r="L1471" s="21">
        <f>'Raw Data'!L1471</f>
        <v>4</v>
      </c>
      <c r="M1471" s="21" t="str">
        <f>'Raw Data'!M1471</f>
        <v>Married</v>
      </c>
      <c r="N1471" s="21">
        <f>'Raw Data'!N1471</f>
        <v>1</v>
      </c>
      <c r="O1471" s="21">
        <f>'Raw Data'!O1471</f>
        <v>1</v>
      </c>
      <c r="P1471" s="21">
        <f>IF('Raw Data'!P1471="",ROUND(AVERAGE('Raw Data'!$P$2:$P$1501),1),'Raw Data'!P1471)</f>
        <v>15.7</v>
      </c>
      <c r="Q1471" s="21">
        <f>IF('Raw Data'!Q1471="",ROUND(AVERAGE('Raw Data'!$Q$2:$Q$1501),0),'Raw Data'!Q1471)</f>
        <v>2</v>
      </c>
      <c r="R1471" s="21">
        <f>'Raw Data'!R1471</f>
        <v>1</v>
      </c>
      <c r="S1471" s="21">
        <f>IF('Raw Data'!S1471="",ROUND(AVERAGE('Raw Data'!$S$2:$S$1501),0),'Raw Data'!S1471)</f>
        <v>0</v>
      </c>
      <c r="T1471" s="21">
        <f>'Raw Data'!T1471</f>
        <v>106.27</v>
      </c>
      <c r="U1471" s="21" t="str">
        <f>INDEX('Lookup Tables'!$C$7:$C$9,MATCH(E1471,'Lookup Tables'!$B$7:$B$9,0))</f>
        <v>Tier 1 (Metro)</v>
      </c>
      <c r="V1471" s="21" t="str">
        <f t="shared" si="66"/>
        <v>7-12 months</v>
      </c>
      <c r="W1471" s="21" t="str">
        <f t="shared" si="67"/>
        <v>Low Risk</v>
      </c>
      <c r="X1471" s="21" t="str">
        <f t="shared" si="68"/>
        <v>No</v>
      </c>
    </row>
    <row r="1472" spans="1:24" x14ac:dyDescent="0.3">
      <c r="A1472" s="21">
        <f>'Raw Data'!A1472</f>
        <v>51471</v>
      </c>
      <c r="B1472" s="21">
        <f>'Raw Data'!B1472</f>
        <v>0</v>
      </c>
      <c r="C1472" s="21">
        <f>'Raw Data'!C1472</f>
        <v>2</v>
      </c>
      <c r="D1472" s="21" t="str">
        <f>'Raw Data'!D1472</f>
        <v>Computer</v>
      </c>
      <c r="E1472" s="21">
        <f>'Raw Data'!E1472</f>
        <v>1</v>
      </c>
      <c r="F1472" s="21">
        <f>IF('Raw Data'!F1472="",ROUND(AVERAGE('Raw Data'!$F$2:$F$1501),1),'Raw Data'!F1472)</f>
        <v>21</v>
      </c>
      <c r="G1472" s="21" t="str">
        <f>'Raw Data'!G1472</f>
        <v>Credit Card</v>
      </c>
      <c r="H1472" s="21" t="str">
        <f>'Raw Data'!H1472</f>
        <v>Female</v>
      </c>
      <c r="I1472" s="21">
        <f>IF('Raw Data'!I1472="",ROUND(AVERAGE('Raw Data'!$I$2:$I$1501),1),'Raw Data'!I1472)</f>
        <v>3</v>
      </c>
      <c r="J1472" s="21">
        <f>'Raw Data'!J1472</f>
        <v>4</v>
      </c>
      <c r="K1472" s="21" t="str">
        <f>'Raw Data'!K1472</f>
        <v>Grocery</v>
      </c>
      <c r="L1472" s="21">
        <f>'Raw Data'!L1472</f>
        <v>3</v>
      </c>
      <c r="M1472" s="21" t="str">
        <f>'Raw Data'!M1472</f>
        <v>Married</v>
      </c>
      <c r="N1472" s="21">
        <f>'Raw Data'!N1472</f>
        <v>4</v>
      </c>
      <c r="O1472" s="21">
        <f>'Raw Data'!O1472</f>
        <v>0</v>
      </c>
      <c r="P1472" s="21">
        <f>IF('Raw Data'!P1472="",ROUND(AVERAGE('Raw Data'!$P$2:$P$1501),1),'Raw Data'!P1472)</f>
        <v>13.3</v>
      </c>
      <c r="Q1472" s="21">
        <f>IF('Raw Data'!Q1472="",ROUND(AVERAGE('Raw Data'!$Q$2:$Q$1501),0),'Raw Data'!Q1472)</f>
        <v>3</v>
      </c>
      <c r="R1472" s="21">
        <f>'Raw Data'!R1472</f>
        <v>4</v>
      </c>
      <c r="S1472" s="21">
        <f>IF('Raw Data'!S1472="",ROUND(AVERAGE('Raw Data'!$S$2:$S$1501),0),'Raw Data'!S1472)</f>
        <v>0</v>
      </c>
      <c r="T1472" s="21">
        <f>'Raw Data'!T1472</f>
        <v>126.91</v>
      </c>
      <c r="U1472" s="21" t="str">
        <f>INDEX('Lookup Tables'!$C$7:$C$9,MATCH(E1472,'Lookup Tables'!$B$7:$B$9,0))</f>
        <v>Tier 1 (Metro)</v>
      </c>
      <c r="V1472" s="21" t="str">
        <f t="shared" si="66"/>
        <v>0-6 months</v>
      </c>
      <c r="W1472" s="21" t="str">
        <f t="shared" si="67"/>
        <v>Medium Risk</v>
      </c>
      <c r="X1472" s="21" t="str">
        <f t="shared" si="68"/>
        <v>No</v>
      </c>
    </row>
    <row r="1473" spans="1:24" x14ac:dyDescent="0.3">
      <c r="A1473" s="21">
        <f>'Raw Data'!A1473</f>
        <v>51472</v>
      </c>
      <c r="B1473" s="21">
        <f>'Raw Data'!B1473</f>
        <v>0</v>
      </c>
      <c r="C1473" s="21">
        <f>'Raw Data'!C1473</f>
        <v>7</v>
      </c>
      <c r="D1473" s="21" t="str">
        <f>'Raw Data'!D1473</f>
        <v>Mobile Phone</v>
      </c>
      <c r="E1473" s="21">
        <f>'Raw Data'!E1473</f>
        <v>1</v>
      </c>
      <c r="F1473" s="21">
        <f>IF('Raw Data'!F1473="",ROUND(AVERAGE('Raw Data'!$F$2:$F$1501),1),'Raw Data'!F1473)</f>
        <v>18</v>
      </c>
      <c r="G1473" s="21" t="str">
        <f>'Raw Data'!G1473</f>
        <v>Credit Card</v>
      </c>
      <c r="H1473" s="21" t="str">
        <f>'Raw Data'!H1473</f>
        <v>Male</v>
      </c>
      <c r="I1473" s="21">
        <f>IF('Raw Data'!I1473="",ROUND(AVERAGE('Raw Data'!$I$2:$I$1501),1),'Raw Data'!I1473)</f>
        <v>2</v>
      </c>
      <c r="J1473" s="21">
        <f>'Raw Data'!J1473</f>
        <v>3</v>
      </c>
      <c r="K1473" s="21" t="str">
        <f>'Raw Data'!K1473</f>
        <v>Fashion</v>
      </c>
      <c r="L1473" s="21">
        <f>'Raw Data'!L1473</f>
        <v>2</v>
      </c>
      <c r="M1473" s="21" t="str">
        <f>'Raw Data'!M1473</f>
        <v>Single</v>
      </c>
      <c r="N1473" s="21">
        <f>'Raw Data'!N1473</f>
        <v>1</v>
      </c>
      <c r="O1473" s="21">
        <f>'Raw Data'!O1473</f>
        <v>0</v>
      </c>
      <c r="P1473" s="21">
        <f>IF('Raw Data'!P1473="",ROUND(AVERAGE('Raw Data'!$P$2:$P$1501),1),'Raw Data'!P1473)</f>
        <v>19</v>
      </c>
      <c r="Q1473" s="21">
        <f>IF('Raw Data'!Q1473="",ROUND(AVERAGE('Raw Data'!$Q$2:$Q$1501),0),'Raw Data'!Q1473)</f>
        <v>1</v>
      </c>
      <c r="R1473" s="21">
        <f>'Raw Data'!R1473</f>
        <v>3</v>
      </c>
      <c r="S1473" s="21">
        <f>IF('Raw Data'!S1473="",ROUND(AVERAGE('Raw Data'!$S$2:$S$1501),0),'Raw Data'!S1473)</f>
        <v>2</v>
      </c>
      <c r="T1473" s="21">
        <f>'Raw Data'!T1473</f>
        <v>238.06</v>
      </c>
      <c r="U1473" s="21" t="str">
        <f>INDEX('Lookup Tables'!$C$7:$C$9,MATCH(E1473,'Lookup Tables'!$B$7:$B$9,0))</f>
        <v>Tier 1 (Metro)</v>
      </c>
      <c r="V1473" s="21" t="str">
        <f t="shared" si="66"/>
        <v>7-12 months</v>
      </c>
      <c r="W1473" s="21" t="str">
        <f t="shared" si="67"/>
        <v>Low Risk</v>
      </c>
      <c r="X1473" s="21" t="str">
        <f t="shared" si="68"/>
        <v>No</v>
      </c>
    </row>
    <row r="1474" spans="1:24" x14ac:dyDescent="0.3">
      <c r="A1474" s="21">
        <f>'Raw Data'!A1474</f>
        <v>51473</v>
      </c>
      <c r="B1474" s="21">
        <f>'Raw Data'!B1474</f>
        <v>0</v>
      </c>
      <c r="C1474" s="21">
        <f>'Raw Data'!C1474</f>
        <v>1</v>
      </c>
      <c r="D1474" s="21" t="str">
        <f>'Raw Data'!D1474</f>
        <v>Phone</v>
      </c>
      <c r="E1474" s="21">
        <f>'Raw Data'!E1474</f>
        <v>2</v>
      </c>
      <c r="F1474" s="21">
        <f>IF('Raw Data'!F1474="",ROUND(AVERAGE('Raw Data'!$F$2:$F$1501),1),'Raw Data'!F1474)</f>
        <v>15</v>
      </c>
      <c r="G1474" s="21" t="str">
        <f>'Raw Data'!G1474</f>
        <v>E wallet</v>
      </c>
      <c r="H1474" s="21" t="str">
        <f>'Raw Data'!H1474</f>
        <v>Male</v>
      </c>
      <c r="I1474" s="21">
        <f>IF('Raw Data'!I1474="",ROUND(AVERAGE('Raw Data'!$I$2:$I$1501),1),'Raw Data'!I1474)</f>
        <v>4.2</v>
      </c>
      <c r="J1474" s="21">
        <f>'Raw Data'!J1474</f>
        <v>3</v>
      </c>
      <c r="K1474" s="21" t="str">
        <f>'Raw Data'!K1474</f>
        <v>Fashion</v>
      </c>
      <c r="L1474" s="21">
        <f>'Raw Data'!L1474</f>
        <v>4</v>
      </c>
      <c r="M1474" s="21" t="str">
        <f>'Raw Data'!M1474</f>
        <v>Single</v>
      </c>
      <c r="N1474" s="21">
        <f>'Raw Data'!N1474</f>
        <v>3</v>
      </c>
      <c r="O1474" s="21">
        <f>'Raw Data'!O1474</f>
        <v>1</v>
      </c>
      <c r="P1474" s="21">
        <f>IF('Raw Data'!P1474="",ROUND(AVERAGE('Raw Data'!$P$2:$P$1501),1),'Raw Data'!P1474)</f>
        <v>18.600000000000001</v>
      </c>
      <c r="Q1474" s="21">
        <f>IF('Raw Data'!Q1474="",ROUND(AVERAGE('Raw Data'!$Q$2:$Q$1501),0),'Raw Data'!Q1474)</f>
        <v>1</v>
      </c>
      <c r="R1474" s="21">
        <f>'Raw Data'!R1474</f>
        <v>1</v>
      </c>
      <c r="S1474" s="21">
        <f>IF('Raw Data'!S1474="",ROUND(AVERAGE('Raw Data'!$S$2:$S$1501),0),'Raw Data'!S1474)</f>
        <v>4</v>
      </c>
      <c r="T1474" s="21">
        <f>'Raw Data'!T1474</f>
        <v>143.34</v>
      </c>
      <c r="U1474" s="21" t="str">
        <f>INDEX('Lookup Tables'!$C$7:$C$9,MATCH(E1474,'Lookup Tables'!$B$7:$B$9,0))</f>
        <v>Tier 2 (Urban)</v>
      </c>
      <c r="V1474" s="21" t="str">
        <f t="shared" ref="V1474:V1501" si="69">IF(C1474&lt;=6,"0-6 months",IF(C1474&lt;=12,"7-12 months",IF(C1474&lt;=24,"13-24 months","25+ months")))</f>
        <v>0-6 months</v>
      </c>
      <c r="W1474" s="21" t="str">
        <f t="shared" ref="W1474:W1501" si="70">IF(AND(O1474=1,L1474&lt;=2),"High Risk",IF(OR(L1474=3,S1474&gt;15),"Medium Risk","Low Risk"))</f>
        <v>Low Risk</v>
      </c>
      <c r="X1474" s="21" t="str">
        <f t="shared" ref="X1474:X1501" si="71">IF(B1474=1,"Yes","No")</f>
        <v>No</v>
      </c>
    </row>
    <row r="1475" spans="1:24" x14ac:dyDescent="0.3">
      <c r="A1475" s="21">
        <f>'Raw Data'!A1475</f>
        <v>51474</v>
      </c>
      <c r="B1475" s="21">
        <f>'Raw Data'!B1475</f>
        <v>0</v>
      </c>
      <c r="C1475" s="21">
        <f>'Raw Data'!C1475</f>
        <v>4</v>
      </c>
      <c r="D1475" s="21" t="str">
        <f>'Raw Data'!D1475</f>
        <v>Mobile Phone</v>
      </c>
      <c r="E1475" s="21">
        <f>'Raw Data'!E1475</f>
        <v>3</v>
      </c>
      <c r="F1475" s="21">
        <f>IF('Raw Data'!F1475="",ROUND(AVERAGE('Raw Data'!$F$2:$F$1501),1),'Raw Data'!F1475)</f>
        <v>18</v>
      </c>
      <c r="G1475" s="21" t="str">
        <f>'Raw Data'!G1475</f>
        <v>Debit Card</v>
      </c>
      <c r="H1475" s="21" t="str">
        <f>'Raw Data'!H1475</f>
        <v>Male</v>
      </c>
      <c r="I1475" s="21">
        <f>IF('Raw Data'!I1475="",ROUND(AVERAGE('Raw Data'!$I$2:$I$1501),1),'Raw Data'!I1475)</f>
        <v>3.7</v>
      </c>
      <c r="J1475" s="21">
        <f>'Raw Data'!J1475</f>
        <v>2</v>
      </c>
      <c r="K1475" s="21" t="str">
        <f>'Raw Data'!K1475</f>
        <v>Grocery</v>
      </c>
      <c r="L1475" s="21">
        <f>'Raw Data'!L1475</f>
        <v>3</v>
      </c>
      <c r="M1475" s="21" t="str">
        <f>'Raw Data'!M1475</f>
        <v>Single</v>
      </c>
      <c r="N1475" s="21">
        <f>'Raw Data'!N1475</f>
        <v>4</v>
      </c>
      <c r="O1475" s="21">
        <f>'Raw Data'!O1475</f>
        <v>0</v>
      </c>
      <c r="P1475" s="21">
        <f>IF('Raw Data'!P1475="",ROUND(AVERAGE('Raw Data'!$P$2:$P$1501),1),'Raw Data'!P1475)</f>
        <v>17.8</v>
      </c>
      <c r="Q1475" s="21">
        <f>IF('Raw Data'!Q1475="",ROUND(AVERAGE('Raw Data'!$Q$2:$Q$1501),0),'Raw Data'!Q1475)</f>
        <v>3</v>
      </c>
      <c r="R1475" s="21">
        <f>'Raw Data'!R1475</f>
        <v>3</v>
      </c>
      <c r="S1475" s="21">
        <f>IF('Raw Data'!S1475="",ROUND(AVERAGE('Raw Data'!$S$2:$S$1501),0),'Raw Data'!S1475)</f>
        <v>0</v>
      </c>
      <c r="T1475" s="21">
        <f>'Raw Data'!T1475</f>
        <v>155.69</v>
      </c>
      <c r="U1475" s="21" t="str">
        <f>INDEX('Lookup Tables'!$C$7:$C$9,MATCH(E1475,'Lookup Tables'!$B$7:$B$9,0))</f>
        <v>Tier 3 (Semi-urban/Rural)</v>
      </c>
      <c r="V1475" s="21" t="str">
        <f t="shared" si="69"/>
        <v>0-6 months</v>
      </c>
      <c r="W1475" s="21" t="str">
        <f t="shared" si="70"/>
        <v>Medium Risk</v>
      </c>
      <c r="X1475" s="21" t="str">
        <f t="shared" si="71"/>
        <v>No</v>
      </c>
    </row>
    <row r="1476" spans="1:24" x14ac:dyDescent="0.3">
      <c r="A1476" s="21">
        <f>'Raw Data'!A1476</f>
        <v>51475</v>
      </c>
      <c r="B1476" s="21">
        <f>'Raw Data'!B1476</f>
        <v>0</v>
      </c>
      <c r="C1476" s="21">
        <f>'Raw Data'!C1476</f>
        <v>6</v>
      </c>
      <c r="D1476" s="21" t="str">
        <f>'Raw Data'!D1476</f>
        <v>Mobile Phone</v>
      </c>
      <c r="E1476" s="21">
        <f>'Raw Data'!E1476</f>
        <v>1</v>
      </c>
      <c r="F1476" s="21">
        <f>IF('Raw Data'!F1476="",ROUND(AVERAGE('Raw Data'!$F$2:$F$1501),1),'Raw Data'!F1476)</f>
        <v>17</v>
      </c>
      <c r="G1476" s="21" t="str">
        <f>'Raw Data'!G1476</f>
        <v>Debit Card</v>
      </c>
      <c r="H1476" s="21" t="str">
        <f>'Raw Data'!H1476</f>
        <v>Male</v>
      </c>
      <c r="I1476" s="21">
        <f>IF('Raw Data'!I1476="",ROUND(AVERAGE('Raw Data'!$I$2:$I$1501),1),'Raw Data'!I1476)</f>
        <v>2.8</v>
      </c>
      <c r="J1476" s="21">
        <f>'Raw Data'!J1476</f>
        <v>2</v>
      </c>
      <c r="K1476" s="21" t="str">
        <f>'Raw Data'!K1476</f>
        <v>Laptop &amp; Accessory</v>
      </c>
      <c r="L1476" s="21">
        <f>'Raw Data'!L1476</f>
        <v>3</v>
      </c>
      <c r="M1476" s="21" t="str">
        <f>'Raw Data'!M1476</f>
        <v>Married</v>
      </c>
      <c r="N1476" s="21">
        <f>'Raw Data'!N1476</f>
        <v>1</v>
      </c>
      <c r="O1476" s="21">
        <f>'Raw Data'!O1476</f>
        <v>0</v>
      </c>
      <c r="P1476" s="21">
        <f>IF('Raw Data'!P1476="",ROUND(AVERAGE('Raw Data'!$P$2:$P$1501),1),'Raw Data'!P1476)</f>
        <v>13.5</v>
      </c>
      <c r="Q1476" s="21">
        <f>IF('Raw Data'!Q1476="",ROUND(AVERAGE('Raw Data'!$Q$2:$Q$1501),0),'Raw Data'!Q1476)</f>
        <v>2</v>
      </c>
      <c r="R1476" s="21">
        <f>'Raw Data'!R1476</f>
        <v>4</v>
      </c>
      <c r="S1476" s="21">
        <f>IF('Raw Data'!S1476="",ROUND(AVERAGE('Raw Data'!$S$2:$S$1501),0),'Raw Data'!S1476)</f>
        <v>5</v>
      </c>
      <c r="T1476" s="21">
        <f>'Raw Data'!T1476</f>
        <v>162.82</v>
      </c>
      <c r="U1476" s="21" t="str">
        <f>INDEX('Lookup Tables'!$C$7:$C$9,MATCH(E1476,'Lookup Tables'!$B$7:$B$9,0))</f>
        <v>Tier 1 (Metro)</v>
      </c>
      <c r="V1476" s="21" t="str">
        <f t="shared" si="69"/>
        <v>0-6 months</v>
      </c>
      <c r="W1476" s="21" t="str">
        <f t="shared" si="70"/>
        <v>Medium Risk</v>
      </c>
      <c r="X1476" s="21" t="str">
        <f t="shared" si="71"/>
        <v>No</v>
      </c>
    </row>
    <row r="1477" spans="1:24" x14ac:dyDescent="0.3">
      <c r="A1477" s="21">
        <f>'Raw Data'!A1477</f>
        <v>51476</v>
      </c>
      <c r="B1477" s="21">
        <f>'Raw Data'!B1477</f>
        <v>0</v>
      </c>
      <c r="C1477" s="21">
        <f>'Raw Data'!C1477</f>
        <v>10</v>
      </c>
      <c r="D1477" s="21" t="str">
        <f>'Raw Data'!D1477</f>
        <v>Mobile Phone</v>
      </c>
      <c r="E1477" s="21">
        <f>'Raw Data'!E1477</f>
        <v>3</v>
      </c>
      <c r="F1477" s="21">
        <f>IF('Raw Data'!F1477="",ROUND(AVERAGE('Raw Data'!$F$2:$F$1501),1),'Raw Data'!F1477)</f>
        <v>25</v>
      </c>
      <c r="G1477" s="21" t="str">
        <f>'Raw Data'!G1477</f>
        <v>UPI</v>
      </c>
      <c r="H1477" s="21" t="str">
        <f>'Raw Data'!H1477</f>
        <v>Male</v>
      </c>
      <c r="I1477" s="21">
        <f>IF('Raw Data'!I1477="",ROUND(AVERAGE('Raw Data'!$I$2:$I$1501),1),'Raw Data'!I1477)</f>
        <v>2.6</v>
      </c>
      <c r="J1477" s="21">
        <f>'Raw Data'!J1477</f>
        <v>5</v>
      </c>
      <c r="K1477" s="21" t="str">
        <f>'Raw Data'!K1477</f>
        <v>Fashion</v>
      </c>
      <c r="L1477" s="21">
        <f>'Raw Data'!L1477</f>
        <v>4</v>
      </c>
      <c r="M1477" s="21" t="str">
        <f>'Raw Data'!M1477</f>
        <v>Married</v>
      </c>
      <c r="N1477" s="21">
        <f>'Raw Data'!N1477</f>
        <v>5</v>
      </c>
      <c r="O1477" s="21">
        <f>'Raw Data'!O1477</f>
        <v>0</v>
      </c>
      <c r="P1477" s="21">
        <f>IF('Raw Data'!P1477="",ROUND(AVERAGE('Raw Data'!$P$2:$P$1501),1),'Raw Data'!P1477)</f>
        <v>19.100000000000001</v>
      </c>
      <c r="Q1477" s="21">
        <f>IF('Raw Data'!Q1477="",ROUND(AVERAGE('Raw Data'!$Q$2:$Q$1501),0),'Raw Data'!Q1477)</f>
        <v>1</v>
      </c>
      <c r="R1477" s="21">
        <f>'Raw Data'!R1477</f>
        <v>1</v>
      </c>
      <c r="S1477" s="21">
        <f>IF('Raw Data'!S1477="",ROUND(AVERAGE('Raw Data'!$S$2:$S$1501),0),'Raw Data'!S1477)</f>
        <v>4</v>
      </c>
      <c r="T1477" s="21">
        <f>'Raw Data'!T1477</f>
        <v>145.94</v>
      </c>
      <c r="U1477" s="21" t="str">
        <f>INDEX('Lookup Tables'!$C$7:$C$9,MATCH(E1477,'Lookup Tables'!$B$7:$B$9,0))</f>
        <v>Tier 3 (Semi-urban/Rural)</v>
      </c>
      <c r="V1477" s="21" t="str">
        <f t="shared" si="69"/>
        <v>7-12 months</v>
      </c>
      <c r="W1477" s="21" t="str">
        <f t="shared" si="70"/>
        <v>Low Risk</v>
      </c>
      <c r="X1477" s="21" t="str">
        <f t="shared" si="71"/>
        <v>No</v>
      </c>
    </row>
    <row r="1478" spans="1:24" x14ac:dyDescent="0.3">
      <c r="A1478" s="21">
        <f>'Raw Data'!A1478</f>
        <v>51477</v>
      </c>
      <c r="B1478" s="21">
        <f>'Raw Data'!B1478</f>
        <v>0</v>
      </c>
      <c r="C1478" s="21">
        <f>'Raw Data'!C1478</f>
        <v>30</v>
      </c>
      <c r="D1478" s="21" t="str">
        <f>'Raw Data'!D1478</f>
        <v>Mobile Phone</v>
      </c>
      <c r="E1478" s="21">
        <f>'Raw Data'!E1478</f>
        <v>2</v>
      </c>
      <c r="F1478" s="21">
        <f>IF('Raw Data'!F1478="",ROUND(AVERAGE('Raw Data'!$F$2:$F$1501),1),'Raw Data'!F1478)</f>
        <v>25</v>
      </c>
      <c r="G1478" s="21" t="str">
        <f>'Raw Data'!G1478</f>
        <v>Cash on Delivery</v>
      </c>
      <c r="H1478" s="21" t="str">
        <f>'Raw Data'!H1478</f>
        <v>Male</v>
      </c>
      <c r="I1478" s="21">
        <f>IF('Raw Data'!I1478="",ROUND(AVERAGE('Raw Data'!$I$2:$I$1501),1),'Raw Data'!I1478)</f>
        <v>3.6</v>
      </c>
      <c r="J1478" s="21">
        <f>'Raw Data'!J1478</f>
        <v>4</v>
      </c>
      <c r="K1478" s="21" t="str">
        <f>'Raw Data'!K1478</f>
        <v>Fashion</v>
      </c>
      <c r="L1478" s="21">
        <f>'Raw Data'!L1478</f>
        <v>4</v>
      </c>
      <c r="M1478" s="21" t="str">
        <f>'Raw Data'!M1478</f>
        <v>Married</v>
      </c>
      <c r="N1478" s="21">
        <f>'Raw Data'!N1478</f>
        <v>2</v>
      </c>
      <c r="O1478" s="21">
        <f>'Raw Data'!O1478</f>
        <v>0</v>
      </c>
      <c r="P1478" s="21">
        <f>IF('Raw Data'!P1478="",ROUND(AVERAGE('Raw Data'!$P$2:$P$1501),1),'Raw Data'!P1478)</f>
        <v>11</v>
      </c>
      <c r="Q1478" s="21">
        <f>IF('Raw Data'!Q1478="",ROUND(AVERAGE('Raw Data'!$Q$2:$Q$1501),0),'Raw Data'!Q1478)</f>
        <v>3</v>
      </c>
      <c r="R1478" s="21">
        <f>'Raw Data'!R1478</f>
        <v>3</v>
      </c>
      <c r="S1478" s="21">
        <f>IF('Raw Data'!S1478="",ROUND(AVERAGE('Raw Data'!$S$2:$S$1501),0),'Raw Data'!S1478)</f>
        <v>1</v>
      </c>
      <c r="T1478" s="21">
        <f>'Raw Data'!T1478</f>
        <v>141.87</v>
      </c>
      <c r="U1478" s="21" t="str">
        <f>INDEX('Lookup Tables'!$C$7:$C$9,MATCH(E1478,'Lookup Tables'!$B$7:$B$9,0))</f>
        <v>Tier 2 (Urban)</v>
      </c>
      <c r="V1478" s="21" t="str">
        <f t="shared" si="69"/>
        <v>25+ months</v>
      </c>
      <c r="W1478" s="21" t="str">
        <f t="shared" si="70"/>
        <v>Low Risk</v>
      </c>
      <c r="X1478" s="21" t="str">
        <f t="shared" si="71"/>
        <v>No</v>
      </c>
    </row>
    <row r="1479" spans="1:24" x14ac:dyDescent="0.3">
      <c r="A1479" s="21">
        <f>'Raw Data'!A1479</f>
        <v>51478</v>
      </c>
      <c r="B1479" s="21">
        <f>'Raw Data'!B1479</f>
        <v>0</v>
      </c>
      <c r="C1479" s="21">
        <f>'Raw Data'!C1479</f>
        <v>9</v>
      </c>
      <c r="D1479" s="21" t="str">
        <f>'Raw Data'!D1479</f>
        <v>Phone</v>
      </c>
      <c r="E1479" s="21">
        <f>'Raw Data'!E1479</f>
        <v>3</v>
      </c>
      <c r="F1479" s="21">
        <f>IF('Raw Data'!F1479="",ROUND(AVERAGE('Raw Data'!$F$2:$F$1501),1),'Raw Data'!F1479)</f>
        <v>19</v>
      </c>
      <c r="G1479" s="21" t="str">
        <f>'Raw Data'!G1479</f>
        <v>Debit Card</v>
      </c>
      <c r="H1479" s="21" t="str">
        <f>'Raw Data'!H1479</f>
        <v>Male</v>
      </c>
      <c r="I1479" s="21">
        <f>IF('Raw Data'!I1479="",ROUND(AVERAGE('Raw Data'!$I$2:$I$1501),1),'Raw Data'!I1479)</f>
        <v>4.3</v>
      </c>
      <c r="J1479" s="21">
        <f>'Raw Data'!J1479</f>
        <v>2</v>
      </c>
      <c r="K1479" s="21" t="str">
        <f>'Raw Data'!K1479</f>
        <v>Laptop &amp; Accessory</v>
      </c>
      <c r="L1479" s="21">
        <f>'Raw Data'!L1479</f>
        <v>5</v>
      </c>
      <c r="M1479" s="21" t="str">
        <f>'Raw Data'!M1479</f>
        <v>Married</v>
      </c>
      <c r="N1479" s="21">
        <f>'Raw Data'!N1479</f>
        <v>7</v>
      </c>
      <c r="O1479" s="21">
        <f>'Raw Data'!O1479</f>
        <v>1</v>
      </c>
      <c r="P1479" s="21">
        <f>IF('Raw Data'!P1479="",ROUND(AVERAGE('Raw Data'!$P$2:$P$1501),1),'Raw Data'!P1479)</f>
        <v>11</v>
      </c>
      <c r="Q1479" s="21">
        <f>IF('Raw Data'!Q1479="",ROUND(AVERAGE('Raw Data'!$Q$2:$Q$1501),0),'Raw Data'!Q1479)</f>
        <v>0</v>
      </c>
      <c r="R1479" s="21">
        <f>'Raw Data'!R1479</f>
        <v>4</v>
      </c>
      <c r="S1479" s="21">
        <f>IF('Raw Data'!S1479="",ROUND(AVERAGE('Raw Data'!$S$2:$S$1501),0),'Raw Data'!S1479)</f>
        <v>7</v>
      </c>
      <c r="T1479" s="21">
        <f>'Raw Data'!T1479</f>
        <v>132.09</v>
      </c>
      <c r="U1479" s="21" t="str">
        <f>INDEX('Lookup Tables'!$C$7:$C$9,MATCH(E1479,'Lookup Tables'!$B$7:$B$9,0))</f>
        <v>Tier 3 (Semi-urban/Rural)</v>
      </c>
      <c r="V1479" s="21" t="str">
        <f t="shared" si="69"/>
        <v>7-12 months</v>
      </c>
      <c r="W1479" s="21" t="str">
        <f t="shared" si="70"/>
        <v>Low Risk</v>
      </c>
      <c r="X1479" s="21" t="str">
        <f t="shared" si="71"/>
        <v>No</v>
      </c>
    </row>
    <row r="1480" spans="1:24" x14ac:dyDescent="0.3">
      <c r="A1480" s="21">
        <f>'Raw Data'!A1480</f>
        <v>51479</v>
      </c>
      <c r="B1480" s="21">
        <f>'Raw Data'!B1480</f>
        <v>0</v>
      </c>
      <c r="C1480" s="21">
        <f>'Raw Data'!C1480</f>
        <v>13</v>
      </c>
      <c r="D1480" s="21" t="str">
        <f>'Raw Data'!D1480</f>
        <v>Mobile Phone</v>
      </c>
      <c r="E1480" s="21">
        <f>'Raw Data'!E1480</f>
        <v>3</v>
      </c>
      <c r="F1480" s="21">
        <f>IF('Raw Data'!F1480="",ROUND(AVERAGE('Raw Data'!$F$2:$F$1501),1),'Raw Data'!F1480)</f>
        <v>21</v>
      </c>
      <c r="G1480" s="21" t="str">
        <f>'Raw Data'!G1480</f>
        <v>Credit Card</v>
      </c>
      <c r="H1480" s="21" t="str">
        <f>'Raw Data'!H1480</f>
        <v>Male</v>
      </c>
      <c r="I1480" s="21">
        <f>IF('Raw Data'!I1480="",ROUND(AVERAGE('Raw Data'!$I$2:$I$1501),1),'Raw Data'!I1480)</f>
        <v>3.6</v>
      </c>
      <c r="J1480" s="21">
        <f>'Raw Data'!J1480</f>
        <v>4</v>
      </c>
      <c r="K1480" s="21" t="str">
        <f>'Raw Data'!K1480</f>
        <v>Mobile Phone</v>
      </c>
      <c r="L1480" s="21">
        <f>'Raw Data'!L1480</f>
        <v>2</v>
      </c>
      <c r="M1480" s="21" t="str">
        <f>'Raw Data'!M1480</f>
        <v>Divorced</v>
      </c>
      <c r="N1480" s="21">
        <f>'Raw Data'!N1480</f>
        <v>5</v>
      </c>
      <c r="O1480" s="21">
        <f>'Raw Data'!O1480</f>
        <v>0</v>
      </c>
      <c r="P1480" s="21">
        <f>IF('Raw Data'!P1480="",ROUND(AVERAGE('Raw Data'!$P$2:$P$1501),1),'Raw Data'!P1480)</f>
        <v>11.5</v>
      </c>
      <c r="Q1480" s="21">
        <f>IF('Raw Data'!Q1480="",ROUND(AVERAGE('Raw Data'!$Q$2:$Q$1501),0),'Raw Data'!Q1480)</f>
        <v>1</v>
      </c>
      <c r="R1480" s="21">
        <f>'Raw Data'!R1480</f>
        <v>2</v>
      </c>
      <c r="S1480" s="21">
        <f>IF('Raw Data'!S1480="",ROUND(AVERAGE('Raw Data'!$S$2:$S$1501),0),'Raw Data'!S1480)</f>
        <v>7</v>
      </c>
      <c r="T1480" s="21">
        <f>'Raw Data'!T1480</f>
        <v>257.04000000000002</v>
      </c>
      <c r="U1480" s="21" t="str">
        <f>INDEX('Lookup Tables'!$C$7:$C$9,MATCH(E1480,'Lookup Tables'!$B$7:$B$9,0))</f>
        <v>Tier 3 (Semi-urban/Rural)</v>
      </c>
      <c r="V1480" s="21" t="str">
        <f t="shared" si="69"/>
        <v>13-24 months</v>
      </c>
      <c r="W1480" s="21" t="str">
        <f t="shared" si="70"/>
        <v>Low Risk</v>
      </c>
      <c r="X1480" s="21" t="str">
        <f t="shared" si="71"/>
        <v>No</v>
      </c>
    </row>
    <row r="1481" spans="1:24" x14ac:dyDescent="0.3">
      <c r="A1481" s="21">
        <f>'Raw Data'!A1481</f>
        <v>51480</v>
      </c>
      <c r="B1481" s="21">
        <f>'Raw Data'!B1481</f>
        <v>0</v>
      </c>
      <c r="C1481" s="21">
        <f>'Raw Data'!C1481</f>
        <v>7</v>
      </c>
      <c r="D1481" s="21" t="str">
        <f>'Raw Data'!D1481</f>
        <v>Computer</v>
      </c>
      <c r="E1481" s="21">
        <f>'Raw Data'!E1481</f>
        <v>2</v>
      </c>
      <c r="F1481" s="21">
        <f>IF('Raw Data'!F1481="",ROUND(AVERAGE('Raw Data'!$F$2:$F$1501),1),'Raw Data'!F1481)</f>
        <v>19</v>
      </c>
      <c r="G1481" s="21" t="str">
        <f>'Raw Data'!G1481</f>
        <v>Debit Card</v>
      </c>
      <c r="H1481" s="21" t="str">
        <f>'Raw Data'!H1481</f>
        <v>Male</v>
      </c>
      <c r="I1481" s="21">
        <f>IF('Raw Data'!I1481="",ROUND(AVERAGE('Raw Data'!$I$2:$I$1501),1),'Raw Data'!I1481)</f>
        <v>4.4000000000000004</v>
      </c>
      <c r="J1481" s="21">
        <f>'Raw Data'!J1481</f>
        <v>4</v>
      </c>
      <c r="K1481" s="21" t="str">
        <f>'Raw Data'!K1481</f>
        <v>Laptop &amp; Accessory</v>
      </c>
      <c r="L1481" s="21">
        <f>'Raw Data'!L1481</f>
        <v>4</v>
      </c>
      <c r="M1481" s="21" t="str">
        <f>'Raw Data'!M1481</f>
        <v>Married</v>
      </c>
      <c r="N1481" s="21">
        <f>'Raw Data'!N1481</f>
        <v>7</v>
      </c>
      <c r="O1481" s="21">
        <f>'Raw Data'!O1481</f>
        <v>0</v>
      </c>
      <c r="P1481" s="21">
        <f>IF('Raw Data'!P1481="",ROUND(AVERAGE('Raw Data'!$P$2:$P$1501),1),'Raw Data'!P1481)</f>
        <v>15.9</v>
      </c>
      <c r="Q1481" s="21">
        <f>IF('Raw Data'!Q1481="",ROUND(AVERAGE('Raw Data'!$Q$2:$Q$1501),0),'Raw Data'!Q1481)</f>
        <v>2</v>
      </c>
      <c r="R1481" s="21">
        <f>'Raw Data'!R1481</f>
        <v>7</v>
      </c>
      <c r="S1481" s="21">
        <f>IF('Raw Data'!S1481="",ROUND(AVERAGE('Raw Data'!$S$2:$S$1501),0),'Raw Data'!S1481)</f>
        <v>4</v>
      </c>
      <c r="T1481" s="21">
        <f>'Raw Data'!T1481</f>
        <v>217.41</v>
      </c>
      <c r="U1481" s="21" t="str">
        <f>INDEX('Lookup Tables'!$C$7:$C$9,MATCH(E1481,'Lookup Tables'!$B$7:$B$9,0))</f>
        <v>Tier 2 (Urban)</v>
      </c>
      <c r="V1481" s="21" t="str">
        <f t="shared" si="69"/>
        <v>7-12 months</v>
      </c>
      <c r="W1481" s="21" t="str">
        <f t="shared" si="70"/>
        <v>Low Risk</v>
      </c>
      <c r="X1481" s="21" t="str">
        <f t="shared" si="71"/>
        <v>No</v>
      </c>
    </row>
    <row r="1482" spans="1:24" x14ac:dyDescent="0.3">
      <c r="A1482" s="21">
        <f>'Raw Data'!A1482</f>
        <v>51481</v>
      </c>
      <c r="B1482" s="21">
        <f>'Raw Data'!B1482</f>
        <v>0</v>
      </c>
      <c r="C1482" s="21">
        <f>'Raw Data'!C1482</f>
        <v>10</v>
      </c>
      <c r="D1482" s="21" t="str">
        <f>'Raw Data'!D1482</f>
        <v>Mobile Phone</v>
      </c>
      <c r="E1482" s="21">
        <f>'Raw Data'!E1482</f>
        <v>2</v>
      </c>
      <c r="F1482" s="21">
        <f>IF('Raw Data'!F1482="",ROUND(AVERAGE('Raw Data'!$F$2:$F$1501),1),'Raw Data'!F1482)</f>
        <v>11</v>
      </c>
      <c r="G1482" s="21" t="str">
        <f>'Raw Data'!G1482</f>
        <v>Debit Card</v>
      </c>
      <c r="H1482" s="21" t="str">
        <f>'Raw Data'!H1482</f>
        <v>Male</v>
      </c>
      <c r="I1482" s="21">
        <f>IF('Raw Data'!I1482="",ROUND(AVERAGE('Raw Data'!$I$2:$I$1501),1),'Raw Data'!I1482)</f>
        <v>2.2999999999999998</v>
      </c>
      <c r="J1482" s="21">
        <f>'Raw Data'!J1482</f>
        <v>3</v>
      </c>
      <c r="K1482" s="21" t="str">
        <f>'Raw Data'!K1482</f>
        <v>Fashion</v>
      </c>
      <c r="L1482" s="21">
        <f>'Raw Data'!L1482</f>
        <v>2</v>
      </c>
      <c r="M1482" s="21" t="str">
        <f>'Raw Data'!M1482</f>
        <v>Married</v>
      </c>
      <c r="N1482" s="21">
        <f>'Raw Data'!N1482</f>
        <v>1</v>
      </c>
      <c r="O1482" s="21">
        <f>'Raw Data'!O1482</f>
        <v>0</v>
      </c>
      <c r="P1482" s="21">
        <f>IF('Raw Data'!P1482="",ROUND(AVERAGE('Raw Data'!$P$2:$P$1501),1),'Raw Data'!P1482)</f>
        <v>18.399999999999999</v>
      </c>
      <c r="Q1482" s="21">
        <f>IF('Raw Data'!Q1482="",ROUND(AVERAGE('Raw Data'!$Q$2:$Q$1501),0),'Raw Data'!Q1482)</f>
        <v>2</v>
      </c>
      <c r="R1482" s="21">
        <f>'Raw Data'!R1482</f>
        <v>4</v>
      </c>
      <c r="S1482" s="21">
        <f>IF('Raw Data'!S1482="",ROUND(AVERAGE('Raw Data'!$S$2:$S$1501),0),'Raw Data'!S1482)</f>
        <v>0</v>
      </c>
      <c r="T1482" s="21">
        <f>'Raw Data'!T1482</f>
        <v>248.63</v>
      </c>
      <c r="U1482" s="21" t="str">
        <f>INDEX('Lookup Tables'!$C$7:$C$9,MATCH(E1482,'Lookup Tables'!$B$7:$B$9,0))</f>
        <v>Tier 2 (Urban)</v>
      </c>
      <c r="V1482" s="21" t="str">
        <f t="shared" si="69"/>
        <v>7-12 months</v>
      </c>
      <c r="W1482" s="21" t="str">
        <f t="shared" si="70"/>
        <v>Low Risk</v>
      </c>
      <c r="X1482" s="21" t="str">
        <f t="shared" si="71"/>
        <v>No</v>
      </c>
    </row>
    <row r="1483" spans="1:24" x14ac:dyDescent="0.3">
      <c r="A1483" s="21">
        <f>'Raw Data'!A1483</f>
        <v>51482</v>
      </c>
      <c r="B1483" s="21">
        <f>'Raw Data'!B1483</f>
        <v>0</v>
      </c>
      <c r="C1483" s="21">
        <f>'Raw Data'!C1483</f>
        <v>0</v>
      </c>
      <c r="D1483" s="21" t="str">
        <f>'Raw Data'!D1483</f>
        <v>Mobile Phone</v>
      </c>
      <c r="E1483" s="21">
        <f>'Raw Data'!E1483</f>
        <v>3</v>
      </c>
      <c r="F1483" s="21">
        <f>IF('Raw Data'!F1483="",ROUND(AVERAGE('Raw Data'!$F$2:$F$1501),1),'Raw Data'!F1483)</f>
        <v>21</v>
      </c>
      <c r="G1483" s="21" t="str">
        <f>'Raw Data'!G1483</f>
        <v>Debit Card</v>
      </c>
      <c r="H1483" s="21" t="str">
        <f>'Raw Data'!H1483</f>
        <v>Male</v>
      </c>
      <c r="I1483" s="21">
        <f>IF('Raw Data'!I1483="",ROUND(AVERAGE('Raw Data'!$I$2:$I$1501),1),'Raw Data'!I1483)</f>
        <v>2.2999999999999998</v>
      </c>
      <c r="J1483" s="21">
        <f>'Raw Data'!J1483</f>
        <v>5</v>
      </c>
      <c r="K1483" s="21" t="str">
        <f>'Raw Data'!K1483</f>
        <v>Mobile Phone</v>
      </c>
      <c r="L1483" s="21">
        <f>'Raw Data'!L1483</f>
        <v>5</v>
      </c>
      <c r="M1483" s="21" t="str">
        <f>'Raw Data'!M1483</f>
        <v>Single</v>
      </c>
      <c r="N1483" s="21">
        <f>'Raw Data'!N1483</f>
        <v>1</v>
      </c>
      <c r="O1483" s="21">
        <f>'Raw Data'!O1483</f>
        <v>0</v>
      </c>
      <c r="P1483" s="21">
        <f>IF('Raw Data'!P1483="",ROUND(AVERAGE('Raw Data'!$P$2:$P$1501),1),'Raw Data'!P1483)</f>
        <v>11</v>
      </c>
      <c r="Q1483" s="21">
        <f>IF('Raw Data'!Q1483="",ROUND(AVERAGE('Raw Data'!$Q$2:$Q$1501),0),'Raw Data'!Q1483)</f>
        <v>2</v>
      </c>
      <c r="R1483" s="21">
        <f>'Raw Data'!R1483</f>
        <v>2</v>
      </c>
      <c r="S1483" s="21">
        <f>IF('Raw Data'!S1483="",ROUND(AVERAGE('Raw Data'!$S$2:$S$1501),0),'Raw Data'!S1483)</f>
        <v>12</v>
      </c>
      <c r="T1483" s="21">
        <f>'Raw Data'!T1483</f>
        <v>259.70999999999998</v>
      </c>
      <c r="U1483" s="21" t="str">
        <f>INDEX('Lookup Tables'!$C$7:$C$9,MATCH(E1483,'Lookup Tables'!$B$7:$B$9,0))</f>
        <v>Tier 3 (Semi-urban/Rural)</v>
      </c>
      <c r="V1483" s="21" t="str">
        <f t="shared" si="69"/>
        <v>0-6 months</v>
      </c>
      <c r="W1483" s="21" t="str">
        <f t="shared" si="70"/>
        <v>Low Risk</v>
      </c>
      <c r="X1483" s="21" t="str">
        <f t="shared" si="71"/>
        <v>No</v>
      </c>
    </row>
    <row r="1484" spans="1:24" x14ac:dyDescent="0.3">
      <c r="A1484" s="21">
        <f>'Raw Data'!A1484</f>
        <v>51483</v>
      </c>
      <c r="B1484" s="21">
        <f>'Raw Data'!B1484</f>
        <v>0</v>
      </c>
      <c r="C1484" s="21">
        <f>'Raw Data'!C1484</f>
        <v>2</v>
      </c>
      <c r="D1484" s="21" t="str">
        <f>'Raw Data'!D1484</f>
        <v>Phone</v>
      </c>
      <c r="E1484" s="21">
        <f>'Raw Data'!E1484</f>
        <v>1</v>
      </c>
      <c r="F1484" s="21">
        <f>IF('Raw Data'!F1484="",ROUND(AVERAGE('Raw Data'!$F$2:$F$1501),1),'Raw Data'!F1484)</f>
        <v>5</v>
      </c>
      <c r="G1484" s="21" t="str">
        <f>'Raw Data'!G1484</f>
        <v>Debit Card</v>
      </c>
      <c r="H1484" s="21" t="str">
        <f>'Raw Data'!H1484</f>
        <v>Female</v>
      </c>
      <c r="I1484" s="21">
        <f>IF('Raw Data'!I1484="",ROUND(AVERAGE('Raw Data'!$I$2:$I$1501),1),'Raw Data'!I1484)</f>
        <v>2.1</v>
      </c>
      <c r="J1484" s="21">
        <f>'Raw Data'!J1484</f>
        <v>3</v>
      </c>
      <c r="K1484" s="21" t="str">
        <f>'Raw Data'!K1484</f>
        <v>Others</v>
      </c>
      <c r="L1484" s="21">
        <f>'Raw Data'!L1484</f>
        <v>1</v>
      </c>
      <c r="M1484" s="21" t="str">
        <f>'Raw Data'!M1484</f>
        <v>Married</v>
      </c>
      <c r="N1484" s="21">
        <f>'Raw Data'!N1484</f>
        <v>1</v>
      </c>
      <c r="O1484" s="21">
        <f>'Raw Data'!O1484</f>
        <v>0</v>
      </c>
      <c r="P1484" s="21">
        <f>IF('Raw Data'!P1484="",ROUND(AVERAGE('Raw Data'!$P$2:$P$1501),1),'Raw Data'!P1484)</f>
        <v>20.6</v>
      </c>
      <c r="Q1484" s="21">
        <f>IF('Raw Data'!Q1484="",ROUND(AVERAGE('Raw Data'!$Q$2:$Q$1501),0),'Raw Data'!Q1484)</f>
        <v>1</v>
      </c>
      <c r="R1484" s="21">
        <f>'Raw Data'!R1484</f>
        <v>3</v>
      </c>
      <c r="S1484" s="21">
        <f>IF('Raw Data'!S1484="",ROUND(AVERAGE('Raw Data'!$S$2:$S$1501),0),'Raw Data'!S1484)</f>
        <v>5</v>
      </c>
      <c r="T1484" s="21">
        <f>'Raw Data'!T1484</f>
        <v>50.76</v>
      </c>
      <c r="U1484" s="21" t="str">
        <f>INDEX('Lookup Tables'!$C$7:$C$9,MATCH(E1484,'Lookup Tables'!$B$7:$B$9,0))</f>
        <v>Tier 1 (Metro)</v>
      </c>
      <c r="V1484" s="21" t="str">
        <f t="shared" si="69"/>
        <v>0-6 months</v>
      </c>
      <c r="W1484" s="21" t="str">
        <f t="shared" si="70"/>
        <v>Low Risk</v>
      </c>
      <c r="X1484" s="21" t="str">
        <f t="shared" si="71"/>
        <v>No</v>
      </c>
    </row>
    <row r="1485" spans="1:24" x14ac:dyDescent="0.3">
      <c r="A1485" s="21">
        <f>'Raw Data'!A1485</f>
        <v>51484</v>
      </c>
      <c r="B1485" s="21">
        <f>'Raw Data'!B1485</f>
        <v>0</v>
      </c>
      <c r="C1485" s="21">
        <f>'Raw Data'!C1485</f>
        <v>4</v>
      </c>
      <c r="D1485" s="21" t="str">
        <f>'Raw Data'!D1485</f>
        <v>Computer</v>
      </c>
      <c r="E1485" s="21">
        <f>'Raw Data'!E1485</f>
        <v>1</v>
      </c>
      <c r="F1485" s="21">
        <f>IF('Raw Data'!F1485="",ROUND(AVERAGE('Raw Data'!$F$2:$F$1501),1),'Raw Data'!F1485)</f>
        <v>23</v>
      </c>
      <c r="G1485" s="21" t="str">
        <f>'Raw Data'!G1485</f>
        <v>E wallet</v>
      </c>
      <c r="H1485" s="21" t="str">
        <f>'Raw Data'!H1485</f>
        <v>Male</v>
      </c>
      <c r="I1485" s="21">
        <f>IF('Raw Data'!I1485="",ROUND(AVERAGE('Raw Data'!$I$2:$I$1501),1),'Raw Data'!I1485)</f>
        <v>3.2</v>
      </c>
      <c r="J1485" s="21">
        <f>'Raw Data'!J1485</f>
        <v>2</v>
      </c>
      <c r="K1485" s="21" t="str">
        <f>'Raw Data'!K1485</f>
        <v>Laptop &amp; Accessory</v>
      </c>
      <c r="L1485" s="21">
        <f>'Raw Data'!L1485</f>
        <v>4</v>
      </c>
      <c r="M1485" s="21" t="str">
        <f>'Raw Data'!M1485</f>
        <v>Married</v>
      </c>
      <c r="N1485" s="21">
        <f>'Raw Data'!N1485</f>
        <v>2</v>
      </c>
      <c r="O1485" s="21">
        <f>'Raw Data'!O1485</f>
        <v>0</v>
      </c>
      <c r="P1485" s="21">
        <f>IF('Raw Data'!P1485="",ROUND(AVERAGE('Raw Data'!$P$2:$P$1501),1),'Raw Data'!P1485)</f>
        <v>16.5</v>
      </c>
      <c r="Q1485" s="21">
        <f>IF('Raw Data'!Q1485="",ROUND(AVERAGE('Raw Data'!$Q$2:$Q$1501),0),'Raw Data'!Q1485)</f>
        <v>1</v>
      </c>
      <c r="R1485" s="21">
        <f>'Raw Data'!R1485</f>
        <v>5</v>
      </c>
      <c r="S1485" s="21">
        <f>IF('Raw Data'!S1485="",ROUND(AVERAGE('Raw Data'!$S$2:$S$1501),0),'Raw Data'!S1485)</f>
        <v>1</v>
      </c>
      <c r="T1485" s="21">
        <f>'Raw Data'!T1485</f>
        <v>198.89</v>
      </c>
      <c r="U1485" s="21" t="str">
        <f>INDEX('Lookup Tables'!$C$7:$C$9,MATCH(E1485,'Lookup Tables'!$B$7:$B$9,0))</f>
        <v>Tier 1 (Metro)</v>
      </c>
      <c r="V1485" s="21" t="str">
        <f t="shared" si="69"/>
        <v>0-6 months</v>
      </c>
      <c r="W1485" s="21" t="str">
        <f t="shared" si="70"/>
        <v>Low Risk</v>
      </c>
      <c r="X1485" s="21" t="str">
        <f t="shared" si="71"/>
        <v>No</v>
      </c>
    </row>
    <row r="1486" spans="1:24" x14ac:dyDescent="0.3">
      <c r="A1486" s="21">
        <f>'Raw Data'!A1486</f>
        <v>51485</v>
      </c>
      <c r="B1486" s="21">
        <f>'Raw Data'!B1486</f>
        <v>0</v>
      </c>
      <c r="C1486" s="21">
        <f>'Raw Data'!C1486</f>
        <v>6</v>
      </c>
      <c r="D1486" s="21" t="str">
        <f>'Raw Data'!D1486</f>
        <v>Mobile Phone</v>
      </c>
      <c r="E1486" s="21">
        <f>'Raw Data'!E1486</f>
        <v>1</v>
      </c>
      <c r="F1486" s="21">
        <f>IF('Raw Data'!F1486="",ROUND(AVERAGE('Raw Data'!$F$2:$F$1501),1),'Raw Data'!F1486)</f>
        <v>5</v>
      </c>
      <c r="G1486" s="21" t="str">
        <f>'Raw Data'!G1486</f>
        <v>Credit Card</v>
      </c>
      <c r="H1486" s="21" t="str">
        <f>'Raw Data'!H1486</f>
        <v>Female</v>
      </c>
      <c r="I1486" s="21">
        <f>IF('Raw Data'!I1486="",ROUND(AVERAGE('Raw Data'!$I$2:$I$1501),1),'Raw Data'!I1486)</f>
        <v>3</v>
      </c>
      <c r="J1486" s="21">
        <f>'Raw Data'!J1486</f>
        <v>4</v>
      </c>
      <c r="K1486" s="21" t="str">
        <f>'Raw Data'!K1486</f>
        <v>Fashion</v>
      </c>
      <c r="L1486" s="21">
        <f>'Raw Data'!L1486</f>
        <v>4</v>
      </c>
      <c r="M1486" s="21" t="str">
        <f>'Raw Data'!M1486</f>
        <v>Single</v>
      </c>
      <c r="N1486" s="21">
        <f>'Raw Data'!N1486</f>
        <v>7</v>
      </c>
      <c r="O1486" s="21">
        <f>'Raw Data'!O1486</f>
        <v>0</v>
      </c>
      <c r="P1486" s="21">
        <f>IF('Raw Data'!P1486="",ROUND(AVERAGE('Raw Data'!$P$2:$P$1501),1),'Raw Data'!P1486)</f>
        <v>11</v>
      </c>
      <c r="Q1486" s="21">
        <f>IF('Raw Data'!Q1486="",ROUND(AVERAGE('Raw Data'!$Q$2:$Q$1501),0),'Raw Data'!Q1486)</f>
        <v>3</v>
      </c>
      <c r="R1486" s="21">
        <f>'Raw Data'!R1486</f>
        <v>2</v>
      </c>
      <c r="S1486" s="21">
        <f>IF('Raw Data'!S1486="",ROUND(AVERAGE('Raw Data'!$S$2:$S$1501),0),'Raw Data'!S1486)</f>
        <v>4</v>
      </c>
      <c r="T1486" s="21">
        <f>'Raw Data'!T1486</f>
        <v>147.76</v>
      </c>
      <c r="U1486" s="21" t="str">
        <f>INDEX('Lookup Tables'!$C$7:$C$9,MATCH(E1486,'Lookup Tables'!$B$7:$B$9,0))</f>
        <v>Tier 1 (Metro)</v>
      </c>
      <c r="V1486" s="21" t="str">
        <f t="shared" si="69"/>
        <v>0-6 months</v>
      </c>
      <c r="W1486" s="21" t="str">
        <f t="shared" si="70"/>
        <v>Low Risk</v>
      </c>
      <c r="X1486" s="21" t="str">
        <f t="shared" si="71"/>
        <v>No</v>
      </c>
    </row>
    <row r="1487" spans="1:24" x14ac:dyDescent="0.3">
      <c r="A1487" s="21">
        <f>'Raw Data'!A1487</f>
        <v>51486</v>
      </c>
      <c r="B1487" s="21">
        <f>'Raw Data'!B1487</f>
        <v>0</v>
      </c>
      <c r="C1487" s="21">
        <f>'Raw Data'!C1487</f>
        <v>0</v>
      </c>
      <c r="D1487" s="21" t="str">
        <f>'Raw Data'!D1487</f>
        <v>Mobile Phone</v>
      </c>
      <c r="E1487" s="21">
        <f>'Raw Data'!E1487</f>
        <v>3</v>
      </c>
      <c r="F1487" s="21">
        <f>IF('Raw Data'!F1487="",ROUND(AVERAGE('Raw Data'!$F$2:$F$1501),1),'Raw Data'!F1487)</f>
        <v>17</v>
      </c>
      <c r="G1487" s="21" t="str">
        <f>'Raw Data'!G1487</f>
        <v>Debit Card</v>
      </c>
      <c r="H1487" s="21" t="str">
        <f>'Raw Data'!H1487</f>
        <v>Female</v>
      </c>
      <c r="I1487" s="21">
        <f>IF('Raw Data'!I1487="",ROUND(AVERAGE('Raw Data'!$I$2:$I$1501),1),'Raw Data'!I1487)</f>
        <v>2.8</v>
      </c>
      <c r="J1487" s="21">
        <f>'Raw Data'!J1487</f>
        <v>3</v>
      </c>
      <c r="K1487" s="21" t="str">
        <f>'Raw Data'!K1487</f>
        <v>Laptop &amp; Accessory</v>
      </c>
      <c r="L1487" s="21">
        <f>'Raw Data'!L1487</f>
        <v>3</v>
      </c>
      <c r="M1487" s="21" t="str">
        <f>'Raw Data'!M1487</f>
        <v>Divorced</v>
      </c>
      <c r="N1487" s="21">
        <f>'Raw Data'!N1487</f>
        <v>2</v>
      </c>
      <c r="O1487" s="21">
        <f>'Raw Data'!O1487</f>
        <v>0</v>
      </c>
      <c r="P1487" s="21">
        <f>IF('Raw Data'!P1487="",ROUND(AVERAGE('Raw Data'!$P$2:$P$1501),1),'Raw Data'!P1487)</f>
        <v>16.399999999999999</v>
      </c>
      <c r="Q1487" s="21">
        <f>IF('Raw Data'!Q1487="",ROUND(AVERAGE('Raw Data'!$Q$2:$Q$1501),0),'Raw Data'!Q1487)</f>
        <v>2</v>
      </c>
      <c r="R1487" s="21">
        <f>'Raw Data'!R1487</f>
        <v>6</v>
      </c>
      <c r="S1487" s="21">
        <f>IF('Raw Data'!S1487="",ROUND(AVERAGE('Raw Data'!$S$2:$S$1501),0),'Raw Data'!S1487)</f>
        <v>2</v>
      </c>
      <c r="T1487" s="21">
        <f>'Raw Data'!T1487</f>
        <v>241.42</v>
      </c>
      <c r="U1487" s="21" t="str">
        <f>INDEX('Lookup Tables'!$C$7:$C$9,MATCH(E1487,'Lookup Tables'!$B$7:$B$9,0))</f>
        <v>Tier 3 (Semi-urban/Rural)</v>
      </c>
      <c r="V1487" s="21" t="str">
        <f t="shared" si="69"/>
        <v>0-6 months</v>
      </c>
      <c r="W1487" s="21" t="str">
        <f t="shared" si="70"/>
        <v>Medium Risk</v>
      </c>
      <c r="X1487" s="21" t="str">
        <f t="shared" si="71"/>
        <v>No</v>
      </c>
    </row>
    <row r="1488" spans="1:24" x14ac:dyDescent="0.3">
      <c r="A1488" s="21">
        <f>'Raw Data'!A1488</f>
        <v>51487</v>
      </c>
      <c r="B1488" s="21">
        <f>'Raw Data'!B1488</f>
        <v>0</v>
      </c>
      <c r="C1488" s="21">
        <f>'Raw Data'!C1488</f>
        <v>1</v>
      </c>
      <c r="D1488" s="21" t="str">
        <f>'Raw Data'!D1488</f>
        <v>Mobile Phone</v>
      </c>
      <c r="E1488" s="21">
        <f>'Raw Data'!E1488</f>
        <v>3</v>
      </c>
      <c r="F1488" s="21">
        <f>IF('Raw Data'!F1488="",ROUND(AVERAGE('Raw Data'!$F$2:$F$1501),1),'Raw Data'!F1488)</f>
        <v>8</v>
      </c>
      <c r="G1488" s="21" t="str">
        <f>'Raw Data'!G1488</f>
        <v>Debit Card</v>
      </c>
      <c r="H1488" s="21" t="str">
        <f>'Raw Data'!H1488</f>
        <v>Female</v>
      </c>
      <c r="I1488" s="21">
        <f>IF('Raw Data'!I1488="",ROUND(AVERAGE('Raw Data'!$I$2:$I$1501),1),'Raw Data'!I1488)</f>
        <v>3.5</v>
      </c>
      <c r="J1488" s="21">
        <f>'Raw Data'!J1488</f>
        <v>3</v>
      </c>
      <c r="K1488" s="21" t="str">
        <f>'Raw Data'!K1488</f>
        <v>Fashion</v>
      </c>
      <c r="L1488" s="21">
        <f>'Raw Data'!L1488</f>
        <v>5</v>
      </c>
      <c r="M1488" s="21" t="str">
        <f>'Raw Data'!M1488</f>
        <v>Divorced</v>
      </c>
      <c r="N1488" s="21">
        <f>'Raw Data'!N1488</f>
        <v>6</v>
      </c>
      <c r="O1488" s="21">
        <f>'Raw Data'!O1488</f>
        <v>0</v>
      </c>
      <c r="P1488" s="21">
        <f>IF('Raw Data'!P1488="",ROUND(AVERAGE('Raw Data'!$P$2:$P$1501),1),'Raw Data'!P1488)</f>
        <v>19.8</v>
      </c>
      <c r="Q1488" s="21">
        <f>IF('Raw Data'!Q1488="",ROUND(AVERAGE('Raw Data'!$Q$2:$Q$1501),0),'Raw Data'!Q1488)</f>
        <v>4</v>
      </c>
      <c r="R1488" s="21">
        <f>'Raw Data'!R1488</f>
        <v>6</v>
      </c>
      <c r="S1488" s="21">
        <f>IF('Raw Data'!S1488="",ROUND(AVERAGE('Raw Data'!$S$2:$S$1501),0),'Raw Data'!S1488)</f>
        <v>5</v>
      </c>
      <c r="T1488" s="21">
        <f>'Raw Data'!T1488</f>
        <v>139.22</v>
      </c>
      <c r="U1488" s="21" t="str">
        <f>INDEX('Lookup Tables'!$C$7:$C$9,MATCH(E1488,'Lookup Tables'!$B$7:$B$9,0))</f>
        <v>Tier 3 (Semi-urban/Rural)</v>
      </c>
      <c r="V1488" s="21" t="str">
        <f t="shared" si="69"/>
        <v>0-6 months</v>
      </c>
      <c r="W1488" s="21" t="str">
        <f t="shared" si="70"/>
        <v>Low Risk</v>
      </c>
      <c r="X1488" s="21" t="str">
        <f t="shared" si="71"/>
        <v>No</v>
      </c>
    </row>
    <row r="1489" spans="1:24" x14ac:dyDescent="0.3">
      <c r="A1489" s="21">
        <f>'Raw Data'!A1489</f>
        <v>51488</v>
      </c>
      <c r="B1489" s="21">
        <f>'Raw Data'!B1489</f>
        <v>0</v>
      </c>
      <c r="C1489" s="21">
        <f>'Raw Data'!C1489</f>
        <v>3</v>
      </c>
      <c r="D1489" s="21" t="str">
        <f>'Raw Data'!D1489</f>
        <v>Mobile Phone</v>
      </c>
      <c r="E1489" s="21">
        <f>'Raw Data'!E1489</f>
        <v>1</v>
      </c>
      <c r="F1489" s="21">
        <f>IF('Raw Data'!F1489="",ROUND(AVERAGE('Raw Data'!$F$2:$F$1501),1),'Raw Data'!F1489)</f>
        <v>19</v>
      </c>
      <c r="G1489" s="21" t="str">
        <f>'Raw Data'!G1489</f>
        <v>UPI</v>
      </c>
      <c r="H1489" s="21" t="str">
        <f>'Raw Data'!H1489</f>
        <v>Male</v>
      </c>
      <c r="I1489" s="21">
        <f>IF('Raw Data'!I1489="",ROUND(AVERAGE('Raw Data'!$I$2:$I$1501),1),'Raw Data'!I1489)</f>
        <v>3.8</v>
      </c>
      <c r="J1489" s="21">
        <f>'Raw Data'!J1489</f>
        <v>4</v>
      </c>
      <c r="K1489" s="21" t="str">
        <f>'Raw Data'!K1489</f>
        <v>Fashion</v>
      </c>
      <c r="L1489" s="21">
        <f>'Raw Data'!L1489</f>
        <v>5</v>
      </c>
      <c r="M1489" s="21" t="str">
        <f>'Raw Data'!M1489</f>
        <v>Married</v>
      </c>
      <c r="N1489" s="21">
        <f>'Raw Data'!N1489</f>
        <v>1</v>
      </c>
      <c r="O1489" s="21">
        <f>'Raw Data'!O1489</f>
        <v>0</v>
      </c>
      <c r="P1489" s="21">
        <f>IF('Raw Data'!P1489="",ROUND(AVERAGE('Raw Data'!$P$2:$P$1501),1),'Raw Data'!P1489)</f>
        <v>18.100000000000001</v>
      </c>
      <c r="Q1489" s="21">
        <f>IF('Raw Data'!Q1489="",ROUND(AVERAGE('Raw Data'!$Q$2:$Q$1501),0),'Raw Data'!Q1489)</f>
        <v>3</v>
      </c>
      <c r="R1489" s="21">
        <f>'Raw Data'!R1489</f>
        <v>2</v>
      </c>
      <c r="S1489" s="21">
        <f>IF('Raw Data'!S1489="",ROUND(AVERAGE('Raw Data'!$S$2:$S$1501),0),'Raw Data'!S1489)</f>
        <v>3</v>
      </c>
      <c r="T1489" s="21">
        <f>'Raw Data'!T1489</f>
        <v>122.02</v>
      </c>
      <c r="U1489" s="21" t="str">
        <f>INDEX('Lookup Tables'!$C$7:$C$9,MATCH(E1489,'Lookup Tables'!$B$7:$B$9,0))</f>
        <v>Tier 1 (Metro)</v>
      </c>
      <c r="V1489" s="21" t="str">
        <f t="shared" si="69"/>
        <v>0-6 months</v>
      </c>
      <c r="W1489" s="21" t="str">
        <f t="shared" si="70"/>
        <v>Low Risk</v>
      </c>
      <c r="X1489" s="21" t="str">
        <f t="shared" si="71"/>
        <v>No</v>
      </c>
    </row>
    <row r="1490" spans="1:24" x14ac:dyDescent="0.3">
      <c r="A1490" s="21">
        <f>'Raw Data'!A1490</f>
        <v>51489</v>
      </c>
      <c r="B1490" s="21">
        <f>'Raw Data'!B1490</f>
        <v>1</v>
      </c>
      <c r="C1490" s="21">
        <f>'Raw Data'!C1490</f>
        <v>35</v>
      </c>
      <c r="D1490" s="21" t="str">
        <f>'Raw Data'!D1490</f>
        <v>Computer</v>
      </c>
      <c r="E1490" s="21">
        <f>'Raw Data'!E1490</f>
        <v>2</v>
      </c>
      <c r="F1490" s="21">
        <f>IF('Raw Data'!F1490="",ROUND(AVERAGE('Raw Data'!$F$2:$F$1501),1),'Raw Data'!F1490)</f>
        <v>14</v>
      </c>
      <c r="G1490" s="21" t="str">
        <f>'Raw Data'!G1490</f>
        <v>Debit Card</v>
      </c>
      <c r="H1490" s="21" t="str">
        <f>'Raw Data'!H1490</f>
        <v>Male</v>
      </c>
      <c r="I1490" s="21">
        <f>IF('Raw Data'!I1490="",ROUND(AVERAGE('Raw Data'!$I$2:$I$1501),1),'Raw Data'!I1490)</f>
        <v>1.8</v>
      </c>
      <c r="J1490" s="21">
        <f>'Raw Data'!J1490</f>
        <v>2</v>
      </c>
      <c r="K1490" s="21" t="str">
        <f>'Raw Data'!K1490</f>
        <v>Fashion</v>
      </c>
      <c r="L1490" s="21">
        <f>'Raw Data'!L1490</f>
        <v>3</v>
      </c>
      <c r="M1490" s="21" t="str">
        <f>'Raw Data'!M1490</f>
        <v>Married</v>
      </c>
      <c r="N1490" s="21">
        <f>'Raw Data'!N1490</f>
        <v>1</v>
      </c>
      <c r="O1490" s="21">
        <f>'Raw Data'!O1490</f>
        <v>1</v>
      </c>
      <c r="P1490" s="21">
        <f>IF('Raw Data'!P1490="",ROUND(AVERAGE('Raw Data'!$P$2:$P$1501),1),'Raw Data'!P1490)</f>
        <v>19.8</v>
      </c>
      <c r="Q1490" s="21">
        <f>IF('Raw Data'!Q1490="",ROUND(AVERAGE('Raw Data'!$Q$2:$Q$1501),0),'Raw Data'!Q1490)</f>
        <v>2</v>
      </c>
      <c r="R1490" s="21">
        <f>'Raw Data'!R1490</f>
        <v>3</v>
      </c>
      <c r="S1490" s="21">
        <f>IF('Raw Data'!S1490="",ROUND(AVERAGE('Raw Data'!$S$2:$S$1501),0),'Raw Data'!S1490)</f>
        <v>3</v>
      </c>
      <c r="T1490" s="21">
        <f>'Raw Data'!T1490</f>
        <v>101.13</v>
      </c>
      <c r="U1490" s="21" t="str">
        <f>INDEX('Lookup Tables'!$C$7:$C$9,MATCH(E1490,'Lookup Tables'!$B$7:$B$9,0))</f>
        <v>Tier 2 (Urban)</v>
      </c>
      <c r="V1490" s="21" t="str">
        <f t="shared" si="69"/>
        <v>25+ months</v>
      </c>
      <c r="W1490" s="21" t="str">
        <f t="shared" si="70"/>
        <v>Medium Risk</v>
      </c>
      <c r="X1490" s="21" t="str">
        <f t="shared" si="71"/>
        <v>Yes</v>
      </c>
    </row>
    <row r="1491" spans="1:24" x14ac:dyDescent="0.3">
      <c r="A1491" s="21">
        <f>'Raw Data'!A1491</f>
        <v>51490</v>
      </c>
      <c r="B1491" s="21">
        <f>'Raw Data'!B1491</f>
        <v>1</v>
      </c>
      <c r="C1491" s="21">
        <f>'Raw Data'!C1491</f>
        <v>4</v>
      </c>
      <c r="D1491" s="21" t="str">
        <f>'Raw Data'!D1491</f>
        <v>Computer</v>
      </c>
      <c r="E1491" s="21">
        <f>'Raw Data'!E1491</f>
        <v>1</v>
      </c>
      <c r="F1491" s="21">
        <f>IF('Raw Data'!F1491="",ROUND(AVERAGE('Raw Data'!$F$2:$F$1501),1),'Raw Data'!F1491)</f>
        <v>5</v>
      </c>
      <c r="G1491" s="21" t="str">
        <f>'Raw Data'!G1491</f>
        <v>E wallet</v>
      </c>
      <c r="H1491" s="21" t="str">
        <f>'Raw Data'!H1491</f>
        <v>Male</v>
      </c>
      <c r="I1491" s="21">
        <f>IF('Raw Data'!I1491="",ROUND(AVERAGE('Raw Data'!$I$2:$I$1501),1),'Raw Data'!I1491)</f>
        <v>2.5</v>
      </c>
      <c r="J1491" s="21">
        <f>'Raw Data'!J1491</f>
        <v>4</v>
      </c>
      <c r="K1491" s="21" t="str">
        <f>'Raw Data'!K1491</f>
        <v>Grocery</v>
      </c>
      <c r="L1491" s="21">
        <f>'Raw Data'!L1491</f>
        <v>1</v>
      </c>
      <c r="M1491" s="21" t="str">
        <f>'Raw Data'!M1491</f>
        <v>Married</v>
      </c>
      <c r="N1491" s="21">
        <f>'Raw Data'!N1491</f>
        <v>7</v>
      </c>
      <c r="O1491" s="21">
        <f>'Raw Data'!O1491</f>
        <v>1</v>
      </c>
      <c r="P1491" s="21">
        <f>IF('Raw Data'!P1491="",ROUND(AVERAGE('Raw Data'!$P$2:$P$1501),1),'Raw Data'!P1491)</f>
        <v>11.2</v>
      </c>
      <c r="Q1491" s="21">
        <f>IF('Raw Data'!Q1491="",ROUND(AVERAGE('Raw Data'!$Q$2:$Q$1501),0),'Raw Data'!Q1491)</f>
        <v>2</v>
      </c>
      <c r="R1491" s="21">
        <f>'Raw Data'!R1491</f>
        <v>3</v>
      </c>
      <c r="S1491" s="21">
        <f>IF('Raw Data'!S1491="",ROUND(AVERAGE('Raw Data'!$S$2:$S$1501),0),'Raw Data'!S1491)</f>
        <v>6</v>
      </c>
      <c r="T1491" s="21">
        <f>'Raw Data'!T1491</f>
        <v>163.35</v>
      </c>
      <c r="U1491" s="21" t="str">
        <f>INDEX('Lookup Tables'!$C$7:$C$9,MATCH(E1491,'Lookup Tables'!$B$7:$B$9,0))</f>
        <v>Tier 1 (Metro)</v>
      </c>
      <c r="V1491" s="21" t="str">
        <f t="shared" si="69"/>
        <v>0-6 months</v>
      </c>
      <c r="W1491" s="21" t="str">
        <f t="shared" si="70"/>
        <v>High Risk</v>
      </c>
      <c r="X1491" s="21" t="str">
        <f t="shared" si="71"/>
        <v>Yes</v>
      </c>
    </row>
    <row r="1492" spans="1:24" x14ac:dyDescent="0.3">
      <c r="A1492" s="21">
        <f>'Raw Data'!A1492</f>
        <v>51491</v>
      </c>
      <c r="B1492" s="21">
        <f>'Raw Data'!B1492</f>
        <v>0</v>
      </c>
      <c r="C1492" s="21">
        <f>'Raw Data'!C1492</f>
        <v>6</v>
      </c>
      <c r="D1492" s="21" t="str">
        <f>'Raw Data'!D1492</f>
        <v>Mobile Phone</v>
      </c>
      <c r="E1492" s="21">
        <f>'Raw Data'!E1492</f>
        <v>1</v>
      </c>
      <c r="F1492" s="21">
        <f>IF('Raw Data'!F1492="",ROUND(AVERAGE('Raw Data'!$F$2:$F$1501),1),'Raw Data'!F1492)</f>
        <v>18</v>
      </c>
      <c r="G1492" s="21" t="str">
        <f>'Raw Data'!G1492</f>
        <v>Debit Card</v>
      </c>
      <c r="H1492" s="21" t="str">
        <f>'Raw Data'!H1492</f>
        <v>Female</v>
      </c>
      <c r="I1492" s="21">
        <f>IF('Raw Data'!I1492="",ROUND(AVERAGE('Raw Data'!$I$2:$I$1501),1),'Raw Data'!I1492)</f>
        <v>3.5</v>
      </c>
      <c r="J1492" s="21">
        <f>'Raw Data'!J1492</f>
        <v>2</v>
      </c>
      <c r="K1492" s="21" t="str">
        <f>'Raw Data'!K1492</f>
        <v>Grocery</v>
      </c>
      <c r="L1492" s="21">
        <f>'Raw Data'!L1492</f>
        <v>3</v>
      </c>
      <c r="M1492" s="21" t="str">
        <f>'Raw Data'!M1492</f>
        <v>Single</v>
      </c>
      <c r="N1492" s="21">
        <f>'Raw Data'!N1492</f>
        <v>1</v>
      </c>
      <c r="O1492" s="21">
        <f>'Raw Data'!O1492</f>
        <v>0</v>
      </c>
      <c r="P1492" s="21">
        <f>IF('Raw Data'!P1492="",ROUND(AVERAGE('Raw Data'!$P$2:$P$1501),1),'Raw Data'!P1492)</f>
        <v>14.6</v>
      </c>
      <c r="Q1492" s="21">
        <f>IF('Raw Data'!Q1492="",ROUND(AVERAGE('Raw Data'!$Q$2:$Q$1501),0),'Raw Data'!Q1492)</f>
        <v>3</v>
      </c>
      <c r="R1492" s="21">
        <f>'Raw Data'!R1492</f>
        <v>5</v>
      </c>
      <c r="S1492" s="21">
        <f>IF('Raw Data'!S1492="",ROUND(AVERAGE('Raw Data'!$S$2:$S$1501),0),'Raw Data'!S1492)</f>
        <v>4</v>
      </c>
      <c r="T1492" s="21">
        <f>'Raw Data'!T1492</f>
        <v>230.32</v>
      </c>
      <c r="U1492" s="21" t="str">
        <f>INDEX('Lookup Tables'!$C$7:$C$9,MATCH(E1492,'Lookup Tables'!$B$7:$B$9,0))</f>
        <v>Tier 1 (Metro)</v>
      </c>
      <c r="V1492" s="21" t="str">
        <f t="shared" si="69"/>
        <v>0-6 months</v>
      </c>
      <c r="W1492" s="21" t="str">
        <f t="shared" si="70"/>
        <v>Medium Risk</v>
      </c>
      <c r="X1492" s="21" t="str">
        <f t="shared" si="71"/>
        <v>No</v>
      </c>
    </row>
    <row r="1493" spans="1:24" x14ac:dyDescent="0.3">
      <c r="A1493" s="21">
        <f>'Raw Data'!A1493</f>
        <v>51492</v>
      </c>
      <c r="B1493" s="21">
        <f>'Raw Data'!B1493</f>
        <v>0</v>
      </c>
      <c r="C1493" s="21">
        <f>'Raw Data'!C1493</f>
        <v>2</v>
      </c>
      <c r="D1493" s="21" t="str">
        <f>'Raw Data'!D1493</f>
        <v>Phone</v>
      </c>
      <c r="E1493" s="21">
        <f>'Raw Data'!E1493</f>
        <v>3</v>
      </c>
      <c r="F1493" s="21">
        <f>IF('Raw Data'!F1493="",ROUND(AVERAGE('Raw Data'!$F$2:$F$1501),1),'Raw Data'!F1493)</f>
        <v>10</v>
      </c>
      <c r="G1493" s="21" t="str">
        <f>'Raw Data'!G1493</f>
        <v>Credit Card</v>
      </c>
      <c r="H1493" s="21" t="str">
        <f>'Raw Data'!H1493</f>
        <v>Male</v>
      </c>
      <c r="I1493" s="21">
        <f>IF('Raw Data'!I1493="",ROUND(AVERAGE('Raw Data'!$I$2:$I$1501),1),'Raw Data'!I1493)</f>
        <v>2.6</v>
      </c>
      <c r="J1493" s="21">
        <f>'Raw Data'!J1493</f>
        <v>2</v>
      </c>
      <c r="K1493" s="21" t="str">
        <f>'Raw Data'!K1493</f>
        <v>Laptop &amp; Accessory</v>
      </c>
      <c r="L1493" s="21">
        <f>'Raw Data'!L1493</f>
        <v>3</v>
      </c>
      <c r="M1493" s="21" t="str">
        <f>'Raw Data'!M1493</f>
        <v>Single</v>
      </c>
      <c r="N1493" s="21">
        <f>'Raw Data'!N1493</f>
        <v>5</v>
      </c>
      <c r="O1493" s="21">
        <f>'Raw Data'!O1493</f>
        <v>0</v>
      </c>
      <c r="P1493" s="21">
        <f>IF('Raw Data'!P1493="",ROUND(AVERAGE('Raw Data'!$P$2:$P$1501),1),'Raw Data'!P1493)</f>
        <v>12.8</v>
      </c>
      <c r="Q1493" s="21">
        <f>IF('Raw Data'!Q1493="",ROUND(AVERAGE('Raw Data'!$Q$2:$Q$1501),0),'Raw Data'!Q1493)</f>
        <v>0</v>
      </c>
      <c r="R1493" s="21">
        <f>'Raw Data'!R1493</f>
        <v>3</v>
      </c>
      <c r="S1493" s="21">
        <f>IF('Raw Data'!S1493="",ROUND(AVERAGE('Raw Data'!$S$2:$S$1501),0),'Raw Data'!S1493)</f>
        <v>0</v>
      </c>
      <c r="T1493" s="21">
        <f>'Raw Data'!T1493</f>
        <v>194.09</v>
      </c>
      <c r="U1493" s="21" t="str">
        <f>INDEX('Lookup Tables'!$C$7:$C$9,MATCH(E1493,'Lookup Tables'!$B$7:$B$9,0))</f>
        <v>Tier 3 (Semi-urban/Rural)</v>
      </c>
      <c r="V1493" s="21" t="str">
        <f t="shared" si="69"/>
        <v>0-6 months</v>
      </c>
      <c r="W1493" s="21" t="str">
        <f t="shared" si="70"/>
        <v>Medium Risk</v>
      </c>
      <c r="X1493" s="21" t="str">
        <f t="shared" si="71"/>
        <v>No</v>
      </c>
    </row>
    <row r="1494" spans="1:24" x14ac:dyDescent="0.3">
      <c r="A1494" s="21">
        <f>'Raw Data'!A1494</f>
        <v>51493</v>
      </c>
      <c r="B1494" s="21">
        <f>'Raw Data'!B1494</f>
        <v>0</v>
      </c>
      <c r="C1494" s="21">
        <f>'Raw Data'!C1494</f>
        <v>9</v>
      </c>
      <c r="D1494" s="21" t="str">
        <f>'Raw Data'!D1494</f>
        <v>Computer</v>
      </c>
      <c r="E1494" s="21">
        <f>'Raw Data'!E1494</f>
        <v>1</v>
      </c>
      <c r="F1494" s="21">
        <f>IF('Raw Data'!F1494="",ROUND(AVERAGE('Raw Data'!$F$2:$F$1501),1),'Raw Data'!F1494)</f>
        <v>22</v>
      </c>
      <c r="G1494" s="21" t="str">
        <f>'Raw Data'!G1494</f>
        <v>Debit Card</v>
      </c>
      <c r="H1494" s="21" t="str">
        <f>'Raw Data'!H1494</f>
        <v>Female</v>
      </c>
      <c r="I1494" s="21">
        <f>IF('Raw Data'!I1494="",ROUND(AVERAGE('Raw Data'!$I$2:$I$1501),1),'Raw Data'!I1494)</f>
        <v>2.2999999999999998</v>
      </c>
      <c r="J1494" s="21">
        <f>'Raw Data'!J1494</f>
        <v>3</v>
      </c>
      <c r="K1494" s="21" t="str">
        <f>'Raw Data'!K1494</f>
        <v>Mobile Phone</v>
      </c>
      <c r="L1494" s="21">
        <f>'Raw Data'!L1494</f>
        <v>5</v>
      </c>
      <c r="M1494" s="21" t="str">
        <f>'Raw Data'!M1494</f>
        <v>Married</v>
      </c>
      <c r="N1494" s="21">
        <f>'Raw Data'!N1494</f>
        <v>1</v>
      </c>
      <c r="O1494" s="21">
        <f>'Raw Data'!O1494</f>
        <v>1</v>
      </c>
      <c r="P1494" s="21">
        <f>IF('Raw Data'!P1494="",ROUND(AVERAGE('Raw Data'!$P$2:$P$1501),1),'Raw Data'!P1494)</f>
        <v>22</v>
      </c>
      <c r="Q1494" s="21">
        <f>IF('Raw Data'!Q1494="",ROUND(AVERAGE('Raw Data'!$Q$2:$Q$1501),0),'Raw Data'!Q1494)</f>
        <v>2</v>
      </c>
      <c r="R1494" s="21">
        <f>'Raw Data'!R1494</f>
        <v>3</v>
      </c>
      <c r="S1494" s="21">
        <f>IF('Raw Data'!S1494="",ROUND(AVERAGE('Raw Data'!$S$2:$S$1501),0),'Raw Data'!S1494)</f>
        <v>0</v>
      </c>
      <c r="T1494" s="21">
        <f>'Raw Data'!T1494</f>
        <v>113.85</v>
      </c>
      <c r="U1494" s="21" t="str">
        <f>INDEX('Lookup Tables'!$C$7:$C$9,MATCH(E1494,'Lookup Tables'!$B$7:$B$9,0))</f>
        <v>Tier 1 (Metro)</v>
      </c>
      <c r="V1494" s="21" t="str">
        <f t="shared" si="69"/>
        <v>7-12 months</v>
      </c>
      <c r="W1494" s="21" t="str">
        <f t="shared" si="70"/>
        <v>Low Risk</v>
      </c>
      <c r="X1494" s="21" t="str">
        <f t="shared" si="71"/>
        <v>No</v>
      </c>
    </row>
    <row r="1495" spans="1:24" x14ac:dyDescent="0.3">
      <c r="A1495" s="21">
        <f>'Raw Data'!A1495</f>
        <v>51494</v>
      </c>
      <c r="B1495" s="21">
        <f>'Raw Data'!B1495</f>
        <v>0</v>
      </c>
      <c r="C1495" s="21">
        <f>'Raw Data'!C1495</f>
        <v>3</v>
      </c>
      <c r="D1495" s="21" t="str">
        <f>'Raw Data'!D1495</f>
        <v>Mobile Phone</v>
      </c>
      <c r="E1495" s="21">
        <f>'Raw Data'!E1495</f>
        <v>1</v>
      </c>
      <c r="F1495" s="21">
        <f>IF('Raw Data'!F1495="",ROUND(AVERAGE('Raw Data'!$F$2:$F$1501),1),'Raw Data'!F1495)</f>
        <v>15</v>
      </c>
      <c r="G1495" s="21" t="str">
        <f>'Raw Data'!G1495</f>
        <v>Debit Card</v>
      </c>
      <c r="H1495" s="21" t="str">
        <f>'Raw Data'!H1495</f>
        <v>Female</v>
      </c>
      <c r="I1495" s="21">
        <f>IF('Raw Data'!I1495="",ROUND(AVERAGE('Raw Data'!$I$2:$I$1501),1),'Raw Data'!I1495)</f>
        <v>3.6</v>
      </c>
      <c r="J1495" s="21">
        <f>'Raw Data'!J1495</f>
        <v>4</v>
      </c>
      <c r="K1495" s="21" t="str">
        <f>'Raw Data'!K1495</f>
        <v>Fashion</v>
      </c>
      <c r="L1495" s="21">
        <f>'Raw Data'!L1495</f>
        <v>5</v>
      </c>
      <c r="M1495" s="21" t="str">
        <f>'Raw Data'!M1495</f>
        <v>Married</v>
      </c>
      <c r="N1495" s="21">
        <f>'Raw Data'!N1495</f>
        <v>10</v>
      </c>
      <c r="O1495" s="21">
        <f>'Raw Data'!O1495</f>
        <v>0</v>
      </c>
      <c r="P1495" s="21">
        <f>IF('Raw Data'!P1495="",ROUND(AVERAGE('Raw Data'!$P$2:$P$1501),1),'Raw Data'!P1495)</f>
        <v>18.2</v>
      </c>
      <c r="Q1495" s="21">
        <f>IF('Raw Data'!Q1495="",ROUND(AVERAGE('Raw Data'!$Q$2:$Q$1501),0),'Raw Data'!Q1495)</f>
        <v>0</v>
      </c>
      <c r="R1495" s="21">
        <f>'Raw Data'!R1495</f>
        <v>4</v>
      </c>
      <c r="S1495" s="21">
        <f>IF('Raw Data'!S1495="",ROUND(AVERAGE('Raw Data'!$S$2:$S$1501),0),'Raw Data'!S1495)</f>
        <v>1</v>
      </c>
      <c r="T1495" s="21">
        <f>'Raw Data'!T1495</f>
        <v>298.39999999999998</v>
      </c>
      <c r="U1495" s="21" t="str">
        <f>INDEX('Lookup Tables'!$C$7:$C$9,MATCH(E1495,'Lookup Tables'!$B$7:$B$9,0))</f>
        <v>Tier 1 (Metro)</v>
      </c>
      <c r="V1495" s="21" t="str">
        <f t="shared" si="69"/>
        <v>0-6 months</v>
      </c>
      <c r="W1495" s="21" t="str">
        <f t="shared" si="70"/>
        <v>Low Risk</v>
      </c>
      <c r="X1495" s="21" t="str">
        <f t="shared" si="71"/>
        <v>No</v>
      </c>
    </row>
    <row r="1496" spans="1:24" x14ac:dyDescent="0.3">
      <c r="A1496" s="21">
        <f>'Raw Data'!A1496</f>
        <v>51495</v>
      </c>
      <c r="B1496" s="21">
        <f>'Raw Data'!B1496</f>
        <v>0</v>
      </c>
      <c r="C1496" s="21">
        <f>'Raw Data'!C1496</f>
        <v>2</v>
      </c>
      <c r="D1496" s="21" t="str">
        <f>'Raw Data'!D1496</f>
        <v>Mobile Phone</v>
      </c>
      <c r="E1496" s="21">
        <f>'Raw Data'!E1496</f>
        <v>2</v>
      </c>
      <c r="F1496" s="21">
        <f>IF('Raw Data'!F1496="",ROUND(AVERAGE('Raw Data'!$F$2:$F$1501),1),'Raw Data'!F1496)</f>
        <v>18</v>
      </c>
      <c r="G1496" s="21" t="str">
        <f>'Raw Data'!G1496</f>
        <v>Debit Card</v>
      </c>
      <c r="H1496" s="21" t="str">
        <f>'Raw Data'!H1496</f>
        <v>Male</v>
      </c>
      <c r="I1496" s="21">
        <f>IF('Raw Data'!I1496="",ROUND(AVERAGE('Raw Data'!$I$2:$I$1501),1),'Raw Data'!I1496)</f>
        <v>2</v>
      </c>
      <c r="J1496" s="21">
        <f>'Raw Data'!J1496</f>
        <v>3</v>
      </c>
      <c r="K1496" s="21" t="str">
        <f>'Raw Data'!K1496</f>
        <v>Mobile Phone</v>
      </c>
      <c r="L1496" s="21">
        <f>'Raw Data'!L1496</f>
        <v>1</v>
      </c>
      <c r="M1496" s="21" t="str">
        <f>'Raw Data'!M1496</f>
        <v>Divorced</v>
      </c>
      <c r="N1496" s="21">
        <f>'Raw Data'!N1496</f>
        <v>2</v>
      </c>
      <c r="O1496" s="21">
        <f>'Raw Data'!O1496</f>
        <v>0</v>
      </c>
      <c r="P1496" s="21">
        <f>IF('Raw Data'!P1496="",ROUND(AVERAGE('Raw Data'!$P$2:$P$1501),1),'Raw Data'!P1496)</f>
        <v>26</v>
      </c>
      <c r="Q1496" s="21">
        <f>IF('Raw Data'!Q1496="",ROUND(AVERAGE('Raw Data'!$Q$2:$Q$1501),0),'Raw Data'!Q1496)</f>
        <v>2</v>
      </c>
      <c r="R1496" s="21">
        <f>'Raw Data'!R1496</f>
        <v>7</v>
      </c>
      <c r="S1496" s="21">
        <f>IF('Raw Data'!S1496="",ROUND(AVERAGE('Raw Data'!$S$2:$S$1501),0),'Raw Data'!S1496)</f>
        <v>2</v>
      </c>
      <c r="T1496" s="21">
        <f>'Raw Data'!T1496</f>
        <v>215.72</v>
      </c>
      <c r="U1496" s="21" t="str">
        <f>INDEX('Lookup Tables'!$C$7:$C$9,MATCH(E1496,'Lookup Tables'!$B$7:$B$9,0))</f>
        <v>Tier 2 (Urban)</v>
      </c>
      <c r="V1496" s="21" t="str">
        <f t="shared" si="69"/>
        <v>0-6 months</v>
      </c>
      <c r="W1496" s="21" t="str">
        <f t="shared" si="70"/>
        <v>Low Risk</v>
      </c>
      <c r="X1496" s="21" t="str">
        <f t="shared" si="71"/>
        <v>No</v>
      </c>
    </row>
    <row r="1497" spans="1:24" x14ac:dyDescent="0.3">
      <c r="A1497" s="21">
        <f>'Raw Data'!A1497</f>
        <v>51496</v>
      </c>
      <c r="B1497" s="21">
        <f>'Raw Data'!B1497</f>
        <v>0</v>
      </c>
      <c r="C1497" s="21">
        <f>'Raw Data'!C1497</f>
        <v>7</v>
      </c>
      <c r="D1497" s="21" t="str">
        <f>'Raw Data'!D1497</f>
        <v>Computer</v>
      </c>
      <c r="E1497" s="21">
        <f>'Raw Data'!E1497</f>
        <v>3</v>
      </c>
      <c r="F1497" s="21">
        <f>IF('Raw Data'!F1497="",ROUND(AVERAGE('Raw Data'!$F$2:$F$1501),1),'Raw Data'!F1497)</f>
        <v>7</v>
      </c>
      <c r="G1497" s="21" t="str">
        <f>'Raw Data'!G1497</f>
        <v>Debit Card</v>
      </c>
      <c r="H1497" s="21" t="str">
        <f>'Raw Data'!H1497</f>
        <v>Male</v>
      </c>
      <c r="I1497" s="21">
        <f>IF('Raw Data'!I1497="",ROUND(AVERAGE('Raw Data'!$I$2:$I$1501),1),'Raw Data'!I1497)</f>
        <v>2.7</v>
      </c>
      <c r="J1497" s="21">
        <f>'Raw Data'!J1497</f>
        <v>2</v>
      </c>
      <c r="K1497" s="21" t="str">
        <f>'Raw Data'!K1497</f>
        <v>Laptop &amp; Accessory</v>
      </c>
      <c r="L1497" s="21">
        <f>'Raw Data'!L1497</f>
        <v>3</v>
      </c>
      <c r="M1497" s="21" t="str">
        <f>'Raw Data'!M1497</f>
        <v>Single</v>
      </c>
      <c r="N1497" s="21">
        <f>'Raw Data'!N1497</f>
        <v>4</v>
      </c>
      <c r="O1497" s="21">
        <f>'Raw Data'!O1497</f>
        <v>1</v>
      </c>
      <c r="P1497" s="21">
        <f>IF('Raw Data'!P1497="",ROUND(AVERAGE('Raw Data'!$P$2:$P$1501),1),'Raw Data'!P1497)</f>
        <v>14.4</v>
      </c>
      <c r="Q1497" s="21">
        <f>IF('Raw Data'!Q1497="",ROUND(AVERAGE('Raw Data'!$Q$2:$Q$1501),0),'Raw Data'!Q1497)</f>
        <v>3</v>
      </c>
      <c r="R1497" s="21">
        <f>'Raw Data'!R1497</f>
        <v>3</v>
      </c>
      <c r="S1497" s="21">
        <f>IF('Raw Data'!S1497="",ROUND(AVERAGE('Raw Data'!$S$2:$S$1501),0),'Raw Data'!S1497)</f>
        <v>1</v>
      </c>
      <c r="T1497" s="21">
        <f>'Raw Data'!T1497</f>
        <v>222.76</v>
      </c>
      <c r="U1497" s="21" t="str">
        <f>INDEX('Lookup Tables'!$C$7:$C$9,MATCH(E1497,'Lookup Tables'!$B$7:$B$9,0))</f>
        <v>Tier 3 (Semi-urban/Rural)</v>
      </c>
      <c r="V1497" s="21" t="str">
        <f t="shared" si="69"/>
        <v>7-12 months</v>
      </c>
      <c r="W1497" s="21" t="str">
        <f t="shared" si="70"/>
        <v>Medium Risk</v>
      </c>
      <c r="X1497" s="21" t="str">
        <f t="shared" si="71"/>
        <v>No</v>
      </c>
    </row>
    <row r="1498" spans="1:24" x14ac:dyDescent="0.3">
      <c r="A1498" s="21">
        <f>'Raw Data'!A1498</f>
        <v>51497</v>
      </c>
      <c r="B1498" s="21">
        <f>'Raw Data'!B1498</f>
        <v>0</v>
      </c>
      <c r="C1498" s="21">
        <f>'Raw Data'!C1498</f>
        <v>0</v>
      </c>
      <c r="D1498" s="21" t="str">
        <f>'Raw Data'!D1498</f>
        <v>Computer</v>
      </c>
      <c r="E1498" s="21">
        <f>'Raw Data'!E1498</f>
        <v>1</v>
      </c>
      <c r="F1498" s="21">
        <f>IF('Raw Data'!F1498="",ROUND(AVERAGE('Raw Data'!$F$2:$F$1501),1),'Raw Data'!F1498)</f>
        <v>10</v>
      </c>
      <c r="G1498" s="21" t="str">
        <f>'Raw Data'!G1498</f>
        <v>Credit Card</v>
      </c>
      <c r="H1498" s="21" t="str">
        <f>'Raw Data'!H1498</f>
        <v>Female</v>
      </c>
      <c r="I1498" s="21">
        <f>IF('Raw Data'!I1498="",ROUND(AVERAGE('Raw Data'!$I$2:$I$1501),1),'Raw Data'!I1498)</f>
        <v>3.1</v>
      </c>
      <c r="J1498" s="21">
        <f>'Raw Data'!J1498</f>
        <v>3</v>
      </c>
      <c r="K1498" s="21" t="str">
        <f>'Raw Data'!K1498</f>
        <v>Mobile Phone</v>
      </c>
      <c r="L1498" s="21">
        <f>'Raw Data'!L1498</f>
        <v>3</v>
      </c>
      <c r="M1498" s="21" t="str">
        <f>'Raw Data'!M1498</f>
        <v>Married</v>
      </c>
      <c r="N1498" s="21">
        <f>'Raw Data'!N1498</f>
        <v>1</v>
      </c>
      <c r="O1498" s="21">
        <f>'Raw Data'!O1498</f>
        <v>1</v>
      </c>
      <c r="P1498" s="21">
        <f>IF('Raw Data'!P1498="",ROUND(AVERAGE('Raw Data'!$P$2:$P$1501),1),'Raw Data'!P1498)</f>
        <v>13.5</v>
      </c>
      <c r="Q1498" s="21">
        <f>IF('Raw Data'!Q1498="",ROUND(AVERAGE('Raw Data'!$Q$2:$Q$1501),0),'Raw Data'!Q1498)</f>
        <v>2</v>
      </c>
      <c r="R1498" s="21">
        <f>'Raw Data'!R1498</f>
        <v>4</v>
      </c>
      <c r="S1498" s="21">
        <f>IF('Raw Data'!S1498="",ROUND(AVERAGE('Raw Data'!$S$2:$S$1501),0),'Raw Data'!S1498)</f>
        <v>5</v>
      </c>
      <c r="T1498" s="21">
        <f>'Raw Data'!T1498</f>
        <v>250.68</v>
      </c>
      <c r="U1498" s="21" t="str">
        <f>INDEX('Lookup Tables'!$C$7:$C$9,MATCH(E1498,'Lookup Tables'!$B$7:$B$9,0))</f>
        <v>Tier 1 (Metro)</v>
      </c>
      <c r="V1498" s="21" t="str">
        <f t="shared" si="69"/>
        <v>0-6 months</v>
      </c>
      <c r="W1498" s="21" t="str">
        <f t="shared" si="70"/>
        <v>Medium Risk</v>
      </c>
      <c r="X1498" s="21" t="str">
        <f t="shared" si="71"/>
        <v>No</v>
      </c>
    </row>
    <row r="1499" spans="1:24" x14ac:dyDescent="0.3">
      <c r="A1499" s="21">
        <f>'Raw Data'!A1499</f>
        <v>51498</v>
      </c>
      <c r="B1499" s="21">
        <f>'Raw Data'!B1499</f>
        <v>0</v>
      </c>
      <c r="C1499" s="21">
        <f>'Raw Data'!C1499</f>
        <v>0</v>
      </c>
      <c r="D1499" s="21" t="str">
        <f>'Raw Data'!D1499</f>
        <v>Mobile Phone</v>
      </c>
      <c r="E1499" s="21">
        <f>'Raw Data'!E1499</f>
        <v>2</v>
      </c>
      <c r="F1499" s="21">
        <f>IF('Raw Data'!F1499="",ROUND(AVERAGE('Raw Data'!$F$2:$F$1501),1),'Raw Data'!F1499)</f>
        <v>11</v>
      </c>
      <c r="G1499" s="21" t="str">
        <f>'Raw Data'!G1499</f>
        <v>E wallet</v>
      </c>
      <c r="H1499" s="21" t="str">
        <f>'Raw Data'!H1499</f>
        <v>Male</v>
      </c>
      <c r="I1499" s="21">
        <f>IF('Raw Data'!I1499="",ROUND(AVERAGE('Raw Data'!$I$2:$I$1501),1),'Raw Data'!I1499)</f>
        <v>2.5</v>
      </c>
      <c r="J1499" s="21">
        <f>'Raw Data'!J1499</f>
        <v>2</v>
      </c>
      <c r="K1499" s="21" t="str">
        <f>'Raw Data'!K1499</f>
        <v>Mobile Phone</v>
      </c>
      <c r="L1499" s="21">
        <f>'Raw Data'!L1499</f>
        <v>1</v>
      </c>
      <c r="M1499" s="21" t="str">
        <f>'Raw Data'!M1499</f>
        <v>Married</v>
      </c>
      <c r="N1499" s="21">
        <f>'Raw Data'!N1499</f>
        <v>2</v>
      </c>
      <c r="O1499" s="21">
        <f>'Raw Data'!O1499</f>
        <v>1</v>
      </c>
      <c r="P1499" s="21">
        <f>IF('Raw Data'!P1499="",ROUND(AVERAGE('Raw Data'!$P$2:$P$1501),1),'Raw Data'!P1499)</f>
        <v>15.5</v>
      </c>
      <c r="Q1499" s="21">
        <f>IF('Raw Data'!Q1499="",ROUND(AVERAGE('Raw Data'!$Q$2:$Q$1501),0),'Raw Data'!Q1499)</f>
        <v>1</v>
      </c>
      <c r="R1499" s="21">
        <f>'Raw Data'!R1499</f>
        <v>4</v>
      </c>
      <c r="S1499" s="21">
        <f>IF('Raw Data'!S1499="",ROUND(AVERAGE('Raw Data'!$S$2:$S$1501),0),'Raw Data'!S1499)</f>
        <v>1</v>
      </c>
      <c r="T1499" s="21">
        <f>'Raw Data'!T1499</f>
        <v>89.79</v>
      </c>
      <c r="U1499" s="21" t="str">
        <f>INDEX('Lookup Tables'!$C$7:$C$9,MATCH(E1499,'Lookup Tables'!$B$7:$B$9,0))</f>
        <v>Tier 2 (Urban)</v>
      </c>
      <c r="V1499" s="21" t="str">
        <f t="shared" si="69"/>
        <v>0-6 months</v>
      </c>
      <c r="W1499" s="21" t="str">
        <f t="shared" si="70"/>
        <v>High Risk</v>
      </c>
      <c r="X1499" s="21" t="str">
        <f t="shared" si="71"/>
        <v>No</v>
      </c>
    </row>
    <row r="1500" spans="1:24" x14ac:dyDescent="0.3">
      <c r="A1500" s="21">
        <f>'Raw Data'!A1500</f>
        <v>51499</v>
      </c>
      <c r="B1500" s="21">
        <f>'Raw Data'!B1500</f>
        <v>1</v>
      </c>
      <c r="C1500" s="21">
        <f>'Raw Data'!C1500</f>
        <v>2</v>
      </c>
      <c r="D1500" s="21" t="str">
        <f>'Raw Data'!D1500</f>
        <v>Mobile Phone</v>
      </c>
      <c r="E1500" s="21">
        <f>'Raw Data'!E1500</f>
        <v>2</v>
      </c>
      <c r="F1500" s="21">
        <f>IF('Raw Data'!F1500="",ROUND(AVERAGE('Raw Data'!$F$2:$F$1501),1),'Raw Data'!F1500)</f>
        <v>21</v>
      </c>
      <c r="G1500" s="21" t="str">
        <f>'Raw Data'!G1500</f>
        <v>Debit Card</v>
      </c>
      <c r="H1500" s="21" t="str">
        <f>'Raw Data'!H1500</f>
        <v>Male</v>
      </c>
      <c r="I1500" s="21">
        <f>IF('Raw Data'!I1500="",ROUND(AVERAGE('Raw Data'!$I$2:$I$1501),1),'Raw Data'!I1500)</f>
        <v>3.4</v>
      </c>
      <c r="J1500" s="21">
        <f>'Raw Data'!J1500</f>
        <v>3</v>
      </c>
      <c r="K1500" s="21" t="str">
        <f>'Raw Data'!K1500</f>
        <v>Mobile Phone</v>
      </c>
      <c r="L1500" s="21">
        <f>'Raw Data'!L1500</f>
        <v>3</v>
      </c>
      <c r="M1500" s="21" t="str">
        <f>'Raw Data'!M1500</f>
        <v>Married</v>
      </c>
      <c r="N1500" s="21">
        <f>'Raw Data'!N1500</f>
        <v>8</v>
      </c>
      <c r="O1500" s="21">
        <f>'Raw Data'!O1500</f>
        <v>1</v>
      </c>
      <c r="P1500" s="21">
        <f>IF('Raw Data'!P1500="",ROUND(AVERAGE('Raw Data'!$P$2:$P$1501),1),'Raw Data'!P1500)</f>
        <v>20.8</v>
      </c>
      <c r="Q1500" s="21">
        <f>IF('Raw Data'!Q1500="",ROUND(AVERAGE('Raw Data'!$Q$2:$Q$1501),0),'Raw Data'!Q1500)</f>
        <v>0</v>
      </c>
      <c r="R1500" s="21">
        <f>'Raw Data'!R1500</f>
        <v>4</v>
      </c>
      <c r="S1500" s="21">
        <f>IF('Raw Data'!S1500="",ROUND(AVERAGE('Raw Data'!$S$2:$S$1501),0),'Raw Data'!S1500)</f>
        <v>6</v>
      </c>
      <c r="T1500" s="21">
        <f>'Raw Data'!T1500</f>
        <v>129.87</v>
      </c>
      <c r="U1500" s="21" t="str">
        <f>INDEX('Lookup Tables'!$C$7:$C$9,MATCH(E1500,'Lookup Tables'!$B$7:$B$9,0))</f>
        <v>Tier 2 (Urban)</v>
      </c>
      <c r="V1500" s="21" t="str">
        <f t="shared" si="69"/>
        <v>0-6 months</v>
      </c>
      <c r="W1500" s="21" t="str">
        <f t="shared" si="70"/>
        <v>Medium Risk</v>
      </c>
      <c r="X1500" s="21" t="str">
        <f t="shared" si="71"/>
        <v>Yes</v>
      </c>
    </row>
    <row r="1501" spans="1:24" x14ac:dyDescent="0.3">
      <c r="A1501" s="21">
        <f>'Raw Data'!A1501</f>
        <v>51500</v>
      </c>
      <c r="B1501" s="21">
        <f>'Raw Data'!B1501</f>
        <v>1</v>
      </c>
      <c r="C1501" s="21">
        <f>'Raw Data'!C1501</f>
        <v>0</v>
      </c>
      <c r="D1501" s="21" t="str">
        <f>'Raw Data'!D1501</f>
        <v>Mobile Phone</v>
      </c>
      <c r="E1501" s="21">
        <f>'Raw Data'!E1501</f>
        <v>1</v>
      </c>
      <c r="F1501" s="21">
        <f>IF('Raw Data'!F1501="",ROUND(AVERAGE('Raw Data'!$F$2:$F$1501),1),'Raw Data'!F1501)</f>
        <v>28</v>
      </c>
      <c r="G1501" s="21" t="str">
        <f>'Raw Data'!G1501</f>
        <v>Debit Card</v>
      </c>
      <c r="H1501" s="21" t="str">
        <f>'Raw Data'!H1501</f>
        <v>Female</v>
      </c>
      <c r="I1501" s="21">
        <f>IF('Raw Data'!I1501="",ROUND(AVERAGE('Raw Data'!$I$2:$I$1501),1),'Raw Data'!I1501)</f>
        <v>2.5</v>
      </c>
      <c r="J1501" s="21">
        <f>'Raw Data'!J1501</f>
        <v>4</v>
      </c>
      <c r="K1501" s="21" t="str">
        <f>'Raw Data'!K1501</f>
        <v>Grocery</v>
      </c>
      <c r="L1501" s="21">
        <f>'Raw Data'!L1501</f>
        <v>3</v>
      </c>
      <c r="M1501" s="21" t="str">
        <f>'Raw Data'!M1501</f>
        <v>Divorced</v>
      </c>
      <c r="N1501" s="21">
        <f>'Raw Data'!N1501</f>
        <v>7</v>
      </c>
      <c r="O1501" s="21">
        <f>'Raw Data'!O1501</f>
        <v>0</v>
      </c>
      <c r="P1501" s="21">
        <f>IF('Raw Data'!P1501="",ROUND(AVERAGE('Raw Data'!$P$2:$P$1501),1),'Raw Data'!P1501)</f>
        <v>14.7</v>
      </c>
      <c r="Q1501" s="21">
        <f>IF('Raw Data'!Q1501="",ROUND(AVERAGE('Raw Data'!$Q$2:$Q$1501),0),'Raw Data'!Q1501)</f>
        <v>2</v>
      </c>
      <c r="R1501" s="21">
        <f>'Raw Data'!R1501</f>
        <v>4</v>
      </c>
      <c r="S1501" s="21">
        <f>IF('Raw Data'!S1501="",ROUND(AVERAGE('Raw Data'!$S$2:$S$1501),0),'Raw Data'!S1501)</f>
        <v>7</v>
      </c>
      <c r="T1501" s="21">
        <f>'Raw Data'!T1501</f>
        <v>225.27</v>
      </c>
      <c r="U1501" s="21" t="str">
        <f>INDEX('Lookup Tables'!$C$7:$C$9,MATCH(E1501,'Lookup Tables'!$B$7:$B$9,0))</f>
        <v>Tier 1 (Metro)</v>
      </c>
      <c r="V1501" s="21" t="str">
        <f t="shared" si="69"/>
        <v>0-6 months</v>
      </c>
      <c r="W1501" s="21" t="str">
        <f t="shared" si="70"/>
        <v>Medium Risk</v>
      </c>
      <c r="X1501" s="21" t="str">
        <f t="shared" si="71"/>
        <v>Yes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44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3" width="12" customWidth="1"/>
    <col min="4" max="4" width="10" customWidth="1"/>
    <col min="5" max="5" width="12" customWidth="1"/>
    <col min="6" max="6" width="3" customWidth="1"/>
    <col min="7" max="7" width="26" customWidth="1"/>
    <col min="8" max="9" width="15" customWidth="1"/>
  </cols>
  <sheetData>
    <row r="2" spans="2:10" ht="21" x14ac:dyDescent="0.4">
      <c r="B2" s="15" t="s">
        <v>84</v>
      </c>
    </row>
    <row r="3" spans="2:10" x14ac:dyDescent="0.3">
      <c r="B3" s="16" t="s">
        <v>85</v>
      </c>
    </row>
    <row r="5" spans="2:10" ht="15.6" x14ac:dyDescent="0.3">
      <c r="B5" s="19" t="s">
        <v>86</v>
      </c>
      <c r="G5" s="19" t="s">
        <v>87</v>
      </c>
    </row>
    <row r="6" spans="2:10" ht="26.4" x14ac:dyDescent="0.3">
      <c r="B6" s="17" t="s">
        <v>51</v>
      </c>
      <c r="C6" s="17" t="s">
        <v>88</v>
      </c>
      <c r="D6" s="17" t="s">
        <v>89</v>
      </c>
      <c r="E6" s="17" t="s">
        <v>90</v>
      </c>
      <c r="G6" s="17" t="s">
        <v>21</v>
      </c>
      <c r="H6" s="17" t="s">
        <v>88</v>
      </c>
      <c r="I6" s="17" t="s">
        <v>89</v>
      </c>
      <c r="J6" s="17" t="s">
        <v>90</v>
      </c>
    </row>
    <row r="7" spans="2:10" x14ac:dyDescent="0.3">
      <c r="B7" s="21" t="s">
        <v>52</v>
      </c>
      <c r="C7" s="21">
        <f>COUNTIFS('Cleaned Data'!$U$2:$U$1501,"Tier 1 (Metro)")</f>
        <v>756</v>
      </c>
      <c r="D7" s="21">
        <f>COUNTIFS('Cleaned Data'!$U$2:$U$1501,"Tier 1 (Metro)",'Cleaned Data'!$B$2:$B$1501,1)</f>
        <v>115</v>
      </c>
      <c r="E7" s="22">
        <f>IF(C7=0,0,D7/C7)</f>
        <v>0.15211640211640212</v>
      </c>
      <c r="G7" s="21" t="s">
        <v>44</v>
      </c>
      <c r="H7" s="21">
        <f>COUNTIFS('Cleaned Data'!$K$2:$K$1501,"Laptop &amp; Accessory")</f>
        <v>460</v>
      </c>
      <c r="I7" s="21">
        <f>COUNTIFS('Cleaned Data'!$K$2:$K$1501,"Laptop &amp; Accessory",'Cleaned Data'!$B$2:$B$1501,1)</f>
        <v>67</v>
      </c>
      <c r="J7" s="22">
        <f>IF(H7=0,0,I7/H7)</f>
        <v>0.14565217391304347</v>
      </c>
    </row>
    <row r="8" spans="2:10" x14ac:dyDescent="0.3">
      <c r="B8" s="21" t="s">
        <v>53</v>
      </c>
      <c r="C8" s="21">
        <f>COUNTIFS('Cleaned Data'!$U$2:$U$1501,"Tier 2 (Urban)")</f>
        <v>298</v>
      </c>
      <c r="D8" s="21">
        <f>COUNTIFS('Cleaned Data'!$U$2:$U$1501,"Tier 2 (Urban)",'Cleaned Data'!$B$2:$B$1501,1)</f>
        <v>38</v>
      </c>
      <c r="E8" s="22">
        <f>IF(C8=0,0,D8/C8)</f>
        <v>0.12751677852348994</v>
      </c>
      <c r="G8" s="21" t="s">
        <v>36</v>
      </c>
      <c r="H8" s="21">
        <f>COUNTIFS('Cleaned Data'!$K$2:$K$1501,"Mobile Phone")</f>
        <v>442</v>
      </c>
      <c r="I8" s="21">
        <f>COUNTIFS('Cleaned Data'!$K$2:$K$1501,"Mobile Phone",'Cleaned Data'!$B$2:$B$1501,1)</f>
        <v>72</v>
      </c>
      <c r="J8" s="22">
        <f>IF(H8=0,0,I8/H8)</f>
        <v>0.16289592760180996</v>
      </c>
    </row>
    <row r="9" spans="2:10" x14ac:dyDescent="0.3">
      <c r="B9" s="21" t="s">
        <v>54</v>
      </c>
      <c r="C9" s="21">
        <f>COUNTIFS('Cleaned Data'!$U$2:$U$1501,"Tier 3 (Semi-urban/Rural)")</f>
        <v>446</v>
      </c>
      <c r="D9" s="21">
        <f>COUNTIFS('Cleaned Data'!$U$2:$U$1501,"Tier 3 (Semi-urban/Rural)",'Cleaned Data'!$B$2:$B$1501,1)</f>
        <v>62</v>
      </c>
      <c r="E9" s="22">
        <f>IF(C9=0,0,D9/C9)</f>
        <v>0.13901345291479822</v>
      </c>
      <c r="G9" s="21" t="s">
        <v>40</v>
      </c>
      <c r="H9" s="21">
        <f>COUNTIFS('Cleaned Data'!$K$2:$K$1501,"Fashion")</f>
        <v>265</v>
      </c>
      <c r="I9" s="21">
        <f>COUNTIFS('Cleaned Data'!$K$2:$K$1501,"Fashion",'Cleaned Data'!$B$2:$B$1501,1)</f>
        <v>27</v>
      </c>
      <c r="J9" s="22">
        <f>IF(H9=0,0,I9/H9)</f>
        <v>0.10188679245283019</v>
      </c>
    </row>
    <row r="10" spans="2:10" x14ac:dyDescent="0.3">
      <c r="G10" s="21" t="s">
        <v>46</v>
      </c>
      <c r="H10" s="21">
        <f>COUNTIFS('Cleaned Data'!$K$2:$K$1501,"Grocery")</f>
        <v>195</v>
      </c>
      <c r="I10" s="21">
        <f>COUNTIFS('Cleaned Data'!$K$2:$K$1501,"Grocery",'Cleaned Data'!$B$2:$B$1501,1)</f>
        <v>28</v>
      </c>
      <c r="J10" s="22">
        <f>IF(H10=0,0,I10/H10)</f>
        <v>0.14358974358974358</v>
      </c>
    </row>
    <row r="11" spans="2:10" x14ac:dyDescent="0.3">
      <c r="G11" s="21" t="s">
        <v>34</v>
      </c>
      <c r="H11" s="21">
        <f>COUNTIFS('Cleaned Data'!$K$2:$K$1501,"Others")</f>
        <v>138</v>
      </c>
      <c r="I11" s="21">
        <f>COUNTIFS('Cleaned Data'!$K$2:$K$1501,"Others",'Cleaned Data'!$B$2:$B$1501,1)</f>
        <v>21</v>
      </c>
      <c r="J11" s="22">
        <f>IF(H11=0,0,I11/H11)</f>
        <v>0.15217391304347827</v>
      </c>
    </row>
    <row r="13" spans="2:10" ht="15.6" x14ac:dyDescent="0.3">
      <c r="B13" s="19" t="s">
        <v>91</v>
      </c>
      <c r="G13" s="19" t="s">
        <v>92</v>
      </c>
    </row>
    <row r="14" spans="2:10" ht="26.4" x14ac:dyDescent="0.3">
      <c r="B14" s="17" t="s">
        <v>17</v>
      </c>
      <c r="C14" s="17" t="s">
        <v>88</v>
      </c>
      <c r="D14" s="17" t="s">
        <v>89</v>
      </c>
      <c r="E14" s="17" t="s">
        <v>90</v>
      </c>
      <c r="G14" s="17" t="s">
        <v>14</v>
      </c>
      <c r="H14" s="17" t="s">
        <v>88</v>
      </c>
      <c r="I14" s="17" t="s">
        <v>89</v>
      </c>
      <c r="J14" s="17" t="s">
        <v>90</v>
      </c>
    </row>
    <row r="15" spans="2:10" x14ac:dyDescent="0.3">
      <c r="B15" s="21" t="s">
        <v>39</v>
      </c>
      <c r="C15" s="21">
        <f>COUNTIFS('Cleaned Data'!$G$2:$G$1501,"Debit Card")</f>
        <v>550</v>
      </c>
      <c r="D15" s="21">
        <f>COUNTIFS('Cleaned Data'!$G$2:$G$1501,"Debit Card",'Cleaned Data'!$B$2:$B$1501,1)</f>
        <v>79</v>
      </c>
      <c r="E15" s="22">
        <f>IF(C15=0,0,D15/C15)</f>
        <v>0.14363636363636365</v>
      </c>
      <c r="G15" s="21" t="s">
        <v>36</v>
      </c>
      <c r="H15" s="21">
        <f>COUNTIFS('Cleaned Data'!$D$2:$D$1501,"Mobile Phone")</f>
        <v>849</v>
      </c>
      <c r="I15" s="21">
        <f>COUNTIFS('Cleaned Data'!$D$2:$D$1501,"Mobile Phone",'Cleaned Data'!$B$2:$B$1501,1)</f>
        <v>113</v>
      </c>
      <c r="J15" s="22">
        <f>IF(H15=0,0,I15/H15)</f>
        <v>0.13309776207302709</v>
      </c>
    </row>
    <row r="16" spans="2:10" x14ac:dyDescent="0.3">
      <c r="B16" s="21" t="s">
        <v>37</v>
      </c>
      <c r="C16" s="21">
        <f>COUNTIFS('Cleaned Data'!$G$2:$G$1501,"Credit Card")</f>
        <v>397</v>
      </c>
      <c r="D16" s="21">
        <f>COUNTIFS('Cleaned Data'!$G$2:$G$1501,"Credit Card",'Cleaned Data'!$B$2:$B$1501,1)</f>
        <v>58</v>
      </c>
      <c r="E16" s="22">
        <f>IF(C16=0,0,D16/C16)</f>
        <v>0.14609571788413098</v>
      </c>
      <c r="G16" s="21" t="s">
        <v>31</v>
      </c>
      <c r="H16" s="21">
        <f>COUNTIFS('Cleaned Data'!$D$2:$D$1501,"Computer")</f>
        <v>342</v>
      </c>
      <c r="I16" s="21">
        <f>COUNTIFS('Cleaned Data'!$D$2:$D$1501,"Computer",'Cleaned Data'!$B$2:$B$1501,1)</f>
        <v>57</v>
      </c>
      <c r="J16" s="22">
        <f>IF(H16=0,0,I16/H16)</f>
        <v>0.16666666666666666</v>
      </c>
    </row>
    <row r="17" spans="2:10" x14ac:dyDescent="0.3">
      <c r="B17" s="21" t="s">
        <v>47</v>
      </c>
      <c r="C17" s="21">
        <f>COUNTIFS('Cleaned Data'!$G$2:$G$1501,"E wallet")</f>
        <v>222</v>
      </c>
      <c r="D17" s="21">
        <f>COUNTIFS('Cleaned Data'!$G$2:$G$1501,"E wallet",'Cleaned Data'!$B$2:$B$1501,1)</f>
        <v>34</v>
      </c>
      <c r="E17" s="22">
        <f>IF(C17=0,0,D17/C17)</f>
        <v>0.15315315315315314</v>
      </c>
      <c r="G17" s="21" t="s">
        <v>42</v>
      </c>
      <c r="H17" s="21">
        <f>COUNTIFS('Cleaned Data'!$D$2:$D$1501,"Phone")</f>
        <v>309</v>
      </c>
      <c r="I17" s="21">
        <f>COUNTIFS('Cleaned Data'!$D$2:$D$1501,"Phone",'Cleaned Data'!$B$2:$B$1501,1)</f>
        <v>45</v>
      </c>
      <c r="J17" s="22">
        <f>IF(H17=0,0,I17/H17)</f>
        <v>0.14563106796116504</v>
      </c>
    </row>
    <row r="18" spans="2:10" x14ac:dyDescent="0.3">
      <c r="B18" s="21" t="s">
        <v>32</v>
      </c>
      <c r="C18" s="21">
        <f>COUNTIFS('Cleaned Data'!$G$2:$G$1501,"UPI")</f>
        <v>196</v>
      </c>
      <c r="D18" s="21">
        <f>COUNTIFS('Cleaned Data'!$G$2:$G$1501,"UPI",'Cleaned Data'!$B$2:$B$1501,1)</f>
        <v>24</v>
      </c>
      <c r="E18" s="22">
        <f>IF(C18=0,0,D18/C18)</f>
        <v>0.12244897959183673</v>
      </c>
    </row>
    <row r="19" spans="2:10" x14ac:dyDescent="0.3">
      <c r="B19" s="21" t="s">
        <v>43</v>
      </c>
      <c r="C19" s="21">
        <f>COUNTIFS('Cleaned Data'!$G$2:$G$1501,"Cash on Delivery")</f>
        <v>135</v>
      </c>
      <c r="D19" s="21">
        <f>COUNTIFS('Cleaned Data'!$G$2:$G$1501,"Cash on Delivery",'Cleaned Data'!$B$2:$B$1501,1)</f>
        <v>20</v>
      </c>
      <c r="E19" s="22">
        <f>IF(C19=0,0,D19/C19)</f>
        <v>0.14814814814814814</v>
      </c>
    </row>
    <row r="21" spans="2:10" ht="15.6" x14ac:dyDescent="0.3">
      <c r="B21" s="19" t="s">
        <v>93</v>
      </c>
      <c r="G21" s="19" t="s">
        <v>94</v>
      </c>
    </row>
    <row r="22" spans="2:10" ht="26.4" x14ac:dyDescent="0.3">
      <c r="B22" s="17" t="s">
        <v>23</v>
      </c>
      <c r="C22" s="17" t="s">
        <v>88</v>
      </c>
      <c r="D22" s="17" t="s">
        <v>89</v>
      </c>
      <c r="E22" s="17" t="s">
        <v>90</v>
      </c>
      <c r="G22" s="17" t="s">
        <v>22</v>
      </c>
      <c r="H22" s="17" t="s">
        <v>88</v>
      </c>
      <c r="I22" s="17" t="s">
        <v>89</v>
      </c>
      <c r="J22" s="17" t="s">
        <v>90</v>
      </c>
    </row>
    <row r="23" spans="2:10" x14ac:dyDescent="0.3">
      <c r="B23" s="21" t="s">
        <v>41</v>
      </c>
      <c r="C23" s="21">
        <f>COUNTIFS('Cleaned Data'!$M$2:$M$1501,"Single")</f>
        <v>565</v>
      </c>
      <c r="D23" s="21">
        <f>COUNTIFS('Cleaned Data'!$M$2:$M$1501,"Single",'Cleaned Data'!$B$2:$B$1501,1)</f>
        <v>78</v>
      </c>
      <c r="E23" s="22">
        <f>IF(C23=0,0,D23/C23)</f>
        <v>0.13805309734513274</v>
      </c>
      <c r="G23" s="21">
        <v>1</v>
      </c>
      <c r="H23" s="21">
        <f>COUNTIFS('Cleaned Data'!$L$2:$L$1501,1)</f>
        <v>166</v>
      </c>
      <c r="I23" s="21">
        <f>COUNTIFS('Cleaned Data'!$L$2:$L$1501,1,'Cleaned Data'!$B$2:$B$1501,1)</f>
        <v>27</v>
      </c>
      <c r="J23" s="22">
        <f>IF(H23=0,0,I23/H23)</f>
        <v>0.16265060240963855</v>
      </c>
    </row>
    <row r="24" spans="2:10" x14ac:dyDescent="0.3">
      <c r="B24" s="21" t="s">
        <v>35</v>
      </c>
      <c r="C24" s="21">
        <f>COUNTIFS('Cleaned Data'!$M$2:$M$1501,"Married")</f>
        <v>763</v>
      </c>
      <c r="D24" s="21">
        <f>COUNTIFS('Cleaned Data'!$M$2:$M$1501,"Married",'Cleaned Data'!$B$2:$B$1501,1)</f>
        <v>112</v>
      </c>
      <c r="E24" s="22">
        <f>IF(C24=0,0,D24/C24)</f>
        <v>0.14678899082568808</v>
      </c>
      <c r="G24" s="21">
        <v>2</v>
      </c>
      <c r="H24" s="21">
        <f>COUNTIFS('Cleaned Data'!$L$2:$L$1501,2)</f>
        <v>196</v>
      </c>
      <c r="I24" s="21">
        <f>COUNTIFS('Cleaned Data'!$L$2:$L$1501,2,'Cleaned Data'!$B$2:$B$1501,1)</f>
        <v>39</v>
      </c>
      <c r="J24" s="22">
        <f>IF(H24=0,0,I24/H24)</f>
        <v>0.19897959183673469</v>
      </c>
    </row>
    <row r="25" spans="2:10" x14ac:dyDescent="0.3">
      <c r="B25" s="21" t="s">
        <v>45</v>
      </c>
      <c r="C25" s="21">
        <f>COUNTIFS('Cleaned Data'!$M$2:$M$1501,"Divorced")</f>
        <v>172</v>
      </c>
      <c r="D25" s="21">
        <f>COUNTIFS('Cleaned Data'!$M$2:$M$1501,"Divorced",'Cleaned Data'!$B$2:$B$1501,1)</f>
        <v>25</v>
      </c>
      <c r="E25" s="22">
        <f>IF(C25=0,0,D25/C25)</f>
        <v>0.14534883720930233</v>
      </c>
      <c r="G25" s="21">
        <v>3</v>
      </c>
      <c r="H25" s="21">
        <f>COUNTIFS('Cleaned Data'!$L$2:$L$1501,3)</f>
        <v>457</v>
      </c>
      <c r="I25" s="21">
        <f>COUNTIFS('Cleaned Data'!$L$2:$L$1501,3,'Cleaned Data'!$B$2:$B$1501,1)</f>
        <v>85</v>
      </c>
      <c r="J25" s="22">
        <f>IF(H25=0,0,I25/H25)</f>
        <v>0.18599562363238512</v>
      </c>
    </row>
    <row r="26" spans="2:10" x14ac:dyDescent="0.3">
      <c r="G26" s="21">
        <v>4</v>
      </c>
      <c r="H26" s="21">
        <f>COUNTIFS('Cleaned Data'!$L$2:$L$1501,4)</f>
        <v>421</v>
      </c>
      <c r="I26" s="21">
        <f>COUNTIFS('Cleaned Data'!$L$2:$L$1501,4,'Cleaned Data'!$B$2:$B$1501,1)</f>
        <v>47</v>
      </c>
      <c r="J26" s="22">
        <f>IF(H26=0,0,I26/H26)</f>
        <v>0.11163895486935867</v>
      </c>
    </row>
    <row r="27" spans="2:10" x14ac:dyDescent="0.3">
      <c r="G27" s="21">
        <v>5</v>
      </c>
      <c r="H27" s="21">
        <f>COUNTIFS('Cleaned Data'!$L$2:$L$1501,5)</f>
        <v>260</v>
      </c>
      <c r="I27" s="21">
        <f>COUNTIFS('Cleaned Data'!$L$2:$L$1501,5,'Cleaned Data'!$B$2:$B$1501,1)</f>
        <v>17</v>
      </c>
      <c r="J27" s="22">
        <f>IF(H27=0,0,I27/H27)</f>
        <v>6.5384615384615388E-2</v>
      </c>
    </row>
    <row r="29" spans="2:10" ht="15.6" x14ac:dyDescent="0.3">
      <c r="B29" s="19" t="s">
        <v>95</v>
      </c>
      <c r="G29" s="19" t="s">
        <v>96</v>
      </c>
    </row>
    <row r="30" spans="2:10" ht="26.4" x14ac:dyDescent="0.3">
      <c r="B30" s="17" t="s">
        <v>82</v>
      </c>
      <c r="C30" s="17" t="s">
        <v>88</v>
      </c>
      <c r="D30" s="17" t="s">
        <v>89</v>
      </c>
      <c r="E30" s="17" t="s">
        <v>90</v>
      </c>
      <c r="G30" s="17" t="s">
        <v>81</v>
      </c>
      <c r="H30" s="17" t="s">
        <v>88</v>
      </c>
      <c r="I30" s="17" t="s">
        <v>89</v>
      </c>
      <c r="J30" s="17" t="s">
        <v>90</v>
      </c>
    </row>
    <row r="31" spans="2:10" x14ac:dyDescent="0.3">
      <c r="B31" s="21" t="s">
        <v>75</v>
      </c>
      <c r="C31" s="21">
        <f>COUNTIFS('Cleaned Data'!$W$2:$W$1501,"High Risk")</f>
        <v>90</v>
      </c>
      <c r="D31" s="21">
        <f>COUNTIFS('Cleaned Data'!$W$2:$W$1501,"High Risk",'Cleaned Data'!$B$2:$B$1501,1)</f>
        <v>20</v>
      </c>
      <c r="E31" s="22">
        <f>IF(C31=0,0,D31/C31)</f>
        <v>0.22222222222222221</v>
      </c>
      <c r="G31" s="21" t="s">
        <v>65</v>
      </c>
      <c r="H31" s="21">
        <f>COUNTIFS('Cleaned Data'!$V$2:$V$1501,"0-6 months")</f>
        <v>741</v>
      </c>
      <c r="I31" s="21">
        <f>COUNTIFS('Cleaned Data'!$V$2:$V$1501,"0-6 months",'Cleaned Data'!$B$2:$B$1501,1)</f>
        <v>133</v>
      </c>
      <c r="J31" s="22">
        <f>IF(H31=0,0,I31/H31)</f>
        <v>0.17948717948717949</v>
      </c>
    </row>
    <row r="32" spans="2:10" x14ac:dyDescent="0.3">
      <c r="B32" s="21" t="s">
        <v>77</v>
      </c>
      <c r="C32" s="21">
        <f>COUNTIFS('Cleaned Data'!$W$2:$W$1501,"Medium Risk")</f>
        <v>486</v>
      </c>
      <c r="D32" s="21">
        <f>COUNTIFS('Cleaned Data'!$W$2:$W$1501,"Medium Risk",'Cleaned Data'!$B$2:$B$1501,1)</f>
        <v>89</v>
      </c>
      <c r="E32" s="22">
        <f>IF(C32=0,0,D32/C32)</f>
        <v>0.1831275720164609</v>
      </c>
      <c r="G32" s="21" t="s">
        <v>67</v>
      </c>
      <c r="H32" s="21">
        <f>COUNTIFS('Cleaned Data'!$V$2:$V$1501,"7-12 months")</f>
        <v>349</v>
      </c>
      <c r="I32" s="21">
        <f>COUNTIFS('Cleaned Data'!$V$2:$V$1501,"7-12 months",'Cleaned Data'!$B$2:$B$1501,1)</f>
        <v>52</v>
      </c>
      <c r="J32" s="22">
        <f>IF(H32=0,0,I32/H32)</f>
        <v>0.14899713467048711</v>
      </c>
    </row>
    <row r="33" spans="2:10" x14ac:dyDescent="0.3">
      <c r="B33" s="21" t="s">
        <v>79</v>
      </c>
      <c r="C33" s="21">
        <f>COUNTIFS('Cleaned Data'!$W$2:$W$1501,"Low Risk")</f>
        <v>924</v>
      </c>
      <c r="D33" s="21">
        <f>COUNTIFS('Cleaned Data'!$W$2:$W$1501,"Low Risk",'Cleaned Data'!$B$2:$B$1501,1)</f>
        <v>106</v>
      </c>
      <c r="E33" s="22">
        <f>IF(C33=0,0,D33/C33)</f>
        <v>0.11471861471861472</v>
      </c>
      <c r="G33" s="21" t="s">
        <v>69</v>
      </c>
      <c r="H33" s="21">
        <f>COUNTIFS('Cleaned Data'!$V$2:$V$1501,"13-24 months")</f>
        <v>288</v>
      </c>
      <c r="I33" s="21">
        <f>COUNTIFS('Cleaned Data'!$V$2:$V$1501,"13-24 months",'Cleaned Data'!$B$2:$B$1501,1)</f>
        <v>24</v>
      </c>
      <c r="J33" s="22">
        <f>IF(H33=0,0,I33/H33)</f>
        <v>8.3333333333333329E-2</v>
      </c>
    </row>
    <row r="34" spans="2:10" x14ac:dyDescent="0.3">
      <c r="G34" s="21" t="s">
        <v>71</v>
      </c>
      <c r="H34" s="21">
        <f>COUNTIFS('Cleaned Data'!$V$2:$V$1501,"25+ months")</f>
        <v>122</v>
      </c>
      <c r="I34" s="21">
        <f>COUNTIFS('Cleaned Data'!$V$2:$V$1501,"25+ months",'Cleaned Data'!$B$2:$B$1501,1)</f>
        <v>6</v>
      </c>
      <c r="J34" s="22">
        <f>IF(H34=0,0,I34/H34)</f>
        <v>4.9180327868852458E-2</v>
      </c>
    </row>
    <row r="37" spans="2:10" ht="15.6" x14ac:dyDescent="0.3">
      <c r="B37" s="19" t="s">
        <v>97</v>
      </c>
      <c r="G37" s="19" t="s">
        <v>98</v>
      </c>
    </row>
    <row r="38" spans="2:10" x14ac:dyDescent="0.3">
      <c r="B38" s="17" t="s">
        <v>25</v>
      </c>
      <c r="C38" s="17" t="s">
        <v>88</v>
      </c>
      <c r="D38" s="17" t="s">
        <v>89</v>
      </c>
      <c r="E38" s="17" t="s">
        <v>90</v>
      </c>
      <c r="G38" s="17" t="s">
        <v>99</v>
      </c>
      <c r="H38" s="17" t="s">
        <v>100</v>
      </c>
      <c r="I38" s="17" t="s">
        <v>101</v>
      </c>
    </row>
    <row r="39" spans="2:10" x14ac:dyDescent="0.3">
      <c r="B39" s="21" t="s">
        <v>102</v>
      </c>
      <c r="C39" s="21">
        <f>COUNTIFS('Cleaned Data'!$O$2:$O$1501,1)</f>
        <v>429</v>
      </c>
      <c r="D39" s="21">
        <f>COUNTIFS('Cleaned Data'!$O$2:$O$1501,1,'Cleaned Data'!$B$2:$B$1501,1)</f>
        <v>81</v>
      </c>
      <c r="E39" s="22">
        <f>IF(C39=0,0,D39/C39)</f>
        <v>0.1888111888111888</v>
      </c>
      <c r="G39" s="21" t="s">
        <v>103</v>
      </c>
      <c r="H39" s="21">
        <f>ROUND(AVERAGEIFS('Cleaned Data'!$C$2:$C$1501,'Cleaned Data'!$X$2:$X$1501,"No"),2)</f>
        <v>10.07</v>
      </c>
      <c r="I39" s="21">
        <f>ROUND(AVERAGEIFS('Cleaned Data'!$C$2:$C$1501,'Cleaned Data'!$X$2:$X$1501,"Yes"),2)</f>
        <v>6.56</v>
      </c>
    </row>
    <row r="40" spans="2:10" x14ac:dyDescent="0.3">
      <c r="B40" s="21" t="s">
        <v>104</v>
      </c>
      <c r="C40" s="21">
        <f>COUNTIFS('Cleaned Data'!$O$2:$O$1501,0)</f>
        <v>1071</v>
      </c>
      <c r="D40" s="21">
        <f>COUNTIFS('Cleaned Data'!$O$2:$O$1501,0,'Cleaned Data'!$B$2:$B$1501,1)</f>
        <v>134</v>
      </c>
      <c r="E40" s="22">
        <f>IF(C40=0,0,D40/C40)</f>
        <v>0.12511671335200747</v>
      </c>
      <c r="G40" s="21" t="s">
        <v>105</v>
      </c>
      <c r="H40" s="21">
        <f>ROUND(AVERAGEIFS('Cleaned Data'!$L$2:$L$1501,'Cleaned Data'!$X$2:$X$1501,"No"),2)</f>
        <v>3.33</v>
      </c>
      <c r="I40" s="21">
        <f>ROUND(AVERAGEIFS('Cleaned Data'!$L$2:$L$1501,'Cleaned Data'!$X$2:$X$1501,"Yes"),2)</f>
        <v>2.94</v>
      </c>
    </row>
    <row r="41" spans="2:10" x14ac:dyDescent="0.3">
      <c r="G41" s="21" t="s">
        <v>106</v>
      </c>
      <c r="H41" s="21">
        <f>ROUND(AVERAGEIFS('Cleaned Data'!$S$2:$S$1501,'Cleaned Data'!$X$2:$X$1501,"No"),2)</f>
        <v>4.2300000000000004</v>
      </c>
      <c r="I41" s="21">
        <f>ROUND(AVERAGEIFS('Cleaned Data'!$S$2:$S$1501,'Cleaned Data'!$X$2:$X$1501,"Yes"),2)</f>
        <v>5.21</v>
      </c>
    </row>
    <row r="42" spans="2:10" x14ac:dyDescent="0.3">
      <c r="G42" s="21" t="s">
        <v>107</v>
      </c>
      <c r="H42" s="21">
        <f>ROUND(AVERAGEIFS('Cleaned Data'!$T$2:$T$1501,'Cleaned Data'!$X$2:$X$1501,"No"),2)</f>
        <v>178.34</v>
      </c>
      <c r="I42" s="21">
        <f>ROUND(AVERAGEIFS('Cleaned Data'!$T$2:$T$1501,'Cleaned Data'!$X$2:$X$1501,"Yes"),2)</f>
        <v>173.16</v>
      </c>
    </row>
    <row r="43" spans="2:10" x14ac:dyDescent="0.3">
      <c r="G43" s="21" t="s">
        <v>108</v>
      </c>
      <c r="H43" s="21">
        <f>ROUND(AVERAGEIFS('Cleaned Data'!$R$2:$R$1501,'Cleaned Data'!$X$2:$X$1501,"No"),2)</f>
        <v>3.95</v>
      </c>
      <c r="I43" s="21">
        <f>ROUND(AVERAGEIFS('Cleaned Data'!$R$2:$R$1501,'Cleaned Data'!$X$2:$X$1501,"Yes"),2)</f>
        <v>4.1500000000000004</v>
      </c>
    </row>
    <row r="44" spans="2:10" x14ac:dyDescent="0.3">
      <c r="G44" s="21" t="s">
        <v>109</v>
      </c>
      <c r="H44" s="21">
        <f>ROUND(AVERAGEIFS('Cleaned Data'!$Q$2:$Q$1501,'Cleaned Data'!$X$2:$X$1501,"No"),2)</f>
        <v>1.81</v>
      </c>
      <c r="I44" s="21">
        <f>ROUND(AVERAGEIFS('Cleaned Data'!$Q$2:$Q$1501,'Cleaned Data'!$X$2:$X$1501,"Yes"),2)</f>
        <v>1.73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X7"/>
  <sheetViews>
    <sheetView showGridLines="0" tabSelected="1" zoomScaleNormal="100" workbookViewId="0"/>
  </sheetViews>
  <sheetFormatPr defaultColWidth="8.6640625" defaultRowHeight="14.4" x14ac:dyDescent="0.3"/>
  <cols>
    <col min="1" max="1" width="3" customWidth="1"/>
    <col min="2" max="25" width="8.44140625" customWidth="1"/>
  </cols>
  <sheetData>
    <row r="2" spans="2:24" ht="21" x14ac:dyDescent="0.4">
      <c r="B2" s="15" t="s">
        <v>110</v>
      </c>
    </row>
    <row r="3" spans="2:24" x14ac:dyDescent="0.3">
      <c r="B3" s="16" t="s">
        <v>111</v>
      </c>
    </row>
    <row r="5" spans="2:24" ht="27.75" customHeight="1" x14ac:dyDescent="0.3">
      <c r="B5" s="10" t="s">
        <v>112</v>
      </c>
      <c r="C5" s="10"/>
      <c r="D5" s="10"/>
      <c r="F5" s="9" t="s">
        <v>113</v>
      </c>
      <c r="G5" s="9"/>
      <c r="H5" s="9"/>
      <c r="J5" s="8" t="s">
        <v>114</v>
      </c>
      <c r="K5" s="8"/>
      <c r="L5" s="8"/>
      <c r="N5" s="7" t="s">
        <v>115</v>
      </c>
      <c r="O5" s="7"/>
      <c r="P5" s="7"/>
      <c r="R5" s="6" t="s">
        <v>105</v>
      </c>
      <c r="S5" s="6"/>
      <c r="T5" s="6"/>
      <c r="V5" s="5" t="s">
        <v>116</v>
      </c>
      <c r="W5" s="5"/>
      <c r="X5" s="5"/>
    </row>
    <row r="6" spans="2:24" ht="33.75" customHeight="1" x14ac:dyDescent="0.3">
      <c r="B6" s="4">
        <f>COUNTA('Cleaned Data'!$A$2:$A$1501)</f>
        <v>1500</v>
      </c>
      <c r="C6" s="4"/>
      <c r="D6" s="4"/>
      <c r="F6" s="3">
        <f>SUM('Cleaned Data'!$B$2:$B$1501)</f>
        <v>215</v>
      </c>
      <c r="G6" s="3"/>
      <c r="H6" s="3"/>
      <c r="J6" s="2">
        <f>AVERAGE('Cleaned Data'!$B$2:$B$1501)</f>
        <v>0.14333333333333334</v>
      </c>
      <c r="K6" s="2"/>
      <c r="L6" s="2"/>
      <c r="N6" s="1">
        <f>COUNTIF('Cleaned Data'!$W$2:$W$1501,"High Risk")</f>
        <v>90</v>
      </c>
      <c r="O6" s="1"/>
      <c r="P6" s="1"/>
      <c r="R6" s="23">
        <f>ROUND(AVERAGE('Cleaned Data'!$L$2:$L$1501),2)</f>
        <v>3.28</v>
      </c>
      <c r="S6" s="23"/>
      <c r="T6" s="23"/>
      <c r="V6" s="24">
        <f>SUM('Cleaned Data'!$O$2:$O$1501)</f>
        <v>429</v>
      </c>
      <c r="W6" s="24"/>
      <c r="X6" s="24"/>
    </row>
    <row r="7" spans="2:24" x14ac:dyDescent="0.3">
      <c r="B7" s="4"/>
      <c r="C7" s="4"/>
      <c r="D7" s="4"/>
      <c r="F7" s="3"/>
      <c r="G7" s="3"/>
      <c r="H7" s="3"/>
      <c r="J7" s="2"/>
      <c r="K7" s="2"/>
      <c r="L7" s="2"/>
      <c r="N7" s="1"/>
      <c r="O7" s="1"/>
      <c r="P7" s="1"/>
      <c r="R7" s="23"/>
      <c r="S7" s="23"/>
      <c r="T7" s="23"/>
      <c r="V7" s="24"/>
      <c r="W7" s="24"/>
      <c r="X7" s="24"/>
    </row>
  </sheetData>
  <mergeCells count="12">
    <mergeCell ref="V5:X5"/>
    <mergeCell ref="B6:D7"/>
    <mergeCell ref="F6:H7"/>
    <mergeCell ref="J6:L7"/>
    <mergeCell ref="N6:P7"/>
    <mergeCell ref="R6:T7"/>
    <mergeCell ref="V6:X7"/>
    <mergeCell ref="B5:D5"/>
    <mergeCell ref="F5:H5"/>
    <mergeCell ref="J5:L5"/>
    <mergeCell ref="N5:P5"/>
    <mergeCell ref="R5:T5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README</vt:lpstr>
      <vt:lpstr>Raw Data</vt:lpstr>
      <vt:lpstr>Lookup Tables</vt:lpstr>
      <vt:lpstr>Cleaned Data</vt:lpstr>
      <vt:lpstr>Summary Calculations</vt:lpstr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Devansh Agrahari</cp:lastModifiedBy>
  <cp:revision>1</cp:revision>
  <dcterms:created xsi:type="dcterms:W3CDTF">2026-08-10T22:37:16Z</dcterms:created>
  <dcterms:modified xsi:type="dcterms:W3CDTF">2026-08-11T20:34:54Z</dcterms:modified>
  <dc:language>en-US</dc:language>
</cp:coreProperties>
</file>